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tente\Dropbox\PackT\Chapter09 Trading Plan\"/>
    </mc:Choice>
  </mc:AlternateContent>
  <xr:revisionPtr revIDLastSave="0" documentId="13_ncr:1_{8AC91274-D8F7-4CE8-B8ED-0AB62EC2F1E6}" xr6:coauthVersionLast="45" xr6:coauthVersionMax="45" xr10:uidLastSave="{00000000-0000-0000-0000-000000000000}"/>
  <bookViews>
    <workbookView xWindow="450" yWindow="120" windowWidth="19440" windowHeight="10725" xr2:uid="{00000000-000D-0000-FFFF-FFFF00000000}"/>
  </bookViews>
  <sheets>
    <sheet name="Portfolio" sheetId="2" r:id="rId1"/>
    <sheet name="PrintLog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J4" i="2"/>
  <c r="J5" i="2"/>
  <c r="J6" i="2"/>
  <c r="J3" i="2"/>
  <c r="J7" i="2" l="1"/>
  <c r="V9" i="2" s="1"/>
  <c r="G26" i="2"/>
  <c r="H26" i="2"/>
  <c r="I26" i="2"/>
  <c r="J26" i="2"/>
  <c r="G27" i="2"/>
  <c r="H27" i="2"/>
  <c r="I27" i="2"/>
  <c r="J27" i="2"/>
  <c r="G28" i="2"/>
  <c r="H28" i="2"/>
  <c r="I28" i="2"/>
  <c r="J28" i="2"/>
  <c r="G29" i="2"/>
  <c r="H29" i="2"/>
  <c r="I29" i="2"/>
  <c r="J29" i="2"/>
  <c r="G30" i="2"/>
  <c r="H30" i="2"/>
  <c r="I30" i="2"/>
  <c r="J30" i="2"/>
  <c r="G31" i="2"/>
  <c r="H31" i="2"/>
  <c r="I31" i="2"/>
  <c r="J31" i="2"/>
  <c r="G32" i="2"/>
  <c r="H32" i="2"/>
  <c r="I32" i="2"/>
  <c r="J32" i="2"/>
  <c r="G33" i="2"/>
  <c r="H33" i="2"/>
  <c r="I33" i="2"/>
  <c r="J33" i="2"/>
  <c r="G34" i="2"/>
  <c r="H34" i="2"/>
  <c r="I34" i="2"/>
  <c r="J34" i="2"/>
  <c r="G35" i="2"/>
  <c r="H35" i="2"/>
  <c r="I35" i="2"/>
  <c r="J35" i="2"/>
  <c r="G36" i="2"/>
  <c r="H36" i="2"/>
  <c r="I36" i="2"/>
  <c r="J36" i="2"/>
  <c r="G37" i="2"/>
  <c r="H37" i="2"/>
  <c r="I37" i="2"/>
  <c r="J37" i="2"/>
  <c r="G38" i="2"/>
  <c r="H38" i="2"/>
  <c r="I38" i="2"/>
  <c r="J38" i="2"/>
  <c r="G39" i="2"/>
  <c r="H39" i="2"/>
  <c r="I39" i="2"/>
  <c r="J39" i="2"/>
  <c r="G40" i="2"/>
  <c r="H40" i="2"/>
  <c r="I40" i="2"/>
  <c r="J40" i="2"/>
  <c r="G41" i="2"/>
  <c r="H41" i="2"/>
  <c r="I41" i="2"/>
  <c r="J41" i="2"/>
  <c r="G42" i="2"/>
  <c r="H42" i="2"/>
  <c r="I42" i="2"/>
  <c r="J42" i="2"/>
  <c r="G43" i="2"/>
  <c r="H43" i="2"/>
  <c r="I43" i="2"/>
  <c r="J43" i="2"/>
  <c r="G44" i="2"/>
  <c r="H44" i="2"/>
  <c r="I44" i="2"/>
  <c r="J44" i="2"/>
  <c r="G45" i="2"/>
  <c r="H45" i="2"/>
  <c r="I45" i="2"/>
  <c r="J45" i="2"/>
  <c r="G46" i="2"/>
  <c r="H46" i="2"/>
  <c r="I46" i="2"/>
  <c r="J46" i="2"/>
  <c r="G47" i="2"/>
  <c r="H47" i="2"/>
  <c r="I47" i="2"/>
  <c r="J47" i="2"/>
  <c r="G48" i="2"/>
  <c r="H48" i="2"/>
  <c r="I48" i="2"/>
  <c r="J48" i="2"/>
  <c r="G49" i="2"/>
  <c r="H49" i="2"/>
  <c r="I49" i="2"/>
  <c r="J49" i="2"/>
  <c r="G50" i="2"/>
  <c r="H50" i="2"/>
  <c r="I50" i="2"/>
  <c r="J50" i="2"/>
  <c r="G51" i="2"/>
  <c r="H51" i="2"/>
  <c r="I51" i="2"/>
  <c r="J51" i="2"/>
  <c r="G52" i="2"/>
  <c r="H52" i="2"/>
  <c r="I52" i="2"/>
  <c r="J52" i="2"/>
  <c r="G53" i="2"/>
  <c r="H53" i="2"/>
  <c r="I53" i="2"/>
  <c r="J53" i="2"/>
  <c r="G54" i="2"/>
  <c r="H54" i="2"/>
  <c r="I54" i="2"/>
  <c r="J54" i="2"/>
  <c r="G55" i="2"/>
  <c r="H55" i="2"/>
  <c r="I55" i="2"/>
  <c r="J55" i="2"/>
  <c r="G56" i="2"/>
  <c r="H56" i="2"/>
  <c r="I56" i="2"/>
  <c r="J56" i="2"/>
  <c r="G57" i="2"/>
  <c r="H57" i="2"/>
  <c r="I57" i="2"/>
  <c r="J57" i="2"/>
  <c r="G58" i="2"/>
  <c r="H58" i="2"/>
  <c r="I58" i="2"/>
  <c r="J58" i="2"/>
  <c r="G59" i="2"/>
  <c r="H59" i="2"/>
  <c r="I59" i="2"/>
  <c r="J59" i="2"/>
  <c r="G60" i="2"/>
  <c r="H60" i="2"/>
  <c r="I60" i="2"/>
  <c r="J60" i="2"/>
  <c r="G61" i="2"/>
  <c r="H61" i="2"/>
  <c r="I61" i="2"/>
  <c r="J61" i="2"/>
  <c r="G62" i="2"/>
  <c r="H62" i="2"/>
  <c r="I62" i="2"/>
  <c r="J62" i="2"/>
  <c r="G63" i="2"/>
  <c r="H63" i="2"/>
  <c r="I63" i="2"/>
  <c r="J63" i="2"/>
  <c r="G64" i="2"/>
  <c r="H64" i="2"/>
  <c r="I64" i="2"/>
  <c r="J64" i="2"/>
  <c r="G65" i="2"/>
  <c r="H65" i="2"/>
  <c r="I65" i="2"/>
  <c r="J65" i="2"/>
  <c r="G66" i="2"/>
  <c r="H66" i="2"/>
  <c r="I66" i="2"/>
  <c r="J66" i="2"/>
  <c r="G67" i="2"/>
  <c r="H67" i="2"/>
  <c r="I67" i="2"/>
  <c r="J67" i="2"/>
  <c r="G68" i="2"/>
  <c r="H68" i="2"/>
  <c r="I68" i="2"/>
  <c r="J68" i="2"/>
  <c r="G69" i="2"/>
  <c r="H69" i="2"/>
  <c r="I69" i="2"/>
  <c r="J69" i="2"/>
  <c r="G70" i="2"/>
  <c r="H70" i="2"/>
  <c r="I70" i="2"/>
  <c r="J70" i="2"/>
  <c r="G71" i="2"/>
  <c r="H71" i="2"/>
  <c r="I71" i="2"/>
  <c r="J71" i="2"/>
  <c r="G72" i="2"/>
  <c r="H72" i="2"/>
  <c r="I72" i="2"/>
  <c r="J72" i="2"/>
  <c r="G73" i="2"/>
  <c r="H73" i="2"/>
  <c r="I73" i="2"/>
  <c r="J73" i="2"/>
  <c r="G74" i="2"/>
  <c r="H74" i="2"/>
  <c r="I74" i="2"/>
  <c r="J74" i="2"/>
  <c r="G75" i="2"/>
  <c r="H75" i="2"/>
  <c r="I75" i="2"/>
  <c r="J75" i="2"/>
  <c r="G76" i="2"/>
  <c r="H76" i="2"/>
  <c r="I76" i="2"/>
  <c r="J76" i="2"/>
  <c r="G77" i="2"/>
  <c r="H77" i="2"/>
  <c r="I77" i="2"/>
  <c r="J77" i="2"/>
  <c r="G78" i="2"/>
  <c r="H78" i="2"/>
  <c r="I78" i="2"/>
  <c r="J78" i="2"/>
  <c r="G79" i="2"/>
  <c r="H79" i="2"/>
  <c r="I79" i="2"/>
  <c r="J79" i="2"/>
  <c r="G80" i="2"/>
  <c r="H80" i="2"/>
  <c r="I80" i="2"/>
  <c r="J80" i="2"/>
  <c r="G81" i="2"/>
  <c r="H81" i="2"/>
  <c r="I81" i="2"/>
  <c r="J81" i="2"/>
  <c r="G82" i="2"/>
  <c r="H82" i="2"/>
  <c r="I82" i="2"/>
  <c r="J82" i="2"/>
  <c r="G83" i="2"/>
  <c r="H83" i="2"/>
  <c r="I83" i="2"/>
  <c r="J83" i="2"/>
  <c r="G84" i="2"/>
  <c r="H84" i="2"/>
  <c r="I84" i="2"/>
  <c r="J84" i="2"/>
  <c r="G85" i="2"/>
  <c r="H85" i="2"/>
  <c r="I85" i="2"/>
  <c r="J85" i="2"/>
  <c r="G86" i="2"/>
  <c r="H86" i="2"/>
  <c r="I86" i="2"/>
  <c r="J86" i="2"/>
  <c r="G87" i="2"/>
  <c r="H87" i="2"/>
  <c r="I87" i="2"/>
  <c r="J87" i="2"/>
  <c r="G88" i="2"/>
  <c r="H88" i="2"/>
  <c r="I88" i="2"/>
  <c r="J88" i="2"/>
  <c r="G89" i="2"/>
  <c r="H89" i="2"/>
  <c r="I89" i="2"/>
  <c r="J89" i="2"/>
  <c r="G90" i="2"/>
  <c r="H90" i="2"/>
  <c r="I90" i="2"/>
  <c r="J90" i="2"/>
  <c r="G91" i="2"/>
  <c r="H91" i="2"/>
  <c r="I91" i="2"/>
  <c r="J91" i="2"/>
  <c r="G92" i="2"/>
  <c r="H92" i="2"/>
  <c r="I92" i="2"/>
  <c r="J92" i="2"/>
  <c r="G93" i="2"/>
  <c r="H93" i="2"/>
  <c r="I93" i="2"/>
  <c r="J93" i="2"/>
  <c r="G94" i="2"/>
  <c r="H94" i="2"/>
  <c r="I94" i="2"/>
  <c r="J94" i="2"/>
  <c r="G95" i="2"/>
  <c r="H95" i="2"/>
  <c r="I95" i="2"/>
  <c r="J95" i="2"/>
  <c r="G96" i="2"/>
  <c r="H96" i="2"/>
  <c r="I96" i="2"/>
  <c r="J96" i="2"/>
  <c r="G97" i="2"/>
  <c r="H97" i="2"/>
  <c r="I97" i="2"/>
  <c r="J97" i="2"/>
  <c r="G98" i="2"/>
  <c r="H98" i="2"/>
  <c r="I98" i="2"/>
  <c r="J98" i="2"/>
  <c r="G99" i="2"/>
  <c r="H99" i="2"/>
  <c r="I99" i="2"/>
  <c r="J99" i="2"/>
  <c r="G100" i="2"/>
  <c r="H100" i="2"/>
  <c r="I100" i="2"/>
  <c r="J100" i="2"/>
  <c r="G101" i="2"/>
  <c r="H101" i="2"/>
  <c r="I101" i="2"/>
  <c r="J101" i="2"/>
  <c r="G102" i="2"/>
  <c r="H102" i="2"/>
  <c r="I102" i="2"/>
  <c r="J102" i="2"/>
  <c r="G103" i="2"/>
  <c r="H103" i="2"/>
  <c r="I103" i="2"/>
  <c r="J103" i="2"/>
  <c r="G104" i="2"/>
  <c r="H104" i="2"/>
  <c r="I104" i="2"/>
  <c r="J104" i="2"/>
  <c r="G105" i="2"/>
  <c r="H105" i="2"/>
  <c r="I105" i="2"/>
  <c r="J105" i="2"/>
  <c r="G106" i="2"/>
  <c r="H106" i="2"/>
  <c r="I106" i="2"/>
  <c r="J106" i="2"/>
  <c r="G107" i="2"/>
  <c r="H107" i="2"/>
  <c r="I107" i="2"/>
  <c r="J107" i="2"/>
  <c r="G108" i="2"/>
  <c r="H108" i="2"/>
  <c r="I108" i="2"/>
  <c r="J108" i="2"/>
  <c r="G109" i="2"/>
  <c r="H109" i="2"/>
  <c r="I109" i="2"/>
  <c r="J109" i="2"/>
  <c r="G110" i="2"/>
  <c r="H110" i="2"/>
  <c r="I110" i="2"/>
  <c r="J110" i="2"/>
  <c r="G111" i="2"/>
  <c r="H111" i="2"/>
  <c r="I111" i="2"/>
  <c r="J111" i="2"/>
  <c r="G112" i="2"/>
  <c r="H112" i="2"/>
  <c r="I112" i="2"/>
  <c r="J112" i="2"/>
  <c r="G113" i="2"/>
  <c r="H113" i="2"/>
  <c r="I113" i="2"/>
  <c r="J113" i="2"/>
  <c r="G114" i="2"/>
  <c r="H114" i="2"/>
  <c r="I114" i="2"/>
  <c r="J114" i="2"/>
  <c r="G115" i="2"/>
  <c r="H115" i="2"/>
  <c r="I115" i="2"/>
  <c r="J115" i="2"/>
  <c r="G116" i="2"/>
  <c r="H116" i="2"/>
  <c r="I116" i="2"/>
  <c r="J116" i="2"/>
  <c r="G117" i="2"/>
  <c r="H117" i="2"/>
  <c r="I117" i="2"/>
  <c r="J117" i="2"/>
  <c r="G118" i="2"/>
  <c r="H118" i="2"/>
  <c r="I118" i="2"/>
  <c r="J118" i="2"/>
  <c r="G119" i="2"/>
  <c r="H119" i="2"/>
  <c r="I119" i="2"/>
  <c r="J119" i="2"/>
  <c r="G120" i="2"/>
  <c r="H120" i="2"/>
  <c r="I120" i="2"/>
  <c r="J120" i="2"/>
  <c r="G121" i="2"/>
  <c r="H121" i="2"/>
  <c r="I121" i="2"/>
  <c r="J121" i="2"/>
  <c r="G122" i="2"/>
  <c r="H122" i="2"/>
  <c r="I122" i="2"/>
  <c r="J122" i="2"/>
  <c r="G123" i="2"/>
  <c r="H123" i="2"/>
  <c r="I123" i="2"/>
  <c r="J123" i="2"/>
  <c r="G124" i="2"/>
  <c r="H124" i="2"/>
  <c r="I124" i="2"/>
  <c r="J124" i="2"/>
  <c r="G125" i="2"/>
  <c r="H125" i="2"/>
  <c r="I125" i="2"/>
  <c r="J125" i="2"/>
  <c r="G126" i="2"/>
  <c r="H126" i="2"/>
  <c r="I126" i="2"/>
  <c r="J126" i="2"/>
  <c r="G127" i="2"/>
  <c r="H127" i="2"/>
  <c r="I127" i="2"/>
  <c r="J127" i="2"/>
  <c r="G128" i="2"/>
  <c r="H128" i="2"/>
  <c r="I128" i="2"/>
  <c r="J128" i="2"/>
  <c r="G129" i="2"/>
  <c r="H129" i="2"/>
  <c r="I129" i="2"/>
  <c r="J129" i="2"/>
  <c r="G130" i="2"/>
  <c r="H130" i="2"/>
  <c r="I130" i="2"/>
  <c r="J130" i="2"/>
  <c r="G131" i="2"/>
  <c r="H131" i="2"/>
  <c r="I131" i="2"/>
  <c r="J131" i="2"/>
  <c r="G132" i="2"/>
  <c r="H132" i="2"/>
  <c r="I132" i="2"/>
  <c r="J132" i="2"/>
  <c r="G133" i="2"/>
  <c r="H133" i="2"/>
  <c r="I133" i="2"/>
  <c r="J133" i="2"/>
  <c r="G134" i="2"/>
  <c r="H134" i="2"/>
  <c r="I134" i="2"/>
  <c r="J134" i="2"/>
  <c r="G135" i="2"/>
  <c r="H135" i="2"/>
  <c r="I135" i="2"/>
  <c r="J135" i="2"/>
  <c r="G136" i="2"/>
  <c r="H136" i="2"/>
  <c r="I136" i="2"/>
  <c r="J136" i="2"/>
  <c r="G137" i="2"/>
  <c r="H137" i="2"/>
  <c r="I137" i="2"/>
  <c r="J137" i="2"/>
  <c r="G138" i="2"/>
  <c r="H138" i="2"/>
  <c r="I138" i="2"/>
  <c r="J138" i="2"/>
  <c r="G139" i="2"/>
  <c r="H139" i="2"/>
  <c r="I139" i="2"/>
  <c r="J139" i="2"/>
  <c r="G140" i="2"/>
  <c r="H140" i="2"/>
  <c r="I140" i="2"/>
  <c r="J140" i="2"/>
  <c r="G141" i="2"/>
  <c r="H141" i="2"/>
  <c r="I141" i="2"/>
  <c r="J141" i="2"/>
  <c r="G142" i="2"/>
  <c r="H142" i="2"/>
  <c r="I142" i="2"/>
  <c r="J142" i="2"/>
  <c r="G143" i="2"/>
  <c r="H143" i="2"/>
  <c r="I143" i="2"/>
  <c r="J143" i="2"/>
  <c r="G144" i="2"/>
  <c r="H144" i="2"/>
  <c r="I144" i="2"/>
  <c r="J144" i="2"/>
  <c r="G145" i="2"/>
  <c r="H145" i="2"/>
  <c r="I145" i="2"/>
  <c r="J145" i="2"/>
  <c r="G146" i="2"/>
  <c r="H146" i="2"/>
  <c r="I146" i="2"/>
  <c r="J146" i="2"/>
  <c r="G147" i="2"/>
  <c r="H147" i="2"/>
  <c r="I147" i="2"/>
  <c r="J147" i="2"/>
  <c r="G148" i="2"/>
  <c r="H148" i="2"/>
  <c r="I148" i="2"/>
  <c r="J148" i="2"/>
  <c r="G149" i="2"/>
  <c r="H149" i="2"/>
  <c r="I149" i="2"/>
  <c r="J149" i="2"/>
  <c r="G150" i="2"/>
  <c r="H150" i="2"/>
  <c r="I150" i="2"/>
  <c r="J150" i="2"/>
  <c r="G151" i="2"/>
  <c r="H151" i="2"/>
  <c r="I151" i="2"/>
  <c r="J151" i="2"/>
  <c r="G152" i="2"/>
  <c r="H152" i="2"/>
  <c r="I152" i="2"/>
  <c r="J152" i="2"/>
  <c r="G153" i="2"/>
  <c r="H153" i="2"/>
  <c r="I153" i="2"/>
  <c r="J153" i="2"/>
  <c r="G154" i="2"/>
  <c r="H154" i="2"/>
  <c r="I154" i="2"/>
  <c r="J154" i="2"/>
  <c r="G155" i="2"/>
  <c r="H155" i="2"/>
  <c r="I155" i="2"/>
  <c r="J155" i="2"/>
  <c r="G156" i="2"/>
  <c r="H156" i="2"/>
  <c r="I156" i="2"/>
  <c r="J156" i="2"/>
  <c r="G157" i="2"/>
  <c r="H157" i="2"/>
  <c r="I157" i="2"/>
  <c r="J157" i="2"/>
  <c r="G158" i="2"/>
  <c r="H158" i="2"/>
  <c r="I158" i="2"/>
  <c r="J158" i="2"/>
  <c r="G159" i="2"/>
  <c r="H159" i="2"/>
  <c r="I159" i="2"/>
  <c r="J159" i="2"/>
  <c r="G160" i="2"/>
  <c r="H160" i="2"/>
  <c r="I160" i="2"/>
  <c r="J160" i="2"/>
  <c r="G161" i="2"/>
  <c r="H161" i="2"/>
  <c r="I161" i="2"/>
  <c r="J161" i="2"/>
  <c r="G162" i="2"/>
  <c r="H162" i="2"/>
  <c r="I162" i="2"/>
  <c r="J162" i="2"/>
  <c r="G163" i="2"/>
  <c r="H163" i="2"/>
  <c r="I163" i="2"/>
  <c r="J163" i="2"/>
  <c r="G164" i="2"/>
  <c r="H164" i="2"/>
  <c r="I164" i="2"/>
  <c r="J164" i="2"/>
  <c r="G165" i="2"/>
  <c r="H165" i="2"/>
  <c r="I165" i="2"/>
  <c r="J165" i="2"/>
  <c r="G166" i="2"/>
  <c r="H166" i="2"/>
  <c r="I166" i="2"/>
  <c r="J166" i="2"/>
  <c r="G167" i="2"/>
  <c r="H167" i="2"/>
  <c r="I167" i="2"/>
  <c r="J167" i="2"/>
  <c r="G168" i="2"/>
  <c r="H168" i="2"/>
  <c r="I168" i="2"/>
  <c r="J168" i="2"/>
  <c r="G169" i="2"/>
  <c r="H169" i="2"/>
  <c r="I169" i="2"/>
  <c r="J169" i="2"/>
  <c r="G170" i="2"/>
  <c r="H170" i="2"/>
  <c r="I170" i="2"/>
  <c r="J170" i="2"/>
  <c r="G171" i="2"/>
  <c r="H171" i="2"/>
  <c r="I171" i="2"/>
  <c r="J171" i="2"/>
  <c r="G172" i="2"/>
  <c r="H172" i="2"/>
  <c r="I172" i="2"/>
  <c r="J172" i="2"/>
  <c r="G173" i="2"/>
  <c r="H173" i="2"/>
  <c r="I173" i="2"/>
  <c r="J173" i="2"/>
  <c r="G174" i="2"/>
  <c r="H174" i="2"/>
  <c r="I174" i="2"/>
  <c r="J174" i="2"/>
  <c r="G175" i="2"/>
  <c r="H175" i="2"/>
  <c r="I175" i="2"/>
  <c r="J175" i="2"/>
  <c r="G176" i="2"/>
  <c r="H176" i="2"/>
  <c r="I176" i="2"/>
  <c r="J176" i="2"/>
  <c r="G177" i="2"/>
  <c r="H177" i="2"/>
  <c r="I177" i="2"/>
  <c r="J177" i="2"/>
  <c r="G178" i="2"/>
  <c r="H178" i="2"/>
  <c r="I178" i="2"/>
  <c r="J178" i="2"/>
  <c r="G179" i="2"/>
  <c r="H179" i="2"/>
  <c r="I179" i="2"/>
  <c r="J179" i="2"/>
  <c r="G180" i="2"/>
  <c r="H180" i="2"/>
  <c r="I180" i="2"/>
  <c r="J180" i="2"/>
  <c r="G181" i="2"/>
  <c r="H181" i="2"/>
  <c r="I181" i="2"/>
  <c r="J181" i="2"/>
  <c r="G182" i="2"/>
  <c r="H182" i="2"/>
  <c r="I182" i="2"/>
  <c r="J182" i="2"/>
  <c r="G183" i="2"/>
  <c r="H183" i="2"/>
  <c r="I183" i="2"/>
  <c r="J183" i="2"/>
  <c r="G184" i="2"/>
  <c r="H184" i="2"/>
  <c r="I184" i="2"/>
  <c r="J184" i="2"/>
  <c r="G185" i="2"/>
  <c r="H185" i="2"/>
  <c r="I185" i="2"/>
  <c r="J185" i="2"/>
  <c r="G186" i="2"/>
  <c r="H186" i="2"/>
  <c r="I186" i="2"/>
  <c r="J186" i="2"/>
  <c r="G187" i="2"/>
  <c r="H187" i="2"/>
  <c r="I187" i="2"/>
  <c r="J187" i="2"/>
  <c r="G188" i="2"/>
  <c r="H188" i="2"/>
  <c r="I188" i="2"/>
  <c r="J188" i="2"/>
  <c r="G189" i="2"/>
  <c r="H189" i="2"/>
  <c r="I189" i="2"/>
  <c r="J189" i="2"/>
  <c r="G190" i="2"/>
  <c r="H190" i="2"/>
  <c r="I190" i="2"/>
  <c r="J190" i="2"/>
  <c r="G191" i="2"/>
  <c r="H191" i="2"/>
  <c r="I191" i="2"/>
  <c r="J191" i="2"/>
  <c r="G192" i="2"/>
  <c r="H192" i="2"/>
  <c r="I192" i="2"/>
  <c r="J192" i="2"/>
  <c r="G193" i="2"/>
  <c r="H193" i="2"/>
  <c r="I193" i="2"/>
  <c r="J193" i="2"/>
  <c r="G194" i="2"/>
  <c r="H194" i="2"/>
  <c r="I194" i="2"/>
  <c r="J194" i="2"/>
  <c r="G195" i="2"/>
  <c r="H195" i="2"/>
  <c r="I195" i="2"/>
  <c r="J195" i="2"/>
  <c r="G196" i="2"/>
  <c r="H196" i="2"/>
  <c r="I196" i="2"/>
  <c r="J196" i="2"/>
  <c r="G197" i="2"/>
  <c r="H197" i="2"/>
  <c r="I197" i="2"/>
  <c r="J197" i="2"/>
  <c r="G198" i="2"/>
  <c r="H198" i="2"/>
  <c r="I198" i="2"/>
  <c r="J198" i="2"/>
  <c r="G199" i="2"/>
  <c r="H199" i="2"/>
  <c r="I199" i="2"/>
  <c r="J199" i="2"/>
  <c r="G200" i="2"/>
  <c r="H200" i="2"/>
  <c r="I200" i="2"/>
  <c r="J200" i="2"/>
  <c r="G201" i="2"/>
  <c r="H201" i="2"/>
  <c r="I201" i="2"/>
  <c r="J201" i="2"/>
  <c r="G202" i="2"/>
  <c r="H202" i="2"/>
  <c r="I202" i="2"/>
  <c r="J202" i="2"/>
  <c r="G203" i="2"/>
  <c r="H203" i="2"/>
  <c r="I203" i="2"/>
  <c r="J203" i="2"/>
  <c r="G204" i="2"/>
  <c r="H204" i="2"/>
  <c r="I204" i="2"/>
  <c r="J204" i="2"/>
  <c r="G205" i="2"/>
  <c r="H205" i="2"/>
  <c r="I205" i="2"/>
  <c r="J205" i="2"/>
  <c r="G206" i="2"/>
  <c r="H206" i="2"/>
  <c r="I206" i="2"/>
  <c r="J206" i="2"/>
  <c r="G207" i="2"/>
  <c r="H207" i="2"/>
  <c r="I207" i="2"/>
  <c r="J207" i="2"/>
  <c r="G208" i="2"/>
  <c r="H208" i="2"/>
  <c r="I208" i="2"/>
  <c r="J208" i="2"/>
  <c r="G209" i="2"/>
  <c r="H209" i="2"/>
  <c r="I209" i="2"/>
  <c r="J209" i="2"/>
  <c r="G210" i="2"/>
  <c r="H210" i="2"/>
  <c r="I210" i="2"/>
  <c r="J210" i="2"/>
  <c r="G211" i="2"/>
  <c r="H211" i="2"/>
  <c r="I211" i="2"/>
  <c r="J211" i="2"/>
  <c r="G212" i="2"/>
  <c r="H212" i="2"/>
  <c r="I212" i="2"/>
  <c r="J212" i="2"/>
  <c r="G213" i="2"/>
  <c r="H213" i="2"/>
  <c r="I213" i="2"/>
  <c r="J213" i="2"/>
  <c r="G214" i="2"/>
  <c r="H214" i="2"/>
  <c r="I214" i="2"/>
  <c r="J214" i="2"/>
  <c r="G215" i="2"/>
  <c r="H215" i="2"/>
  <c r="I215" i="2"/>
  <c r="J215" i="2"/>
  <c r="G216" i="2"/>
  <c r="H216" i="2"/>
  <c r="I216" i="2"/>
  <c r="J216" i="2"/>
  <c r="G217" i="2"/>
  <c r="H217" i="2"/>
  <c r="I217" i="2"/>
  <c r="J217" i="2"/>
  <c r="G218" i="2"/>
  <c r="H218" i="2"/>
  <c r="I218" i="2"/>
  <c r="J218" i="2"/>
  <c r="G219" i="2"/>
  <c r="H219" i="2"/>
  <c r="I219" i="2"/>
  <c r="J219" i="2"/>
  <c r="G220" i="2"/>
  <c r="H220" i="2"/>
  <c r="I220" i="2"/>
  <c r="J220" i="2"/>
  <c r="G221" i="2"/>
  <c r="H221" i="2"/>
  <c r="I221" i="2"/>
  <c r="J221" i="2"/>
  <c r="G222" i="2"/>
  <c r="H222" i="2"/>
  <c r="I222" i="2"/>
  <c r="J222" i="2"/>
  <c r="G223" i="2"/>
  <c r="H223" i="2"/>
  <c r="I223" i="2"/>
  <c r="J223" i="2"/>
  <c r="G224" i="2"/>
  <c r="H224" i="2"/>
  <c r="I224" i="2"/>
  <c r="J224" i="2"/>
  <c r="G225" i="2"/>
  <c r="H225" i="2"/>
  <c r="I225" i="2"/>
  <c r="J225" i="2"/>
  <c r="G226" i="2"/>
  <c r="H226" i="2"/>
  <c r="I226" i="2"/>
  <c r="J226" i="2"/>
  <c r="G227" i="2"/>
  <c r="H227" i="2"/>
  <c r="I227" i="2"/>
  <c r="J227" i="2"/>
  <c r="G228" i="2"/>
  <c r="H228" i="2"/>
  <c r="I228" i="2"/>
  <c r="J228" i="2"/>
  <c r="G229" i="2"/>
  <c r="H229" i="2"/>
  <c r="I229" i="2"/>
  <c r="J229" i="2"/>
  <c r="G230" i="2"/>
  <c r="H230" i="2"/>
  <c r="I230" i="2"/>
  <c r="J230" i="2"/>
  <c r="G231" i="2"/>
  <c r="H231" i="2"/>
  <c r="I231" i="2"/>
  <c r="J231" i="2"/>
  <c r="G232" i="2"/>
  <c r="H232" i="2"/>
  <c r="I232" i="2"/>
  <c r="J232" i="2"/>
  <c r="G233" i="2"/>
  <c r="H233" i="2"/>
  <c r="I233" i="2"/>
  <c r="J233" i="2"/>
  <c r="G234" i="2"/>
  <c r="H234" i="2"/>
  <c r="I234" i="2"/>
  <c r="J234" i="2"/>
  <c r="G235" i="2"/>
  <c r="H235" i="2"/>
  <c r="I235" i="2"/>
  <c r="J235" i="2"/>
  <c r="G236" i="2"/>
  <c r="H236" i="2"/>
  <c r="I236" i="2"/>
  <c r="J236" i="2"/>
  <c r="G237" i="2"/>
  <c r="H237" i="2"/>
  <c r="I237" i="2"/>
  <c r="J237" i="2"/>
  <c r="G238" i="2"/>
  <c r="H238" i="2"/>
  <c r="I238" i="2"/>
  <c r="J238" i="2"/>
  <c r="G239" i="2"/>
  <c r="H239" i="2"/>
  <c r="I239" i="2"/>
  <c r="J239" i="2"/>
  <c r="G240" i="2"/>
  <c r="H240" i="2"/>
  <c r="I240" i="2"/>
  <c r="J240" i="2"/>
  <c r="G241" i="2"/>
  <c r="H241" i="2"/>
  <c r="I241" i="2"/>
  <c r="J241" i="2"/>
  <c r="G242" i="2"/>
  <c r="H242" i="2"/>
  <c r="I242" i="2"/>
  <c r="J242" i="2"/>
  <c r="G243" i="2"/>
  <c r="H243" i="2"/>
  <c r="I243" i="2"/>
  <c r="J243" i="2"/>
  <c r="G244" i="2"/>
  <c r="H244" i="2"/>
  <c r="I244" i="2"/>
  <c r="J244" i="2"/>
  <c r="G245" i="2"/>
  <c r="H245" i="2"/>
  <c r="I245" i="2"/>
  <c r="J245" i="2"/>
  <c r="G246" i="2"/>
  <c r="H246" i="2"/>
  <c r="I246" i="2"/>
  <c r="J246" i="2"/>
  <c r="G247" i="2"/>
  <c r="H247" i="2"/>
  <c r="I247" i="2"/>
  <c r="J247" i="2"/>
  <c r="G248" i="2"/>
  <c r="H248" i="2"/>
  <c r="I248" i="2"/>
  <c r="J248" i="2"/>
  <c r="G249" i="2"/>
  <c r="H249" i="2"/>
  <c r="I249" i="2"/>
  <c r="J249" i="2"/>
  <c r="G250" i="2"/>
  <c r="H250" i="2"/>
  <c r="I250" i="2"/>
  <c r="J250" i="2"/>
  <c r="G251" i="2"/>
  <c r="H251" i="2"/>
  <c r="I251" i="2"/>
  <c r="J251" i="2"/>
  <c r="G252" i="2"/>
  <c r="H252" i="2"/>
  <c r="I252" i="2"/>
  <c r="J252" i="2"/>
  <c r="G253" i="2"/>
  <c r="H253" i="2"/>
  <c r="I253" i="2"/>
  <c r="J253" i="2"/>
  <c r="G254" i="2"/>
  <c r="H254" i="2"/>
  <c r="I254" i="2"/>
  <c r="J254" i="2"/>
  <c r="G255" i="2"/>
  <c r="H255" i="2"/>
  <c r="I255" i="2"/>
  <c r="J255" i="2"/>
  <c r="G256" i="2"/>
  <c r="H256" i="2"/>
  <c r="I256" i="2"/>
  <c r="J256" i="2"/>
  <c r="G257" i="2"/>
  <c r="H257" i="2"/>
  <c r="I257" i="2"/>
  <c r="J257" i="2"/>
  <c r="G258" i="2"/>
  <c r="H258" i="2"/>
  <c r="I258" i="2"/>
  <c r="J258" i="2"/>
  <c r="G259" i="2"/>
  <c r="H259" i="2"/>
  <c r="I259" i="2"/>
  <c r="J259" i="2"/>
  <c r="G260" i="2"/>
  <c r="H260" i="2"/>
  <c r="I260" i="2"/>
  <c r="J260" i="2"/>
  <c r="G261" i="2"/>
  <c r="H261" i="2"/>
  <c r="I261" i="2"/>
  <c r="J261" i="2"/>
  <c r="G262" i="2"/>
  <c r="H262" i="2"/>
  <c r="I262" i="2"/>
  <c r="J262" i="2"/>
  <c r="G263" i="2"/>
  <c r="H263" i="2"/>
  <c r="I263" i="2"/>
  <c r="J263" i="2"/>
  <c r="G264" i="2"/>
  <c r="H264" i="2"/>
  <c r="I264" i="2"/>
  <c r="J264" i="2"/>
  <c r="G265" i="2"/>
  <c r="H265" i="2"/>
  <c r="I265" i="2"/>
  <c r="J265" i="2"/>
  <c r="G266" i="2"/>
  <c r="H266" i="2"/>
  <c r="I266" i="2"/>
  <c r="J266" i="2"/>
  <c r="G267" i="2"/>
  <c r="H267" i="2"/>
  <c r="I267" i="2"/>
  <c r="J267" i="2"/>
  <c r="G268" i="2"/>
  <c r="H268" i="2"/>
  <c r="I268" i="2"/>
  <c r="J268" i="2"/>
  <c r="G269" i="2"/>
  <c r="H269" i="2"/>
  <c r="I269" i="2"/>
  <c r="J269" i="2"/>
  <c r="G270" i="2"/>
  <c r="H270" i="2"/>
  <c r="I270" i="2"/>
  <c r="J270" i="2"/>
  <c r="G271" i="2"/>
  <c r="H271" i="2"/>
  <c r="I271" i="2"/>
  <c r="J271" i="2"/>
  <c r="G272" i="2"/>
  <c r="H272" i="2"/>
  <c r="I272" i="2"/>
  <c r="J272" i="2"/>
  <c r="G273" i="2"/>
  <c r="H273" i="2"/>
  <c r="I273" i="2"/>
  <c r="J273" i="2"/>
  <c r="G274" i="2"/>
  <c r="H274" i="2"/>
  <c r="I274" i="2"/>
  <c r="J274" i="2"/>
  <c r="G275" i="2"/>
  <c r="H275" i="2"/>
  <c r="I275" i="2"/>
  <c r="J275" i="2"/>
  <c r="G276" i="2"/>
  <c r="H276" i="2"/>
  <c r="I276" i="2"/>
  <c r="J276" i="2"/>
  <c r="G277" i="2"/>
  <c r="H277" i="2"/>
  <c r="I277" i="2"/>
  <c r="J277" i="2"/>
  <c r="G278" i="2"/>
  <c r="H278" i="2"/>
  <c r="I278" i="2"/>
  <c r="J278" i="2"/>
  <c r="G279" i="2"/>
  <c r="H279" i="2"/>
  <c r="I279" i="2"/>
  <c r="J279" i="2"/>
  <c r="G280" i="2"/>
  <c r="H280" i="2"/>
  <c r="I280" i="2"/>
  <c r="J280" i="2"/>
  <c r="G281" i="2"/>
  <c r="H281" i="2"/>
  <c r="I281" i="2"/>
  <c r="J281" i="2"/>
  <c r="G282" i="2"/>
  <c r="H282" i="2"/>
  <c r="I282" i="2"/>
  <c r="J282" i="2"/>
  <c r="G283" i="2"/>
  <c r="H283" i="2"/>
  <c r="I283" i="2"/>
  <c r="J283" i="2"/>
  <c r="G284" i="2"/>
  <c r="H284" i="2"/>
  <c r="I284" i="2"/>
  <c r="J284" i="2"/>
  <c r="G285" i="2"/>
  <c r="H285" i="2"/>
  <c r="I285" i="2"/>
  <c r="J285" i="2"/>
  <c r="G286" i="2"/>
  <c r="H286" i="2"/>
  <c r="I286" i="2"/>
  <c r="J286" i="2"/>
  <c r="G287" i="2"/>
  <c r="H287" i="2"/>
  <c r="I287" i="2"/>
  <c r="J287" i="2"/>
  <c r="G288" i="2"/>
  <c r="H288" i="2"/>
  <c r="I288" i="2"/>
  <c r="J288" i="2"/>
  <c r="G289" i="2"/>
  <c r="H289" i="2"/>
  <c r="I289" i="2"/>
  <c r="J289" i="2"/>
  <c r="G290" i="2"/>
  <c r="H290" i="2"/>
  <c r="I290" i="2"/>
  <c r="J290" i="2"/>
  <c r="G291" i="2"/>
  <c r="H291" i="2"/>
  <c r="I291" i="2"/>
  <c r="J291" i="2"/>
  <c r="G292" i="2"/>
  <c r="H292" i="2"/>
  <c r="I292" i="2"/>
  <c r="J292" i="2"/>
  <c r="G293" i="2"/>
  <c r="H293" i="2"/>
  <c r="I293" i="2"/>
  <c r="J293" i="2"/>
  <c r="G294" i="2"/>
  <c r="H294" i="2"/>
  <c r="I294" i="2"/>
  <c r="J294" i="2"/>
  <c r="G295" i="2"/>
  <c r="H295" i="2"/>
  <c r="I295" i="2"/>
  <c r="J295" i="2"/>
  <c r="G296" i="2"/>
  <c r="H296" i="2"/>
  <c r="I296" i="2"/>
  <c r="J296" i="2"/>
  <c r="G297" i="2"/>
  <c r="H297" i="2"/>
  <c r="I297" i="2"/>
  <c r="J297" i="2"/>
  <c r="G298" i="2"/>
  <c r="H298" i="2"/>
  <c r="I298" i="2"/>
  <c r="J298" i="2"/>
  <c r="G299" i="2"/>
  <c r="H299" i="2"/>
  <c r="I299" i="2"/>
  <c r="J299" i="2"/>
  <c r="G300" i="2"/>
  <c r="H300" i="2"/>
  <c r="I300" i="2"/>
  <c r="J300" i="2"/>
  <c r="G301" i="2"/>
  <c r="H301" i="2"/>
  <c r="I301" i="2"/>
  <c r="J301" i="2"/>
  <c r="G302" i="2"/>
  <c r="H302" i="2"/>
  <c r="I302" i="2"/>
  <c r="J302" i="2"/>
  <c r="G303" i="2"/>
  <c r="H303" i="2"/>
  <c r="I303" i="2"/>
  <c r="J303" i="2"/>
  <c r="G304" i="2"/>
  <c r="H304" i="2"/>
  <c r="I304" i="2"/>
  <c r="J304" i="2"/>
  <c r="G305" i="2"/>
  <c r="H305" i="2"/>
  <c r="I305" i="2"/>
  <c r="J305" i="2"/>
  <c r="G306" i="2"/>
  <c r="H306" i="2"/>
  <c r="I306" i="2"/>
  <c r="J306" i="2"/>
  <c r="G307" i="2"/>
  <c r="H307" i="2"/>
  <c r="I307" i="2"/>
  <c r="J307" i="2"/>
  <c r="G308" i="2"/>
  <c r="H308" i="2"/>
  <c r="I308" i="2"/>
  <c r="J308" i="2"/>
  <c r="G309" i="2"/>
  <c r="H309" i="2"/>
  <c r="I309" i="2"/>
  <c r="J309" i="2"/>
  <c r="G310" i="2"/>
  <c r="H310" i="2"/>
  <c r="I310" i="2"/>
  <c r="J310" i="2"/>
  <c r="G311" i="2"/>
  <c r="H311" i="2"/>
  <c r="I311" i="2"/>
  <c r="J311" i="2"/>
  <c r="G312" i="2"/>
  <c r="H312" i="2"/>
  <c r="I312" i="2"/>
  <c r="J312" i="2"/>
  <c r="G313" i="2"/>
  <c r="H313" i="2"/>
  <c r="I313" i="2"/>
  <c r="J313" i="2"/>
  <c r="G314" i="2"/>
  <c r="H314" i="2"/>
  <c r="I314" i="2"/>
  <c r="J314" i="2"/>
  <c r="G315" i="2"/>
  <c r="H315" i="2"/>
  <c r="I315" i="2"/>
  <c r="J315" i="2"/>
  <c r="G316" i="2"/>
  <c r="H316" i="2"/>
  <c r="I316" i="2"/>
  <c r="J316" i="2"/>
  <c r="G317" i="2"/>
  <c r="H317" i="2"/>
  <c r="I317" i="2"/>
  <c r="J317" i="2"/>
  <c r="G318" i="2"/>
  <c r="H318" i="2"/>
  <c r="I318" i="2"/>
  <c r="J318" i="2"/>
  <c r="G319" i="2"/>
  <c r="H319" i="2"/>
  <c r="I319" i="2"/>
  <c r="J319" i="2"/>
  <c r="G320" i="2"/>
  <c r="H320" i="2"/>
  <c r="I320" i="2"/>
  <c r="J320" i="2"/>
  <c r="G321" i="2"/>
  <c r="H321" i="2"/>
  <c r="I321" i="2"/>
  <c r="J321" i="2"/>
  <c r="G322" i="2"/>
  <c r="H322" i="2"/>
  <c r="I322" i="2"/>
  <c r="J322" i="2"/>
  <c r="G323" i="2"/>
  <c r="H323" i="2"/>
  <c r="I323" i="2"/>
  <c r="J323" i="2"/>
  <c r="G324" i="2"/>
  <c r="H324" i="2"/>
  <c r="I324" i="2"/>
  <c r="J324" i="2"/>
  <c r="G325" i="2"/>
  <c r="H325" i="2"/>
  <c r="I325" i="2"/>
  <c r="J325" i="2"/>
  <c r="G326" i="2"/>
  <c r="H326" i="2"/>
  <c r="I326" i="2"/>
  <c r="J326" i="2"/>
  <c r="G327" i="2"/>
  <c r="H327" i="2"/>
  <c r="I327" i="2"/>
  <c r="J327" i="2"/>
  <c r="G328" i="2"/>
  <c r="H328" i="2"/>
  <c r="I328" i="2"/>
  <c r="J328" i="2"/>
  <c r="G329" i="2"/>
  <c r="H329" i="2"/>
  <c r="I329" i="2"/>
  <c r="J329" i="2"/>
  <c r="G330" i="2"/>
  <c r="H330" i="2"/>
  <c r="I330" i="2"/>
  <c r="J330" i="2"/>
  <c r="G331" i="2"/>
  <c r="H331" i="2"/>
  <c r="I331" i="2"/>
  <c r="J331" i="2"/>
  <c r="G332" i="2"/>
  <c r="H332" i="2"/>
  <c r="I332" i="2"/>
  <c r="J332" i="2"/>
  <c r="G333" i="2"/>
  <c r="H333" i="2"/>
  <c r="I333" i="2"/>
  <c r="J333" i="2"/>
  <c r="G334" i="2"/>
  <c r="H334" i="2"/>
  <c r="I334" i="2"/>
  <c r="J334" i="2"/>
  <c r="G335" i="2"/>
  <c r="H335" i="2"/>
  <c r="I335" i="2"/>
  <c r="J335" i="2"/>
  <c r="G336" i="2"/>
  <c r="H336" i="2"/>
  <c r="I336" i="2"/>
  <c r="J336" i="2"/>
  <c r="G337" i="2"/>
  <c r="H337" i="2"/>
  <c r="I337" i="2"/>
  <c r="J337" i="2"/>
  <c r="G338" i="2"/>
  <c r="H338" i="2"/>
  <c r="I338" i="2"/>
  <c r="J338" i="2"/>
  <c r="G339" i="2"/>
  <c r="H339" i="2"/>
  <c r="I339" i="2"/>
  <c r="J339" i="2"/>
  <c r="G340" i="2"/>
  <c r="H340" i="2"/>
  <c r="I340" i="2"/>
  <c r="J340" i="2"/>
  <c r="G341" i="2"/>
  <c r="H341" i="2"/>
  <c r="I341" i="2"/>
  <c r="J341" i="2"/>
  <c r="G342" i="2"/>
  <c r="H342" i="2"/>
  <c r="I342" i="2"/>
  <c r="J342" i="2"/>
  <c r="G343" i="2"/>
  <c r="H343" i="2"/>
  <c r="I343" i="2"/>
  <c r="J343" i="2"/>
  <c r="G344" i="2"/>
  <c r="H344" i="2"/>
  <c r="I344" i="2"/>
  <c r="J344" i="2"/>
  <c r="G345" i="2"/>
  <c r="H345" i="2"/>
  <c r="I345" i="2"/>
  <c r="J345" i="2"/>
  <c r="G346" i="2"/>
  <c r="H346" i="2"/>
  <c r="I346" i="2"/>
  <c r="J346" i="2"/>
  <c r="G347" i="2"/>
  <c r="H347" i="2"/>
  <c r="I347" i="2"/>
  <c r="J347" i="2"/>
  <c r="G348" i="2"/>
  <c r="H348" i="2"/>
  <c r="I348" i="2"/>
  <c r="J348" i="2"/>
  <c r="G349" i="2"/>
  <c r="H349" i="2"/>
  <c r="I349" i="2"/>
  <c r="J349" i="2"/>
  <c r="G350" i="2"/>
  <c r="H350" i="2"/>
  <c r="I350" i="2"/>
  <c r="J350" i="2"/>
  <c r="G351" i="2"/>
  <c r="H351" i="2"/>
  <c r="I351" i="2"/>
  <c r="J351" i="2"/>
  <c r="G352" i="2"/>
  <c r="H352" i="2"/>
  <c r="I352" i="2"/>
  <c r="J352" i="2"/>
  <c r="G353" i="2"/>
  <c r="H353" i="2"/>
  <c r="I353" i="2"/>
  <c r="J353" i="2"/>
  <c r="G354" i="2"/>
  <c r="H354" i="2"/>
  <c r="I354" i="2"/>
  <c r="J354" i="2"/>
  <c r="G355" i="2"/>
  <c r="H355" i="2"/>
  <c r="I355" i="2"/>
  <c r="J355" i="2"/>
  <c r="G356" i="2"/>
  <c r="H356" i="2"/>
  <c r="I356" i="2"/>
  <c r="J356" i="2"/>
  <c r="G357" i="2"/>
  <c r="H357" i="2"/>
  <c r="I357" i="2"/>
  <c r="J357" i="2"/>
  <c r="G358" i="2"/>
  <c r="H358" i="2"/>
  <c r="I358" i="2"/>
  <c r="J358" i="2"/>
  <c r="G359" i="2"/>
  <c r="H359" i="2"/>
  <c r="I359" i="2"/>
  <c r="J359" i="2"/>
  <c r="G360" i="2"/>
  <c r="H360" i="2"/>
  <c r="I360" i="2"/>
  <c r="J360" i="2"/>
  <c r="G361" i="2"/>
  <c r="H361" i="2"/>
  <c r="I361" i="2"/>
  <c r="J361" i="2"/>
  <c r="G362" i="2"/>
  <c r="H362" i="2"/>
  <c r="I362" i="2"/>
  <c r="J362" i="2"/>
  <c r="G363" i="2"/>
  <c r="H363" i="2"/>
  <c r="I363" i="2"/>
  <c r="J363" i="2"/>
  <c r="G364" i="2"/>
  <c r="H364" i="2"/>
  <c r="I364" i="2"/>
  <c r="J364" i="2"/>
  <c r="G365" i="2"/>
  <c r="H365" i="2"/>
  <c r="I365" i="2"/>
  <c r="J365" i="2"/>
  <c r="G366" i="2"/>
  <c r="H366" i="2"/>
  <c r="I366" i="2"/>
  <c r="J366" i="2"/>
  <c r="G367" i="2"/>
  <c r="H367" i="2"/>
  <c r="I367" i="2"/>
  <c r="J367" i="2"/>
  <c r="G368" i="2"/>
  <c r="H368" i="2"/>
  <c r="I368" i="2"/>
  <c r="J368" i="2"/>
  <c r="G369" i="2"/>
  <c r="H369" i="2"/>
  <c r="I369" i="2"/>
  <c r="J369" i="2"/>
  <c r="G370" i="2"/>
  <c r="H370" i="2"/>
  <c r="I370" i="2"/>
  <c r="J370" i="2"/>
  <c r="G371" i="2"/>
  <c r="H371" i="2"/>
  <c r="I371" i="2"/>
  <c r="J371" i="2"/>
  <c r="G372" i="2"/>
  <c r="H372" i="2"/>
  <c r="I372" i="2"/>
  <c r="J372" i="2"/>
  <c r="G373" i="2"/>
  <c r="H373" i="2"/>
  <c r="I373" i="2"/>
  <c r="J373" i="2"/>
  <c r="G374" i="2"/>
  <c r="H374" i="2"/>
  <c r="I374" i="2"/>
  <c r="J374" i="2"/>
  <c r="G375" i="2"/>
  <c r="H375" i="2"/>
  <c r="I375" i="2"/>
  <c r="J375" i="2"/>
  <c r="G376" i="2"/>
  <c r="H376" i="2"/>
  <c r="I376" i="2"/>
  <c r="J376" i="2"/>
  <c r="G377" i="2"/>
  <c r="H377" i="2"/>
  <c r="I377" i="2"/>
  <c r="J377" i="2"/>
  <c r="G378" i="2"/>
  <c r="H378" i="2"/>
  <c r="I378" i="2"/>
  <c r="J378" i="2"/>
  <c r="G379" i="2"/>
  <c r="H379" i="2"/>
  <c r="I379" i="2"/>
  <c r="J379" i="2"/>
  <c r="G380" i="2"/>
  <c r="H380" i="2"/>
  <c r="I380" i="2"/>
  <c r="J380" i="2"/>
  <c r="G381" i="2"/>
  <c r="H381" i="2"/>
  <c r="I381" i="2"/>
  <c r="J381" i="2"/>
  <c r="G382" i="2"/>
  <c r="H382" i="2"/>
  <c r="I382" i="2"/>
  <c r="J382" i="2"/>
  <c r="G383" i="2"/>
  <c r="H383" i="2"/>
  <c r="I383" i="2"/>
  <c r="J383" i="2"/>
  <c r="G384" i="2"/>
  <c r="H384" i="2"/>
  <c r="I384" i="2"/>
  <c r="J384" i="2"/>
  <c r="G385" i="2"/>
  <c r="H385" i="2"/>
  <c r="I385" i="2"/>
  <c r="J385" i="2"/>
  <c r="G386" i="2"/>
  <c r="H386" i="2"/>
  <c r="I386" i="2"/>
  <c r="J386" i="2"/>
  <c r="G387" i="2"/>
  <c r="H387" i="2"/>
  <c r="I387" i="2"/>
  <c r="J387" i="2"/>
  <c r="G388" i="2"/>
  <c r="H388" i="2"/>
  <c r="I388" i="2"/>
  <c r="J388" i="2"/>
  <c r="G389" i="2"/>
  <c r="H389" i="2"/>
  <c r="I389" i="2"/>
  <c r="J389" i="2"/>
  <c r="G390" i="2"/>
  <c r="H390" i="2"/>
  <c r="I390" i="2"/>
  <c r="J390" i="2"/>
  <c r="G391" i="2"/>
  <c r="H391" i="2"/>
  <c r="I391" i="2"/>
  <c r="J391" i="2"/>
  <c r="G392" i="2"/>
  <c r="H392" i="2"/>
  <c r="I392" i="2"/>
  <c r="J392" i="2"/>
  <c r="G393" i="2"/>
  <c r="H393" i="2"/>
  <c r="I393" i="2"/>
  <c r="J393" i="2"/>
  <c r="G394" i="2"/>
  <c r="H394" i="2"/>
  <c r="I394" i="2"/>
  <c r="J394" i="2"/>
  <c r="G395" i="2"/>
  <c r="H395" i="2"/>
  <c r="I395" i="2"/>
  <c r="J395" i="2"/>
  <c r="G396" i="2"/>
  <c r="H396" i="2"/>
  <c r="I396" i="2"/>
  <c r="J396" i="2"/>
  <c r="G397" i="2"/>
  <c r="H397" i="2"/>
  <c r="I397" i="2"/>
  <c r="J397" i="2"/>
  <c r="G398" i="2"/>
  <c r="H398" i="2"/>
  <c r="I398" i="2"/>
  <c r="J398" i="2"/>
  <c r="G399" i="2"/>
  <c r="H399" i="2"/>
  <c r="I399" i="2"/>
  <c r="J399" i="2"/>
  <c r="G400" i="2"/>
  <c r="H400" i="2"/>
  <c r="I400" i="2"/>
  <c r="J400" i="2"/>
  <c r="G401" i="2"/>
  <c r="H401" i="2"/>
  <c r="I401" i="2"/>
  <c r="J401" i="2"/>
  <c r="G402" i="2"/>
  <c r="H402" i="2"/>
  <c r="I402" i="2"/>
  <c r="J402" i="2"/>
  <c r="G403" i="2"/>
  <c r="H403" i="2"/>
  <c r="I403" i="2"/>
  <c r="J403" i="2"/>
  <c r="G404" i="2"/>
  <c r="H404" i="2"/>
  <c r="I404" i="2"/>
  <c r="J404" i="2"/>
  <c r="G405" i="2"/>
  <c r="H405" i="2"/>
  <c r="I405" i="2"/>
  <c r="J405" i="2"/>
  <c r="G406" i="2"/>
  <c r="H406" i="2"/>
  <c r="I406" i="2"/>
  <c r="J406" i="2"/>
  <c r="G407" i="2"/>
  <c r="H407" i="2"/>
  <c r="I407" i="2"/>
  <c r="J407" i="2"/>
  <c r="G408" i="2"/>
  <c r="H408" i="2"/>
  <c r="I408" i="2"/>
  <c r="J408" i="2"/>
  <c r="G409" i="2"/>
  <c r="H409" i="2"/>
  <c r="I409" i="2"/>
  <c r="J409" i="2"/>
  <c r="G410" i="2"/>
  <c r="H410" i="2"/>
  <c r="I410" i="2"/>
  <c r="J410" i="2"/>
  <c r="G411" i="2"/>
  <c r="H411" i="2"/>
  <c r="I411" i="2"/>
  <c r="J411" i="2"/>
  <c r="G412" i="2"/>
  <c r="H412" i="2"/>
  <c r="I412" i="2"/>
  <c r="J412" i="2"/>
  <c r="G413" i="2"/>
  <c r="H413" i="2"/>
  <c r="I413" i="2"/>
  <c r="J413" i="2"/>
  <c r="G414" i="2"/>
  <c r="H414" i="2"/>
  <c r="I414" i="2"/>
  <c r="J414" i="2"/>
  <c r="G415" i="2"/>
  <c r="H415" i="2"/>
  <c r="I415" i="2"/>
  <c r="J415" i="2"/>
  <c r="G416" i="2"/>
  <c r="H416" i="2"/>
  <c r="I416" i="2"/>
  <c r="J416" i="2"/>
  <c r="G417" i="2"/>
  <c r="H417" i="2"/>
  <c r="I417" i="2"/>
  <c r="J417" i="2"/>
  <c r="G418" i="2"/>
  <c r="H418" i="2"/>
  <c r="I418" i="2"/>
  <c r="J418" i="2"/>
  <c r="G419" i="2"/>
  <c r="H419" i="2"/>
  <c r="I419" i="2"/>
  <c r="J419" i="2"/>
  <c r="G420" i="2"/>
  <c r="H420" i="2"/>
  <c r="I420" i="2"/>
  <c r="J420" i="2"/>
  <c r="G421" i="2"/>
  <c r="H421" i="2"/>
  <c r="I421" i="2"/>
  <c r="J421" i="2"/>
  <c r="G422" i="2"/>
  <c r="H422" i="2"/>
  <c r="I422" i="2"/>
  <c r="J422" i="2"/>
  <c r="G423" i="2"/>
  <c r="H423" i="2"/>
  <c r="I423" i="2"/>
  <c r="J423" i="2"/>
  <c r="G424" i="2"/>
  <c r="H424" i="2"/>
  <c r="I424" i="2"/>
  <c r="J424" i="2"/>
  <c r="G425" i="2"/>
  <c r="H425" i="2"/>
  <c r="I425" i="2"/>
  <c r="J425" i="2"/>
  <c r="G426" i="2"/>
  <c r="H426" i="2"/>
  <c r="I426" i="2"/>
  <c r="J426" i="2"/>
  <c r="G427" i="2"/>
  <c r="H427" i="2"/>
  <c r="I427" i="2"/>
  <c r="J427" i="2"/>
  <c r="G428" i="2"/>
  <c r="H428" i="2"/>
  <c r="I428" i="2"/>
  <c r="J428" i="2"/>
  <c r="G429" i="2"/>
  <c r="H429" i="2"/>
  <c r="I429" i="2"/>
  <c r="J429" i="2"/>
  <c r="G430" i="2"/>
  <c r="H430" i="2"/>
  <c r="I430" i="2"/>
  <c r="J430" i="2"/>
  <c r="G431" i="2"/>
  <c r="H431" i="2"/>
  <c r="I431" i="2"/>
  <c r="J431" i="2"/>
  <c r="G432" i="2"/>
  <c r="H432" i="2"/>
  <c r="I432" i="2"/>
  <c r="J432" i="2"/>
  <c r="G433" i="2"/>
  <c r="H433" i="2"/>
  <c r="I433" i="2"/>
  <c r="J433" i="2"/>
  <c r="G434" i="2"/>
  <c r="H434" i="2"/>
  <c r="I434" i="2"/>
  <c r="J434" i="2"/>
  <c r="G435" i="2"/>
  <c r="H435" i="2"/>
  <c r="I435" i="2"/>
  <c r="J435" i="2"/>
  <c r="G436" i="2"/>
  <c r="H436" i="2"/>
  <c r="I436" i="2"/>
  <c r="J436" i="2"/>
  <c r="G437" i="2"/>
  <c r="H437" i="2"/>
  <c r="I437" i="2"/>
  <c r="J437" i="2"/>
  <c r="G438" i="2"/>
  <c r="H438" i="2"/>
  <c r="I438" i="2"/>
  <c r="J438" i="2"/>
  <c r="G439" i="2"/>
  <c r="H439" i="2"/>
  <c r="I439" i="2"/>
  <c r="J439" i="2"/>
  <c r="G440" i="2"/>
  <c r="H440" i="2"/>
  <c r="I440" i="2"/>
  <c r="J440" i="2"/>
  <c r="G441" i="2"/>
  <c r="H441" i="2"/>
  <c r="I441" i="2"/>
  <c r="J441" i="2"/>
  <c r="G442" i="2"/>
  <c r="H442" i="2"/>
  <c r="I442" i="2"/>
  <c r="J442" i="2"/>
  <c r="G443" i="2"/>
  <c r="H443" i="2"/>
  <c r="I443" i="2"/>
  <c r="J443" i="2"/>
  <c r="G444" i="2"/>
  <c r="H444" i="2"/>
  <c r="I444" i="2"/>
  <c r="J444" i="2"/>
  <c r="G445" i="2"/>
  <c r="H445" i="2"/>
  <c r="I445" i="2"/>
  <c r="J445" i="2"/>
  <c r="G446" i="2"/>
  <c r="H446" i="2"/>
  <c r="I446" i="2"/>
  <c r="J446" i="2"/>
  <c r="G447" i="2"/>
  <c r="H447" i="2"/>
  <c r="I447" i="2"/>
  <c r="J447" i="2"/>
  <c r="G448" i="2"/>
  <c r="H448" i="2"/>
  <c r="I448" i="2"/>
  <c r="J448" i="2"/>
  <c r="G449" i="2"/>
  <c r="H449" i="2"/>
  <c r="I449" i="2"/>
  <c r="J449" i="2"/>
  <c r="G450" i="2"/>
  <c r="H450" i="2"/>
  <c r="I450" i="2"/>
  <c r="J450" i="2"/>
  <c r="G451" i="2"/>
  <c r="H451" i="2"/>
  <c r="I451" i="2"/>
  <c r="J451" i="2"/>
  <c r="G452" i="2"/>
  <c r="H452" i="2"/>
  <c r="I452" i="2"/>
  <c r="J452" i="2"/>
  <c r="G453" i="2"/>
  <c r="H453" i="2"/>
  <c r="I453" i="2"/>
  <c r="J453" i="2"/>
  <c r="G454" i="2"/>
  <c r="H454" i="2"/>
  <c r="I454" i="2"/>
  <c r="J454" i="2"/>
  <c r="G455" i="2"/>
  <c r="H455" i="2"/>
  <c r="I455" i="2"/>
  <c r="J455" i="2"/>
  <c r="G456" i="2"/>
  <c r="H456" i="2"/>
  <c r="I456" i="2"/>
  <c r="J456" i="2"/>
  <c r="G457" i="2"/>
  <c r="H457" i="2"/>
  <c r="I457" i="2"/>
  <c r="J457" i="2"/>
  <c r="G458" i="2"/>
  <c r="H458" i="2"/>
  <c r="I458" i="2"/>
  <c r="J458" i="2"/>
  <c r="G459" i="2"/>
  <c r="H459" i="2"/>
  <c r="I459" i="2"/>
  <c r="J459" i="2"/>
  <c r="G460" i="2"/>
  <c r="H460" i="2"/>
  <c r="I460" i="2"/>
  <c r="J460" i="2"/>
  <c r="G461" i="2"/>
  <c r="H461" i="2"/>
  <c r="I461" i="2"/>
  <c r="J461" i="2"/>
  <c r="G462" i="2"/>
  <c r="H462" i="2"/>
  <c r="I462" i="2"/>
  <c r="J462" i="2"/>
  <c r="G463" i="2"/>
  <c r="H463" i="2"/>
  <c r="I463" i="2"/>
  <c r="J463" i="2"/>
  <c r="G464" i="2"/>
  <c r="H464" i="2"/>
  <c r="I464" i="2"/>
  <c r="J464" i="2"/>
  <c r="G465" i="2"/>
  <c r="H465" i="2"/>
  <c r="I465" i="2"/>
  <c r="J465" i="2"/>
  <c r="G466" i="2"/>
  <c r="H466" i="2"/>
  <c r="I466" i="2"/>
  <c r="J466" i="2"/>
  <c r="G467" i="2"/>
  <c r="H467" i="2"/>
  <c r="I467" i="2"/>
  <c r="J467" i="2"/>
  <c r="G468" i="2"/>
  <c r="H468" i="2"/>
  <c r="I468" i="2"/>
  <c r="J468" i="2"/>
  <c r="G469" i="2"/>
  <c r="H469" i="2"/>
  <c r="I469" i="2"/>
  <c r="J469" i="2"/>
  <c r="G470" i="2"/>
  <c r="H470" i="2"/>
  <c r="I470" i="2"/>
  <c r="J470" i="2"/>
  <c r="G471" i="2"/>
  <c r="H471" i="2"/>
  <c r="I471" i="2"/>
  <c r="J471" i="2"/>
  <c r="G472" i="2"/>
  <c r="H472" i="2"/>
  <c r="I472" i="2"/>
  <c r="J472" i="2"/>
  <c r="G473" i="2"/>
  <c r="H473" i="2"/>
  <c r="I473" i="2"/>
  <c r="J473" i="2"/>
  <c r="G474" i="2"/>
  <c r="H474" i="2"/>
  <c r="I474" i="2"/>
  <c r="J474" i="2"/>
  <c r="G475" i="2"/>
  <c r="H475" i="2"/>
  <c r="I475" i="2"/>
  <c r="J475" i="2"/>
  <c r="G476" i="2"/>
  <c r="H476" i="2"/>
  <c r="I476" i="2"/>
  <c r="J476" i="2"/>
  <c r="G477" i="2"/>
  <c r="H477" i="2"/>
  <c r="I477" i="2"/>
  <c r="J477" i="2"/>
  <c r="G478" i="2"/>
  <c r="H478" i="2"/>
  <c r="I478" i="2"/>
  <c r="J478" i="2"/>
  <c r="G479" i="2"/>
  <c r="H479" i="2"/>
  <c r="I479" i="2"/>
  <c r="J479" i="2"/>
  <c r="G480" i="2"/>
  <c r="H480" i="2"/>
  <c r="I480" i="2"/>
  <c r="J480" i="2"/>
  <c r="G481" i="2"/>
  <c r="H481" i="2"/>
  <c r="I481" i="2"/>
  <c r="J481" i="2"/>
  <c r="G482" i="2"/>
  <c r="H482" i="2"/>
  <c r="I482" i="2"/>
  <c r="J482" i="2"/>
  <c r="G483" i="2"/>
  <c r="H483" i="2"/>
  <c r="I483" i="2"/>
  <c r="J483" i="2"/>
  <c r="G484" i="2"/>
  <c r="H484" i="2"/>
  <c r="I484" i="2"/>
  <c r="J484" i="2"/>
  <c r="G485" i="2"/>
  <c r="H485" i="2"/>
  <c r="I485" i="2"/>
  <c r="J485" i="2"/>
  <c r="G486" i="2"/>
  <c r="H486" i="2"/>
  <c r="I486" i="2"/>
  <c r="J486" i="2"/>
  <c r="G487" i="2"/>
  <c r="H487" i="2"/>
  <c r="I487" i="2"/>
  <c r="J487" i="2"/>
  <c r="G488" i="2"/>
  <c r="H488" i="2"/>
  <c r="I488" i="2"/>
  <c r="J488" i="2"/>
  <c r="G489" i="2"/>
  <c r="H489" i="2"/>
  <c r="I489" i="2"/>
  <c r="J489" i="2"/>
  <c r="G490" i="2"/>
  <c r="H490" i="2"/>
  <c r="I490" i="2"/>
  <c r="J490" i="2"/>
  <c r="G491" i="2"/>
  <c r="H491" i="2"/>
  <c r="I491" i="2"/>
  <c r="J491" i="2"/>
  <c r="G492" i="2"/>
  <c r="H492" i="2"/>
  <c r="I492" i="2"/>
  <c r="J492" i="2"/>
  <c r="G493" i="2"/>
  <c r="H493" i="2"/>
  <c r="I493" i="2"/>
  <c r="J493" i="2"/>
  <c r="G494" i="2"/>
  <c r="H494" i="2"/>
  <c r="I494" i="2"/>
  <c r="J494" i="2"/>
  <c r="G495" i="2"/>
  <c r="H495" i="2"/>
  <c r="I495" i="2"/>
  <c r="J495" i="2"/>
  <c r="G496" i="2"/>
  <c r="H496" i="2"/>
  <c r="I496" i="2"/>
  <c r="J496" i="2"/>
  <c r="G497" i="2"/>
  <c r="H497" i="2"/>
  <c r="I497" i="2"/>
  <c r="J497" i="2"/>
  <c r="G498" i="2"/>
  <c r="H498" i="2"/>
  <c r="I498" i="2"/>
  <c r="J498" i="2"/>
  <c r="G499" i="2"/>
  <c r="H499" i="2"/>
  <c r="I499" i="2"/>
  <c r="J499" i="2"/>
  <c r="G500" i="2"/>
  <c r="H500" i="2"/>
  <c r="I500" i="2"/>
  <c r="J500" i="2"/>
  <c r="G501" i="2"/>
  <c r="H501" i="2"/>
  <c r="I501" i="2"/>
  <c r="J501" i="2"/>
  <c r="G502" i="2"/>
  <c r="H502" i="2"/>
  <c r="I502" i="2"/>
  <c r="J502" i="2"/>
  <c r="G503" i="2"/>
  <c r="H503" i="2"/>
  <c r="I503" i="2"/>
  <c r="J503" i="2"/>
  <c r="G504" i="2"/>
  <c r="H504" i="2"/>
  <c r="I504" i="2"/>
  <c r="J504" i="2"/>
  <c r="G505" i="2"/>
  <c r="H505" i="2"/>
  <c r="I505" i="2"/>
  <c r="J505" i="2"/>
  <c r="G506" i="2"/>
  <c r="H506" i="2"/>
  <c r="I506" i="2"/>
  <c r="J506" i="2"/>
  <c r="G507" i="2"/>
  <c r="H507" i="2"/>
  <c r="I507" i="2"/>
  <c r="J507" i="2"/>
  <c r="G508" i="2"/>
  <c r="H508" i="2"/>
  <c r="I508" i="2"/>
  <c r="J508" i="2"/>
  <c r="G509" i="2"/>
  <c r="H509" i="2"/>
  <c r="I509" i="2"/>
  <c r="J509" i="2"/>
  <c r="G510" i="2"/>
  <c r="H510" i="2"/>
  <c r="I510" i="2"/>
  <c r="J510" i="2"/>
  <c r="G511" i="2"/>
  <c r="H511" i="2"/>
  <c r="I511" i="2"/>
  <c r="J511" i="2"/>
  <c r="G512" i="2"/>
  <c r="H512" i="2"/>
  <c r="I512" i="2"/>
  <c r="J512" i="2"/>
  <c r="G513" i="2"/>
  <c r="H513" i="2"/>
  <c r="I513" i="2"/>
  <c r="J513" i="2"/>
  <c r="G514" i="2"/>
  <c r="H514" i="2"/>
  <c r="I514" i="2"/>
  <c r="J514" i="2"/>
  <c r="G515" i="2"/>
  <c r="H515" i="2"/>
  <c r="I515" i="2"/>
  <c r="J515" i="2"/>
  <c r="G516" i="2"/>
  <c r="H516" i="2"/>
  <c r="I516" i="2"/>
  <c r="J516" i="2"/>
  <c r="G517" i="2"/>
  <c r="H517" i="2"/>
  <c r="I517" i="2"/>
  <c r="J517" i="2"/>
  <c r="G518" i="2"/>
  <c r="H518" i="2"/>
  <c r="I518" i="2"/>
  <c r="J518" i="2"/>
  <c r="G519" i="2"/>
  <c r="H519" i="2"/>
  <c r="I519" i="2"/>
  <c r="J519" i="2"/>
  <c r="G520" i="2"/>
  <c r="H520" i="2"/>
  <c r="I520" i="2"/>
  <c r="J520" i="2"/>
  <c r="G521" i="2"/>
  <c r="H521" i="2"/>
  <c r="I521" i="2"/>
  <c r="J521" i="2"/>
  <c r="G522" i="2"/>
  <c r="H522" i="2"/>
  <c r="I522" i="2"/>
  <c r="J522" i="2"/>
  <c r="G523" i="2"/>
  <c r="H523" i="2"/>
  <c r="I523" i="2"/>
  <c r="J523" i="2"/>
  <c r="G524" i="2"/>
  <c r="H524" i="2"/>
  <c r="I524" i="2"/>
  <c r="J524" i="2"/>
  <c r="G525" i="2"/>
  <c r="H525" i="2"/>
  <c r="I525" i="2"/>
  <c r="J525" i="2"/>
  <c r="G526" i="2"/>
  <c r="H526" i="2"/>
  <c r="I526" i="2"/>
  <c r="J526" i="2"/>
  <c r="G527" i="2"/>
  <c r="H527" i="2"/>
  <c r="I527" i="2"/>
  <c r="J527" i="2"/>
  <c r="G528" i="2"/>
  <c r="H528" i="2"/>
  <c r="I528" i="2"/>
  <c r="J528" i="2"/>
  <c r="G529" i="2"/>
  <c r="H529" i="2"/>
  <c r="I529" i="2"/>
  <c r="J529" i="2"/>
  <c r="G530" i="2"/>
  <c r="H530" i="2"/>
  <c r="I530" i="2"/>
  <c r="J530" i="2"/>
  <c r="G531" i="2"/>
  <c r="H531" i="2"/>
  <c r="I531" i="2"/>
  <c r="J531" i="2"/>
  <c r="G532" i="2"/>
  <c r="H532" i="2"/>
  <c r="I532" i="2"/>
  <c r="J532" i="2"/>
  <c r="G533" i="2"/>
  <c r="H533" i="2"/>
  <c r="I533" i="2"/>
  <c r="J533" i="2"/>
  <c r="G534" i="2"/>
  <c r="H534" i="2"/>
  <c r="I534" i="2"/>
  <c r="J534" i="2"/>
  <c r="G535" i="2"/>
  <c r="H535" i="2"/>
  <c r="I535" i="2"/>
  <c r="J535" i="2"/>
  <c r="G536" i="2"/>
  <c r="H536" i="2"/>
  <c r="I536" i="2"/>
  <c r="J536" i="2"/>
  <c r="G537" i="2"/>
  <c r="H537" i="2"/>
  <c r="I537" i="2"/>
  <c r="J537" i="2"/>
  <c r="G538" i="2"/>
  <c r="H538" i="2"/>
  <c r="I538" i="2"/>
  <c r="J538" i="2"/>
  <c r="G539" i="2"/>
  <c r="H539" i="2"/>
  <c r="I539" i="2"/>
  <c r="J539" i="2"/>
  <c r="G540" i="2"/>
  <c r="H540" i="2"/>
  <c r="I540" i="2"/>
  <c r="J540" i="2"/>
  <c r="G541" i="2"/>
  <c r="H541" i="2"/>
  <c r="I541" i="2"/>
  <c r="J541" i="2"/>
  <c r="G542" i="2"/>
  <c r="H542" i="2"/>
  <c r="I542" i="2"/>
  <c r="J542" i="2"/>
  <c r="G543" i="2"/>
  <c r="H543" i="2"/>
  <c r="I543" i="2"/>
  <c r="J543" i="2"/>
  <c r="G544" i="2"/>
  <c r="H544" i="2"/>
  <c r="I544" i="2"/>
  <c r="J544" i="2"/>
  <c r="G545" i="2"/>
  <c r="H545" i="2"/>
  <c r="I545" i="2"/>
  <c r="J545" i="2"/>
  <c r="G546" i="2"/>
  <c r="H546" i="2"/>
  <c r="I546" i="2"/>
  <c r="J546" i="2"/>
  <c r="G547" i="2"/>
  <c r="H547" i="2"/>
  <c r="I547" i="2"/>
  <c r="J547" i="2"/>
  <c r="G548" i="2"/>
  <c r="H548" i="2"/>
  <c r="I548" i="2"/>
  <c r="J548" i="2"/>
  <c r="G549" i="2"/>
  <c r="H549" i="2"/>
  <c r="I549" i="2"/>
  <c r="J549" i="2"/>
  <c r="G550" i="2"/>
  <c r="H550" i="2"/>
  <c r="I550" i="2"/>
  <c r="J550" i="2"/>
  <c r="G551" i="2"/>
  <c r="H551" i="2"/>
  <c r="I551" i="2"/>
  <c r="J551" i="2"/>
  <c r="G552" i="2"/>
  <c r="H552" i="2"/>
  <c r="I552" i="2"/>
  <c r="J552" i="2"/>
  <c r="G553" i="2"/>
  <c r="H553" i="2"/>
  <c r="I553" i="2"/>
  <c r="J553" i="2"/>
  <c r="G554" i="2"/>
  <c r="H554" i="2"/>
  <c r="I554" i="2"/>
  <c r="J554" i="2"/>
  <c r="G555" i="2"/>
  <c r="H555" i="2"/>
  <c r="I555" i="2"/>
  <c r="J555" i="2"/>
  <c r="G556" i="2"/>
  <c r="H556" i="2"/>
  <c r="I556" i="2"/>
  <c r="J556" i="2"/>
  <c r="G557" i="2"/>
  <c r="H557" i="2"/>
  <c r="I557" i="2"/>
  <c r="J557" i="2"/>
  <c r="G558" i="2"/>
  <c r="H558" i="2"/>
  <c r="I558" i="2"/>
  <c r="J558" i="2"/>
  <c r="G559" i="2"/>
  <c r="H559" i="2"/>
  <c r="I559" i="2"/>
  <c r="J559" i="2"/>
  <c r="G560" i="2"/>
  <c r="H560" i="2"/>
  <c r="I560" i="2"/>
  <c r="J560" i="2"/>
  <c r="G561" i="2"/>
  <c r="H561" i="2"/>
  <c r="I561" i="2"/>
  <c r="J561" i="2"/>
  <c r="G562" i="2"/>
  <c r="H562" i="2"/>
  <c r="I562" i="2"/>
  <c r="J562" i="2"/>
  <c r="G563" i="2"/>
  <c r="H563" i="2"/>
  <c r="I563" i="2"/>
  <c r="J563" i="2"/>
  <c r="G564" i="2"/>
  <c r="H564" i="2"/>
  <c r="I564" i="2"/>
  <c r="J564" i="2"/>
  <c r="G565" i="2"/>
  <c r="H565" i="2"/>
  <c r="I565" i="2"/>
  <c r="J565" i="2"/>
  <c r="G566" i="2"/>
  <c r="H566" i="2"/>
  <c r="I566" i="2"/>
  <c r="J566" i="2"/>
  <c r="G567" i="2"/>
  <c r="H567" i="2"/>
  <c r="I567" i="2"/>
  <c r="J567" i="2"/>
  <c r="G568" i="2"/>
  <c r="H568" i="2"/>
  <c r="I568" i="2"/>
  <c r="J568" i="2"/>
  <c r="G569" i="2"/>
  <c r="H569" i="2"/>
  <c r="I569" i="2"/>
  <c r="J569" i="2"/>
  <c r="G570" i="2"/>
  <c r="H570" i="2"/>
  <c r="I570" i="2"/>
  <c r="J570" i="2"/>
  <c r="G571" i="2"/>
  <c r="H571" i="2"/>
  <c r="I571" i="2"/>
  <c r="J571" i="2"/>
  <c r="G572" i="2"/>
  <c r="H572" i="2"/>
  <c r="I572" i="2"/>
  <c r="J572" i="2"/>
  <c r="G573" i="2"/>
  <c r="H573" i="2"/>
  <c r="I573" i="2"/>
  <c r="J573" i="2"/>
  <c r="G574" i="2"/>
  <c r="H574" i="2"/>
  <c r="I574" i="2"/>
  <c r="J574" i="2"/>
  <c r="G575" i="2"/>
  <c r="H575" i="2"/>
  <c r="I575" i="2"/>
  <c r="J575" i="2"/>
  <c r="G576" i="2"/>
  <c r="H576" i="2"/>
  <c r="I576" i="2"/>
  <c r="J576" i="2"/>
  <c r="G577" i="2"/>
  <c r="H577" i="2"/>
  <c r="I577" i="2"/>
  <c r="J577" i="2"/>
  <c r="G578" i="2"/>
  <c r="H578" i="2"/>
  <c r="I578" i="2"/>
  <c r="J578" i="2"/>
  <c r="G579" i="2"/>
  <c r="H579" i="2"/>
  <c r="I579" i="2"/>
  <c r="J579" i="2"/>
  <c r="G580" i="2"/>
  <c r="H580" i="2"/>
  <c r="I580" i="2"/>
  <c r="J580" i="2"/>
  <c r="G581" i="2"/>
  <c r="H581" i="2"/>
  <c r="I581" i="2"/>
  <c r="J581" i="2"/>
  <c r="G582" i="2"/>
  <c r="H582" i="2"/>
  <c r="I582" i="2"/>
  <c r="J582" i="2"/>
  <c r="G583" i="2"/>
  <c r="H583" i="2"/>
  <c r="I583" i="2"/>
  <c r="J583" i="2"/>
  <c r="G584" i="2"/>
  <c r="H584" i="2"/>
  <c r="I584" i="2"/>
  <c r="J584" i="2"/>
  <c r="G585" i="2"/>
  <c r="H585" i="2"/>
  <c r="I585" i="2"/>
  <c r="J585" i="2"/>
  <c r="G586" i="2"/>
  <c r="H586" i="2"/>
  <c r="I586" i="2"/>
  <c r="J586" i="2"/>
  <c r="G587" i="2"/>
  <c r="H587" i="2"/>
  <c r="I587" i="2"/>
  <c r="J587" i="2"/>
  <c r="G588" i="2"/>
  <c r="H588" i="2"/>
  <c r="I588" i="2"/>
  <c r="J588" i="2"/>
  <c r="G589" i="2"/>
  <c r="H589" i="2"/>
  <c r="I589" i="2"/>
  <c r="J589" i="2"/>
  <c r="G590" i="2"/>
  <c r="H590" i="2"/>
  <c r="I590" i="2"/>
  <c r="J590" i="2"/>
  <c r="G591" i="2"/>
  <c r="H591" i="2"/>
  <c r="I591" i="2"/>
  <c r="J591" i="2"/>
  <c r="G592" i="2"/>
  <c r="H592" i="2"/>
  <c r="I592" i="2"/>
  <c r="J592" i="2"/>
  <c r="G593" i="2"/>
  <c r="H593" i="2"/>
  <c r="I593" i="2"/>
  <c r="J593" i="2"/>
  <c r="G594" i="2"/>
  <c r="H594" i="2"/>
  <c r="I594" i="2"/>
  <c r="J594" i="2"/>
  <c r="G595" i="2"/>
  <c r="H595" i="2"/>
  <c r="I595" i="2"/>
  <c r="J595" i="2"/>
  <c r="G596" i="2"/>
  <c r="H596" i="2"/>
  <c r="I596" i="2"/>
  <c r="J596" i="2"/>
  <c r="G597" i="2"/>
  <c r="H597" i="2"/>
  <c r="I597" i="2"/>
  <c r="J597" i="2"/>
  <c r="G598" i="2"/>
  <c r="H598" i="2"/>
  <c r="I598" i="2"/>
  <c r="J598" i="2"/>
  <c r="G599" i="2"/>
  <c r="H599" i="2"/>
  <c r="I599" i="2"/>
  <c r="J599" i="2"/>
  <c r="G600" i="2"/>
  <c r="H600" i="2"/>
  <c r="I600" i="2"/>
  <c r="J600" i="2"/>
  <c r="G601" i="2"/>
  <c r="H601" i="2"/>
  <c r="I601" i="2"/>
  <c r="J601" i="2"/>
  <c r="G602" i="2"/>
  <c r="H602" i="2"/>
  <c r="I602" i="2"/>
  <c r="J602" i="2"/>
  <c r="G603" i="2"/>
  <c r="H603" i="2"/>
  <c r="I603" i="2"/>
  <c r="J603" i="2"/>
  <c r="G604" i="2"/>
  <c r="H604" i="2"/>
  <c r="I604" i="2"/>
  <c r="J604" i="2"/>
  <c r="G605" i="2"/>
  <c r="H605" i="2"/>
  <c r="I605" i="2"/>
  <c r="J605" i="2"/>
  <c r="G606" i="2"/>
  <c r="H606" i="2"/>
  <c r="I606" i="2"/>
  <c r="J606" i="2"/>
  <c r="G607" i="2"/>
  <c r="H607" i="2"/>
  <c r="I607" i="2"/>
  <c r="J607" i="2"/>
  <c r="G608" i="2"/>
  <c r="H608" i="2"/>
  <c r="I608" i="2"/>
  <c r="J608" i="2"/>
  <c r="G609" i="2"/>
  <c r="H609" i="2"/>
  <c r="I609" i="2"/>
  <c r="J609" i="2"/>
  <c r="G610" i="2"/>
  <c r="H610" i="2"/>
  <c r="I610" i="2"/>
  <c r="J610" i="2"/>
  <c r="G611" i="2"/>
  <c r="H611" i="2"/>
  <c r="I611" i="2"/>
  <c r="J611" i="2"/>
  <c r="G612" i="2"/>
  <c r="H612" i="2"/>
  <c r="I612" i="2"/>
  <c r="J612" i="2"/>
  <c r="G613" i="2"/>
  <c r="H613" i="2"/>
  <c r="I613" i="2"/>
  <c r="J613" i="2"/>
  <c r="G614" i="2"/>
  <c r="H614" i="2"/>
  <c r="I614" i="2"/>
  <c r="J614" i="2"/>
  <c r="G615" i="2"/>
  <c r="H615" i="2"/>
  <c r="I615" i="2"/>
  <c r="J615" i="2"/>
  <c r="G616" i="2"/>
  <c r="H616" i="2"/>
  <c r="I616" i="2"/>
  <c r="J616" i="2"/>
  <c r="G617" i="2"/>
  <c r="H617" i="2"/>
  <c r="I617" i="2"/>
  <c r="J617" i="2"/>
  <c r="G618" i="2"/>
  <c r="H618" i="2"/>
  <c r="I618" i="2"/>
  <c r="J618" i="2"/>
  <c r="G619" i="2"/>
  <c r="H619" i="2"/>
  <c r="I619" i="2"/>
  <c r="J619" i="2"/>
  <c r="G620" i="2"/>
  <c r="H620" i="2"/>
  <c r="I620" i="2"/>
  <c r="J620" i="2"/>
  <c r="G621" i="2"/>
  <c r="H621" i="2"/>
  <c r="I621" i="2"/>
  <c r="J621" i="2"/>
  <c r="G622" i="2"/>
  <c r="H622" i="2"/>
  <c r="I622" i="2"/>
  <c r="J622" i="2"/>
  <c r="G623" i="2"/>
  <c r="H623" i="2"/>
  <c r="I623" i="2"/>
  <c r="J623" i="2"/>
  <c r="G624" i="2"/>
  <c r="H624" i="2"/>
  <c r="I624" i="2"/>
  <c r="J624" i="2"/>
  <c r="G625" i="2"/>
  <c r="H625" i="2"/>
  <c r="I625" i="2"/>
  <c r="J625" i="2"/>
  <c r="G626" i="2"/>
  <c r="H626" i="2"/>
  <c r="I626" i="2"/>
  <c r="J626" i="2"/>
  <c r="G627" i="2"/>
  <c r="H627" i="2"/>
  <c r="I627" i="2"/>
  <c r="J627" i="2"/>
  <c r="G628" i="2"/>
  <c r="H628" i="2"/>
  <c r="I628" i="2"/>
  <c r="J628" i="2"/>
  <c r="G629" i="2"/>
  <c r="H629" i="2"/>
  <c r="I629" i="2"/>
  <c r="J629" i="2"/>
  <c r="G630" i="2"/>
  <c r="H630" i="2"/>
  <c r="I630" i="2"/>
  <c r="J630" i="2"/>
  <c r="G631" i="2"/>
  <c r="H631" i="2"/>
  <c r="I631" i="2"/>
  <c r="J631" i="2"/>
  <c r="G632" i="2"/>
  <c r="H632" i="2"/>
  <c r="I632" i="2"/>
  <c r="J632" i="2"/>
  <c r="G633" i="2"/>
  <c r="H633" i="2"/>
  <c r="I633" i="2"/>
  <c r="J633" i="2"/>
  <c r="G634" i="2"/>
  <c r="H634" i="2"/>
  <c r="I634" i="2"/>
  <c r="J634" i="2"/>
  <c r="G635" i="2"/>
  <c r="H635" i="2"/>
  <c r="I635" i="2"/>
  <c r="J635" i="2"/>
  <c r="G636" i="2"/>
  <c r="H636" i="2"/>
  <c r="I636" i="2"/>
  <c r="J636" i="2"/>
  <c r="G637" i="2"/>
  <c r="H637" i="2"/>
  <c r="I637" i="2"/>
  <c r="J637" i="2"/>
  <c r="G638" i="2"/>
  <c r="H638" i="2"/>
  <c r="I638" i="2"/>
  <c r="J638" i="2"/>
  <c r="G639" i="2"/>
  <c r="H639" i="2"/>
  <c r="I639" i="2"/>
  <c r="J639" i="2"/>
  <c r="G640" i="2"/>
  <c r="H640" i="2"/>
  <c r="I640" i="2"/>
  <c r="J640" i="2"/>
  <c r="G641" i="2"/>
  <c r="H641" i="2"/>
  <c r="I641" i="2"/>
  <c r="J641" i="2"/>
  <c r="G642" i="2"/>
  <c r="H642" i="2"/>
  <c r="I642" i="2"/>
  <c r="J642" i="2"/>
  <c r="G643" i="2"/>
  <c r="H643" i="2"/>
  <c r="I643" i="2"/>
  <c r="J643" i="2"/>
  <c r="G644" i="2"/>
  <c r="H644" i="2"/>
  <c r="I644" i="2"/>
  <c r="J644" i="2"/>
  <c r="G645" i="2"/>
  <c r="H645" i="2"/>
  <c r="I645" i="2"/>
  <c r="J645" i="2"/>
  <c r="G646" i="2"/>
  <c r="H646" i="2"/>
  <c r="I646" i="2"/>
  <c r="J646" i="2"/>
  <c r="G647" i="2"/>
  <c r="H647" i="2"/>
  <c r="I647" i="2"/>
  <c r="J647" i="2"/>
  <c r="G648" i="2"/>
  <c r="H648" i="2"/>
  <c r="I648" i="2"/>
  <c r="J648" i="2"/>
  <c r="G649" i="2"/>
  <c r="H649" i="2"/>
  <c r="I649" i="2"/>
  <c r="J649" i="2"/>
  <c r="G650" i="2"/>
  <c r="H650" i="2"/>
  <c r="I650" i="2"/>
  <c r="J650" i="2"/>
  <c r="G651" i="2"/>
  <c r="H651" i="2"/>
  <c r="I651" i="2"/>
  <c r="J651" i="2"/>
  <c r="G652" i="2"/>
  <c r="H652" i="2"/>
  <c r="I652" i="2"/>
  <c r="J652" i="2"/>
  <c r="G653" i="2"/>
  <c r="H653" i="2"/>
  <c r="I653" i="2"/>
  <c r="J653" i="2"/>
  <c r="G654" i="2"/>
  <c r="H654" i="2"/>
  <c r="I654" i="2"/>
  <c r="J654" i="2"/>
  <c r="G655" i="2"/>
  <c r="H655" i="2"/>
  <c r="I655" i="2"/>
  <c r="J655" i="2"/>
  <c r="G656" i="2"/>
  <c r="H656" i="2"/>
  <c r="I656" i="2"/>
  <c r="J656" i="2"/>
  <c r="G657" i="2"/>
  <c r="H657" i="2"/>
  <c r="I657" i="2"/>
  <c r="J657" i="2"/>
  <c r="G658" i="2"/>
  <c r="H658" i="2"/>
  <c r="I658" i="2"/>
  <c r="J658" i="2"/>
  <c r="G659" i="2"/>
  <c r="H659" i="2"/>
  <c r="I659" i="2"/>
  <c r="J659" i="2"/>
  <c r="G660" i="2"/>
  <c r="H660" i="2"/>
  <c r="I660" i="2"/>
  <c r="J660" i="2"/>
  <c r="G661" i="2"/>
  <c r="H661" i="2"/>
  <c r="I661" i="2"/>
  <c r="J661" i="2"/>
  <c r="G662" i="2"/>
  <c r="H662" i="2"/>
  <c r="I662" i="2"/>
  <c r="J662" i="2"/>
  <c r="G663" i="2"/>
  <c r="H663" i="2"/>
  <c r="I663" i="2"/>
  <c r="J663" i="2"/>
  <c r="G664" i="2"/>
  <c r="H664" i="2"/>
  <c r="I664" i="2"/>
  <c r="J664" i="2"/>
  <c r="G665" i="2"/>
  <c r="H665" i="2"/>
  <c r="I665" i="2"/>
  <c r="J665" i="2"/>
  <c r="G666" i="2"/>
  <c r="H666" i="2"/>
  <c r="I666" i="2"/>
  <c r="J666" i="2"/>
  <c r="G667" i="2"/>
  <c r="H667" i="2"/>
  <c r="I667" i="2"/>
  <c r="J667" i="2"/>
  <c r="G668" i="2"/>
  <c r="H668" i="2"/>
  <c r="I668" i="2"/>
  <c r="J668" i="2"/>
  <c r="G669" i="2"/>
  <c r="H669" i="2"/>
  <c r="I669" i="2"/>
  <c r="J669" i="2"/>
  <c r="G670" i="2"/>
  <c r="H670" i="2"/>
  <c r="I670" i="2"/>
  <c r="J670" i="2"/>
  <c r="G671" i="2"/>
  <c r="H671" i="2"/>
  <c r="I671" i="2"/>
  <c r="J671" i="2"/>
  <c r="G672" i="2"/>
  <c r="H672" i="2"/>
  <c r="I672" i="2"/>
  <c r="J672" i="2"/>
  <c r="G673" i="2"/>
  <c r="H673" i="2"/>
  <c r="I673" i="2"/>
  <c r="J673" i="2"/>
  <c r="G674" i="2"/>
  <c r="H674" i="2"/>
  <c r="I674" i="2"/>
  <c r="J674" i="2"/>
  <c r="G675" i="2"/>
  <c r="H675" i="2"/>
  <c r="I675" i="2"/>
  <c r="J675" i="2"/>
  <c r="G676" i="2"/>
  <c r="H676" i="2"/>
  <c r="I676" i="2"/>
  <c r="J676" i="2"/>
  <c r="G677" i="2"/>
  <c r="H677" i="2"/>
  <c r="I677" i="2"/>
  <c r="J677" i="2"/>
  <c r="G678" i="2"/>
  <c r="H678" i="2"/>
  <c r="I678" i="2"/>
  <c r="J678" i="2"/>
  <c r="G679" i="2"/>
  <c r="H679" i="2"/>
  <c r="I679" i="2"/>
  <c r="J679" i="2"/>
  <c r="G680" i="2"/>
  <c r="H680" i="2"/>
  <c r="I680" i="2"/>
  <c r="J680" i="2"/>
  <c r="G681" i="2"/>
  <c r="H681" i="2"/>
  <c r="I681" i="2"/>
  <c r="J681" i="2"/>
  <c r="G682" i="2"/>
  <c r="H682" i="2"/>
  <c r="I682" i="2"/>
  <c r="J682" i="2"/>
  <c r="G683" i="2"/>
  <c r="H683" i="2"/>
  <c r="I683" i="2"/>
  <c r="J683" i="2"/>
  <c r="G684" i="2"/>
  <c r="H684" i="2"/>
  <c r="I684" i="2"/>
  <c r="J684" i="2"/>
  <c r="G685" i="2"/>
  <c r="H685" i="2"/>
  <c r="I685" i="2"/>
  <c r="J685" i="2"/>
  <c r="G686" i="2"/>
  <c r="H686" i="2"/>
  <c r="I686" i="2"/>
  <c r="J686" i="2"/>
  <c r="G687" i="2"/>
  <c r="H687" i="2"/>
  <c r="I687" i="2"/>
  <c r="J687" i="2"/>
  <c r="G688" i="2"/>
  <c r="H688" i="2"/>
  <c r="I688" i="2"/>
  <c r="J688" i="2"/>
  <c r="G689" i="2"/>
  <c r="H689" i="2"/>
  <c r="I689" i="2"/>
  <c r="J689" i="2"/>
  <c r="G690" i="2"/>
  <c r="H690" i="2"/>
  <c r="I690" i="2"/>
  <c r="J690" i="2"/>
  <c r="G691" i="2"/>
  <c r="H691" i="2"/>
  <c r="I691" i="2"/>
  <c r="J691" i="2"/>
  <c r="G692" i="2"/>
  <c r="H692" i="2"/>
  <c r="I692" i="2"/>
  <c r="J692" i="2"/>
  <c r="G693" i="2"/>
  <c r="H693" i="2"/>
  <c r="I693" i="2"/>
  <c r="J693" i="2"/>
  <c r="G694" i="2"/>
  <c r="H694" i="2"/>
  <c r="I694" i="2"/>
  <c r="J694" i="2"/>
  <c r="G695" i="2"/>
  <c r="H695" i="2"/>
  <c r="I695" i="2"/>
  <c r="J695" i="2"/>
  <c r="G696" i="2"/>
  <c r="H696" i="2"/>
  <c r="I696" i="2"/>
  <c r="J696" i="2"/>
  <c r="G697" i="2"/>
  <c r="H697" i="2"/>
  <c r="I697" i="2"/>
  <c r="J697" i="2"/>
  <c r="G698" i="2"/>
  <c r="H698" i="2"/>
  <c r="I698" i="2"/>
  <c r="J698" i="2"/>
  <c r="G699" i="2"/>
  <c r="H699" i="2"/>
  <c r="I699" i="2"/>
  <c r="J699" i="2"/>
  <c r="G700" i="2"/>
  <c r="H700" i="2"/>
  <c r="I700" i="2"/>
  <c r="J700" i="2"/>
  <c r="G701" i="2"/>
  <c r="H701" i="2"/>
  <c r="I701" i="2"/>
  <c r="J701" i="2"/>
  <c r="G702" i="2"/>
  <c r="H702" i="2"/>
  <c r="I702" i="2"/>
  <c r="J702" i="2"/>
  <c r="G703" i="2"/>
  <c r="H703" i="2"/>
  <c r="I703" i="2"/>
  <c r="J703" i="2"/>
  <c r="G704" i="2"/>
  <c r="H704" i="2"/>
  <c r="I704" i="2"/>
  <c r="J704" i="2"/>
  <c r="G705" i="2"/>
  <c r="H705" i="2"/>
  <c r="I705" i="2"/>
  <c r="J705" i="2"/>
  <c r="G706" i="2"/>
  <c r="H706" i="2"/>
  <c r="I706" i="2"/>
  <c r="J706" i="2"/>
  <c r="G707" i="2"/>
  <c r="H707" i="2"/>
  <c r="I707" i="2"/>
  <c r="J707" i="2"/>
  <c r="G708" i="2"/>
  <c r="H708" i="2"/>
  <c r="I708" i="2"/>
  <c r="J708" i="2"/>
  <c r="G709" i="2"/>
  <c r="H709" i="2"/>
  <c r="I709" i="2"/>
  <c r="J709" i="2"/>
  <c r="G710" i="2"/>
  <c r="H710" i="2"/>
  <c r="I710" i="2"/>
  <c r="J710" i="2"/>
  <c r="G711" i="2"/>
  <c r="H711" i="2"/>
  <c r="I711" i="2"/>
  <c r="J711" i="2"/>
  <c r="G712" i="2"/>
  <c r="H712" i="2"/>
  <c r="I712" i="2"/>
  <c r="J712" i="2"/>
  <c r="G713" i="2"/>
  <c r="H713" i="2"/>
  <c r="I713" i="2"/>
  <c r="J713" i="2"/>
  <c r="G714" i="2"/>
  <c r="H714" i="2"/>
  <c r="I714" i="2"/>
  <c r="J714" i="2"/>
  <c r="G715" i="2"/>
  <c r="H715" i="2"/>
  <c r="I715" i="2"/>
  <c r="J715" i="2"/>
  <c r="G716" i="2"/>
  <c r="H716" i="2"/>
  <c r="I716" i="2"/>
  <c r="J716" i="2"/>
  <c r="G717" i="2"/>
  <c r="H717" i="2"/>
  <c r="I717" i="2"/>
  <c r="J717" i="2"/>
  <c r="G718" i="2"/>
  <c r="H718" i="2"/>
  <c r="I718" i="2"/>
  <c r="J718" i="2"/>
  <c r="G719" i="2"/>
  <c r="H719" i="2"/>
  <c r="I719" i="2"/>
  <c r="J719" i="2"/>
  <c r="G720" i="2"/>
  <c r="H720" i="2"/>
  <c r="I720" i="2"/>
  <c r="J720" i="2"/>
  <c r="G721" i="2"/>
  <c r="H721" i="2"/>
  <c r="I721" i="2"/>
  <c r="J721" i="2"/>
  <c r="G722" i="2"/>
  <c r="H722" i="2"/>
  <c r="I722" i="2"/>
  <c r="J722" i="2"/>
  <c r="G723" i="2"/>
  <c r="H723" i="2"/>
  <c r="I723" i="2"/>
  <c r="J723" i="2"/>
  <c r="G724" i="2"/>
  <c r="H724" i="2"/>
  <c r="I724" i="2"/>
  <c r="J724" i="2"/>
  <c r="G725" i="2"/>
  <c r="H725" i="2"/>
  <c r="I725" i="2"/>
  <c r="J725" i="2"/>
  <c r="G726" i="2"/>
  <c r="H726" i="2"/>
  <c r="I726" i="2"/>
  <c r="J726" i="2"/>
  <c r="G727" i="2"/>
  <c r="H727" i="2"/>
  <c r="I727" i="2"/>
  <c r="J727" i="2"/>
  <c r="G728" i="2"/>
  <c r="H728" i="2"/>
  <c r="I728" i="2"/>
  <c r="J728" i="2"/>
  <c r="G729" i="2"/>
  <c r="H729" i="2"/>
  <c r="I729" i="2"/>
  <c r="J729" i="2"/>
  <c r="G730" i="2"/>
  <c r="H730" i="2"/>
  <c r="I730" i="2"/>
  <c r="J730" i="2"/>
  <c r="G731" i="2"/>
  <c r="H731" i="2"/>
  <c r="I731" i="2"/>
  <c r="J731" i="2"/>
  <c r="G732" i="2"/>
  <c r="H732" i="2"/>
  <c r="I732" i="2"/>
  <c r="J732" i="2"/>
  <c r="G733" i="2"/>
  <c r="H733" i="2"/>
  <c r="I733" i="2"/>
  <c r="J733" i="2"/>
  <c r="G734" i="2"/>
  <c r="H734" i="2"/>
  <c r="I734" i="2"/>
  <c r="J734" i="2"/>
  <c r="G735" i="2"/>
  <c r="H735" i="2"/>
  <c r="I735" i="2"/>
  <c r="J735" i="2"/>
  <c r="G736" i="2"/>
  <c r="H736" i="2"/>
  <c r="I736" i="2"/>
  <c r="J736" i="2"/>
  <c r="G737" i="2"/>
  <c r="H737" i="2"/>
  <c r="I737" i="2"/>
  <c r="J737" i="2"/>
  <c r="G738" i="2"/>
  <c r="H738" i="2"/>
  <c r="I738" i="2"/>
  <c r="J738" i="2"/>
  <c r="G739" i="2"/>
  <c r="H739" i="2"/>
  <c r="I739" i="2"/>
  <c r="J739" i="2"/>
  <c r="G740" i="2"/>
  <c r="H740" i="2"/>
  <c r="I740" i="2"/>
  <c r="J740" i="2"/>
  <c r="G741" i="2"/>
  <c r="H741" i="2"/>
  <c r="I741" i="2"/>
  <c r="J741" i="2"/>
  <c r="G742" i="2"/>
  <c r="H742" i="2"/>
  <c r="I742" i="2"/>
  <c r="J742" i="2"/>
  <c r="G743" i="2"/>
  <c r="H743" i="2"/>
  <c r="I743" i="2"/>
  <c r="J743" i="2"/>
  <c r="G744" i="2"/>
  <c r="H744" i="2"/>
  <c r="I744" i="2"/>
  <c r="J744" i="2"/>
  <c r="G745" i="2"/>
  <c r="H745" i="2"/>
  <c r="I745" i="2"/>
  <c r="J745" i="2"/>
  <c r="G746" i="2"/>
  <c r="H746" i="2"/>
  <c r="I746" i="2"/>
  <c r="J746" i="2"/>
  <c r="G747" i="2"/>
  <c r="H747" i="2"/>
  <c r="I747" i="2"/>
  <c r="J747" i="2"/>
  <c r="G748" i="2"/>
  <c r="H748" i="2"/>
  <c r="I748" i="2"/>
  <c r="J748" i="2"/>
  <c r="G749" i="2"/>
  <c r="H749" i="2"/>
  <c r="I749" i="2"/>
  <c r="J749" i="2"/>
  <c r="G750" i="2"/>
  <c r="H750" i="2"/>
  <c r="I750" i="2"/>
  <c r="J750" i="2"/>
  <c r="G751" i="2"/>
  <c r="H751" i="2"/>
  <c r="I751" i="2"/>
  <c r="J751" i="2"/>
  <c r="G752" i="2"/>
  <c r="H752" i="2"/>
  <c r="I752" i="2"/>
  <c r="J752" i="2"/>
  <c r="G753" i="2"/>
  <c r="H753" i="2"/>
  <c r="I753" i="2"/>
  <c r="J753" i="2"/>
  <c r="G754" i="2"/>
  <c r="H754" i="2"/>
  <c r="I754" i="2"/>
  <c r="J754" i="2"/>
  <c r="G755" i="2"/>
  <c r="H755" i="2"/>
  <c r="I755" i="2"/>
  <c r="J755" i="2"/>
  <c r="G756" i="2"/>
  <c r="H756" i="2"/>
  <c r="I756" i="2"/>
  <c r="J756" i="2"/>
  <c r="G757" i="2"/>
  <c r="H757" i="2"/>
  <c r="I757" i="2"/>
  <c r="J757" i="2"/>
  <c r="G758" i="2"/>
  <c r="H758" i="2"/>
  <c r="I758" i="2"/>
  <c r="J758" i="2"/>
  <c r="G759" i="2"/>
  <c r="H759" i="2"/>
  <c r="I759" i="2"/>
  <c r="J759" i="2"/>
  <c r="G760" i="2"/>
  <c r="H760" i="2"/>
  <c r="I760" i="2"/>
  <c r="J760" i="2"/>
  <c r="G761" i="2"/>
  <c r="H761" i="2"/>
  <c r="I761" i="2"/>
  <c r="J761" i="2"/>
  <c r="G762" i="2"/>
  <c r="H762" i="2"/>
  <c r="I762" i="2"/>
  <c r="J762" i="2"/>
  <c r="G763" i="2"/>
  <c r="H763" i="2"/>
  <c r="I763" i="2"/>
  <c r="J763" i="2"/>
  <c r="G764" i="2"/>
  <c r="H764" i="2"/>
  <c r="I764" i="2"/>
  <c r="J764" i="2"/>
  <c r="G765" i="2"/>
  <c r="H765" i="2"/>
  <c r="I765" i="2"/>
  <c r="J765" i="2"/>
  <c r="G766" i="2"/>
  <c r="H766" i="2"/>
  <c r="I766" i="2"/>
  <c r="J766" i="2"/>
  <c r="G767" i="2"/>
  <c r="H767" i="2"/>
  <c r="I767" i="2"/>
  <c r="J767" i="2"/>
  <c r="G768" i="2"/>
  <c r="H768" i="2"/>
  <c r="I768" i="2"/>
  <c r="J768" i="2"/>
  <c r="G769" i="2"/>
  <c r="H769" i="2"/>
  <c r="I769" i="2"/>
  <c r="J769" i="2"/>
  <c r="G770" i="2"/>
  <c r="H770" i="2"/>
  <c r="I770" i="2"/>
  <c r="J770" i="2"/>
  <c r="G771" i="2"/>
  <c r="H771" i="2"/>
  <c r="I771" i="2"/>
  <c r="J771" i="2"/>
  <c r="G772" i="2"/>
  <c r="H772" i="2"/>
  <c r="I772" i="2"/>
  <c r="J772" i="2"/>
  <c r="G773" i="2"/>
  <c r="H773" i="2"/>
  <c r="I773" i="2"/>
  <c r="J773" i="2"/>
  <c r="G774" i="2"/>
  <c r="H774" i="2"/>
  <c r="I774" i="2"/>
  <c r="J774" i="2"/>
  <c r="G775" i="2"/>
  <c r="H775" i="2"/>
  <c r="I775" i="2"/>
  <c r="J775" i="2"/>
  <c r="G776" i="2"/>
  <c r="H776" i="2"/>
  <c r="I776" i="2"/>
  <c r="J776" i="2"/>
  <c r="G777" i="2"/>
  <c r="H777" i="2"/>
  <c r="I777" i="2"/>
  <c r="J777" i="2"/>
  <c r="G778" i="2"/>
  <c r="H778" i="2"/>
  <c r="I778" i="2"/>
  <c r="J778" i="2"/>
  <c r="G779" i="2"/>
  <c r="H779" i="2"/>
  <c r="I779" i="2"/>
  <c r="J779" i="2"/>
  <c r="G780" i="2"/>
  <c r="H780" i="2"/>
  <c r="I780" i="2"/>
  <c r="J780" i="2"/>
  <c r="G781" i="2"/>
  <c r="H781" i="2"/>
  <c r="I781" i="2"/>
  <c r="J781" i="2"/>
  <c r="G782" i="2"/>
  <c r="H782" i="2"/>
  <c r="I782" i="2"/>
  <c r="J782" i="2"/>
  <c r="G783" i="2"/>
  <c r="H783" i="2"/>
  <c r="I783" i="2"/>
  <c r="J783" i="2"/>
  <c r="G784" i="2"/>
  <c r="H784" i="2"/>
  <c r="I784" i="2"/>
  <c r="J784" i="2"/>
  <c r="G785" i="2"/>
  <c r="H785" i="2"/>
  <c r="I785" i="2"/>
  <c r="J785" i="2"/>
  <c r="G786" i="2"/>
  <c r="H786" i="2"/>
  <c r="I786" i="2"/>
  <c r="J786" i="2"/>
  <c r="G787" i="2"/>
  <c r="H787" i="2"/>
  <c r="I787" i="2"/>
  <c r="J787" i="2"/>
  <c r="G788" i="2"/>
  <c r="H788" i="2"/>
  <c r="I788" i="2"/>
  <c r="J788" i="2"/>
  <c r="G789" i="2"/>
  <c r="H789" i="2"/>
  <c r="I789" i="2"/>
  <c r="J789" i="2"/>
  <c r="G790" i="2"/>
  <c r="H790" i="2"/>
  <c r="I790" i="2"/>
  <c r="J790" i="2"/>
  <c r="G791" i="2"/>
  <c r="H791" i="2"/>
  <c r="I791" i="2"/>
  <c r="J791" i="2"/>
  <c r="G792" i="2"/>
  <c r="H792" i="2"/>
  <c r="I792" i="2"/>
  <c r="J792" i="2"/>
  <c r="G793" i="2"/>
  <c r="H793" i="2"/>
  <c r="I793" i="2"/>
  <c r="J793" i="2"/>
  <c r="G794" i="2"/>
  <c r="H794" i="2"/>
  <c r="I794" i="2"/>
  <c r="J794" i="2"/>
  <c r="G795" i="2"/>
  <c r="H795" i="2"/>
  <c r="I795" i="2"/>
  <c r="J795" i="2"/>
  <c r="G796" i="2"/>
  <c r="H796" i="2"/>
  <c r="I796" i="2"/>
  <c r="J796" i="2"/>
  <c r="G797" i="2"/>
  <c r="H797" i="2"/>
  <c r="I797" i="2"/>
  <c r="J797" i="2"/>
  <c r="G798" i="2"/>
  <c r="H798" i="2"/>
  <c r="I798" i="2"/>
  <c r="J798" i="2"/>
  <c r="G799" i="2"/>
  <c r="H799" i="2"/>
  <c r="I799" i="2"/>
  <c r="J799" i="2"/>
  <c r="G800" i="2"/>
  <c r="H800" i="2"/>
  <c r="I800" i="2"/>
  <c r="J800" i="2"/>
  <c r="G801" i="2"/>
  <c r="H801" i="2"/>
  <c r="I801" i="2"/>
  <c r="J801" i="2"/>
  <c r="G802" i="2"/>
  <c r="H802" i="2"/>
  <c r="I802" i="2"/>
  <c r="J802" i="2"/>
  <c r="G803" i="2"/>
  <c r="H803" i="2"/>
  <c r="I803" i="2"/>
  <c r="J803" i="2"/>
  <c r="G804" i="2"/>
  <c r="H804" i="2"/>
  <c r="I804" i="2"/>
  <c r="J804" i="2"/>
  <c r="G805" i="2"/>
  <c r="H805" i="2"/>
  <c r="I805" i="2"/>
  <c r="J805" i="2"/>
  <c r="G806" i="2"/>
  <c r="H806" i="2"/>
  <c r="I806" i="2"/>
  <c r="J806" i="2"/>
  <c r="G807" i="2"/>
  <c r="H807" i="2"/>
  <c r="I807" i="2"/>
  <c r="J807" i="2"/>
  <c r="G808" i="2"/>
  <c r="H808" i="2"/>
  <c r="I808" i="2"/>
  <c r="J808" i="2"/>
  <c r="G809" i="2"/>
  <c r="H809" i="2"/>
  <c r="I809" i="2"/>
  <c r="J809" i="2"/>
  <c r="G810" i="2"/>
  <c r="H810" i="2"/>
  <c r="I810" i="2"/>
  <c r="J810" i="2"/>
  <c r="G811" i="2"/>
  <c r="H811" i="2"/>
  <c r="I811" i="2"/>
  <c r="J811" i="2"/>
  <c r="G812" i="2"/>
  <c r="H812" i="2"/>
  <c r="I812" i="2"/>
  <c r="J812" i="2"/>
  <c r="G813" i="2"/>
  <c r="H813" i="2"/>
  <c r="I813" i="2"/>
  <c r="J813" i="2"/>
  <c r="G814" i="2"/>
  <c r="H814" i="2"/>
  <c r="I814" i="2"/>
  <c r="J814" i="2"/>
  <c r="G815" i="2"/>
  <c r="H815" i="2"/>
  <c r="I815" i="2"/>
  <c r="J815" i="2"/>
  <c r="G816" i="2"/>
  <c r="H816" i="2"/>
  <c r="I816" i="2"/>
  <c r="J816" i="2"/>
  <c r="G817" i="2"/>
  <c r="H817" i="2"/>
  <c r="I817" i="2"/>
  <c r="J817" i="2"/>
  <c r="G818" i="2"/>
  <c r="H818" i="2"/>
  <c r="I818" i="2"/>
  <c r="J818" i="2"/>
  <c r="G819" i="2"/>
  <c r="H819" i="2"/>
  <c r="I819" i="2"/>
  <c r="J819" i="2"/>
  <c r="G820" i="2"/>
  <c r="H820" i="2"/>
  <c r="I820" i="2"/>
  <c r="J820" i="2"/>
  <c r="G821" i="2"/>
  <c r="H821" i="2"/>
  <c r="I821" i="2"/>
  <c r="J821" i="2"/>
  <c r="G822" i="2"/>
  <c r="H822" i="2"/>
  <c r="I822" i="2"/>
  <c r="J822" i="2"/>
  <c r="G823" i="2"/>
  <c r="H823" i="2"/>
  <c r="I823" i="2"/>
  <c r="J823" i="2"/>
  <c r="G824" i="2"/>
  <c r="H824" i="2"/>
  <c r="I824" i="2"/>
  <c r="J824" i="2"/>
  <c r="G825" i="2"/>
  <c r="H825" i="2"/>
  <c r="I825" i="2"/>
  <c r="J825" i="2"/>
  <c r="G826" i="2"/>
  <c r="H826" i="2"/>
  <c r="I826" i="2"/>
  <c r="J826" i="2"/>
  <c r="G827" i="2"/>
  <c r="H827" i="2"/>
  <c r="I827" i="2"/>
  <c r="J827" i="2"/>
  <c r="G828" i="2"/>
  <c r="H828" i="2"/>
  <c r="I828" i="2"/>
  <c r="J828" i="2"/>
  <c r="G829" i="2"/>
  <c r="H829" i="2"/>
  <c r="I829" i="2"/>
  <c r="J829" i="2"/>
  <c r="G830" i="2"/>
  <c r="H830" i="2"/>
  <c r="I830" i="2"/>
  <c r="J830" i="2"/>
  <c r="G831" i="2"/>
  <c r="H831" i="2"/>
  <c r="I831" i="2"/>
  <c r="J831" i="2"/>
  <c r="G832" i="2"/>
  <c r="H832" i="2"/>
  <c r="I832" i="2"/>
  <c r="J832" i="2"/>
  <c r="G833" i="2"/>
  <c r="H833" i="2"/>
  <c r="I833" i="2"/>
  <c r="J833" i="2"/>
  <c r="G834" i="2"/>
  <c r="H834" i="2"/>
  <c r="I834" i="2"/>
  <c r="J834" i="2"/>
  <c r="G835" i="2"/>
  <c r="H835" i="2"/>
  <c r="I835" i="2"/>
  <c r="J835" i="2"/>
  <c r="G836" i="2"/>
  <c r="H836" i="2"/>
  <c r="I836" i="2"/>
  <c r="J836" i="2"/>
  <c r="G837" i="2"/>
  <c r="H837" i="2"/>
  <c r="I837" i="2"/>
  <c r="J837" i="2"/>
  <c r="G838" i="2"/>
  <c r="H838" i="2"/>
  <c r="I838" i="2"/>
  <c r="J838" i="2"/>
  <c r="G839" i="2"/>
  <c r="H839" i="2"/>
  <c r="I839" i="2"/>
  <c r="J839" i="2"/>
  <c r="G840" i="2"/>
  <c r="H840" i="2"/>
  <c r="I840" i="2"/>
  <c r="J840" i="2"/>
  <c r="G841" i="2"/>
  <c r="H841" i="2"/>
  <c r="I841" i="2"/>
  <c r="J841" i="2"/>
  <c r="G842" i="2"/>
  <c r="H842" i="2"/>
  <c r="I842" i="2"/>
  <c r="J842" i="2"/>
  <c r="G843" i="2"/>
  <c r="H843" i="2"/>
  <c r="I843" i="2"/>
  <c r="J843" i="2"/>
  <c r="G844" i="2"/>
  <c r="H844" i="2"/>
  <c r="I844" i="2"/>
  <c r="J844" i="2"/>
  <c r="G845" i="2"/>
  <c r="H845" i="2"/>
  <c r="I845" i="2"/>
  <c r="J845" i="2"/>
  <c r="G846" i="2"/>
  <c r="H846" i="2"/>
  <c r="I846" i="2"/>
  <c r="J846" i="2"/>
  <c r="G847" i="2"/>
  <c r="H847" i="2"/>
  <c r="I847" i="2"/>
  <c r="J847" i="2"/>
  <c r="G848" i="2"/>
  <c r="H848" i="2"/>
  <c r="I848" i="2"/>
  <c r="J848" i="2"/>
  <c r="G849" i="2"/>
  <c r="H849" i="2"/>
  <c r="I849" i="2"/>
  <c r="J849" i="2"/>
  <c r="G850" i="2"/>
  <c r="H850" i="2"/>
  <c r="I850" i="2"/>
  <c r="J850" i="2"/>
  <c r="G851" i="2"/>
  <c r="H851" i="2"/>
  <c r="I851" i="2"/>
  <c r="J851" i="2"/>
  <c r="G852" i="2"/>
  <c r="H852" i="2"/>
  <c r="I852" i="2"/>
  <c r="J852" i="2"/>
  <c r="G853" i="2"/>
  <c r="H853" i="2"/>
  <c r="I853" i="2"/>
  <c r="J853" i="2"/>
  <c r="G854" i="2"/>
  <c r="H854" i="2"/>
  <c r="I854" i="2"/>
  <c r="J854" i="2"/>
  <c r="G855" i="2"/>
  <c r="H855" i="2"/>
  <c r="I855" i="2"/>
  <c r="J855" i="2"/>
  <c r="G856" i="2"/>
  <c r="H856" i="2"/>
  <c r="I856" i="2"/>
  <c r="J856" i="2"/>
  <c r="G857" i="2"/>
  <c r="H857" i="2"/>
  <c r="I857" i="2"/>
  <c r="J857" i="2"/>
  <c r="G858" i="2"/>
  <c r="H858" i="2"/>
  <c r="I858" i="2"/>
  <c r="J858" i="2"/>
  <c r="G859" i="2"/>
  <c r="H859" i="2"/>
  <c r="I859" i="2"/>
  <c r="J859" i="2"/>
  <c r="G860" i="2"/>
  <c r="H860" i="2"/>
  <c r="I860" i="2"/>
  <c r="J860" i="2"/>
  <c r="G861" i="2"/>
  <c r="H861" i="2"/>
  <c r="I861" i="2"/>
  <c r="J861" i="2"/>
  <c r="G862" i="2"/>
  <c r="H862" i="2"/>
  <c r="I862" i="2"/>
  <c r="J862" i="2"/>
  <c r="G863" i="2"/>
  <c r="H863" i="2"/>
  <c r="I863" i="2"/>
  <c r="J863" i="2"/>
  <c r="G864" i="2"/>
  <c r="H864" i="2"/>
  <c r="I864" i="2"/>
  <c r="J864" i="2"/>
  <c r="G865" i="2"/>
  <c r="H865" i="2"/>
  <c r="I865" i="2"/>
  <c r="J865" i="2"/>
  <c r="G866" i="2"/>
  <c r="H866" i="2"/>
  <c r="I866" i="2"/>
  <c r="J866" i="2"/>
  <c r="G867" i="2"/>
  <c r="H867" i="2"/>
  <c r="I867" i="2"/>
  <c r="J867" i="2"/>
  <c r="G868" i="2"/>
  <c r="H868" i="2"/>
  <c r="I868" i="2"/>
  <c r="J868" i="2"/>
  <c r="G869" i="2"/>
  <c r="H869" i="2"/>
  <c r="I869" i="2"/>
  <c r="J869" i="2"/>
  <c r="G870" i="2"/>
  <c r="H870" i="2"/>
  <c r="I870" i="2"/>
  <c r="J870" i="2"/>
  <c r="G871" i="2"/>
  <c r="H871" i="2"/>
  <c r="I871" i="2"/>
  <c r="J871" i="2"/>
  <c r="G872" i="2"/>
  <c r="H872" i="2"/>
  <c r="I872" i="2"/>
  <c r="J872" i="2"/>
  <c r="G873" i="2"/>
  <c r="H873" i="2"/>
  <c r="I873" i="2"/>
  <c r="J873" i="2"/>
  <c r="G874" i="2"/>
  <c r="H874" i="2"/>
  <c r="I874" i="2"/>
  <c r="J874" i="2"/>
  <c r="G875" i="2"/>
  <c r="H875" i="2"/>
  <c r="I875" i="2"/>
  <c r="J875" i="2"/>
  <c r="G876" i="2"/>
  <c r="H876" i="2"/>
  <c r="I876" i="2"/>
  <c r="J876" i="2"/>
  <c r="G877" i="2"/>
  <c r="H877" i="2"/>
  <c r="I877" i="2"/>
  <c r="J877" i="2"/>
  <c r="G878" i="2"/>
  <c r="H878" i="2"/>
  <c r="I878" i="2"/>
  <c r="J878" i="2"/>
  <c r="G879" i="2"/>
  <c r="H879" i="2"/>
  <c r="I879" i="2"/>
  <c r="J879" i="2"/>
  <c r="G880" i="2"/>
  <c r="H880" i="2"/>
  <c r="I880" i="2"/>
  <c r="J880" i="2"/>
  <c r="G881" i="2"/>
  <c r="H881" i="2"/>
  <c r="I881" i="2"/>
  <c r="J881" i="2"/>
  <c r="G882" i="2"/>
  <c r="H882" i="2"/>
  <c r="I882" i="2"/>
  <c r="J882" i="2"/>
  <c r="G883" i="2"/>
  <c r="H883" i="2"/>
  <c r="I883" i="2"/>
  <c r="J883" i="2"/>
  <c r="G884" i="2"/>
  <c r="H884" i="2"/>
  <c r="I884" i="2"/>
  <c r="J884" i="2"/>
  <c r="G885" i="2"/>
  <c r="H885" i="2"/>
  <c r="I885" i="2"/>
  <c r="J885" i="2"/>
  <c r="G886" i="2"/>
  <c r="H886" i="2"/>
  <c r="I886" i="2"/>
  <c r="J886" i="2"/>
  <c r="G887" i="2"/>
  <c r="H887" i="2"/>
  <c r="I887" i="2"/>
  <c r="J887" i="2"/>
  <c r="G888" i="2"/>
  <c r="H888" i="2"/>
  <c r="I888" i="2"/>
  <c r="J888" i="2"/>
  <c r="G889" i="2"/>
  <c r="H889" i="2"/>
  <c r="I889" i="2"/>
  <c r="J889" i="2"/>
  <c r="G890" i="2"/>
  <c r="H890" i="2"/>
  <c r="I890" i="2"/>
  <c r="J890" i="2"/>
  <c r="G891" i="2"/>
  <c r="H891" i="2"/>
  <c r="I891" i="2"/>
  <c r="J891" i="2"/>
  <c r="G892" i="2"/>
  <c r="H892" i="2"/>
  <c r="I892" i="2"/>
  <c r="J892" i="2"/>
  <c r="G893" i="2"/>
  <c r="H893" i="2"/>
  <c r="I893" i="2"/>
  <c r="J893" i="2"/>
  <c r="G894" i="2"/>
  <c r="H894" i="2"/>
  <c r="I894" i="2"/>
  <c r="J894" i="2"/>
  <c r="G895" i="2"/>
  <c r="H895" i="2"/>
  <c r="I895" i="2"/>
  <c r="J895" i="2"/>
  <c r="G896" i="2"/>
  <c r="H896" i="2"/>
  <c r="I896" i="2"/>
  <c r="J896" i="2"/>
  <c r="G897" i="2"/>
  <c r="H897" i="2"/>
  <c r="I897" i="2"/>
  <c r="J897" i="2"/>
  <c r="G898" i="2"/>
  <c r="H898" i="2"/>
  <c r="I898" i="2"/>
  <c r="J898" i="2"/>
  <c r="G899" i="2"/>
  <c r="H899" i="2"/>
  <c r="I899" i="2"/>
  <c r="J899" i="2"/>
  <c r="G900" i="2"/>
  <c r="H900" i="2"/>
  <c r="I900" i="2"/>
  <c r="J900" i="2"/>
  <c r="G901" i="2"/>
  <c r="H901" i="2"/>
  <c r="I901" i="2"/>
  <c r="J901" i="2"/>
  <c r="G902" i="2"/>
  <c r="H902" i="2"/>
  <c r="I902" i="2"/>
  <c r="J902" i="2"/>
  <c r="G903" i="2"/>
  <c r="H903" i="2"/>
  <c r="I903" i="2"/>
  <c r="J903" i="2"/>
  <c r="G904" i="2"/>
  <c r="H904" i="2"/>
  <c r="I904" i="2"/>
  <c r="J904" i="2"/>
  <c r="G905" i="2"/>
  <c r="H905" i="2"/>
  <c r="I905" i="2"/>
  <c r="J905" i="2"/>
  <c r="G906" i="2"/>
  <c r="H906" i="2"/>
  <c r="I906" i="2"/>
  <c r="J906" i="2"/>
  <c r="G907" i="2"/>
  <c r="H907" i="2"/>
  <c r="I907" i="2"/>
  <c r="J907" i="2"/>
  <c r="G908" i="2"/>
  <c r="H908" i="2"/>
  <c r="I908" i="2"/>
  <c r="J908" i="2"/>
  <c r="G909" i="2"/>
  <c r="H909" i="2"/>
  <c r="I909" i="2"/>
  <c r="J909" i="2"/>
  <c r="G910" i="2"/>
  <c r="H910" i="2"/>
  <c r="I910" i="2"/>
  <c r="J910" i="2"/>
  <c r="G911" i="2"/>
  <c r="H911" i="2"/>
  <c r="I911" i="2"/>
  <c r="J911" i="2"/>
  <c r="G912" i="2"/>
  <c r="H912" i="2"/>
  <c r="I912" i="2"/>
  <c r="J912" i="2"/>
  <c r="G913" i="2"/>
  <c r="H913" i="2"/>
  <c r="I913" i="2"/>
  <c r="J913" i="2"/>
  <c r="G914" i="2"/>
  <c r="H914" i="2"/>
  <c r="I914" i="2"/>
  <c r="J914" i="2"/>
  <c r="G915" i="2"/>
  <c r="H915" i="2"/>
  <c r="I915" i="2"/>
  <c r="J915" i="2"/>
  <c r="G916" i="2"/>
  <c r="H916" i="2"/>
  <c r="I916" i="2"/>
  <c r="J916" i="2"/>
  <c r="G917" i="2"/>
  <c r="H917" i="2"/>
  <c r="I917" i="2"/>
  <c r="J917" i="2"/>
  <c r="G918" i="2"/>
  <c r="H918" i="2"/>
  <c r="I918" i="2"/>
  <c r="J918" i="2"/>
  <c r="G919" i="2"/>
  <c r="H919" i="2"/>
  <c r="I919" i="2"/>
  <c r="J919" i="2"/>
  <c r="G920" i="2"/>
  <c r="H920" i="2"/>
  <c r="I920" i="2"/>
  <c r="J920" i="2"/>
  <c r="G921" i="2"/>
  <c r="H921" i="2"/>
  <c r="I921" i="2"/>
  <c r="J921" i="2"/>
  <c r="G922" i="2"/>
  <c r="H922" i="2"/>
  <c r="I922" i="2"/>
  <c r="J922" i="2"/>
  <c r="G923" i="2"/>
  <c r="H923" i="2"/>
  <c r="I923" i="2"/>
  <c r="J923" i="2"/>
  <c r="G924" i="2"/>
  <c r="H924" i="2"/>
  <c r="I924" i="2"/>
  <c r="J924" i="2"/>
  <c r="G925" i="2"/>
  <c r="H925" i="2"/>
  <c r="I925" i="2"/>
  <c r="J925" i="2"/>
  <c r="G926" i="2"/>
  <c r="H926" i="2"/>
  <c r="I926" i="2"/>
  <c r="J926" i="2"/>
  <c r="G927" i="2"/>
  <c r="H927" i="2"/>
  <c r="I927" i="2"/>
  <c r="J927" i="2"/>
  <c r="G928" i="2"/>
  <c r="H928" i="2"/>
  <c r="I928" i="2"/>
  <c r="J928" i="2"/>
  <c r="G929" i="2"/>
  <c r="H929" i="2"/>
  <c r="I929" i="2"/>
  <c r="J929" i="2"/>
  <c r="G930" i="2"/>
  <c r="H930" i="2"/>
  <c r="I930" i="2"/>
  <c r="J930" i="2"/>
  <c r="G931" i="2"/>
  <c r="H931" i="2"/>
  <c r="I931" i="2"/>
  <c r="J931" i="2"/>
  <c r="G932" i="2"/>
  <c r="H932" i="2"/>
  <c r="I932" i="2"/>
  <c r="J932" i="2"/>
  <c r="G933" i="2"/>
  <c r="H933" i="2"/>
  <c r="I933" i="2"/>
  <c r="J933" i="2"/>
  <c r="G934" i="2"/>
  <c r="H934" i="2"/>
  <c r="I934" i="2"/>
  <c r="J934" i="2"/>
  <c r="G935" i="2"/>
  <c r="H935" i="2"/>
  <c r="I935" i="2"/>
  <c r="J935" i="2"/>
  <c r="G936" i="2"/>
  <c r="H936" i="2"/>
  <c r="I936" i="2"/>
  <c r="J936" i="2"/>
  <c r="G937" i="2"/>
  <c r="H937" i="2"/>
  <c r="I937" i="2"/>
  <c r="J937" i="2"/>
  <c r="G938" i="2"/>
  <c r="H938" i="2"/>
  <c r="I938" i="2"/>
  <c r="J938" i="2"/>
  <c r="G939" i="2"/>
  <c r="H939" i="2"/>
  <c r="I939" i="2"/>
  <c r="J939" i="2"/>
  <c r="G940" i="2"/>
  <c r="H940" i="2"/>
  <c r="I940" i="2"/>
  <c r="J940" i="2"/>
  <c r="G941" i="2"/>
  <c r="H941" i="2"/>
  <c r="I941" i="2"/>
  <c r="J941" i="2"/>
  <c r="G942" i="2"/>
  <c r="H942" i="2"/>
  <c r="I942" i="2"/>
  <c r="J942" i="2"/>
  <c r="G943" i="2"/>
  <c r="H943" i="2"/>
  <c r="I943" i="2"/>
  <c r="J943" i="2"/>
  <c r="G944" i="2"/>
  <c r="H944" i="2"/>
  <c r="I944" i="2"/>
  <c r="J944" i="2"/>
  <c r="G945" i="2"/>
  <c r="H945" i="2"/>
  <c r="I945" i="2"/>
  <c r="J945" i="2"/>
  <c r="G946" i="2"/>
  <c r="H946" i="2"/>
  <c r="I946" i="2"/>
  <c r="J946" i="2"/>
  <c r="G947" i="2"/>
  <c r="H947" i="2"/>
  <c r="I947" i="2"/>
  <c r="J947" i="2"/>
  <c r="G948" i="2"/>
  <c r="H948" i="2"/>
  <c r="I948" i="2"/>
  <c r="J948" i="2"/>
  <c r="G949" i="2"/>
  <c r="H949" i="2"/>
  <c r="I949" i="2"/>
  <c r="J949" i="2"/>
  <c r="G950" i="2"/>
  <c r="H950" i="2"/>
  <c r="I950" i="2"/>
  <c r="J950" i="2"/>
  <c r="G951" i="2"/>
  <c r="H951" i="2"/>
  <c r="I951" i="2"/>
  <c r="J951" i="2"/>
  <c r="G952" i="2"/>
  <c r="H952" i="2"/>
  <c r="I952" i="2"/>
  <c r="J952" i="2"/>
  <c r="G953" i="2"/>
  <c r="H953" i="2"/>
  <c r="I953" i="2"/>
  <c r="J953" i="2"/>
  <c r="G954" i="2"/>
  <c r="H954" i="2"/>
  <c r="I954" i="2"/>
  <c r="J954" i="2"/>
  <c r="G955" i="2"/>
  <c r="H955" i="2"/>
  <c r="I955" i="2"/>
  <c r="J955" i="2"/>
  <c r="G956" i="2"/>
  <c r="H956" i="2"/>
  <c r="I956" i="2"/>
  <c r="J956" i="2"/>
  <c r="G957" i="2"/>
  <c r="H957" i="2"/>
  <c r="I957" i="2"/>
  <c r="J957" i="2"/>
  <c r="G958" i="2"/>
  <c r="H958" i="2"/>
  <c r="I958" i="2"/>
  <c r="J958" i="2"/>
  <c r="G959" i="2"/>
  <c r="H959" i="2"/>
  <c r="I959" i="2"/>
  <c r="J959" i="2"/>
  <c r="G960" i="2"/>
  <c r="H960" i="2"/>
  <c r="I960" i="2"/>
  <c r="J960" i="2"/>
  <c r="G961" i="2"/>
  <c r="H961" i="2"/>
  <c r="I961" i="2"/>
  <c r="J961" i="2"/>
  <c r="G962" i="2"/>
  <c r="H962" i="2"/>
  <c r="I962" i="2"/>
  <c r="J962" i="2"/>
  <c r="G963" i="2"/>
  <c r="H963" i="2"/>
  <c r="I963" i="2"/>
  <c r="J963" i="2"/>
  <c r="G964" i="2"/>
  <c r="H964" i="2"/>
  <c r="I964" i="2"/>
  <c r="J964" i="2"/>
  <c r="G965" i="2"/>
  <c r="H965" i="2"/>
  <c r="I965" i="2"/>
  <c r="J965" i="2"/>
  <c r="G966" i="2"/>
  <c r="H966" i="2"/>
  <c r="I966" i="2"/>
  <c r="J966" i="2"/>
  <c r="G967" i="2"/>
  <c r="H967" i="2"/>
  <c r="I967" i="2"/>
  <c r="J967" i="2"/>
  <c r="G968" i="2"/>
  <c r="H968" i="2"/>
  <c r="I968" i="2"/>
  <c r="J968" i="2"/>
  <c r="G969" i="2"/>
  <c r="H969" i="2"/>
  <c r="I969" i="2"/>
  <c r="J969" i="2"/>
  <c r="G970" i="2"/>
  <c r="H970" i="2"/>
  <c r="I970" i="2"/>
  <c r="J970" i="2"/>
  <c r="G971" i="2"/>
  <c r="H971" i="2"/>
  <c r="I971" i="2"/>
  <c r="J971" i="2"/>
  <c r="G972" i="2"/>
  <c r="H972" i="2"/>
  <c r="I972" i="2"/>
  <c r="J972" i="2"/>
  <c r="G973" i="2"/>
  <c r="H973" i="2"/>
  <c r="I973" i="2"/>
  <c r="J973" i="2"/>
  <c r="G974" i="2"/>
  <c r="H974" i="2"/>
  <c r="I974" i="2"/>
  <c r="J974" i="2"/>
  <c r="G975" i="2"/>
  <c r="H975" i="2"/>
  <c r="I975" i="2"/>
  <c r="J975" i="2"/>
  <c r="G976" i="2"/>
  <c r="H976" i="2"/>
  <c r="I976" i="2"/>
  <c r="J976" i="2"/>
  <c r="G977" i="2"/>
  <c r="H977" i="2"/>
  <c r="I977" i="2"/>
  <c r="J977" i="2"/>
  <c r="G978" i="2"/>
  <c r="H978" i="2"/>
  <c r="I978" i="2"/>
  <c r="J978" i="2"/>
  <c r="G979" i="2"/>
  <c r="H979" i="2"/>
  <c r="I979" i="2"/>
  <c r="J979" i="2"/>
  <c r="G980" i="2"/>
  <c r="H980" i="2"/>
  <c r="I980" i="2"/>
  <c r="J980" i="2"/>
  <c r="G981" i="2"/>
  <c r="H981" i="2"/>
  <c r="I981" i="2"/>
  <c r="J981" i="2"/>
  <c r="G982" i="2"/>
  <c r="H982" i="2"/>
  <c r="I982" i="2"/>
  <c r="J982" i="2"/>
  <c r="G983" i="2"/>
  <c r="H983" i="2"/>
  <c r="I983" i="2"/>
  <c r="J983" i="2"/>
  <c r="G984" i="2"/>
  <c r="H984" i="2"/>
  <c r="I984" i="2"/>
  <c r="J984" i="2"/>
  <c r="G985" i="2"/>
  <c r="H985" i="2"/>
  <c r="I985" i="2"/>
  <c r="J985" i="2"/>
  <c r="G986" i="2"/>
  <c r="H986" i="2"/>
  <c r="I986" i="2"/>
  <c r="J986" i="2"/>
  <c r="G987" i="2"/>
  <c r="H987" i="2"/>
  <c r="I987" i="2"/>
  <c r="J987" i="2"/>
  <c r="G988" i="2"/>
  <c r="H988" i="2"/>
  <c r="I988" i="2"/>
  <c r="J988" i="2"/>
  <c r="G989" i="2"/>
  <c r="H989" i="2"/>
  <c r="I989" i="2"/>
  <c r="J989" i="2"/>
  <c r="G990" i="2"/>
  <c r="H990" i="2"/>
  <c r="I990" i="2"/>
  <c r="J990" i="2"/>
  <c r="G991" i="2"/>
  <c r="H991" i="2"/>
  <c r="I991" i="2"/>
  <c r="J991" i="2"/>
  <c r="G992" i="2"/>
  <c r="H992" i="2"/>
  <c r="I992" i="2"/>
  <c r="J992" i="2"/>
  <c r="G993" i="2"/>
  <c r="H993" i="2"/>
  <c r="I993" i="2"/>
  <c r="J993" i="2"/>
  <c r="G994" i="2"/>
  <c r="H994" i="2"/>
  <c r="I994" i="2"/>
  <c r="J994" i="2"/>
  <c r="G995" i="2"/>
  <c r="H995" i="2"/>
  <c r="I995" i="2"/>
  <c r="J995" i="2"/>
  <c r="G996" i="2"/>
  <c r="H996" i="2"/>
  <c r="I996" i="2"/>
  <c r="J996" i="2"/>
  <c r="G997" i="2"/>
  <c r="H997" i="2"/>
  <c r="I997" i="2"/>
  <c r="J997" i="2"/>
  <c r="G998" i="2"/>
  <c r="H998" i="2"/>
  <c r="I998" i="2"/>
  <c r="J998" i="2"/>
  <c r="G999" i="2"/>
  <c r="H999" i="2"/>
  <c r="I999" i="2"/>
  <c r="J999" i="2"/>
  <c r="G1000" i="2"/>
  <c r="H1000" i="2"/>
  <c r="I1000" i="2"/>
  <c r="J1000" i="2"/>
  <c r="G1001" i="2"/>
  <c r="H1001" i="2"/>
  <c r="I1001" i="2"/>
  <c r="J1001" i="2"/>
  <c r="G1002" i="2"/>
  <c r="H1002" i="2"/>
  <c r="I1002" i="2"/>
  <c r="J1002" i="2"/>
  <c r="G1003" i="2"/>
  <c r="H1003" i="2"/>
  <c r="I1003" i="2"/>
  <c r="J1003" i="2"/>
  <c r="G1004" i="2"/>
  <c r="H1004" i="2"/>
  <c r="I1004" i="2"/>
  <c r="J1004" i="2"/>
  <c r="G1005" i="2"/>
  <c r="H1005" i="2"/>
  <c r="I1005" i="2"/>
  <c r="J1005" i="2"/>
  <c r="G1006" i="2"/>
  <c r="H1006" i="2"/>
  <c r="I1006" i="2"/>
  <c r="J1006" i="2"/>
  <c r="G1007" i="2"/>
  <c r="H1007" i="2"/>
  <c r="I1007" i="2"/>
  <c r="J1007" i="2"/>
  <c r="G1008" i="2"/>
  <c r="H1008" i="2"/>
  <c r="I1008" i="2"/>
  <c r="J1008" i="2"/>
  <c r="G1009" i="2"/>
  <c r="H1009" i="2"/>
  <c r="I1009" i="2"/>
  <c r="J1009" i="2"/>
  <c r="G1010" i="2"/>
  <c r="H1010" i="2"/>
  <c r="I1010" i="2"/>
  <c r="J1010" i="2"/>
  <c r="G1011" i="2"/>
  <c r="H1011" i="2"/>
  <c r="I1011" i="2"/>
  <c r="J1011" i="2"/>
  <c r="G1012" i="2"/>
  <c r="H1012" i="2"/>
  <c r="I1012" i="2"/>
  <c r="J1012" i="2"/>
  <c r="G1013" i="2"/>
  <c r="H1013" i="2"/>
  <c r="I1013" i="2"/>
  <c r="J1013" i="2"/>
  <c r="G1014" i="2"/>
  <c r="H1014" i="2"/>
  <c r="I1014" i="2"/>
  <c r="J1014" i="2"/>
  <c r="G1015" i="2"/>
  <c r="H1015" i="2"/>
  <c r="I1015" i="2"/>
  <c r="J1015" i="2"/>
  <c r="G1016" i="2"/>
  <c r="H1016" i="2"/>
  <c r="I1016" i="2"/>
  <c r="J1016" i="2"/>
  <c r="G1017" i="2"/>
  <c r="H1017" i="2"/>
  <c r="I1017" i="2"/>
  <c r="J1017" i="2"/>
  <c r="G1018" i="2"/>
  <c r="H1018" i="2"/>
  <c r="I1018" i="2"/>
  <c r="J1018" i="2"/>
  <c r="G1019" i="2"/>
  <c r="H1019" i="2"/>
  <c r="I1019" i="2"/>
  <c r="J1019" i="2"/>
  <c r="G1020" i="2"/>
  <c r="H1020" i="2"/>
  <c r="I1020" i="2"/>
  <c r="J1020" i="2"/>
  <c r="G1021" i="2"/>
  <c r="H1021" i="2"/>
  <c r="I1021" i="2"/>
  <c r="J1021" i="2"/>
  <c r="G1022" i="2"/>
  <c r="H1022" i="2"/>
  <c r="I1022" i="2"/>
  <c r="J1022" i="2"/>
  <c r="G1023" i="2"/>
  <c r="H1023" i="2"/>
  <c r="I1023" i="2"/>
  <c r="J1023" i="2"/>
  <c r="G1024" i="2"/>
  <c r="H1024" i="2"/>
  <c r="I1024" i="2"/>
  <c r="J1024" i="2"/>
  <c r="G1025" i="2"/>
  <c r="H1025" i="2"/>
  <c r="I1025" i="2"/>
  <c r="J1025" i="2"/>
  <c r="G1026" i="2"/>
  <c r="H1026" i="2"/>
  <c r="I1026" i="2"/>
  <c r="J1026" i="2"/>
  <c r="G1027" i="2"/>
  <c r="H1027" i="2"/>
  <c r="I1027" i="2"/>
  <c r="J1027" i="2"/>
  <c r="G1028" i="2"/>
  <c r="H1028" i="2"/>
  <c r="I1028" i="2"/>
  <c r="J1028" i="2"/>
  <c r="G1029" i="2"/>
  <c r="H1029" i="2"/>
  <c r="I1029" i="2"/>
  <c r="J1029" i="2"/>
  <c r="G1030" i="2"/>
  <c r="H1030" i="2"/>
  <c r="I1030" i="2"/>
  <c r="J1030" i="2"/>
  <c r="G1031" i="2"/>
  <c r="H1031" i="2"/>
  <c r="I1031" i="2"/>
  <c r="J1031" i="2"/>
  <c r="G1032" i="2"/>
  <c r="H1032" i="2"/>
  <c r="I1032" i="2"/>
  <c r="J1032" i="2"/>
  <c r="G1033" i="2"/>
  <c r="H1033" i="2"/>
  <c r="I1033" i="2"/>
  <c r="J1033" i="2"/>
  <c r="G1034" i="2"/>
  <c r="H1034" i="2"/>
  <c r="I1034" i="2"/>
  <c r="J1034" i="2"/>
  <c r="G1035" i="2"/>
  <c r="H1035" i="2"/>
  <c r="I1035" i="2"/>
  <c r="J1035" i="2"/>
  <c r="G1036" i="2"/>
  <c r="H1036" i="2"/>
  <c r="I1036" i="2"/>
  <c r="J1036" i="2"/>
  <c r="G1037" i="2"/>
  <c r="H1037" i="2"/>
  <c r="I1037" i="2"/>
  <c r="J1037" i="2"/>
  <c r="G1038" i="2"/>
  <c r="H1038" i="2"/>
  <c r="I1038" i="2"/>
  <c r="J1038" i="2"/>
  <c r="G1039" i="2"/>
  <c r="H1039" i="2"/>
  <c r="I1039" i="2"/>
  <c r="J1039" i="2"/>
  <c r="G1040" i="2"/>
  <c r="H1040" i="2"/>
  <c r="I1040" i="2"/>
  <c r="J1040" i="2"/>
  <c r="G1041" i="2"/>
  <c r="H1041" i="2"/>
  <c r="I1041" i="2"/>
  <c r="J1041" i="2"/>
  <c r="G1042" i="2"/>
  <c r="H1042" i="2"/>
  <c r="I1042" i="2"/>
  <c r="J1042" i="2"/>
  <c r="G1043" i="2"/>
  <c r="H1043" i="2"/>
  <c r="I1043" i="2"/>
  <c r="J1043" i="2"/>
  <c r="G1044" i="2"/>
  <c r="H1044" i="2"/>
  <c r="I1044" i="2"/>
  <c r="J1044" i="2"/>
  <c r="G1045" i="2"/>
  <c r="H1045" i="2"/>
  <c r="I1045" i="2"/>
  <c r="J1045" i="2"/>
  <c r="G1046" i="2"/>
  <c r="H1046" i="2"/>
  <c r="I1046" i="2"/>
  <c r="J1046" i="2"/>
  <c r="G1047" i="2"/>
  <c r="H1047" i="2"/>
  <c r="I1047" i="2"/>
  <c r="J1047" i="2"/>
  <c r="G1048" i="2"/>
  <c r="H1048" i="2"/>
  <c r="I1048" i="2"/>
  <c r="J1048" i="2"/>
  <c r="G1049" i="2"/>
  <c r="H1049" i="2"/>
  <c r="I1049" i="2"/>
  <c r="J1049" i="2"/>
  <c r="G1050" i="2"/>
  <c r="H1050" i="2"/>
  <c r="I1050" i="2"/>
  <c r="J1050" i="2"/>
  <c r="G1051" i="2"/>
  <c r="H1051" i="2"/>
  <c r="I1051" i="2"/>
  <c r="J1051" i="2"/>
  <c r="G1052" i="2"/>
  <c r="H1052" i="2"/>
  <c r="I1052" i="2"/>
  <c r="J1052" i="2"/>
  <c r="G1053" i="2"/>
  <c r="H1053" i="2"/>
  <c r="I1053" i="2"/>
  <c r="J1053" i="2"/>
  <c r="G1054" i="2"/>
  <c r="H1054" i="2"/>
  <c r="I1054" i="2"/>
  <c r="J1054" i="2"/>
  <c r="G1055" i="2"/>
  <c r="H1055" i="2"/>
  <c r="I1055" i="2"/>
  <c r="J1055" i="2"/>
  <c r="G1056" i="2"/>
  <c r="H1056" i="2"/>
  <c r="I1056" i="2"/>
  <c r="J1056" i="2"/>
  <c r="G1057" i="2"/>
  <c r="H1057" i="2"/>
  <c r="I1057" i="2"/>
  <c r="J1057" i="2"/>
  <c r="G1058" i="2"/>
  <c r="H1058" i="2"/>
  <c r="I1058" i="2"/>
  <c r="J1058" i="2"/>
  <c r="G1059" i="2"/>
  <c r="H1059" i="2"/>
  <c r="I1059" i="2"/>
  <c r="J1059" i="2"/>
  <c r="G1060" i="2"/>
  <c r="H1060" i="2"/>
  <c r="I1060" i="2"/>
  <c r="J1060" i="2"/>
  <c r="G1061" i="2"/>
  <c r="H1061" i="2"/>
  <c r="I1061" i="2"/>
  <c r="J1061" i="2"/>
  <c r="G1062" i="2"/>
  <c r="H1062" i="2"/>
  <c r="I1062" i="2"/>
  <c r="J1062" i="2"/>
  <c r="G1063" i="2"/>
  <c r="H1063" i="2"/>
  <c r="I1063" i="2"/>
  <c r="J1063" i="2"/>
  <c r="G1064" i="2"/>
  <c r="H1064" i="2"/>
  <c r="I1064" i="2"/>
  <c r="J1064" i="2"/>
  <c r="G1065" i="2"/>
  <c r="H1065" i="2"/>
  <c r="I1065" i="2"/>
  <c r="J1065" i="2"/>
  <c r="G1066" i="2"/>
  <c r="H1066" i="2"/>
  <c r="I1066" i="2"/>
  <c r="J1066" i="2"/>
  <c r="G1067" i="2"/>
  <c r="H1067" i="2"/>
  <c r="I1067" i="2"/>
  <c r="J1067" i="2"/>
  <c r="G1068" i="2"/>
  <c r="H1068" i="2"/>
  <c r="I1068" i="2"/>
  <c r="J1068" i="2"/>
  <c r="G1069" i="2"/>
  <c r="H1069" i="2"/>
  <c r="I1069" i="2"/>
  <c r="J1069" i="2"/>
  <c r="G1070" i="2"/>
  <c r="H1070" i="2"/>
  <c r="I1070" i="2"/>
  <c r="J1070" i="2"/>
  <c r="G1071" i="2"/>
  <c r="H1071" i="2"/>
  <c r="I1071" i="2"/>
  <c r="J1071" i="2"/>
  <c r="G1072" i="2"/>
  <c r="H1072" i="2"/>
  <c r="I1072" i="2"/>
  <c r="J1072" i="2"/>
  <c r="G1073" i="2"/>
  <c r="H1073" i="2"/>
  <c r="I1073" i="2"/>
  <c r="J1073" i="2"/>
  <c r="G1074" i="2"/>
  <c r="H1074" i="2"/>
  <c r="I1074" i="2"/>
  <c r="J1074" i="2"/>
  <c r="G1075" i="2"/>
  <c r="H1075" i="2"/>
  <c r="I1075" i="2"/>
  <c r="J1075" i="2"/>
  <c r="G1076" i="2"/>
  <c r="H1076" i="2"/>
  <c r="I1076" i="2"/>
  <c r="J1076" i="2"/>
  <c r="G1077" i="2"/>
  <c r="H1077" i="2"/>
  <c r="I1077" i="2"/>
  <c r="J1077" i="2"/>
  <c r="G1078" i="2"/>
  <c r="H1078" i="2"/>
  <c r="I1078" i="2"/>
  <c r="J1078" i="2"/>
  <c r="G1079" i="2"/>
  <c r="H1079" i="2"/>
  <c r="I1079" i="2"/>
  <c r="J1079" i="2"/>
  <c r="G1080" i="2"/>
  <c r="H1080" i="2"/>
  <c r="I1080" i="2"/>
  <c r="J1080" i="2"/>
  <c r="G1081" i="2"/>
  <c r="H1081" i="2"/>
  <c r="I1081" i="2"/>
  <c r="J1081" i="2"/>
  <c r="G1082" i="2"/>
  <c r="H1082" i="2"/>
  <c r="I1082" i="2"/>
  <c r="J1082" i="2"/>
  <c r="G1083" i="2"/>
  <c r="H1083" i="2"/>
  <c r="I1083" i="2"/>
  <c r="J1083" i="2"/>
  <c r="G1084" i="2"/>
  <c r="H1084" i="2"/>
  <c r="I1084" i="2"/>
  <c r="J1084" i="2"/>
  <c r="G1085" i="2"/>
  <c r="H1085" i="2"/>
  <c r="I1085" i="2"/>
  <c r="J1085" i="2"/>
  <c r="G1086" i="2"/>
  <c r="H1086" i="2"/>
  <c r="I1086" i="2"/>
  <c r="J1086" i="2"/>
  <c r="G1087" i="2"/>
  <c r="H1087" i="2"/>
  <c r="I1087" i="2"/>
  <c r="J1087" i="2"/>
  <c r="G1088" i="2"/>
  <c r="H1088" i="2"/>
  <c r="I1088" i="2"/>
  <c r="J1088" i="2"/>
  <c r="G1089" i="2"/>
  <c r="H1089" i="2"/>
  <c r="I1089" i="2"/>
  <c r="J1089" i="2"/>
  <c r="G1090" i="2"/>
  <c r="H1090" i="2"/>
  <c r="I1090" i="2"/>
  <c r="J1090" i="2"/>
  <c r="G1091" i="2"/>
  <c r="H1091" i="2"/>
  <c r="I1091" i="2"/>
  <c r="J1091" i="2"/>
  <c r="G1092" i="2"/>
  <c r="H1092" i="2"/>
  <c r="I1092" i="2"/>
  <c r="J1092" i="2"/>
  <c r="G1093" i="2"/>
  <c r="H1093" i="2"/>
  <c r="I1093" i="2"/>
  <c r="J1093" i="2"/>
  <c r="G1094" i="2"/>
  <c r="H1094" i="2"/>
  <c r="I1094" i="2"/>
  <c r="J1094" i="2"/>
  <c r="G1095" i="2"/>
  <c r="H1095" i="2"/>
  <c r="I1095" i="2"/>
  <c r="J1095" i="2"/>
  <c r="G1096" i="2"/>
  <c r="H1096" i="2"/>
  <c r="I1096" i="2"/>
  <c r="J1096" i="2"/>
  <c r="G1097" i="2"/>
  <c r="H1097" i="2"/>
  <c r="I1097" i="2"/>
  <c r="J1097" i="2"/>
  <c r="G1098" i="2"/>
  <c r="H1098" i="2"/>
  <c r="I1098" i="2"/>
  <c r="J1098" i="2"/>
  <c r="G1099" i="2"/>
  <c r="H1099" i="2"/>
  <c r="I1099" i="2"/>
  <c r="J1099" i="2"/>
  <c r="G1100" i="2"/>
  <c r="H1100" i="2"/>
  <c r="I1100" i="2"/>
  <c r="J1100" i="2"/>
  <c r="G1101" i="2"/>
  <c r="H1101" i="2"/>
  <c r="I1101" i="2"/>
  <c r="J1101" i="2"/>
  <c r="G1102" i="2"/>
  <c r="H1102" i="2"/>
  <c r="I1102" i="2"/>
  <c r="J1102" i="2"/>
  <c r="G1103" i="2"/>
  <c r="H1103" i="2"/>
  <c r="I1103" i="2"/>
  <c r="J1103" i="2"/>
  <c r="G1104" i="2"/>
  <c r="H1104" i="2"/>
  <c r="I1104" i="2"/>
  <c r="J1104" i="2"/>
  <c r="G1105" i="2"/>
  <c r="H1105" i="2"/>
  <c r="I1105" i="2"/>
  <c r="J1105" i="2"/>
  <c r="G1106" i="2"/>
  <c r="H1106" i="2"/>
  <c r="I1106" i="2"/>
  <c r="J1106" i="2"/>
  <c r="G1107" i="2"/>
  <c r="H1107" i="2"/>
  <c r="I1107" i="2"/>
  <c r="J1107" i="2"/>
  <c r="G1108" i="2"/>
  <c r="H1108" i="2"/>
  <c r="I1108" i="2"/>
  <c r="J1108" i="2"/>
  <c r="G1109" i="2"/>
  <c r="H1109" i="2"/>
  <c r="I1109" i="2"/>
  <c r="J1109" i="2"/>
  <c r="G1110" i="2"/>
  <c r="H1110" i="2"/>
  <c r="I1110" i="2"/>
  <c r="J1110" i="2"/>
  <c r="G1111" i="2"/>
  <c r="H1111" i="2"/>
  <c r="I1111" i="2"/>
  <c r="J1111" i="2"/>
  <c r="G1112" i="2"/>
  <c r="H1112" i="2"/>
  <c r="I1112" i="2"/>
  <c r="J1112" i="2"/>
  <c r="G1113" i="2"/>
  <c r="H1113" i="2"/>
  <c r="I1113" i="2"/>
  <c r="J1113" i="2"/>
  <c r="G1114" i="2"/>
  <c r="H1114" i="2"/>
  <c r="I1114" i="2"/>
  <c r="J1114" i="2"/>
  <c r="G1115" i="2"/>
  <c r="H1115" i="2"/>
  <c r="I1115" i="2"/>
  <c r="J1115" i="2"/>
  <c r="G1116" i="2"/>
  <c r="H1116" i="2"/>
  <c r="I1116" i="2"/>
  <c r="J1116" i="2"/>
  <c r="G1117" i="2"/>
  <c r="H1117" i="2"/>
  <c r="I1117" i="2"/>
  <c r="J1117" i="2"/>
  <c r="G1118" i="2"/>
  <c r="H1118" i="2"/>
  <c r="I1118" i="2"/>
  <c r="J1118" i="2"/>
  <c r="G1119" i="2"/>
  <c r="H1119" i="2"/>
  <c r="I1119" i="2"/>
  <c r="J1119" i="2"/>
  <c r="G1120" i="2"/>
  <c r="H1120" i="2"/>
  <c r="I1120" i="2"/>
  <c r="J1120" i="2"/>
  <c r="G1121" i="2"/>
  <c r="H1121" i="2"/>
  <c r="I1121" i="2"/>
  <c r="J1121" i="2"/>
  <c r="G1122" i="2"/>
  <c r="H1122" i="2"/>
  <c r="I1122" i="2"/>
  <c r="J1122" i="2"/>
  <c r="G1123" i="2"/>
  <c r="H1123" i="2"/>
  <c r="I1123" i="2"/>
  <c r="J1123" i="2"/>
  <c r="G1124" i="2"/>
  <c r="H1124" i="2"/>
  <c r="I1124" i="2"/>
  <c r="J1124" i="2"/>
  <c r="G1125" i="2"/>
  <c r="H1125" i="2"/>
  <c r="I1125" i="2"/>
  <c r="J1125" i="2"/>
  <c r="G1126" i="2"/>
  <c r="H1126" i="2"/>
  <c r="I1126" i="2"/>
  <c r="J1126" i="2"/>
  <c r="G1127" i="2"/>
  <c r="H1127" i="2"/>
  <c r="I1127" i="2"/>
  <c r="J1127" i="2"/>
  <c r="G1128" i="2"/>
  <c r="H1128" i="2"/>
  <c r="I1128" i="2"/>
  <c r="J1128" i="2"/>
  <c r="G1129" i="2"/>
  <c r="H1129" i="2"/>
  <c r="I1129" i="2"/>
  <c r="J1129" i="2"/>
  <c r="G1130" i="2"/>
  <c r="H1130" i="2"/>
  <c r="I1130" i="2"/>
  <c r="J1130" i="2"/>
  <c r="G1131" i="2"/>
  <c r="H1131" i="2"/>
  <c r="I1131" i="2"/>
  <c r="J1131" i="2"/>
  <c r="G1132" i="2"/>
  <c r="H1132" i="2"/>
  <c r="I1132" i="2"/>
  <c r="J1132" i="2"/>
  <c r="G1133" i="2"/>
  <c r="H1133" i="2"/>
  <c r="I1133" i="2"/>
  <c r="J1133" i="2"/>
  <c r="G1134" i="2"/>
  <c r="H1134" i="2"/>
  <c r="I1134" i="2"/>
  <c r="J1134" i="2"/>
  <c r="G1135" i="2"/>
  <c r="H1135" i="2"/>
  <c r="I1135" i="2"/>
  <c r="J1135" i="2"/>
  <c r="G1136" i="2"/>
  <c r="H1136" i="2"/>
  <c r="I1136" i="2"/>
  <c r="J1136" i="2"/>
  <c r="G1137" i="2"/>
  <c r="H1137" i="2"/>
  <c r="I1137" i="2"/>
  <c r="J1137" i="2"/>
  <c r="G1138" i="2"/>
  <c r="H1138" i="2"/>
  <c r="I1138" i="2"/>
  <c r="J1138" i="2"/>
  <c r="G1139" i="2"/>
  <c r="H1139" i="2"/>
  <c r="I1139" i="2"/>
  <c r="J1139" i="2"/>
  <c r="G1140" i="2"/>
  <c r="H1140" i="2"/>
  <c r="I1140" i="2"/>
  <c r="J1140" i="2"/>
  <c r="G1141" i="2"/>
  <c r="H1141" i="2"/>
  <c r="I1141" i="2"/>
  <c r="J1141" i="2"/>
  <c r="G1142" i="2"/>
  <c r="H1142" i="2"/>
  <c r="I1142" i="2"/>
  <c r="J1142" i="2"/>
  <c r="G1143" i="2"/>
  <c r="H1143" i="2"/>
  <c r="I1143" i="2"/>
  <c r="J1143" i="2"/>
  <c r="G1144" i="2"/>
  <c r="H1144" i="2"/>
  <c r="I1144" i="2"/>
  <c r="J1144" i="2"/>
  <c r="G1145" i="2"/>
  <c r="H1145" i="2"/>
  <c r="I1145" i="2"/>
  <c r="J1145" i="2"/>
  <c r="G1146" i="2"/>
  <c r="H1146" i="2"/>
  <c r="I1146" i="2"/>
  <c r="J1146" i="2"/>
  <c r="G1147" i="2"/>
  <c r="H1147" i="2"/>
  <c r="I1147" i="2"/>
  <c r="J1147" i="2"/>
  <c r="G1148" i="2"/>
  <c r="H1148" i="2"/>
  <c r="I1148" i="2"/>
  <c r="J1148" i="2"/>
  <c r="G1149" i="2"/>
  <c r="H1149" i="2"/>
  <c r="I1149" i="2"/>
  <c r="J1149" i="2"/>
  <c r="G1150" i="2"/>
  <c r="H1150" i="2"/>
  <c r="I1150" i="2"/>
  <c r="J1150" i="2"/>
  <c r="G1151" i="2"/>
  <c r="H1151" i="2"/>
  <c r="I1151" i="2"/>
  <c r="J1151" i="2"/>
  <c r="G1152" i="2"/>
  <c r="H1152" i="2"/>
  <c r="I1152" i="2"/>
  <c r="J1152" i="2"/>
  <c r="G1153" i="2"/>
  <c r="H1153" i="2"/>
  <c r="I1153" i="2"/>
  <c r="J1153" i="2"/>
  <c r="G1154" i="2"/>
  <c r="H1154" i="2"/>
  <c r="I1154" i="2"/>
  <c r="J1154" i="2"/>
  <c r="G1155" i="2"/>
  <c r="H1155" i="2"/>
  <c r="I1155" i="2"/>
  <c r="J1155" i="2"/>
  <c r="G1156" i="2"/>
  <c r="H1156" i="2"/>
  <c r="I1156" i="2"/>
  <c r="J1156" i="2"/>
  <c r="G1157" i="2"/>
  <c r="H1157" i="2"/>
  <c r="I1157" i="2"/>
  <c r="J1157" i="2"/>
  <c r="G1158" i="2"/>
  <c r="H1158" i="2"/>
  <c r="I1158" i="2"/>
  <c r="J1158" i="2"/>
  <c r="G1159" i="2"/>
  <c r="H1159" i="2"/>
  <c r="I1159" i="2"/>
  <c r="J1159" i="2"/>
  <c r="G1160" i="2"/>
  <c r="H1160" i="2"/>
  <c r="I1160" i="2"/>
  <c r="J1160" i="2"/>
  <c r="G1161" i="2"/>
  <c r="H1161" i="2"/>
  <c r="I1161" i="2"/>
  <c r="J1161" i="2"/>
  <c r="G1162" i="2"/>
  <c r="H1162" i="2"/>
  <c r="I1162" i="2"/>
  <c r="J1162" i="2"/>
  <c r="G1163" i="2"/>
  <c r="H1163" i="2"/>
  <c r="I1163" i="2"/>
  <c r="J1163" i="2"/>
  <c r="G1164" i="2"/>
  <c r="H1164" i="2"/>
  <c r="I1164" i="2"/>
  <c r="J1164" i="2"/>
  <c r="G1165" i="2"/>
  <c r="H1165" i="2"/>
  <c r="I1165" i="2"/>
  <c r="J1165" i="2"/>
  <c r="G1166" i="2"/>
  <c r="H1166" i="2"/>
  <c r="I1166" i="2"/>
  <c r="J1166" i="2"/>
  <c r="G1167" i="2"/>
  <c r="H1167" i="2"/>
  <c r="I1167" i="2"/>
  <c r="J1167" i="2"/>
  <c r="G1168" i="2"/>
  <c r="H1168" i="2"/>
  <c r="I1168" i="2"/>
  <c r="J1168" i="2"/>
  <c r="G1169" i="2"/>
  <c r="H1169" i="2"/>
  <c r="I1169" i="2"/>
  <c r="J1169" i="2"/>
  <c r="G1170" i="2"/>
  <c r="H1170" i="2"/>
  <c r="I1170" i="2"/>
  <c r="J1170" i="2"/>
  <c r="G1171" i="2"/>
  <c r="H1171" i="2"/>
  <c r="I1171" i="2"/>
  <c r="J1171" i="2"/>
  <c r="G1172" i="2"/>
  <c r="H1172" i="2"/>
  <c r="I1172" i="2"/>
  <c r="J1172" i="2"/>
  <c r="G1173" i="2"/>
  <c r="H1173" i="2"/>
  <c r="I1173" i="2"/>
  <c r="J1173" i="2"/>
  <c r="G1174" i="2"/>
  <c r="H1174" i="2"/>
  <c r="I1174" i="2"/>
  <c r="J1174" i="2"/>
  <c r="G1175" i="2"/>
  <c r="H1175" i="2"/>
  <c r="I1175" i="2"/>
  <c r="J1175" i="2"/>
  <c r="G1176" i="2"/>
  <c r="H1176" i="2"/>
  <c r="I1176" i="2"/>
  <c r="J1176" i="2"/>
  <c r="G1177" i="2"/>
  <c r="H1177" i="2"/>
  <c r="I1177" i="2"/>
  <c r="J1177" i="2"/>
  <c r="G1178" i="2"/>
  <c r="H1178" i="2"/>
  <c r="I1178" i="2"/>
  <c r="J1178" i="2"/>
  <c r="G1179" i="2"/>
  <c r="H1179" i="2"/>
  <c r="I1179" i="2"/>
  <c r="J1179" i="2"/>
  <c r="G1180" i="2"/>
  <c r="H1180" i="2"/>
  <c r="I1180" i="2"/>
  <c r="J1180" i="2"/>
  <c r="G1181" i="2"/>
  <c r="H1181" i="2"/>
  <c r="I1181" i="2"/>
  <c r="J1181" i="2"/>
  <c r="G1182" i="2"/>
  <c r="H1182" i="2"/>
  <c r="I1182" i="2"/>
  <c r="J1182" i="2"/>
  <c r="G1183" i="2"/>
  <c r="H1183" i="2"/>
  <c r="I1183" i="2"/>
  <c r="J1183" i="2"/>
  <c r="G1184" i="2"/>
  <c r="H1184" i="2"/>
  <c r="I1184" i="2"/>
  <c r="J1184" i="2"/>
  <c r="G1185" i="2"/>
  <c r="H1185" i="2"/>
  <c r="I1185" i="2"/>
  <c r="J1185" i="2"/>
  <c r="G1186" i="2"/>
  <c r="H1186" i="2"/>
  <c r="I1186" i="2"/>
  <c r="J1186" i="2"/>
  <c r="G1187" i="2"/>
  <c r="H1187" i="2"/>
  <c r="I1187" i="2"/>
  <c r="J1187" i="2"/>
  <c r="G1188" i="2"/>
  <c r="H1188" i="2"/>
  <c r="I1188" i="2"/>
  <c r="J1188" i="2"/>
  <c r="G1189" i="2"/>
  <c r="H1189" i="2"/>
  <c r="I1189" i="2"/>
  <c r="J1189" i="2"/>
  <c r="G1190" i="2"/>
  <c r="H1190" i="2"/>
  <c r="I1190" i="2"/>
  <c r="J1190" i="2"/>
  <c r="G1191" i="2"/>
  <c r="H1191" i="2"/>
  <c r="I1191" i="2"/>
  <c r="J1191" i="2"/>
  <c r="G1192" i="2"/>
  <c r="H1192" i="2"/>
  <c r="I1192" i="2"/>
  <c r="J1192" i="2"/>
  <c r="G1193" i="2"/>
  <c r="H1193" i="2"/>
  <c r="I1193" i="2"/>
  <c r="J1193" i="2"/>
  <c r="G1194" i="2"/>
  <c r="H1194" i="2"/>
  <c r="I1194" i="2"/>
  <c r="J1194" i="2"/>
  <c r="G1195" i="2"/>
  <c r="H1195" i="2"/>
  <c r="I1195" i="2"/>
  <c r="J1195" i="2"/>
  <c r="G1196" i="2"/>
  <c r="H1196" i="2"/>
  <c r="I1196" i="2"/>
  <c r="J1196" i="2"/>
  <c r="G1197" i="2"/>
  <c r="H1197" i="2"/>
  <c r="I1197" i="2"/>
  <c r="J1197" i="2"/>
  <c r="G1198" i="2"/>
  <c r="H1198" i="2"/>
  <c r="I1198" i="2"/>
  <c r="J1198" i="2"/>
  <c r="G1199" i="2"/>
  <c r="H1199" i="2"/>
  <c r="I1199" i="2"/>
  <c r="J1199" i="2"/>
  <c r="G1200" i="2"/>
  <c r="H1200" i="2"/>
  <c r="I1200" i="2"/>
  <c r="J1200" i="2"/>
  <c r="G1201" i="2"/>
  <c r="H1201" i="2"/>
  <c r="I1201" i="2"/>
  <c r="J1201" i="2"/>
  <c r="G1202" i="2"/>
  <c r="H1202" i="2"/>
  <c r="I1202" i="2"/>
  <c r="J1202" i="2"/>
  <c r="G1203" i="2"/>
  <c r="H1203" i="2"/>
  <c r="I1203" i="2"/>
  <c r="J1203" i="2"/>
  <c r="G1204" i="2"/>
  <c r="H1204" i="2"/>
  <c r="I1204" i="2"/>
  <c r="J1204" i="2"/>
  <c r="G1205" i="2"/>
  <c r="H1205" i="2"/>
  <c r="I1205" i="2"/>
  <c r="J1205" i="2"/>
  <c r="G1206" i="2"/>
  <c r="H1206" i="2"/>
  <c r="I1206" i="2"/>
  <c r="J1206" i="2"/>
  <c r="G1207" i="2"/>
  <c r="H1207" i="2"/>
  <c r="I1207" i="2"/>
  <c r="J1207" i="2"/>
  <c r="G1208" i="2"/>
  <c r="H1208" i="2"/>
  <c r="I1208" i="2"/>
  <c r="J1208" i="2"/>
  <c r="G1209" i="2"/>
  <c r="H1209" i="2"/>
  <c r="I1209" i="2"/>
  <c r="J1209" i="2"/>
  <c r="G1210" i="2"/>
  <c r="H1210" i="2"/>
  <c r="I1210" i="2"/>
  <c r="J1210" i="2"/>
  <c r="G1211" i="2"/>
  <c r="H1211" i="2"/>
  <c r="I1211" i="2"/>
  <c r="J1211" i="2"/>
  <c r="G1212" i="2"/>
  <c r="H1212" i="2"/>
  <c r="I1212" i="2"/>
  <c r="J1212" i="2"/>
  <c r="G1213" i="2"/>
  <c r="H1213" i="2"/>
  <c r="I1213" i="2"/>
  <c r="J1213" i="2"/>
  <c r="G1214" i="2"/>
  <c r="H1214" i="2"/>
  <c r="I1214" i="2"/>
  <c r="J1214" i="2"/>
  <c r="G1215" i="2"/>
  <c r="H1215" i="2"/>
  <c r="I1215" i="2"/>
  <c r="J1215" i="2"/>
  <c r="G1216" i="2"/>
  <c r="H1216" i="2"/>
  <c r="I1216" i="2"/>
  <c r="J1216" i="2"/>
  <c r="G1217" i="2"/>
  <c r="H1217" i="2"/>
  <c r="I1217" i="2"/>
  <c r="J1217" i="2"/>
  <c r="G1218" i="2"/>
  <c r="H1218" i="2"/>
  <c r="I1218" i="2"/>
  <c r="J1218" i="2"/>
  <c r="G1219" i="2"/>
  <c r="H1219" i="2"/>
  <c r="I1219" i="2"/>
  <c r="J1219" i="2"/>
  <c r="G1220" i="2"/>
  <c r="H1220" i="2"/>
  <c r="I1220" i="2"/>
  <c r="J1220" i="2"/>
  <c r="G1221" i="2"/>
  <c r="H1221" i="2"/>
  <c r="I1221" i="2"/>
  <c r="J1221" i="2"/>
  <c r="G1222" i="2"/>
  <c r="H1222" i="2"/>
  <c r="I1222" i="2"/>
  <c r="J1222" i="2"/>
  <c r="G1223" i="2"/>
  <c r="H1223" i="2"/>
  <c r="I1223" i="2"/>
  <c r="J1223" i="2"/>
  <c r="G1224" i="2"/>
  <c r="H1224" i="2"/>
  <c r="I1224" i="2"/>
  <c r="J1224" i="2"/>
  <c r="G1225" i="2"/>
  <c r="H1225" i="2"/>
  <c r="I1225" i="2"/>
  <c r="J1225" i="2"/>
  <c r="G1226" i="2"/>
  <c r="H1226" i="2"/>
  <c r="I1226" i="2"/>
  <c r="J1226" i="2"/>
  <c r="G1227" i="2"/>
  <c r="H1227" i="2"/>
  <c r="I1227" i="2"/>
  <c r="J1227" i="2"/>
  <c r="G1228" i="2"/>
  <c r="H1228" i="2"/>
  <c r="I1228" i="2"/>
  <c r="J1228" i="2"/>
  <c r="G1229" i="2"/>
  <c r="H1229" i="2"/>
  <c r="I1229" i="2"/>
  <c r="J1229" i="2"/>
  <c r="G1230" i="2"/>
  <c r="H1230" i="2"/>
  <c r="I1230" i="2"/>
  <c r="J1230" i="2"/>
  <c r="G1231" i="2"/>
  <c r="H1231" i="2"/>
  <c r="I1231" i="2"/>
  <c r="J1231" i="2"/>
  <c r="G1232" i="2"/>
  <c r="H1232" i="2"/>
  <c r="I1232" i="2"/>
  <c r="J1232" i="2"/>
  <c r="G1233" i="2"/>
  <c r="H1233" i="2"/>
  <c r="I1233" i="2"/>
  <c r="J1233" i="2"/>
  <c r="G1234" i="2"/>
  <c r="H1234" i="2"/>
  <c r="I1234" i="2"/>
  <c r="J1234" i="2"/>
  <c r="G1235" i="2"/>
  <c r="H1235" i="2"/>
  <c r="I1235" i="2"/>
  <c r="J1235" i="2"/>
  <c r="G1236" i="2"/>
  <c r="H1236" i="2"/>
  <c r="I1236" i="2"/>
  <c r="J1236" i="2"/>
  <c r="G1237" i="2"/>
  <c r="H1237" i="2"/>
  <c r="I1237" i="2"/>
  <c r="J1237" i="2"/>
  <c r="G1238" i="2"/>
  <c r="H1238" i="2"/>
  <c r="I1238" i="2"/>
  <c r="J1238" i="2"/>
  <c r="G1239" i="2"/>
  <c r="H1239" i="2"/>
  <c r="I1239" i="2"/>
  <c r="J1239" i="2"/>
  <c r="G1240" i="2"/>
  <c r="H1240" i="2"/>
  <c r="I1240" i="2"/>
  <c r="J1240" i="2"/>
  <c r="G1241" i="2"/>
  <c r="H1241" i="2"/>
  <c r="I1241" i="2"/>
  <c r="J1241" i="2"/>
  <c r="G1242" i="2"/>
  <c r="H1242" i="2"/>
  <c r="I1242" i="2"/>
  <c r="J1242" i="2"/>
  <c r="G1243" i="2"/>
  <c r="H1243" i="2"/>
  <c r="I1243" i="2"/>
  <c r="J1243" i="2"/>
  <c r="G1244" i="2"/>
  <c r="H1244" i="2"/>
  <c r="I1244" i="2"/>
  <c r="J1244" i="2"/>
  <c r="G1245" i="2"/>
  <c r="H1245" i="2"/>
  <c r="I1245" i="2"/>
  <c r="J1245" i="2"/>
  <c r="G1246" i="2"/>
  <c r="H1246" i="2"/>
  <c r="I1246" i="2"/>
  <c r="J1246" i="2"/>
  <c r="G1247" i="2"/>
  <c r="H1247" i="2"/>
  <c r="I1247" i="2"/>
  <c r="J1247" i="2"/>
  <c r="G1248" i="2"/>
  <c r="H1248" i="2"/>
  <c r="I1248" i="2"/>
  <c r="J1248" i="2"/>
  <c r="G1249" i="2"/>
  <c r="H1249" i="2"/>
  <c r="I1249" i="2"/>
  <c r="J1249" i="2"/>
  <c r="G1250" i="2"/>
  <c r="H1250" i="2"/>
  <c r="I1250" i="2"/>
  <c r="J1250" i="2"/>
  <c r="G1251" i="2"/>
  <c r="H1251" i="2"/>
  <c r="I1251" i="2"/>
  <c r="J1251" i="2"/>
  <c r="G1252" i="2"/>
  <c r="H1252" i="2"/>
  <c r="I1252" i="2"/>
  <c r="J1252" i="2"/>
  <c r="G1253" i="2"/>
  <c r="H1253" i="2"/>
  <c r="I1253" i="2"/>
  <c r="J1253" i="2"/>
  <c r="G1254" i="2"/>
  <c r="H1254" i="2"/>
  <c r="I1254" i="2"/>
  <c r="J1254" i="2"/>
  <c r="G1255" i="2"/>
  <c r="H1255" i="2"/>
  <c r="I1255" i="2"/>
  <c r="J1255" i="2"/>
  <c r="G1256" i="2"/>
  <c r="H1256" i="2"/>
  <c r="I1256" i="2"/>
  <c r="J1256" i="2"/>
  <c r="G1257" i="2"/>
  <c r="H1257" i="2"/>
  <c r="I1257" i="2"/>
  <c r="J1257" i="2"/>
  <c r="G1258" i="2"/>
  <c r="H1258" i="2"/>
  <c r="I1258" i="2"/>
  <c r="J1258" i="2"/>
  <c r="G1259" i="2"/>
  <c r="H1259" i="2"/>
  <c r="I1259" i="2"/>
  <c r="J1259" i="2"/>
  <c r="G1260" i="2"/>
  <c r="H1260" i="2"/>
  <c r="I1260" i="2"/>
  <c r="J1260" i="2"/>
  <c r="G1261" i="2"/>
  <c r="H1261" i="2"/>
  <c r="I1261" i="2"/>
  <c r="J1261" i="2"/>
  <c r="G1262" i="2"/>
  <c r="H1262" i="2"/>
  <c r="I1262" i="2"/>
  <c r="J1262" i="2"/>
  <c r="G1263" i="2"/>
  <c r="H1263" i="2"/>
  <c r="I1263" i="2"/>
  <c r="J1263" i="2"/>
  <c r="G1264" i="2"/>
  <c r="H1264" i="2"/>
  <c r="I1264" i="2"/>
  <c r="J1264" i="2"/>
  <c r="G1265" i="2"/>
  <c r="H1265" i="2"/>
  <c r="I1265" i="2"/>
  <c r="J1265" i="2"/>
  <c r="G1266" i="2"/>
  <c r="H1266" i="2"/>
  <c r="I1266" i="2"/>
  <c r="J1266" i="2"/>
  <c r="G1267" i="2"/>
  <c r="H1267" i="2"/>
  <c r="I1267" i="2"/>
  <c r="J1267" i="2"/>
  <c r="G1268" i="2"/>
  <c r="H1268" i="2"/>
  <c r="I1268" i="2"/>
  <c r="J1268" i="2"/>
  <c r="G1269" i="2"/>
  <c r="H1269" i="2"/>
  <c r="I1269" i="2"/>
  <c r="J1269" i="2"/>
  <c r="G1270" i="2"/>
  <c r="H1270" i="2"/>
  <c r="I1270" i="2"/>
  <c r="J1270" i="2"/>
  <c r="G1271" i="2"/>
  <c r="H1271" i="2"/>
  <c r="I1271" i="2"/>
  <c r="J1271" i="2"/>
  <c r="G1272" i="2"/>
  <c r="H1272" i="2"/>
  <c r="I1272" i="2"/>
  <c r="J1272" i="2"/>
  <c r="G1273" i="2"/>
  <c r="H1273" i="2"/>
  <c r="I1273" i="2"/>
  <c r="J1273" i="2"/>
  <c r="G1274" i="2"/>
  <c r="H1274" i="2"/>
  <c r="I1274" i="2"/>
  <c r="J1274" i="2"/>
  <c r="G1275" i="2"/>
  <c r="H1275" i="2"/>
  <c r="I1275" i="2"/>
  <c r="J1275" i="2"/>
  <c r="G1276" i="2"/>
  <c r="H1276" i="2"/>
  <c r="I1276" i="2"/>
  <c r="J1276" i="2"/>
  <c r="G1277" i="2"/>
  <c r="H1277" i="2"/>
  <c r="I1277" i="2"/>
  <c r="J1277" i="2"/>
  <c r="G1278" i="2"/>
  <c r="H1278" i="2"/>
  <c r="I1278" i="2"/>
  <c r="J1278" i="2"/>
  <c r="G1279" i="2"/>
  <c r="H1279" i="2"/>
  <c r="I1279" i="2"/>
  <c r="J1279" i="2"/>
  <c r="G1280" i="2"/>
  <c r="H1280" i="2"/>
  <c r="I1280" i="2"/>
  <c r="J1280" i="2"/>
  <c r="G1281" i="2"/>
  <c r="H1281" i="2"/>
  <c r="I1281" i="2"/>
  <c r="J1281" i="2"/>
  <c r="G1282" i="2"/>
  <c r="H1282" i="2"/>
  <c r="I1282" i="2"/>
  <c r="J1282" i="2"/>
  <c r="G1283" i="2"/>
  <c r="H1283" i="2"/>
  <c r="I1283" i="2"/>
  <c r="J1283" i="2"/>
  <c r="G1284" i="2"/>
  <c r="H1284" i="2"/>
  <c r="I1284" i="2"/>
  <c r="J1284" i="2"/>
  <c r="G1285" i="2"/>
  <c r="H1285" i="2"/>
  <c r="I1285" i="2"/>
  <c r="J1285" i="2"/>
  <c r="G1286" i="2"/>
  <c r="H1286" i="2"/>
  <c r="I1286" i="2"/>
  <c r="J1286" i="2"/>
  <c r="G1287" i="2"/>
  <c r="H1287" i="2"/>
  <c r="I1287" i="2"/>
  <c r="J1287" i="2"/>
  <c r="G1288" i="2"/>
  <c r="H1288" i="2"/>
  <c r="I1288" i="2"/>
  <c r="J1288" i="2"/>
  <c r="G1289" i="2"/>
  <c r="H1289" i="2"/>
  <c r="I1289" i="2"/>
  <c r="J1289" i="2"/>
  <c r="G1290" i="2"/>
  <c r="H1290" i="2"/>
  <c r="I1290" i="2"/>
  <c r="J1290" i="2"/>
  <c r="G1291" i="2"/>
  <c r="H1291" i="2"/>
  <c r="I1291" i="2"/>
  <c r="J1291" i="2"/>
  <c r="G1292" i="2"/>
  <c r="H1292" i="2"/>
  <c r="I1292" i="2"/>
  <c r="J1292" i="2"/>
  <c r="G1293" i="2"/>
  <c r="H1293" i="2"/>
  <c r="I1293" i="2"/>
  <c r="J1293" i="2"/>
  <c r="G1294" i="2"/>
  <c r="H1294" i="2"/>
  <c r="I1294" i="2"/>
  <c r="J1294" i="2"/>
  <c r="G1295" i="2"/>
  <c r="H1295" i="2"/>
  <c r="I1295" i="2"/>
  <c r="J1295" i="2"/>
  <c r="G1296" i="2"/>
  <c r="H1296" i="2"/>
  <c r="I1296" i="2"/>
  <c r="J1296" i="2"/>
  <c r="G1297" i="2"/>
  <c r="H1297" i="2"/>
  <c r="I1297" i="2"/>
  <c r="J1297" i="2"/>
  <c r="G1298" i="2"/>
  <c r="H1298" i="2"/>
  <c r="I1298" i="2"/>
  <c r="J1298" i="2"/>
  <c r="G1299" i="2"/>
  <c r="H1299" i="2"/>
  <c r="I1299" i="2"/>
  <c r="J1299" i="2"/>
  <c r="G1300" i="2"/>
  <c r="H1300" i="2"/>
  <c r="I1300" i="2"/>
  <c r="J1300" i="2"/>
  <c r="G1301" i="2"/>
  <c r="H1301" i="2"/>
  <c r="I1301" i="2"/>
  <c r="J1301" i="2"/>
  <c r="G1302" i="2"/>
  <c r="H1302" i="2"/>
  <c r="I1302" i="2"/>
  <c r="J1302" i="2"/>
  <c r="G1303" i="2"/>
  <c r="H1303" i="2"/>
  <c r="I1303" i="2"/>
  <c r="J1303" i="2"/>
  <c r="G1304" i="2"/>
  <c r="H1304" i="2"/>
  <c r="I1304" i="2"/>
  <c r="J1304" i="2"/>
  <c r="G1305" i="2"/>
  <c r="H1305" i="2"/>
  <c r="I1305" i="2"/>
  <c r="J1305" i="2"/>
  <c r="G1306" i="2"/>
  <c r="H1306" i="2"/>
  <c r="I1306" i="2"/>
  <c r="J1306" i="2"/>
  <c r="G1307" i="2"/>
  <c r="H1307" i="2"/>
  <c r="I1307" i="2"/>
  <c r="J1307" i="2"/>
  <c r="G1308" i="2"/>
  <c r="H1308" i="2"/>
  <c r="I1308" i="2"/>
  <c r="J1308" i="2"/>
  <c r="G1309" i="2"/>
  <c r="H1309" i="2"/>
  <c r="I1309" i="2"/>
  <c r="J1309" i="2"/>
  <c r="G1310" i="2"/>
  <c r="H1310" i="2"/>
  <c r="I1310" i="2"/>
  <c r="J1310" i="2"/>
  <c r="G1311" i="2"/>
  <c r="H1311" i="2"/>
  <c r="I1311" i="2"/>
  <c r="J1311" i="2"/>
  <c r="G1312" i="2"/>
  <c r="H1312" i="2"/>
  <c r="I1312" i="2"/>
  <c r="J1312" i="2"/>
  <c r="G1313" i="2"/>
  <c r="H1313" i="2"/>
  <c r="I1313" i="2"/>
  <c r="J1313" i="2"/>
  <c r="G1314" i="2"/>
  <c r="H1314" i="2"/>
  <c r="I1314" i="2"/>
  <c r="J1314" i="2"/>
  <c r="G1315" i="2"/>
  <c r="H1315" i="2"/>
  <c r="I1315" i="2"/>
  <c r="J1315" i="2"/>
  <c r="G1316" i="2"/>
  <c r="H1316" i="2"/>
  <c r="I1316" i="2"/>
  <c r="J1316" i="2"/>
  <c r="G1317" i="2"/>
  <c r="H1317" i="2"/>
  <c r="I1317" i="2"/>
  <c r="J1317" i="2"/>
  <c r="G1318" i="2"/>
  <c r="H1318" i="2"/>
  <c r="I1318" i="2"/>
  <c r="J1318" i="2"/>
  <c r="G1319" i="2"/>
  <c r="H1319" i="2"/>
  <c r="I1319" i="2"/>
  <c r="J1319" i="2"/>
  <c r="G1320" i="2"/>
  <c r="H1320" i="2"/>
  <c r="I1320" i="2"/>
  <c r="J1320" i="2"/>
  <c r="G1321" i="2"/>
  <c r="H1321" i="2"/>
  <c r="I1321" i="2"/>
  <c r="J1321" i="2"/>
  <c r="G1322" i="2"/>
  <c r="H1322" i="2"/>
  <c r="I1322" i="2"/>
  <c r="J1322" i="2"/>
  <c r="G1323" i="2"/>
  <c r="H1323" i="2"/>
  <c r="I1323" i="2"/>
  <c r="J1323" i="2"/>
  <c r="G1324" i="2"/>
  <c r="H1324" i="2"/>
  <c r="I1324" i="2"/>
  <c r="J1324" i="2"/>
  <c r="G1325" i="2"/>
  <c r="H1325" i="2"/>
  <c r="I1325" i="2"/>
  <c r="J1325" i="2"/>
  <c r="G1326" i="2"/>
  <c r="H1326" i="2"/>
  <c r="I1326" i="2"/>
  <c r="J1326" i="2"/>
  <c r="G1327" i="2"/>
  <c r="H1327" i="2"/>
  <c r="I1327" i="2"/>
  <c r="J1327" i="2"/>
  <c r="G1328" i="2"/>
  <c r="H1328" i="2"/>
  <c r="I1328" i="2"/>
  <c r="J1328" i="2"/>
  <c r="G1329" i="2"/>
  <c r="H1329" i="2"/>
  <c r="I1329" i="2"/>
  <c r="J1329" i="2"/>
  <c r="G1330" i="2"/>
  <c r="H1330" i="2"/>
  <c r="I1330" i="2"/>
  <c r="J1330" i="2"/>
  <c r="G1331" i="2"/>
  <c r="H1331" i="2"/>
  <c r="I1331" i="2"/>
  <c r="J1331" i="2"/>
  <c r="G1332" i="2"/>
  <c r="H1332" i="2"/>
  <c r="I1332" i="2"/>
  <c r="J1332" i="2"/>
  <c r="G1333" i="2"/>
  <c r="H1333" i="2"/>
  <c r="I1333" i="2"/>
  <c r="J1333" i="2"/>
  <c r="G1334" i="2"/>
  <c r="H1334" i="2"/>
  <c r="I1334" i="2"/>
  <c r="J1334" i="2"/>
  <c r="G1335" i="2"/>
  <c r="H1335" i="2"/>
  <c r="I1335" i="2"/>
  <c r="J1335" i="2"/>
  <c r="G1336" i="2"/>
  <c r="H1336" i="2"/>
  <c r="I1336" i="2"/>
  <c r="J1336" i="2"/>
  <c r="G1337" i="2"/>
  <c r="H1337" i="2"/>
  <c r="I1337" i="2"/>
  <c r="J1337" i="2"/>
  <c r="G1338" i="2"/>
  <c r="H1338" i="2"/>
  <c r="I1338" i="2"/>
  <c r="J1338" i="2"/>
  <c r="G1339" i="2"/>
  <c r="H1339" i="2"/>
  <c r="I1339" i="2"/>
  <c r="J1339" i="2"/>
  <c r="G1340" i="2"/>
  <c r="H1340" i="2"/>
  <c r="I1340" i="2"/>
  <c r="J1340" i="2"/>
  <c r="G1341" i="2"/>
  <c r="H1341" i="2"/>
  <c r="I1341" i="2"/>
  <c r="J1341" i="2"/>
  <c r="G1342" i="2"/>
  <c r="H1342" i="2"/>
  <c r="I1342" i="2"/>
  <c r="J1342" i="2"/>
  <c r="G1343" i="2"/>
  <c r="H1343" i="2"/>
  <c r="I1343" i="2"/>
  <c r="J1343" i="2"/>
  <c r="G1344" i="2"/>
  <c r="H1344" i="2"/>
  <c r="I1344" i="2"/>
  <c r="J1344" i="2"/>
  <c r="G1345" i="2"/>
  <c r="H1345" i="2"/>
  <c r="I1345" i="2"/>
  <c r="J1345" i="2"/>
  <c r="G1346" i="2"/>
  <c r="H1346" i="2"/>
  <c r="I1346" i="2"/>
  <c r="J1346" i="2"/>
  <c r="G1347" i="2"/>
  <c r="H1347" i="2"/>
  <c r="I1347" i="2"/>
  <c r="J1347" i="2"/>
  <c r="G1348" i="2"/>
  <c r="H1348" i="2"/>
  <c r="I1348" i="2"/>
  <c r="J1348" i="2"/>
  <c r="G1349" i="2"/>
  <c r="H1349" i="2"/>
  <c r="I1349" i="2"/>
  <c r="J1349" i="2"/>
  <c r="G1350" i="2"/>
  <c r="H1350" i="2"/>
  <c r="I1350" i="2"/>
  <c r="J1350" i="2"/>
  <c r="G1351" i="2"/>
  <c r="H1351" i="2"/>
  <c r="I1351" i="2"/>
  <c r="J1351" i="2"/>
  <c r="G1352" i="2"/>
  <c r="H1352" i="2"/>
  <c r="I1352" i="2"/>
  <c r="J1352" i="2"/>
  <c r="G1353" i="2"/>
  <c r="H1353" i="2"/>
  <c r="I1353" i="2"/>
  <c r="J1353" i="2"/>
  <c r="G1354" i="2"/>
  <c r="H1354" i="2"/>
  <c r="I1354" i="2"/>
  <c r="J1354" i="2"/>
  <c r="G1355" i="2"/>
  <c r="H1355" i="2"/>
  <c r="I1355" i="2"/>
  <c r="J1355" i="2"/>
  <c r="G1356" i="2"/>
  <c r="H1356" i="2"/>
  <c r="I1356" i="2"/>
  <c r="J1356" i="2"/>
  <c r="G1357" i="2"/>
  <c r="H1357" i="2"/>
  <c r="I1357" i="2"/>
  <c r="J1357" i="2"/>
  <c r="G1358" i="2"/>
  <c r="H1358" i="2"/>
  <c r="I1358" i="2"/>
  <c r="J1358" i="2"/>
  <c r="G1359" i="2"/>
  <c r="H1359" i="2"/>
  <c r="I1359" i="2"/>
  <c r="J1359" i="2"/>
  <c r="G1360" i="2"/>
  <c r="H1360" i="2"/>
  <c r="I1360" i="2"/>
  <c r="J1360" i="2"/>
  <c r="G1361" i="2"/>
  <c r="H1361" i="2"/>
  <c r="I1361" i="2"/>
  <c r="J1361" i="2"/>
  <c r="G1362" i="2"/>
  <c r="H1362" i="2"/>
  <c r="I1362" i="2"/>
  <c r="J1362" i="2"/>
  <c r="G1363" i="2"/>
  <c r="H1363" i="2"/>
  <c r="I1363" i="2"/>
  <c r="J1363" i="2"/>
  <c r="G1364" i="2"/>
  <c r="H1364" i="2"/>
  <c r="I1364" i="2"/>
  <c r="J1364" i="2"/>
  <c r="G1365" i="2"/>
  <c r="H1365" i="2"/>
  <c r="I1365" i="2"/>
  <c r="J1365" i="2"/>
  <c r="G1366" i="2"/>
  <c r="H1366" i="2"/>
  <c r="I1366" i="2"/>
  <c r="J1366" i="2"/>
  <c r="G1367" i="2"/>
  <c r="H1367" i="2"/>
  <c r="I1367" i="2"/>
  <c r="J1367" i="2"/>
  <c r="G1368" i="2"/>
  <c r="H1368" i="2"/>
  <c r="I1368" i="2"/>
  <c r="J1368" i="2"/>
  <c r="G1369" i="2"/>
  <c r="H1369" i="2"/>
  <c r="I1369" i="2"/>
  <c r="J1369" i="2"/>
  <c r="G1370" i="2"/>
  <c r="H1370" i="2"/>
  <c r="I1370" i="2"/>
  <c r="J1370" i="2"/>
  <c r="G1371" i="2"/>
  <c r="H1371" i="2"/>
  <c r="I1371" i="2"/>
  <c r="J1371" i="2"/>
  <c r="G1372" i="2"/>
  <c r="H1372" i="2"/>
  <c r="I1372" i="2"/>
  <c r="J1372" i="2"/>
  <c r="G1373" i="2"/>
  <c r="H1373" i="2"/>
  <c r="I1373" i="2"/>
  <c r="J1373" i="2"/>
  <c r="G1374" i="2"/>
  <c r="H1374" i="2"/>
  <c r="I1374" i="2"/>
  <c r="J1374" i="2"/>
  <c r="G1375" i="2"/>
  <c r="H1375" i="2"/>
  <c r="I1375" i="2"/>
  <c r="J1375" i="2"/>
  <c r="G1376" i="2"/>
  <c r="H1376" i="2"/>
  <c r="I1376" i="2"/>
  <c r="J1376" i="2"/>
  <c r="G1377" i="2"/>
  <c r="H1377" i="2"/>
  <c r="I1377" i="2"/>
  <c r="J1377" i="2"/>
  <c r="G1378" i="2"/>
  <c r="H1378" i="2"/>
  <c r="I1378" i="2"/>
  <c r="J1378" i="2"/>
  <c r="G1379" i="2"/>
  <c r="H1379" i="2"/>
  <c r="I1379" i="2"/>
  <c r="J1379" i="2"/>
  <c r="G1380" i="2"/>
  <c r="H1380" i="2"/>
  <c r="I1380" i="2"/>
  <c r="J1380" i="2"/>
  <c r="G1381" i="2"/>
  <c r="H1381" i="2"/>
  <c r="I1381" i="2"/>
  <c r="J1381" i="2"/>
  <c r="G1382" i="2"/>
  <c r="H1382" i="2"/>
  <c r="I1382" i="2"/>
  <c r="J1382" i="2"/>
  <c r="G1383" i="2"/>
  <c r="H1383" i="2"/>
  <c r="I1383" i="2"/>
  <c r="J1383" i="2"/>
  <c r="G1384" i="2"/>
  <c r="H1384" i="2"/>
  <c r="I1384" i="2"/>
  <c r="J1384" i="2"/>
  <c r="G1385" i="2"/>
  <c r="H1385" i="2"/>
  <c r="I1385" i="2"/>
  <c r="J1385" i="2"/>
  <c r="G1386" i="2"/>
  <c r="H1386" i="2"/>
  <c r="I1386" i="2"/>
  <c r="J1386" i="2"/>
  <c r="G1387" i="2"/>
  <c r="H1387" i="2"/>
  <c r="I1387" i="2"/>
  <c r="J1387" i="2"/>
  <c r="G1388" i="2"/>
  <c r="H1388" i="2"/>
  <c r="I1388" i="2"/>
  <c r="J1388" i="2"/>
  <c r="G1389" i="2"/>
  <c r="H1389" i="2"/>
  <c r="I1389" i="2"/>
  <c r="J1389" i="2"/>
  <c r="G1390" i="2"/>
  <c r="H1390" i="2"/>
  <c r="I1390" i="2"/>
  <c r="J1390" i="2"/>
  <c r="G1391" i="2"/>
  <c r="H1391" i="2"/>
  <c r="I1391" i="2"/>
  <c r="J1391" i="2"/>
  <c r="G1392" i="2"/>
  <c r="H1392" i="2"/>
  <c r="I1392" i="2"/>
  <c r="J1392" i="2"/>
  <c r="G1393" i="2"/>
  <c r="H1393" i="2"/>
  <c r="I1393" i="2"/>
  <c r="J1393" i="2"/>
  <c r="G1394" i="2"/>
  <c r="H1394" i="2"/>
  <c r="I1394" i="2"/>
  <c r="J1394" i="2"/>
  <c r="G1395" i="2"/>
  <c r="H1395" i="2"/>
  <c r="I1395" i="2"/>
  <c r="J1395" i="2"/>
  <c r="G1396" i="2"/>
  <c r="H1396" i="2"/>
  <c r="I1396" i="2"/>
  <c r="J1396" i="2"/>
  <c r="G1397" i="2"/>
  <c r="H1397" i="2"/>
  <c r="I1397" i="2"/>
  <c r="J1397" i="2"/>
  <c r="G1398" i="2"/>
  <c r="H1398" i="2"/>
  <c r="I1398" i="2"/>
  <c r="J1398" i="2"/>
  <c r="G1399" i="2"/>
  <c r="H1399" i="2"/>
  <c r="I1399" i="2"/>
  <c r="J1399" i="2"/>
  <c r="G1400" i="2"/>
  <c r="H1400" i="2"/>
  <c r="I1400" i="2"/>
  <c r="J1400" i="2"/>
  <c r="G1401" i="2"/>
  <c r="H1401" i="2"/>
  <c r="I1401" i="2"/>
  <c r="J1401" i="2"/>
  <c r="G1402" i="2"/>
  <c r="H1402" i="2"/>
  <c r="I1402" i="2"/>
  <c r="J1402" i="2"/>
  <c r="G1403" i="2"/>
  <c r="H1403" i="2"/>
  <c r="I1403" i="2"/>
  <c r="J1403" i="2"/>
  <c r="G1404" i="2"/>
  <c r="H1404" i="2"/>
  <c r="I1404" i="2"/>
  <c r="J1404" i="2"/>
  <c r="G1405" i="2"/>
  <c r="H1405" i="2"/>
  <c r="I1405" i="2"/>
  <c r="J1405" i="2"/>
  <c r="G1406" i="2"/>
  <c r="H1406" i="2"/>
  <c r="I1406" i="2"/>
  <c r="J1406" i="2"/>
  <c r="G1407" i="2"/>
  <c r="H1407" i="2"/>
  <c r="I1407" i="2"/>
  <c r="J1407" i="2"/>
  <c r="G1408" i="2"/>
  <c r="H1408" i="2"/>
  <c r="I1408" i="2"/>
  <c r="J1408" i="2"/>
  <c r="G1409" i="2"/>
  <c r="H1409" i="2"/>
  <c r="I1409" i="2"/>
  <c r="J1409" i="2"/>
  <c r="G1410" i="2"/>
  <c r="H1410" i="2"/>
  <c r="I1410" i="2"/>
  <c r="J1410" i="2"/>
  <c r="G1411" i="2"/>
  <c r="H1411" i="2"/>
  <c r="I1411" i="2"/>
  <c r="J1411" i="2"/>
  <c r="G1412" i="2"/>
  <c r="H1412" i="2"/>
  <c r="I1412" i="2"/>
  <c r="J1412" i="2"/>
  <c r="G1413" i="2"/>
  <c r="H1413" i="2"/>
  <c r="I1413" i="2"/>
  <c r="J1413" i="2"/>
  <c r="G1414" i="2"/>
  <c r="H1414" i="2"/>
  <c r="I1414" i="2"/>
  <c r="J1414" i="2"/>
  <c r="G1415" i="2"/>
  <c r="H1415" i="2"/>
  <c r="I1415" i="2"/>
  <c r="J1415" i="2"/>
  <c r="G1416" i="2"/>
  <c r="H1416" i="2"/>
  <c r="I1416" i="2"/>
  <c r="J1416" i="2"/>
  <c r="G1417" i="2"/>
  <c r="H1417" i="2"/>
  <c r="I1417" i="2"/>
  <c r="J1417" i="2"/>
  <c r="G1418" i="2"/>
  <c r="H1418" i="2"/>
  <c r="I1418" i="2"/>
  <c r="J1418" i="2"/>
  <c r="G1419" i="2"/>
  <c r="H1419" i="2"/>
  <c r="I1419" i="2"/>
  <c r="J1419" i="2"/>
  <c r="G1420" i="2"/>
  <c r="H1420" i="2"/>
  <c r="I1420" i="2"/>
  <c r="J1420" i="2"/>
  <c r="G1421" i="2"/>
  <c r="H1421" i="2"/>
  <c r="I1421" i="2"/>
  <c r="J1421" i="2"/>
  <c r="G1422" i="2"/>
  <c r="H1422" i="2"/>
  <c r="I1422" i="2"/>
  <c r="J1422" i="2"/>
  <c r="G1423" i="2"/>
  <c r="H1423" i="2"/>
  <c r="I1423" i="2"/>
  <c r="J1423" i="2"/>
  <c r="G1424" i="2"/>
  <c r="H1424" i="2"/>
  <c r="I1424" i="2"/>
  <c r="J1424" i="2"/>
  <c r="G1425" i="2"/>
  <c r="H1425" i="2"/>
  <c r="I1425" i="2"/>
  <c r="J1425" i="2"/>
  <c r="G1426" i="2"/>
  <c r="H1426" i="2"/>
  <c r="I1426" i="2"/>
  <c r="J1426" i="2"/>
  <c r="G1427" i="2"/>
  <c r="H1427" i="2"/>
  <c r="I1427" i="2"/>
  <c r="J1427" i="2"/>
  <c r="G1428" i="2"/>
  <c r="H1428" i="2"/>
  <c r="I1428" i="2"/>
  <c r="J1428" i="2"/>
  <c r="G1429" i="2"/>
  <c r="H1429" i="2"/>
  <c r="I1429" i="2"/>
  <c r="J1429" i="2"/>
  <c r="G1430" i="2"/>
  <c r="H1430" i="2"/>
  <c r="I1430" i="2"/>
  <c r="J1430" i="2"/>
  <c r="G1431" i="2"/>
  <c r="H1431" i="2"/>
  <c r="I1431" i="2"/>
  <c r="J1431" i="2"/>
  <c r="G1432" i="2"/>
  <c r="H1432" i="2"/>
  <c r="I1432" i="2"/>
  <c r="J1432" i="2"/>
  <c r="G1433" i="2"/>
  <c r="H1433" i="2"/>
  <c r="I1433" i="2"/>
  <c r="J1433" i="2"/>
  <c r="G1434" i="2"/>
  <c r="H1434" i="2"/>
  <c r="I1434" i="2"/>
  <c r="J1434" i="2"/>
  <c r="G1435" i="2"/>
  <c r="H1435" i="2"/>
  <c r="I1435" i="2"/>
  <c r="J1435" i="2"/>
  <c r="G1436" i="2"/>
  <c r="H1436" i="2"/>
  <c r="I1436" i="2"/>
  <c r="J1436" i="2"/>
  <c r="G1437" i="2"/>
  <c r="H1437" i="2"/>
  <c r="I1437" i="2"/>
  <c r="J1437" i="2"/>
  <c r="G1438" i="2"/>
  <c r="H1438" i="2"/>
  <c r="I1438" i="2"/>
  <c r="J1438" i="2"/>
  <c r="G1439" i="2"/>
  <c r="H1439" i="2"/>
  <c r="I1439" i="2"/>
  <c r="J1439" i="2"/>
  <c r="G1440" i="2"/>
  <c r="H1440" i="2"/>
  <c r="I1440" i="2"/>
  <c r="J1440" i="2"/>
  <c r="G1441" i="2"/>
  <c r="H1441" i="2"/>
  <c r="I1441" i="2"/>
  <c r="J1441" i="2"/>
  <c r="G1442" i="2"/>
  <c r="H1442" i="2"/>
  <c r="I1442" i="2"/>
  <c r="J1442" i="2"/>
  <c r="G1443" i="2"/>
  <c r="H1443" i="2"/>
  <c r="I1443" i="2"/>
  <c r="J1443" i="2"/>
  <c r="G1444" i="2"/>
  <c r="H1444" i="2"/>
  <c r="I1444" i="2"/>
  <c r="J1444" i="2"/>
  <c r="G1445" i="2"/>
  <c r="H1445" i="2"/>
  <c r="I1445" i="2"/>
  <c r="J1445" i="2"/>
  <c r="G1446" i="2"/>
  <c r="H1446" i="2"/>
  <c r="I1446" i="2"/>
  <c r="J1446" i="2"/>
  <c r="G1447" i="2"/>
  <c r="H1447" i="2"/>
  <c r="I1447" i="2"/>
  <c r="J1447" i="2"/>
  <c r="G1448" i="2"/>
  <c r="H1448" i="2"/>
  <c r="I1448" i="2"/>
  <c r="J1448" i="2"/>
  <c r="G1449" i="2"/>
  <c r="H1449" i="2"/>
  <c r="I1449" i="2"/>
  <c r="J1449" i="2"/>
  <c r="G1450" i="2"/>
  <c r="H1450" i="2"/>
  <c r="I1450" i="2"/>
  <c r="J1450" i="2"/>
  <c r="G1451" i="2"/>
  <c r="H1451" i="2"/>
  <c r="I1451" i="2"/>
  <c r="J1451" i="2"/>
  <c r="G1452" i="2"/>
  <c r="H1452" i="2"/>
  <c r="I1452" i="2"/>
  <c r="J1452" i="2"/>
  <c r="G1453" i="2"/>
  <c r="H1453" i="2"/>
  <c r="I1453" i="2"/>
  <c r="J1453" i="2"/>
  <c r="G1454" i="2"/>
  <c r="H1454" i="2"/>
  <c r="I1454" i="2"/>
  <c r="J1454" i="2"/>
  <c r="G1455" i="2"/>
  <c r="H1455" i="2"/>
  <c r="I1455" i="2"/>
  <c r="J1455" i="2"/>
  <c r="G1456" i="2"/>
  <c r="H1456" i="2"/>
  <c r="I1456" i="2"/>
  <c r="J1456" i="2"/>
  <c r="G1457" i="2"/>
  <c r="H1457" i="2"/>
  <c r="I1457" i="2"/>
  <c r="J1457" i="2"/>
  <c r="G1458" i="2"/>
  <c r="H1458" i="2"/>
  <c r="I1458" i="2"/>
  <c r="J1458" i="2"/>
  <c r="G1459" i="2"/>
  <c r="H1459" i="2"/>
  <c r="I1459" i="2"/>
  <c r="J1459" i="2"/>
  <c r="G1460" i="2"/>
  <c r="H1460" i="2"/>
  <c r="I1460" i="2"/>
  <c r="J1460" i="2"/>
  <c r="G1461" i="2"/>
  <c r="H1461" i="2"/>
  <c r="I1461" i="2"/>
  <c r="J1461" i="2"/>
  <c r="G1462" i="2"/>
  <c r="H1462" i="2"/>
  <c r="I1462" i="2"/>
  <c r="J1462" i="2"/>
  <c r="G1463" i="2"/>
  <c r="H1463" i="2"/>
  <c r="I1463" i="2"/>
  <c r="J1463" i="2"/>
  <c r="G1464" i="2"/>
  <c r="H1464" i="2"/>
  <c r="I1464" i="2"/>
  <c r="J1464" i="2"/>
  <c r="G1465" i="2"/>
  <c r="H1465" i="2"/>
  <c r="I1465" i="2"/>
  <c r="J1465" i="2"/>
  <c r="G1466" i="2"/>
  <c r="H1466" i="2"/>
  <c r="I1466" i="2"/>
  <c r="J1466" i="2"/>
  <c r="G1467" i="2"/>
  <c r="H1467" i="2"/>
  <c r="I1467" i="2"/>
  <c r="J1467" i="2"/>
  <c r="G1468" i="2"/>
  <c r="H1468" i="2"/>
  <c r="I1468" i="2"/>
  <c r="J1468" i="2"/>
  <c r="G1469" i="2"/>
  <c r="H1469" i="2"/>
  <c r="I1469" i="2"/>
  <c r="J1469" i="2"/>
  <c r="G1470" i="2"/>
  <c r="H1470" i="2"/>
  <c r="I1470" i="2"/>
  <c r="J1470" i="2"/>
  <c r="G1471" i="2"/>
  <c r="H1471" i="2"/>
  <c r="I1471" i="2"/>
  <c r="J1471" i="2"/>
  <c r="G1472" i="2"/>
  <c r="H1472" i="2"/>
  <c r="I1472" i="2"/>
  <c r="J1472" i="2"/>
  <c r="G1473" i="2"/>
  <c r="H1473" i="2"/>
  <c r="I1473" i="2"/>
  <c r="J1473" i="2"/>
  <c r="G1474" i="2"/>
  <c r="H1474" i="2"/>
  <c r="I1474" i="2"/>
  <c r="J1474" i="2"/>
  <c r="G1475" i="2"/>
  <c r="H1475" i="2"/>
  <c r="I1475" i="2"/>
  <c r="J1475" i="2"/>
  <c r="G1476" i="2"/>
  <c r="H1476" i="2"/>
  <c r="I1476" i="2"/>
  <c r="J1476" i="2"/>
  <c r="G1477" i="2"/>
  <c r="H1477" i="2"/>
  <c r="I1477" i="2"/>
  <c r="J1477" i="2"/>
  <c r="G1478" i="2"/>
  <c r="H1478" i="2"/>
  <c r="I1478" i="2"/>
  <c r="J1478" i="2"/>
  <c r="G1479" i="2"/>
  <c r="H1479" i="2"/>
  <c r="I1479" i="2"/>
  <c r="J1479" i="2"/>
  <c r="G1480" i="2"/>
  <c r="H1480" i="2"/>
  <c r="I1480" i="2"/>
  <c r="J1480" i="2"/>
  <c r="G1481" i="2"/>
  <c r="H1481" i="2"/>
  <c r="I1481" i="2"/>
  <c r="J1481" i="2"/>
  <c r="G1482" i="2"/>
  <c r="H1482" i="2"/>
  <c r="I1482" i="2"/>
  <c r="J1482" i="2"/>
  <c r="G1483" i="2"/>
  <c r="H1483" i="2"/>
  <c r="I1483" i="2"/>
  <c r="J1483" i="2"/>
  <c r="G1484" i="2"/>
  <c r="H1484" i="2"/>
  <c r="I1484" i="2"/>
  <c r="J1484" i="2"/>
  <c r="G1485" i="2"/>
  <c r="H1485" i="2"/>
  <c r="I1485" i="2"/>
  <c r="J1485" i="2"/>
  <c r="G1486" i="2"/>
  <c r="H1486" i="2"/>
  <c r="I1486" i="2"/>
  <c r="J1486" i="2"/>
  <c r="G1487" i="2"/>
  <c r="H1487" i="2"/>
  <c r="I1487" i="2"/>
  <c r="J1487" i="2"/>
  <c r="G1488" i="2"/>
  <c r="H1488" i="2"/>
  <c r="I1488" i="2"/>
  <c r="J1488" i="2"/>
  <c r="G1489" i="2"/>
  <c r="H1489" i="2"/>
  <c r="I1489" i="2"/>
  <c r="J1489" i="2"/>
  <c r="G1490" i="2"/>
  <c r="H1490" i="2"/>
  <c r="I1490" i="2"/>
  <c r="J1490" i="2"/>
  <c r="G1491" i="2"/>
  <c r="H1491" i="2"/>
  <c r="I1491" i="2"/>
  <c r="J1491" i="2"/>
  <c r="G1492" i="2"/>
  <c r="H1492" i="2"/>
  <c r="I1492" i="2"/>
  <c r="J1492" i="2"/>
  <c r="G1493" i="2"/>
  <c r="H1493" i="2"/>
  <c r="I1493" i="2"/>
  <c r="J1493" i="2"/>
  <c r="G1494" i="2"/>
  <c r="H1494" i="2"/>
  <c r="I1494" i="2"/>
  <c r="J1494" i="2"/>
  <c r="G1495" i="2"/>
  <c r="H1495" i="2"/>
  <c r="I1495" i="2"/>
  <c r="J1495" i="2"/>
  <c r="G1496" i="2"/>
  <c r="H1496" i="2"/>
  <c r="I1496" i="2"/>
  <c r="J1496" i="2"/>
  <c r="G1497" i="2"/>
  <c r="H1497" i="2"/>
  <c r="I1497" i="2"/>
  <c r="J1497" i="2"/>
  <c r="G1498" i="2"/>
  <c r="H1498" i="2"/>
  <c r="I1498" i="2"/>
  <c r="J1498" i="2"/>
  <c r="G1499" i="2"/>
  <c r="H1499" i="2"/>
  <c r="I1499" i="2"/>
  <c r="J1499" i="2"/>
  <c r="G1500" i="2"/>
  <c r="H1500" i="2"/>
  <c r="I1500" i="2"/>
  <c r="J1500" i="2"/>
  <c r="G1501" i="2"/>
  <c r="H1501" i="2"/>
  <c r="I1501" i="2"/>
  <c r="J1501" i="2"/>
  <c r="G1502" i="2"/>
  <c r="H1502" i="2"/>
  <c r="I1502" i="2"/>
  <c r="J1502" i="2"/>
  <c r="G1503" i="2"/>
  <c r="H1503" i="2"/>
  <c r="I1503" i="2"/>
  <c r="J1503" i="2"/>
  <c r="G1504" i="2"/>
  <c r="H1504" i="2"/>
  <c r="I1504" i="2"/>
  <c r="J1504" i="2"/>
  <c r="G1505" i="2"/>
  <c r="H1505" i="2"/>
  <c r="I1505" i="2"/>
  <c r="J1505" i="2"/>
  <c r="G1506" i="2"/>
  <c r="H1506" i="2"/>
  <c r="I1506" i="2"/>
  <c r="J1506" i="2"/>
  <c r="G1507" i="2"/>
  <c r="H1507" i="2"/>
  <c r="I1507" i="2"/>
  <c r="J1507" i="2"/>
  <c r="G1508" i="2"/>
  <c r="H1508" i="2"/>
  <c r="I1508" i="2"/>
  <c r="J1508" i="2"/>
  <c r="G1509" i="2"/>
  <c r="H1509" i="2"/>
  <c r="I1509" i="2"/>
  <c r="J1509" i="2"/>
  <c r="G1510" i="2"/>
  <c r="H1510" i="2"/>
  <c r="I1510" i="2"/>
  <c r="J1510" i="2"/>
  <c r="G1511" i="2"/>
  <c r="H1511" i="2"/>
  <c r="I1511" i="2"/>
  <c r="J1511" i="2"/>
  <c r="G1512" i="2"/>
  <c r="H1512" i="2"/>
  <c r="I1512" i="2"/>
  <c r="J1512" i="2"/>
  <c r="G1513" i="2"/>
  <c r="H1513" i="2"/>
  <c r="I1513" i="2"/>
  <c r="J1513" i="2"/>
  <c r="G1514" i="2"/>
  <c r="H1514" i="2"/>
  <c r="I1514" i="2"/>
  <c r="J1514" i="2"/>
  <c r="G1515" i="2"/>
  <c r="H1515" i="2"/>
  <c r="I1515" i="2"/>
  <c r="J1515" i="2"/>
  <c r="G1516" i="2"/>
  <c r="H1516" i="2"/>
  <c r="I1516" i="2"/>
  <c r="J1516" i="2"/>
  <c r="G1517" i="2"/>
  <c r="H1517" i="2"/>
  <c r="I1517" i="2"/>
  <c r="J1517" i="2"/>
  <c r="G1518" i="2"/>
  <c r="H1518" i="2"/>
  <c r="I1518" i="2"/>
  <c r="J1518" i="2"/>
  <c r="G1519" i="2"/>
  <c r="H1519" i="2"/>
  <c r="I1519" i="2"/>
  <c r="J1519" i="2"/>
  <c r="G1520" i="2"/>
  <c r="H1520" i="2"/>
  <c r="I1520" i="2"/>
  <c r="J1520" i="2"/>
  <c r="G1521" i="2"/>
  <c r="H1521" i="2"/>
  <c r="I1521" i="2"/>
  <c r="J1521" i="2"/>
  <c r="G1522" i="2"/>
  <c r="H1522" i="2"/>
  <c r="I1522" i="2"/>
  <c r="J1522" i="2"/>
  <c r="G1523" i="2"/>
  <c r="H1523" i="2"/>
  <c r="I1523" i="2"/>
  <c r="J1523" i="2"/>
  <c r="G1524" i="2"/>
  <c r="H1524" i="2"/>
  <c r="I1524" i="2"/>
  <c r="J1524" i="2"/>
  <c r="G1525" i="2"/>
  <c r="H1525" i="2"/>
  <c r="I1525" i="2"/>
  <c r="J1525" i="2"/>
  <c r="G1526" i="2"/>
  <c r="H1526" i="2"/>
  <c r="I1526" i="2"/>
  <c r="J1526" i="2"/>
  <c r="G1527" i="2"/>
  <c r="H1527" i="2"/>
  <c r="I1527" i="2"/>
  <c r="J1527" i="2"/>
  <c r="G1528" i="2"/>
  <c r="H1528" i="2"/>
  <c r="I1528" i="2"/>
  <c r="J1528" i="2"/>
  <c r="G1529" i="2"/>
  <c r="H1529" i="2"/>
  <c r="I1529" i="2"/>
  <c r="J1529" i="2"/>
  <c r="G1530" i="2"/>
  <c r="H1530" i="2"/>
  <c r="I1530" i="2"/>
  <c r="J1530" i="2"/>
  <c r="G1531" i="2"/>
  <c r="H1531" i="2"/>
  <c r="I1531" i="2"/>
  <c r="J1531" i="2"/>
  <c r="G1532" i="2"/>
  <c r="H1532" i="2"/>
  <c r="I1532" i="2"/>
  <c r="J1532" i="2"/>
  <c r="G1533" i="2"/>
  <c r="H1533" i="2"/>
  <c r="I1533" i="2"/>
  <c r="J1533" i="2"/>
  <c r="G1534" i="2"/>
  <c r="H1534" i="2"/>
  <c r="I1534" i="2"/>
  <c r="J1534" i="2"/>
  <c r="G1535" i="2"/>
  <c r="H1535" i="2"/>
  <c r="I1535" i="2"/>
  <c r="J1535" i="2"/>
  <c r="G1536" i="2"/>
  <c r="H1536" i="2"/>
  <c r="I1536" i="2"/>
  <c r="J1536" i="2"/>
  <c r="G1537" i="2"/>
  <c r="H1537" i="2"/>
  <c r="I1537" i="2"/>
  <c r="J1537" i="2"/>
  <c r="G1538" i="2"/>
  <c r="H1538" i="2"/>
  <c r="I1538" i="2"/>
  <c r="J1538" i="2"/>
  <c r="G1539" i="2"/>
  <c r="H1539" i="2"/>
  <c r="I1539" i="2"/>
  <c r="J1539" i="2"/>
  <c r="G1540" i="2"/>
  <c r="H1540" i="2"/>
  <c r="I1540" i="2"/>
  <c r="J1540" i="2"/>
  <c r="G1541" i="2"/>
  <c r="H1541" i="2"/>
  <c r="I1541" i="2"/>
  <c r="J1541" i="2"/>
  <c r="G1542" i="2"/>
  <c r="H1542" i="2"/>
  <c r="I1542" i="2"/>
  <c r="J1542" i="2"/>
  <c r="G1543" i="2"/>
  <c r="H1543" i="2"/>
  <c r="I1543" i="2"/>
  <c r="J1543" i="2"/>
  <c r="G1544" i="2"/>
  <c r="H1544" i="2"/>
  <c r="I1544" i="2"/>
  <c r="J1544" i="2"/>
  <c r="G1545" i="2"/>
  <c r="H1545" i="2"/>
  <c r="I1545" i="2"/>
  <c r="J1545" i="2"/>
  <c r="G1546" i="2"/>
  <c r="H1546" i="2"/>
  <c r="I1546" i="2"/>
  <c r="J1546" i="2"/>
  <c r="G1547" i="2"/>
  <c r="H1547" i="2"/>
  <c r="I1547" i="2"/>
  <c r="J1547" i="2"/>
  <c r="G1548" i="2"/>
  <c r="H1548" i="2"/>
  <c r="I1548" i="2"/>
  <c r="J1548" i="2"/>
  <c r="G1549" i="2"/>
  <c r="H1549" i="2"/>
  <c r="I1549" i="2"/>
  <c r="J1549" i="2"/>
  <c r="G1550" i="2"/>
  <c r="H1550" i="2"/>
  <c r="I1550" i="2"/>
  <c r="J1550" i="2"/>
  <c r="G1551" i="2"/>
  <c r="H1551" i="2"/>
  <c r="I1551" i="2"/>
  <c r="J1551" i="2"/>
  <c r="G1552" i="2"/>
  <c r="H1552" i="2"/>
  <c r="I1552" i="2"/>
  <c r="J1552" i="2"/>
  <c r="G1553" i="2"/>
  <c r="H1553" i="2"/>
  <c r="I1553" i="2"/>
  <c r="J1553" i="2"/>
  <c r="G1554" i="2"/>
  <c r="H1554" i="2"/>
  <c r="I1554" i="2"/>
  <c r="J1554" i="2"/>
  <c r="G1555" i="2"/>
  <c r="H1555" i="2"/>
  <c r="I1555" i="2"/>
  <c r="J1555" i="2"/>
  <c r="G1556" i="2"/>
  <c r="H1556" i="2"/>
  <c r="I1556" i="2"/>
  <c r="J1556" i="2"/>
  <c r="G1557" i="2"/>
  <c r="H1557" i="2"/>
  <c r="I1557" i="2"/>
  <c r="J1557" i="2"/>
  <c r="G1558" i="2"/>
  <c r="H1558" i="2"/>
  <c r="I1558" i="2"/>
  <c r="J1558" i="2"/>
  <c r="G1559" i="2"/>
  <c r="H1559" i="2"/>
  <c r="I1559" i="2"/>
  <c r="J1559" i="2"/>
  <c r="G1560" i="2"/>
  <c r="H1560" i="2"/>
  <c r="I1560" i="2"/>
  <c r="J1560" i="2"/>
  <c r="G1561" i="2"/>
  <c r="H1561" i="2"/>
  <c r="I1561" i="2"/>
  <c r="J1561" i="2"/>
  <c r="G1562" i="2"/>
  <c r="H1562" i="2"/>
  <c r="I1562" i="2"/>
  <c r="J1562" i="2"/>
  <c r="G1563" i="2"/>
  <c r="H1563" i="2"/>
  <c r="I1563" i="2"/>
  <c r="J1563" i="2"/>
  <c r="G1564" i="2"/>
  <c r="H1564" i="2"/>
  <c r="I1564" i="2"/>
  <c r="J1564" i="2"/>
  <c r="G1565" i="2"/>
  <c r="H1565" i="2"/>
  <c r="I1565" i="2"/>
  <c r="J1565" i="2"/>
  <c r="G1566" i="2"/>
  <c r="G23" i="2" s="1"/>
  <c r="H1566" i="2"/>
  <c r="H23" i="2" s="1"/>
  <c r="I1566" i="2"/>
  <c r="I23" i="2" s="1"/>
  <c r="J1566" i="2"/>
  <c r="J23" i="2" s="1"/>
  <c r="H24" i="2"/>
  <c r="I24" i="2"/>
  <c r="J24" i="2"/>
  <c r="H25" i="2"/>
  <c r="I25" i="2"/>
  <c r="J25" i="2"/>
  <c r="G25" i="2"/>
  <c r="G24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25" i="2"/>
  <c r="E2" i="1"/>
  <c r="E3" i="1"/>
  <c r="E7" i="1"/>
  <c r="E8" i="1"/>
  <c r="E9" i="1"/>
  <c r="E11" i="1"/>
  <c r="E12" i="1"/>
  <c r="E13" i="1"/>
  <c r="E15" i="1"/>
  <c r="E16" i="1"/>
  <c r="E17" i="1"/>
  <c r="E19" i="1"/>
  <c r="E20" i="1"/>
  <c r="E21" i="1"/>
  <c r="E23" i="1"/>
  <c r="E24" i="1"/>
  <c r="E25" i="1"/>
  <c r="E27" i="1"/>
  <c r="E28" i="1"/>
  <c r="E29" i="1"/>
  <c r="E31" i="1"/>
  <c r="E32" i="1"/>
  <c r="E33" i="1"/>
  <c r="E35" i="1"/>
  <c r="E36" i="1"/>
  <c r="E37" i="1"/>
  <c r="E39" i="1"/>
  <c r="E40" i="1"/>
  <c r="E41" i="1"/>
  <c r="E43" i="1"/>
  <c r="E44" i="1"/>
  <c r="E45" i="1"/>
  <c r="E47" i="1"/>
  <c r="E48" i="1"/>
  <c r="E49" i="1"/>
  <c r="E51" i="1"/>
  <c r="E52" i="1"/>
  <c r="E53" i="1"/>
  <c r="E55" i="1"/>
  <c r="E56" i="1"/>
  <c r="E57" i="1"/>
  <c r="E59" i="1"/>
  <c r="E60" i="1"/>
  <c r="E61" i="1"/>
  <c r="E63" i="1"/>
  <c r="E64" i="1"/>
  <c r="E65" i="1"/>
  <c r="E67" i="1"/>
  <c r="E68" i="1"/>
  <c r="E69" i="1"/>
  <c r="E71" i="1"/>
  <c r="E72" i="1"/>
  <c r="E73" i="1"/>
  <c r="E75" i="1"/>
  <c r="E76" i="1"/>
  <c r="E77" i="1"/>
  <c r="E79" i="1"/>
  <c r="E80" i="1"/>
  <c r="E81" i="1"/>
  <c r="E83" i="1"/>
  <c r="E84" i="1"/>
  <c r="E85" i="1"/>
  <c r="E87" i="1"/>
  <c r="E88" i="1"/>
  <c r="E89" i="1"/>
  <c r="E91" i="1"/>
  <c r="E92" i="1"/>
  <c r="E93" i="1"/>
  <c r="E95" i="1"/>
  <c r="E96" i="1"/>
  <c r="E97" i="1"/>
  <c r="E99" i="1"/>
  <c r="E100" i="1"/>
  <c r="E101" i="1"/>
  <c r="E103" i="1"/>
  <c r="E104" i="1"/>
  <c r="E105" i="1"/>
  <c r="E107" i="1"/>
  <c r="E108" i="1"/>
  <c r="E109" i="1"/>
  <c r="E111" i="1"/>
  <c r="E112" i="1"/>
  <c r="E113" i="1"/>
  <c r="E115" i="1"/>
  <c r="E116" i="1"/>
  <c r="E117" i="1"/>
  <c r="E119" i="1"/>
  <c r="E120" i="1"/>
  <c r="E121" i="1"/>
  <c r="E123" i="1"/>
  <c r="E124" i="1"/>
  <c r="E125" i="1"/>
  <c r="E127" i="1"/>
  <c r="E128" i="1"/>
  <c r="E129" i="1"/>
  <c r="E131" i="1"/>
  <c r="E132" i="1"/>
  <c r="E133" i="1"/>
  <c r="E135" i="1"/>
  <c r="E136" i="1"/>
  <c r="E137" i="1"/>
  <c r="E139" i="1"/>
  <c r="E140" i="1"/>
  <c r="E141" i="1"/>
  <c r="E143" i="1"/>
  <c r="E144" i="1"/>
  <c r="E145" i="1"/>
  <c r="E147" i="1"/>
  <c r="E148" i="1"/>
  <c r="E149" i="1"/>
  <c r="E151" i="1"/>
  <c r="E152" i="1"/>
  <c r="E153" i="1"/>
  <c r="E155" i="1"/>
  <c r="E156" i="1"/>
  <c r="E157" i="1"/>
  <c r="E159" i="1"/>
  <c r="E160" i="1"/>
  <c r="E161" i="1"/>
  <c r="E163" i="1"/>
  <c r="E164" i="1"/>
  <c r="E165" i="1"/>
  <c r="E167" i="1"/>
  <c r="E168" i="1"/>
  <c r="E169" i="1"/>
  <c r="E171" i="1"/>
  <c r="E172" i="1"/>
  <c r="E173" i="1"/>
  <c r="E175" i="1"/>
  <c r="E176" i="1"/>
  <c r="E177" i="1"/>
  <c r="E179" i="1"/>
  <c r="E180" i="1"/>
  <c r="E181" i="1"/>
  <c r="E183" i="1"/>
  <c r="E184" i="1"/>
  <c r="E185" i="1"/>
  <c r="E187" i="1"/>
  <c r="E188" i="1"/>
  <c r="E189" i="1"/>
  <c r="E191" i="1"/>
  <c r="E192" i="1"/>
  <c r="E193" i="1"/>
  <c r="E195" i="1"/>
  <c r="E196" i="1"/>
  <c r="E197" i="1"/>
  <c r="E199" i="1"/>
  <c r="E200" i="1"/>
  <c r="E201" i="1"/>
  <c r="E203" i="1"/>
  <c r="E204" i="1"/>
  <c r="E205" i="1"/>
  <c r="E207" i="1"/>
  <c r="E208" i="1"/>
  <c r="E209" i="1"/>
  <c r="E211" i="1"/>
  <c r="E212" i="1"/>
  <c r="E213" i="1"/>
  <c r="E215" i="1"/>
  <c r="E216" i="1"/>
  <c r="E217" i="1"/>
  <c r="E219" i="1"/>
  <c r="E220" i="1"/>
  <c r="E221" i="1"/>
  <c r="E223" i="1"/>
  <c r="E224" i="1"/>
  <c r="E225" i="1"/>
  <c r="E227" i="1"/>
  <c r="E228" i="1"/>
  <c r="E229" i="1"/>
  <c r="E231" i="1"/>
  <c r="E232" i="1"/>
  <c r="E233" i="1"/>
  <c r="E235" i="1"/>
  <c r="E236" i="1"/>
  <c r="E237" i="1"/>
  <c r="E239" i="1"/>
  <c r="E240" i="1"/>
  <c r="E241" i="1"/>
  <c r="E243" i="1"/>
  <c r="E244" i="1"/>
  <c r="E245" i="1"/>
  <c r="E247" i="1"/>
  <c r="E248" i="1"/>
  <c r="E249" i="1"/>
  <c r="E251" i="1"/>
  <c r="E252" i="1"/>
  <c r="E253" i="1"/>
  <c r="E255" i="1"/>
  <c r="E256" i="1"/>
  <c r="E257" i="1"/>
  <c r="E259" i="1"/>
  <c r="E260" i="1"/>
  <c r="E261" i="1"/>
  <c r="E263" i="1"/>
  <c r="E264" i="1"/>
  <c r="E265" i="1"/>
  <c r="E267" i="1"/>
  <c r="E268" i="1"/>
  <c r="E269" i="1"/>
  <c r="E271" i="1"/>
  <c r="E272" i="1"/>
  <c r="E273" i="1"/>
  <c r="E275" i="1"/>
  <c r="E276" i="1"/>
  <c r="E277" i="1"/>
  <c r="E279" i="1"/>
  <c r="E280" i="1"/>
  <c r="E281" i="1"/>
  <c r="E283" i="1"/>
  <c r="E284" i="1"/>
  <c r="E285" i="1"/>
  <c r="E287" i="1"/>
  <c r="E288" i="1"/>
  <c r="E289" i="1"/>
  <c r="E291" i="1"/>
  <c r="E292" i="1"/>
  <c r="E293" i="1"/>
  <c r="E295" i="1"/>
  <c r="E296" i="1"/>
  <c r="E297" i="1"/>
  <c r="E299" i="1"/>
  <c r="E300" i="1"/>
  <c r="E301" i="1"/>
  <c r="E303" i="1"/>
  <c r="E304" i="1"/>
  <c r="E305" i="1"/>
  <c r="E307" i="1"/>
  <c r="E308" i="1"/>
  <c r="E309" i="1"/>
  <c r="E311" i="1"/>
  <c r="E312" i="1"/>
  <c r="E313" i="1"/>
  <c r="E315" i="1"/>
  <c r="E316" i="1"/>
  <c r="E317" i="1"/>
  <c r="E319" i="1"/>
  <c r="E320" i="1"/>
  <c r="E321" i="1"/>
  <c r="E323" i="1"/>
  <c r="E324" i="1"/>
  <c r="E325" i="1"/>
  <c r="E327" i="1"/>
  <c r="E328" i="1"/>
  <c r="E329" i="1"/>
  <c r="E331" i="1"/>
  <c r="E332" i="1"/>
  <c r="E333" i="1"/>
  <c r="E335" i="1"/>
  <c r="E336" i="1"/>
  <c r="E337" i="1"/>
  <c r="E339" i="1"/>
  <c r="E340" i="1"/>
  <c r="E341" i="1"/>
  <c r="E343" i="1"/>
  <c r="E344" i="1"/>
  <c r="E345" i="1"/>
  <c r="E347" i="1"/>
  <c r="E348" i="1"/>
  <c r="E349" i="1"/>
  <c r="E351" i="1"/>
  <c r="E352" i="1"/>
  <c r="E353" i="1"/>
  <c r="E355" i="1"/>
  <c r="E356" i="1"/>
  <c r="E357" i="1"/>
  <c r="E359" i="1"/>
  <c r="E360" i="1"/>
  <c r="E361" i="1"/>
  <c r="E363" i="1"/>
  <c r="E364" i="1"/>
  <c r="E365" i="1"/>
  <c r="E367" i="1"/>
  <c r="E368" i="1"/>
  <c r="E369" i="1"/>
  <c r="E371" i="1"/>
  <c r="E372" i="1"/>
  <c r="E373" i="1"/>
  <c r="E375" i="1"/>
  <c r="E376" i="1"/>
  <c r="E377" i="1"/>
  <c r="E379" i="1"/>
  <c r="E380" i="1"/>
  <c r="E381" i="1"/>
  <c r="E383" i="1"/>
  <c r="E384" i="1"/>
  <c r="E385" i="1"/>
  <c r="E387" i="1"/>
  <c r="E388" i="1"/>
  <c r="E389" i="1"/>
  <c r="E391" i="1"/>
  <c r="E393" i="1"/>
  <c r="E395" i="1"/>
  <c r="E396" i="1"/>
  <c r="E397" i="1"/>
  <c r="E399" i="1"/>
  <c r="E400" i="1"/>
  <c r="E401" i="1"/>
  <c r="E403" i="1"/>
  <c r="E405" i="1"/>
  <c r="E407" i="1"/>
  <c r="E408" i="1"/>
  <c r="E409" i="1"/>
  <c r="E411" i="1"/>
  <c r="E412" i="1"/>
  <c r="E413" i="1"/>
  <c r="E415" i="1"/>
  <c r="E416" i="1"/>
  <c r="E417" i="1"/>
  <c r="E419" i="1"/>
  <c r="E420" i="1"/>
  <c r="E421" i="1"/>
  <c r="E423" i="1"/>
  <c r="E424" i="1"/>
  <c r="E425" i="1"/>
  <c r="E427" i="1"/>
  <c r="E428" i="1"/>
  <c r="E429" i="1"/>
  <c r="E431" i="1"/>
  <c r="E432" i="1"/>
  <c r="E433" i="1"/>
  <c r="E435" i="1"/>
  <c r="E436" i="1"/>
  <c r="E437" i="1"/>
  <c r="E439" i="1"/>
  <c r="E441" i="1"/>
  <c r="E443" i="1"/>
  <c r="E444" i="1"/>
  <c r="E445" i="1"/>
  <c r="E447" i="1"/>
  <c r="E448" i="1"/>
  <c r="E449" i="1"/>
  <c r="E451" i="1"/>
  <c r="E452" i="1"/>
  <c r="E453" i="1"/>
  <c r="E455" i="1"/>
  <c r="E456" i="1"/>
  <c r="E457" i="1"/>
  <c r="E459" i="1"/>
  <c r="E460" i="1"/>
  <c r="E461" i="1"/>
  <c r="E463" i="1"/>
  <c r="E464" i="1"/>
  <c r="E465" i="1"/>
  <c r="E467" i="1"/>
  <c r="E468" i="1"/>
  <c r="E469" i="1"/>
  <c r="E471" i="1"/>
  <c r="E472" i="1"/>
  <c r="E473" i="1"/>
  <c r="E475" i="1"/>
  <c r="E476" i="1"/>
  <c r="E477" i="1"/>
  <c r="E479" i="1"/>
  <c r="E480" i="1"/>
  <c r="E481" i="1"/>
  <c r="E483" i="1"/>
  <c r="E484" i="1"/>
  <c r="E485" i="1"/>
  <c r="E487" i="1"/>
  <c r="E488" i="1"/>
  <c r="E489" i="1"/>
  <c r="E491" i="1"/>
  <c r="E492" i="1"/>
  <c r="E493" i="1"/>
  <c r="E495" i="1"/>
  <c r="E496" i="1"/>
  <c r="E497" i="1"/>
  <c r="E499" i="1"/>
  <c r="E500" i="1"/>
  <c r="E501" i="1"/>
  <c r="E503" i="1"/>
  <c r="E504" i="1"/>
  <c r="E505" i="1"/>
  <c r="E507" i="1"/>
  <c r="E508" i="1"/>
  <c r="E509" i="1"/>
  <c r="E511" i="1"/>
  <c r="E512" i="1"/>
  <c r="E513" i="1"/>
  <c r="E515" i="1"/>
  <c r="E516" i="1"/>
  <c r="E517" i="1"/>
  <c r="E519" i="1"/>
  <c r="E521" i="1"/>
  <c r="E523" i="1"/>
  <c r="E524" i="1"/>
  <c r="E525" i="1"/>
  <c r="E527" i="1"/>
  <c r="E528" i="1"/>
  <c r="E529" i="1"/>
  <c r="E531" i="1"/>
  <c r="E533" i="1"/>
  <c r="E535" i="1"/>
  <c r="E536" i="1"/>
  <c r="E537" i="1"/>
  <c r="E539" i="1"/>
  <c r="E540" i="1"/>
  <c r="E541" i="1"/>
  <c r="E543" i="1"/>
  <c r="E544" i="1"/>
  <c r="E545" i="1"/>
  <c r="E547" i="1"/>
  <c r="E548" i="1"/>
  <c r="E549" i="1"/>
  <c r="E551" i="1"/>
  <c r="E552" i="1"/>
  <c r="E553" i="1"/>
  <c r="E555" i="1"/>
  <c r="E556" i="1"/>
  <c r="E557" i="1"/>
  <c r="E559" i="1"/>
  <c r="E560" i="1"/>
  <c r="E561" i="1"/>
  <c r="E563" i="1"/>
  <c r="E564" i="1"/>
  <c r="E565" i="1"/>
  <c r="E567" i="1"/>
  <c r="E569" i="1"/>
  <c r="E571" i="1"/>
  <c r="E572" i="1"/>
  <c r="E573" i="1"/>
  <c r="E575" i="1"/>
  <c r="E576" i="1"/>
  <c r="E577" i="1"/>
  <c r="E579" i="1"/>
  <c r="E580" i="1"/>
  <c r="E581" i="1"/>
  <c r="E583" i="1"/>
  <c r="E584" i="1"/>
  <c r="E585" i="1"/>
  <c r="E587" i="1"/>
  <c r="E588" i="1"/>
  <c r="E589" i="1"/>
  <c r="E591" i="1"/>
  <c r="E592" i="1"/>
  <c r="E593" i="1"/>
  <c r="E595" i="1"/>
  <c r="E596" i="1"/>
  <c r="E597" i="1"/>
  <c r="E598" i="1"/>
  <c r="E599" i="1"/>
  <c r="E600" i="1"/>
  <c r="E601" i="1"/>
  <c r="E603" i="1"/>
  <c r="E605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7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1" i="1"/>
  <c r="E1292" i="1"/>
  <c r="E1293" i="1"/>
  <c r="E1295" i="1"/>
  <c r="E1296" i="1"/>
  <c r="E1297" i="1"/>
  <c r="E1299" i="1"/>
  <c r="E1300" i="1"/>
  <c r="E1301" i="1"/>
  <c r="E1303" i="1"/>
  <c r="E1304" i="1"/>
  <c r="E1305" i="1"/>
  <c r="E1307" i="1"/>
  <c r="E1308" i="1"/>
  <c r="E1309" i="1"/>
  <c r="E1311" i="1"/>
  <c r="E1312" i="1"/>
  <c r="E1313" i="1"/>
  <c r="E1315" i="1"/>
  <c r="E1316" i="1"/>
  <c r="E1317" i="1"/>
  <c r="E1319" i="1"/>
  <c r="E1320" i="1"/>
  <c r="E1321" i="1"/>
  <c r="E1323" i="1"/>
  <c r="E1324" i="1"/>
  <c r="E1325" i="1"/>
  <c r="E1327" i="1"/>
  <c r="E1328" i="1"/>
  <c r="E1329" i="1"/>
  <c r="E1331" i="1"/>
  <c r="E1332" i="1"/>
  <c r="E1333" i="1"/>
  <c r="E1335" i="1"/>
  <c r="E1336" i="1"/>
  <c r="E1337" i="1"/>
  <c r="E1339" i="1"/>
  <c r="E1340" i="1"/>
  <c r="E1341" i="1"/>
  <c r="E1343" i="1"/>
  <c r="E1344" i="1"/>
  <c r="E1345" i="1"/>
  <c r="E1347" i="1"/>
  <c r="E1348" i="1"/>
  <c r="E1349" i="1"/>
  <c r="E1351" i="1"/>
  <c r="E1352" i="1"/>
  <c r="E1353" i="1"/>
  <c r="E1355" i="1"/>
  <c r="E1356" i="1"/>
  <c r="E1357" i="1"/>
  <c r="E1359" i="1"/>
  <c r="E1360" i="1"/>
  <c r="E1361" i="1"/>
  <c r="E1363" i="1"/>
  <c r="E1364" i="1"/>
  <c r="E1365" i="1"/>
  <c r="E1367" i="1"/>
  <c r="E1368" i="1"/>
  <c r="E1369" i="1"/>
  <c r="E1371" i="1"/>
  <c r="E1372" i="1"/>
  <c r="E1373" i="1"/>
  <c r="E1375" i="1"/>
  <c r="E1376" i="1"/>
  <c r="E1377" i="1"/>
  <c r="E1379" i="1"/>
  <c r="E1380" i="1"/>
  <c r="E1381" i="1"/>
  <c r="E1383" i="1"/>
  <c r="E1384" i="1"/>
  <c r="E1385" i="1"/>
  <c r="E1387" i="1"/>
  <c r="E1388" i="1"/>
  <c r="E1389" i="1"/>
  <c r="E1391" i="1"/>
  <c r="E1392" i="1"/>
  <c r="E1393" i="1"/>
  <c r="E1395" i="1"/>
  <c r="E1396" i="1"/>
  <c r="E1397" i="1"/>
  <c r="E1399" i="1"/>
  <c r="E1400" i="1"/>
  <c r="E1401" i="1"/>
  <c r="E1403" i="1"/>
  <c r="E1404" i="1"/>
  <c r="E1405" i="1"/>
  <c r="E1407" i="1"/>
  <c r="E1408" i="1"/>
  <c r="E1409" i="1"/>
  <c r="E1411" i="1"/>
  <c r="E1412" i="1"/>
  <c r="E1413" i="1"/>
  <c r="E1415" i="1"/>
  <c r="E1416" i="1"/>
  <c r="E1417" i="1"/>
  <c r="E1419" i="1"/>
  <c r="E1420" i="1"/>
  <c r="E1421" i="1"/>
  <c r="E1423" i="1"/>
  <c r="E1424" i="1"/>
  <c r="E1425" i="1"/>
  <c r="E1427" i="1"/>
  <c r="E1428" i="1"/>
  <c r="E1429" i="1"/>
  <c r="E1431" i="1"/>
  <c r="E1432" i="1"/>
  <c r="E1433" i="1"/>
  <c r="E1435" i="1"/>
  <c r="E1436" i="1"/>
  <c r="E1437" i="1"/>
  <c r="E1439" i="1"/>
  <c r="E1440" i="1"/>
  <c r="E1441" i="1"/>
  <c r="E1443" i="1"/>
  <c r="E1444" i="1"/>
  <c r="E1445" i="1"/>
  <c r="E1447" i="1"/>
  <c r="E1448" i="1"/>
  <c r="E1449" i="1"/>
  <c r="E1451" i="1"/>
  <c r="E1452" i="1"/>
  <c r="E1453" i="1"/>
  <c r="E1455" i="1"/>
  <c r="E1456" i="1"/>
  <c r="E1457" i="1"/>
  <c r="E1459" i="1"/>
  <c r="E1460" i="1"/>
  <c r="E1461" i="1"/>
  <c r="E1463" i="1"/>
  <c r="E1464" i="1"/>
  <c r="E1465" i="1"/>
  <c r="E1467" i="1"/>
  <c r="E1468" i="1"/>
  <c r="E1469" i="1"/>
  <c r="E1471" i="1"/>
  <c r="E1472" i="1"/>
  <c r="E1473" i="1"/>
  <c r="E1475" i="1"/>
  <c r="E1476" i="1"/>
  <c r="E1477" i="1"/>
  <c r="E1479" i="1"/>
  <c r="E1480" i="1"/>
  <c r="E1481" i="1"/>
  <c r="E1483" i="1"/>
  <c r="E1484" i="1"/>
  <c r="E1485" i="1"/>
  <c r="E1487" i="1"/>
  <c r="E1488" i="1"/>
  <c r="E1489" i="1"/>
  <c r="E1491" i="1"/>
  <c r="E1492" i="1"/>
  <c r="E1493" i="1"/>
  <c r="E1495" i="1"/>
  <c r="E1496" i="1"/>
  <c r="E1497" i="1"/>
  <c r="E1499" i="1"/>
  <c r="E1500" i="1"/>
  <c r="E1501" i="1"/>
  <c r="E1503" i="1"/>
  <c r="E1504" i="1"/>
  <c r="E1505" i="1"/>
  <c r="E1507" i="1"/>
  <c r="E1508" i="1"/>
  <c r="E1509" i="1"/>
  <c r="E1511" i="1"/>
  <c r="E1512" i="1"/>
  <c r="E1513" i="1"/>
  <c r="E1515" i="1"/>
  <c r="E1516" i="1"/>
  <c r="E1517" i="1"/>
  <c r="E1519" i="1"/>
  <c r="E1520" i="1"/>
  <c r="E1521" i="1"/>
  <c r="E1523" i="1"/>
  <c r="E1524" i="1"/>
  <c r="E1525" i="1"/>
  <c r="E1527" i="1"/>
  <c r="E1528" i="1"/>
  <c r="E1529" i="1"/>
  <c r="E1531" i="1"/>
  <c r="E1532" i="1"/>
  <c r="E1533" i="1"/>
  <c r="E1535" i="1"/>
  <c r="E1536" i="1"/>
  <c r="E1537" i="1"/>
  <c r="E1539" i="1"/>
  <c r="E1540" i="1"/>
  <c r="E1541" i="1"/>
  <c r="E1543" i="1"/>
  <c r="E1544" i="1"/>
  <c r="E1545" i="1"/>
  <c r="E1547" i="1"/>
  <c r="E1548" i="1"/>
  <c r="E1551" i="1"/>
  <c r="E1552" i="1"/>
  <c r="E1553" i="1"/>
  <c r="E1555" i="1"/>
  <c r="E1556" i="1"/>
  <c r="E1557" i="1"/>
  <c r="E1559" i="1"/>
  <c r="E1560" i="1"/>
  <c r="E1561" i="1"/>
  <c r="E1563" i="1"/>
  <c r="E1564" i="1"/>
  <c r="E1565" i="1"/>
  <c r="E1567" i="1"/>
  <c r="E1568" i="1"/>
  <c r="E1569" i="1"/>
  <c r="E1571" i="1"/>
  <c r="E1572" i="1"/>
  <c r="E1573" i="1"/>
  <c r="E1575" i="1"/>
  <c r="E1576" i="1"/>
  <c r="E1577" i="1"/>
  <c r="E1579" i="1"/>
  <c r="E1580" i="1"/>
  <c r="E1581" i="1"/>
  <c r="E1583" i="1"/>
  <c r="E1584" i="1"/>
  <c r="E1585" i="1"/>
  <c r="E1587" i="1"/>
  <c r="E1588" i="1"/>
  <c r="E1589" i="1"/>
  <c r="E1591" i="1"/>
  <c r="E1592" i="1"/>
  <c r="E1593" i="1"/>
  <c r="E1595" i="1"/>
  <c r="E1596" i="1"/>
  <c r="E1597" i="1"/>
  <c r="E1599" i="1"/>
  <c r="E1600" i="1"/>
  <c r="E1601" i="1"/>
  <c r="E1603" i="1"/>
  <c r="E1604" i="1"/>
  <c r="E1605" i="1"/>
  <c r="E1607" i="1"/>
  <c r="E1608" i="1"/>
  <c r="E1609" i="1"/>
  <c r="E1611" i="1"/>
  <c r="E1612" i="1"/>
  <c r="E1613" i="1"/>
  <c r="E1615" i="1"/>
  <c r="E1616" i="1"/>
  <c r="E1617" i="1"/>
  <c r="E1619" i="1"/>
  <c r="E1620" i="1"/>
  <c r="E1621" i="1"/>
  <c r="E1623" i="1"/>
  <c r="E1624" i="1"/>
  <c r="E1625" i="1"/>
  <c r="E1627" i="1"/>
  <c r="E1628" i="1"/>
  <c r="E1629" i="1"/>
  <c r="E1631" i="1"/>
  <c r="E1632" i="1"/>
  <c r="E1633" i="1"/>
  <c r="E1635" i="1"/>
  <c r="E1636" i="1"/>
  <c r="E1637" i="1"/>
  <c r="E1639" i="1"/>
  <c r="E1640" i="1"/>
  <c r="E1641" i="1"/>
  <c r="E1643" i="1"/>
  <c r="E1644" i="1"/>
  <c r="E1645" i="1"/>
  <c r="E1647" i="1"/>
  <c r="E1648" i="1"/>
  <c r="E1649" i="1"/>
  <c r="E1651" i="1"/>
  <c r="E1652" i="1"/>
  <c r="E1653" i="1"/>
  <c r="E1655" i="1"/>
  <c r="E1656" i="1"/>
  <c r="E1657" i="1"/>
  <c r="E1659" i="1"/>
  <c r="E1660" i="1"/>
  <c r="E1661" i="1"/>
  <c r="E1663" i="1"/>
  <c r="E1664" i="1"/>
  <c r="E1665" i="1"/>
  <c r="E1667" i="1"/>
  <c r="E1668" i="1"/>
  <c r="E1669" i="1"/>
  <c r="E1671" i="1"/>
  <c r="E1672" i="1"/>
  <c r="E1673" i="1"/>
  <c r="E1675" i="1"/>
  <c r="E1676" i="1"/>
  <c r="E1677" i="1"/>
  <c r="E1679" i="1"/>
  <c r="E1680" i="1"/>
  <c r="E1681" i="1"/>
  <c r="E1683" i="1"/>
  <c r="E1684" i="1"/>
  <c r="E1685" i="1"/>
  <c r="E1687" i="1"/>
  <c r="E1688" i="1"/>
  <c r="E1689" i="1"/>
  <c r="E1691" i="1"/>
  <c r="E1692" i="1"/>
  <c r="E1693" i="1"/>
  <c r="E1695" i="1"/>
  <c r="E1696" i="1"/>
  <c r="E1697" i="1"/>
  <c r="E1699" i="1"/>
  <c r="E1700" i="1"/>
  <c r="E1701" i="1"/>
  <c r="E1703" i="1"/>
  <c r="E1704" i="1"/>
  <c r="E1705" i="1"/>
  <c r="E1707" i="1"/>
  <c r="E1708" i="1"/>
  <c r="E1709" i="1"/>
  <c r="E1711" i="1"/>
  <c r="E1712" i="1"/>
  <c r="E1713" i="1"/>
  <c r="E1715" i="1"/>
  <c r="E1716" i="1"/>
  <c r="E1717" i="1"/>
  <c r="E1719" i="1"/>
  <c r="E1720" i="1"/>
  <c r="E1721" i="1"/>
  <c r="E1723" i="1"/>
  <c r="E1724" i="1"/>
  <c r="E1725" i="1"/>
  <c r="E1727" i="1"/>
  <c r="E1728" i="1"/>
  <c r="E1729" i="1"/>
  <c r="E1731" i="1"/>
  <c r="E1732" i="1"/>
  <c r="E1733" i="1"/>
  <c r="E1735" i="1"/>
  <c r="E1736" i="1"/>
  <c r="E1737" i="1"/>
  <c r="E1739" i="1"/>
  <c r="E1740" i="1"/>
  <c r="E1741" i="1"/>
  <c r="E1743" i="1"/>
  <c r="E1744" i="1"/>
  <c r="E1745" i="1"/>
  <c r="E1747" i="1"/>
  <c r="E1748" i="1"/>
  <c r="E1749" i="1"/>
  <c r="E1751" i="1"/>
  <c r="E1752" i="1"/>
  <c r="E1753" i="1"/>
  <c r="E1755" i="1"/>
  <c r="E1756" i="1"/>
  <c r="E1757" i="1"/>
  <c r="E1759" i="1"/>
  <c r="E1760" i="1"/>
  <c r="E1761" i="1"/>
  <c r="E1763" i="1"/>
  <c r="E1764" i="1"/>
  <c r="E1765" i="1"/>
  <c r="E1767" i="1"/>
  <c r="E1768" i="1"/>
  <c r="E1769" i="1"/>
  <c r="E1771" i="1"/>
  <c r="E1772" i="1"/>
  <c r="E1773" i="1"/>
  <c r="E1775" i="1"/>
  <c r="E1776" i="1"/>
  <c r="E1777" i="1"/>
  <c r="E1779" i="1"/>
  <c r="E1780" i="1"/>
  <c r="E1781" i="1"/>
  <c r="E1783" i="1"/>
  <c r="E1784" i="1"/>
  <c r="E1785" i="1"/>
  <c r="E1787" i="1"/>
  <c r="E1788" i="1"/>
  <c r="E1789" i="1"/>
  <c r="E1791" i="1"/>
  <c r="E1792" i="1"/>
  <c r="E1793" i="1"/>
  <c r="E1795" i="1"/>
  <c r="E1796" i="1"/>
  <c r="E1797" i="1"/>
  <c r="E1799" i="1"/>
  <c r="E1800" i="1"/>
  <c r="E1801" i="1"/>
  <c r="E1803" i="1"/>
  <c r="E1804" i="1"/>
  <c r="E1805" i="1"/>
  <c r="E1807" i="1"/>
  <c r="E1808" i="1"/>
  <c r="E1809" i="1"/>
  <c r="E1811" i="1"/>
  <c r="E1812" i="1"/>
  <c r="E1813" i="1"/>
  <c r="E1815" i="1"/>
  <c r="E1816" i="1"/>
  <c r="E1817" i="1"/>
  <c r="E1819" i="1"/>
  <c r="E1820" i="1"/>
  <c r="E1821" i="1"/>
  <c r="E1823" i="1"/>
  <c r="E1824" i="1"/>
  <c r="E1825" i="1"/>
  <c r="E1827" i="1"/>
  <c r="E1828" i="1"/>
  <c r="E1829" i="1"/>
  <c r="E1831" i="1"/>
  <c r="E1832" i="1"/>
  <c r="E1833" i="1"/>
  <c r="E1835" i="1"/>
  <c r="E1836" i="1"/>
  <c r="E1837" i="1"/>
  <c r="E1839" i="1"/>
  <c r="E1840" i="1"/>
  <c r="E1841" i="1"/>
  <c r="E1843" i="1"/>
  <c r="E1844" i="1"/>
  <c r="E1845" i="1"/>
  <c r="E1847" i="1"/>
  <c r="E1848" i="1"/>
  <c r="E1849" i="1"/>
  <c r="E1851" i="1"/>
  <c r="E1852" i="1"/>
  <c r="E1853" i="1"/>
  <c r="E1855" i="1"/>
  <c r="E1856" i="1"/>
  <c r="E1857" i="1"/>
  <c r="E1859" i="1"/>
  <c r="E1860" i="1"/>
  <c r="E1861" i="1"/>
  <c r="E1863" i="1"/>
  <c r="E1864" i="1"/>
  <c r="E1865" i="1"/>
  <c r="E1867" i="1"/>
  <c r="E1868" i="1"/>
  <c r="E1869" i="1"/>
  <c r="E1871" i="1"/>
  <c r="E1872" i="1"/>
  <c r="E1873" i="1"/>
  <c r="E1875" i="1"/>
  <c r="E1876" i="1"/>
  <c r="E1877" i="1"/>
  <c r="E1878" i="1"/>
  <c r="E1879" i="1"/>
  <c r="E1880" i="1"/>
  <c r="E1881" i="1"/>
  <c r="E1883" i="1"/>
  <c r="E1884" i="1"/>
  <c r="E1885" i="1"/>
  <c r="E1887" i="1"/>
  <c r="E1888" i="1"/>
  <c r="E1889" i="1"/>
  <c r="E1891" i="1"/>
  <c r="E1892" i="1"/>
  <c r="E1893" i="1"/>
  <c r="E1894" i="1"/>
  <c r="E1895" i="1"/>
  <c r="E1896" i="1"/>
  <c r="E1897" i="1"/>
  <c r="E1899" i="1"/>
  <c r="E1900" i="1"/>
  <c r="E1901" i="1"/>
  <c r="E1903" i="1"/>
  <c r="E1904" i="1"/>
  <c r="E1905" i="1"/>
  <c r="E1907" i="1"/>
  <c r="E1908" i="1"/>
  <c r="E1909" i="1"/>
  <c r="E1910" i="1"/>
  <c r="E1911" i="1"/>
  <c r="E1912" i="1"/>
  <c r="E1913" i="1"/>
  <c r="E1915" i="1"/>
  <c r="E1916" i="1"/>
  <c r="E1917" i="1"/>
  <c r="E1919" i="1"/>
  <c r="E1920" i="1"/>
  <c r="E1921" i="1"/>
  <c r="E1923" i="1"/>
  <c r="E1924" i="1"/>
  <c r="E1925" i="1"/>
  <c r="E1926" i="1"/>
  <c r="E1927" i="1"/>
  <c r="E1928" i="1"/>
  <c r="E1929" i="1"/>
  <c r="E1931" i="1"/>
  <c r="E1932" i="1"/>
  <c r="E1933" i="1"/>
  <c r="E1935" i="1"/>
  <c r="E1936" i="1"/>
  <c r="E1937" i="1"/>
  <c r="E1939" i="1"/>
  <c r="E1940" i="1"/>
  <c r="E1941" i="1"/>
  <c r="E1942" i="1"/>
  <c r="E1943" i="1"/>
  <c r="E1944" i="1"/>
  <c r="E1945" i="1"/>
  <c r="E1947" i="1"/>
  <c r="E1948" i="1"/>
  <c r="E1949" i="1"/>
  <c r="E1951" i="1"/>
  <c r="E1952" i="1"/>
  <c r="E1953" i="1"/>
  <c r="E1955" i="1"/>
  <c r="E1956" i="1"/>
  <c r="E1957" i="1"/>
  <c r="E1958" i="1"/>
  <c r="E1959" i="1"/>
  <c r="E1960" i="1"/>
  <c r="E1961" i="1"/>
  <c r="E1963" i="1"/>
  <c r="E1964" i="1"/>
  <c r="E1965" i="1"/>
  <c r="E1967" i="1"/>
  <c r="E1968" i="1"/>
  <c r="E1969" i="1"/>
  <c r="E1971" i="1"/>
  <c r="E1972" i="1"/>
  <c r="E1973" i="1"/>
  <c r="E1974" i="1"/>
  <c r="E1975" i="1"/>
  <c r="E1976" i="1"/>
  <c r="E1977" i="1"/>
  <c r="E1979" i="1"/>
  <c r="E1980" i="1"/>
  <c r="E1981" i="1"/>
  <c r="E1983" i="1"/>
  <c r="E1984" i="1"/>
  <c r="E1985" i="1"/>
  <c r="E1987" i="1"/>
  <c r="E1988" i="1"/>
  <c r="E1989" i="1"/>
  <c r="E1990" i="1"/>
  <c r="E1991" i="1"/>
  <c r="E1992" i="1"/>
  <c r="E1993" i="1"/>
  <c r="E1995" i="1"/>
  <c r="E1996" i="1"/>
  <c r="E1997" i="1"/>
  <c r="E1999" i="1"/>
  <c r="E2000" i="1"/>
  <c r="E2001" i="1"/>
  <c r="E2003" i="1"/>
  <c r="E2004" i="1"/>
  <c r="E2005" i="1"/>
  <c r="E2006" i="1"/>
  <c r="E2007" i="1"/>
  <c r="E2008" i="1"/>
  <c r="E2009" i="1"/>
  <c r="E2011" i="1"/>
  <c r="E2012" i="1"/>
  <c r="E2013" i="1"/>
  <c r="E2015" i="1"/>
  <c r="E2016" i="1"/>
  <c r="E2017" i="1"/>
  <c r="E2019" i="1"/>
  <c r="E2020" i="1"/>
  <c r="E2021" i="1"/>
  <c r="E2022" i="1"/>
  <c r="E2023" i="1"/>
  <c r="E2024" i="1"/>
  <c r="E2025" i="1"/>
  <c r="E2027" i="1"/>
  <c r="E2028" i="1"/>
  <c r="E2029" i="1"/>
  <c r="E2031" i="1"/>
  <c r="E2032" i="1"/>
  <c r="E2033" i="1"/>
  <c r="E2035" i="1"/>
  <c r="E2036" i="1"/>
  <c r="E2037" i="1"/>
  <c r="E2038" i="1"/>
  <c r="E2039" i="1"/>
  <c r="E2040" i="1"/>
  <c r="E2041" i="1"/>
  <c r="E2043" i="1"/>
  <c r="E2044" i="1"/>
  <c r="E2045" i="1"/>
  <c r="E2047" i="1"/>
  <c r="E2048" i="1"/>
  <c r="E2049" i="1"/>
  <c r="E2051" i="1"/>
  <c r="E2052" i="1"/>
  <c r="E2053" i="1"/>
  <c r="E2054" i="1"/>
  <c r="E2055" i="1"/>
  <c r="E2056" i="1"/>
  <c r="E2057" i="1"/>
  <c r="E2059" i="1"/>
  <c r="E2060" i="1"/>
  <c r="E2061" i="1"/>
  <c r="E2063" i="1"/>
  <c r="E2064" i="1"/>
  <c r="E2065" i="1"/>
  <c r="E2067" i="1"/>
  <c r="E2068" i="1"/>
  <c r="E2069" i="1"/>
  <c r="E2070" i="1"/>
  <c r="E2071" i="1"/>
  <c r="E2072" i="1"/>
  <c r="E2073" i="1"/>
  <c r="E2075" i="1"/>
  <c r="E2076" i="1"/>
  <c r="E2077" i="1"/>
  <c r="E2079" i="1"/>
  <c r="E2080" i="1"/>
  <c r="E2081" i="1"/>
  <c r="E2083" i="1"/>
  <c r="E2084" i="1"/>
  <c r="E2085" i="1"/>
  <c r="E2086" i="1"/>
  <c r="E2087" i="1"/>
  <c r="E2088" i="1"/>
  <c r="E2089" i="1"/>
  <c r="E2091" i="1"/>
  <c r="E2092" i="1"/>
  <c r="E2093" i="1"/>
  <c r="E2095" i="1"/>
  <c r="E2096" i="1"/>
  <c r="E2097" i="1"/>
  <c r="E2099" i="1"/>
  <c r="E2100" i="1"/>
  <c r="E2101" i="1"/>
  <c r="E2102" i="1"/>
  <c r="E2103" i="1"/>
  <c r="E2104" i="1"/>
  <c r="E2105" i="1"/>
  <c r="E2107" i="1"/>
  <c r="E2108" i="1"/>
  <c r="E2109" i="1"/>
  <c r="E2111" i="1"/>
  <c r="E2112" i="1"/>
  <c r="E2113" i="1"/>
  <c r="E2115" i="1"/>
  <c r="E2116" i="1"/>
  <c r="E2117" i="1"/>
  <c r="E2118" i="1"/>
  <c r="E2119" i="1"/>
  <c r="E2120" i="1"/>
  <c r="E2121" i="1"/>
  <c r="E2123" i="1"/>
  <c r="E2124" i="1"/>
  <c r="E2125" i="1"/>
  <c r="E2127" i="1"/>
  <c r="E2128" i="1"/>
  <c r="E2129" i="1"/>
  <c r="E2131" i="1"/>
  <c r="E2132" i="1"/>
  <c r="E2133" i="1"/>
  <c r="E2134" i="1"/>
  <c r="E2135" i="1"/>
  <c r="E2136" i="1"/>
  <c r="E2137" i="1"/>
  <c r="E2139" i="1"/>
  <c r="E2140" i="1"/>
  <c r="E2141" i="1"/>
  <c r="E2143" i="1"/>
  <c r="E2144" i="1"/>
  <c r="E2145" i="1"/>
  <c r="E2147" i="1"/>
  <c r="E2148" i="1"/>
  <c r="E2149" i="1"/>
  <c r="E2150" i="1"/>
  <c r="E2151" i="1"/>
  <c r="E2152" i="1"/>
  <c r="E2153" i="1"/>
  <c r="E2155" i="1"/>
  <c r="E2156" i="1"/>
  <c r="E2157" i="1"/>
  <c r="E2159" i="1"/>
  <c r="E2160" i="1"/>
  <c r="E2161" i="1"/>
  <c r="E2163" i="1"/>
  <c r="E2164" i="1"/>
  <c r="E2165" i="1"/>
  <c r="E2166" i="1"/>
  <c r="E2167" i="1"/>
  <c r="E2168" i="1"/>
  <c r="E2169" i="1"/>
  <c r="E2171" i="1"/>
  <c r="E2172" i="1"/>
  <c r="E2173" i="1"/>
  <c r="E2175" i="1"/>
  <c r="E2176" i="1"/>
  <c r="E2177" i="1"/>
  <c r="E2179" i="1"/>
  <c r="E2180" i="1"/>
  <c r="E2181" i="1"/>
  <c r="E2182" i="1"/>
  <c r="E2183" i="1"/>
  <c r="E2184" i="1"/>
  <c r="E2185" i="1"/>
  <c r="E2187" i="1"/>
  <c r="E2188" i="1"/>
  <c r="E2189" i="1"/>
  <c r="E2191" i="1"/>
  <c r="E2192" i="1"/>
  <c r="E2193" i="1"/>
  <c r="E2195" i="1"/>
  <c r="E2196" i="1"/>
  <c r="E2197" i="1"/>
  <c r="E2198" i="1"/>
  <c r="E2199" i="1"/>
  <c r="E2200" i="1"/>
  <c r="E2201" i="1"/>
  <c r="E2203" i="1"/>
  <c r="E2204" i="1"/>
  <c r="E2205" i="1"/>
  <c r="E2207" i="1"/>
  <c r="E2208" i="1"/>
  <c r="E2209" i="1"/>
  <c r="E2211" i="1"/>
  <c r="E2212" i="1"/>
  <c r="E2213" i="1"/>
  <c r="E2214" i="1"/>
  <c r="E2215" i="1"/>
  <c r="E2216" i="1"/>
  <c r="E2217" i="1"/>
  <c r="E2219" i="1"/>
  <c r="E2220" i="1"/>
  <c r="E2221" i="1"/>
  <c r="E2222" i="1"/>
  <c r="E2223" i="1"/>
  <c r="E2224" i="1"/>
  <c r="E2225" i="1"/>
  <c r="E2227" i="1"/>
  <c r="E2228" i="1"/>
  <c r="E2229" i="1"/>
  <c r="E2230" i="1"/>
  <c r="E2231" i="1"/>
  <c r="E2232" i="1"/>
  <c r="E2233" i="1"/>
  <c r="E2235" i="1"/>
  <c r="E2236" i="1"/>
  <c r="E2237" i="1"/>
  <c r="E2239" i="1"/>
  <c r="E2240" i="1"/>
  <c r="E2241" i="1"/>
  <c r="E2242" i="1"/>
  <c r="E2243" i="1"/>
  <c r="E2244" i="1"/>
  <c r="E2245" i="1"/>
  <c r="E2246" i="1"/>
  <c r="E2247" i="1"/>
  <c r="E2248" i="1"/>
  <c r="E2249" i="1"/>
  <c r="E2251" i="1"/>
  <c r="E2252" i="1"/>
  <c r="E2253" i="1"/>
  <c r="E2255" i="1"/>
  <c r="E2256" i="1"/>
  <c r="E2257" i="1"/>
  <c r="E2259" i="1"/>
  <c r="E2260" i="1"/>
  <c r="E2261" i="1"/>
  <c r="E2262" i="1"/>
  <c r="E2263" i="1"/>
  <c r="E2264" i="1"/>
  <c r="E2265" i="1"/>
  <c r="E2266" i="1"/>
  <c r="E2267" i="1"/>
  <c r="E2268" i="1"/>
  <c r="E2269" i="1"/>
  <c r="E2271" i="1"/>
  <c r="E2272" i="1"/>
  <c r="E2273" i="1"/>
  <c r="E2275" i="1"/>
  <c r="E2276" i="1"/>
  <c r="E2277" i="1"/>
  <c r="E2278" i="1"/>
  <c r="E2279" i="1"/>
  <c r="E2280" i="1"/>
  <c r="E2281" i="1"/>
  <c r="E2283" i="1"/>
  <c r="E2284" i="1"/>
  <c r="E2285" i="1"/>
  <c r="E2286" i="1"/>
  <c r="E2287" i="1"/>
  <c r="E2288" i="1"/>
  <c r="E2289" i="1"/>
  <c r="E2291" i="1"/>
  <c r="E2292" i="1"/>
  <c r="E2293" i="1"/>
  <c r="E2294" i="1"/>
  <c r="E2295" i="1"/>
  <c r="E2296" i="1"/>
  <c r="E2297" i="1"/>
  <c r="E2299" i="1"/>
  <c r="E2300" i="1"/>
  <c r="E2301" i="1"/>
  <c r="E2303" i="1"/>
  <c r="E2304" i="1"/>
  <c r="E2305" i="1"/>
  <c r="E2306" i="1"/>
  <c r="E2307" i="1"/>
  <c r="E2308" i="1"/>
  <c r="E2309" i="1"/>
  <c r="E2310" i="1"/>
  <c r="E2311" i="1"/>
  <c r="E2312" i="1"/>
  <c r="E2313" i="1"/>
  <c r="E2315" i="1"/>
  <c r="E2316" i="1"/>
  <c r="E2317" i="1"/>
  <c r="E2319" i="1"/>
  <c r="E2320" i="1"/>
  <c r="E2321" i="1"/>
  <c r="E2323" i="1"/>
  <c r="E2324" i="1"/>
  <c r="E2325" i="1"/>
  <c r="E2326" i="1"/>
  <c r="E2327" i="1"/>
  <c r="E2328" i="1"/>
  <c r="E2329" i="1"/>
  <c r="E2330" i="1"/>
  <c r="E2331" i="1"/>
  <c r="E2332" i="1"/>
  <c r="E2333" i="1"/>
  <c r="E2335" i="1"/>
  <c r="E2336" i="1"/>
  <c r="E2337" i="1"/>
  <c r="E2339" i="1"/>
  <c r="E2340" i="1"/>
  <c r="E2341" i="1"/>
  <c r="E2342" i="1"/>
  <c r="E2343" i="1"/>
  <c r="E2344" i="1"/>
  <c r="E2345" i="1"/>
  <c r="E2347" i="1"/>
  <c r="E2348" i="1"/>
  <c r="E2349" i="1"/>
  <c r="E2350" i="1"/>
  <c r="E2351" i="1"/>
  <c r="E2352" i="1"/>
  <c r="E2353" i="1"/>
  <c r="E2355" i="1"/>
  <c r="E2356" i="1"/>
  <c r="E2357" i="1"/>
  <c r="E2358" i="1"/>
  <c r="E2359" i="1"/>
  <c r="E2360" i="1"/>
  <c r="E2361" i="1"/>
  <c r="E2363" i="1"/>
  <c r="E2364" i="1"/>
  <c r="E2365" i="1"/>
  <c r="E2367" i="1"/>
  <c r="E2368" i="1"/>
  <c r="E2369" i="1"/>
  <c r="E2370" i="1"/>
  <c r="E2371" i="1"/>
  <c r="E2372" i="1"/>
  <c r="E2373" i="1"/>
  <c r="E2374" i="1"/>
  <c r="E2375" i="1"/>
  <c r="E2376" i="1"/>
  <c r="E2377" i="1"/>
  <c r="E2379" i="1"/>
  <c r="E2380" i="1"/>
  <c r="E2381" i="1"/>
  <c r="E2383" i="1"/>
  <c r="E2384" i="1"/>
  <c r="E2385" i="1"/>
  <c r="E2387" i="1"/>
  <c r="E2388" i="1"/>
  <c r="E2389" i="1"/>
  <c r="E2390" i="1"/>
  <c r="E2391" i="1"/>
  <c r="E2392" i="1"/>
  <c r="E2393" i="1"/>
  <c r="E2394" i="1"/>
  <c r="E2395" i="1"/>
  <c r="E2396" i="1"/>
  <c r="E2397" i="1"/>
  <c r="E2399" i="1"/>
  <c r="E2400" i="1"/>
  <c r="E2401" i="1"/>
  <c r="E2403" i="1"/>
  <c r="E2404" i="1"/>
  <c r="E2405" i="1"/>
  <c r="E2406" i="1"/>
  <c r="E2407" i="1"/>
  <c r="E2408" i="1"/>
  <c r="E2409" i="1"/>
  <c r="E2411" i="1"/>
  <c r="E2412" i="1"/>
  <c r="E2413" i="1"/>
  <c r="E2414" i="1"/>
  <c r="E2415" i="1"/>
  <c r="E2416" i="1"/>
  <c r="E2417" i="1"/>
  <c r="E2419" i="1"/>
  <c r="E2420" i="1"/>
  <c r="E2421" i="1"/>
  <c r="E2422" i="1"/>
  <c r="E2423" i="1"/>
  <c r="E2424" i="1"/>
  <c r="E2425" i="1"/>
  <c r="E2427" i="1"/>
  <c r="E2428" i="1"/>
  <c r="E2429" i="1"/>
  <c r="E2431" i="1"/>
  <c r="E2432" i="1"/>
  <c r="E2433" i="1"/>
  <c r="E2434" i="1"/>
  <c r="E2435" i="1"/>
  <c r="E2436" i="1"/>
  <c r="E2437" i="1"/>
  <c r="E2438" i="1"/>
  <c r="E2439" i="1"/>
  <c r="E2440" i="1"/>
  <c r="E2441" i="1"/>
  <c r="E2443" i="1"/>
  <c r="E2444" i="1"/>
  <c r="E2445" i="1"/>
  <c r="E2447" i="1"/>
  <c r="E2448" i="1"/>
  <c r="E2449" i="1"/>
  <c r="E2451" i="1"/>
  <c r="E2452" i="1"/>
  <c r="E2453" i="1"/>
  <c r="E2454" i="1"/>
  <c r="E2455" i="1"/>
  <c r="E2456" i="1"/>
  <c r="E2457" i="1"/>
  <c r="E2458" i="1"/>
  <c r="E2459" i="1"/>
  <c r="E2460" i="1"/>
  <c r="E2461" i="1"/>
  <c r="E2463" i="1"/>
  <c r="E2464" i="1"/>
  <c r="E2465" i="1"/>
  <c r="E2467" i="1"/>
  <c r="E2468" i="1"/>
  <c r="E2469" i="1"/>
  <c r="E2470" i="1"/>
  <c r="E2471" i="1"/>
  <c r="E2472" i="1"/>
  <c r="E2473" i="1"/>
  <c r="E2475" i="1"/>
  <c r="E2476" i="1"/>
  <c r="E2477" i="1"/>
  <c r="E2478" i="1"/>
  <c r="E2479" i="1"/>
  <c r="E2480" i="1"/>
  <c r="E2481" i="1"/>
  <c r="E2483" i="1"/>
  <c r="E2484" i="1"/>
  <c r="E2485" i="1"/>
  <c r="E2486" i="1"/>
  <c r="E2487" i="1"/>
  <c r="E2488" i="1"/>
  <c r="E2489" i="1"/>
  <c r="E2491" i="1"/>
  <c r="E2492" i="1"/>
  <c r="E2493" i="1"/>
  <c r="E2495" i="1"/>
  <c r="E2496" i="1"/>
  <c r="E2497" i="1"/>
  <c r="E2498" i="1"/>
  <c r="E2499" i="1"/>
  <c r="E2500" i="1"/>
  <c r="E2501" i="1"/>
  <c r="E2502" i="1"/>
  <c r="E2503" i="1"/>
  <c r="E2504" i="1"/>
  <c r="E2505" i="1"/>
  <c r="E2507" i="1"/>
  <c r="E2508" i="1"/>
  <c r="E2509" i="1"/>
  <c r="E2511" i="1"/>
  <c r="E2512" i="1"/>
  <c r="E2513" i="1"/>
  <c r="E2515" i="1"/>
  <c r="E2516" i="1"/>
  <c r="E2517" i="1"/>
  <c r="E2518" i="1"/>
  <c r="E2519" i="1"/>
  <c r="E2520" i="1"/>
  <c r="E2521" i="1"/>
  <c r="E2522" i="1"/>
  <c r="E2523" i="1"/>
  <c r="E2524" i="1"/>
  <c r="E2525" i="1"/>
  <c r="E2527" i="1"/>
  <c r="E2528" i="1"/>
  <c r="E2529" i="1"/>
  <c r="E2531" i="1"/>
  <c r="E2532" i="1"/>
  <c r="E2533" i="1"/>
  <c r="E2534" i="1"/>
  <c r="E2535" i="1"/>
  <c r="E2536" i="1"/>
  <c r="E2537" i="1"/>
  <c r="E2539" i="1"/>
  <c r="E2540" i="1"/>
  <c r="E2541" i="1"/>
  <c r="E2542" i="1"/>
  <c r="E2543" i="1"/>
  <c r="E2544" i="1"/>
  <c r="E2545" i="1"/>
  <c r="E2547" i="1"/>
  <c r="E2548" i="1"/>
  <c r="E2549" i="1"/>
  <c r="E2550" i="1"/>
  <c r="E2551" i="1"/>
  <c r="E2552" i="1"/>
  <c r="E2553" i="1"/>
  <c r="E2555" i="1"/>
  <c r="E2556" i="1"/>
  <c r="E2557" i="1"/>
  <c r="E2559" i="1"/>
  <c r="E2560" i="1"/>
  <c r="E2561" i="1"/>
  <c r="E2562" i="1"/>
  <c r="E2563" i="1"/>
  <c r="E2564" i="1"/>
  <c r="E2565" i="1"/>
  <c r="E2566" i="1"/>
  <c r="E2567" i="1"/>
  <c r="E2568" i="1"/>
  <c r="E2569" i="1"/>
  <c r="E2571" i="1"/>
  <c r="E2572" i="1"/>
  <c r="E2573" i="1"/>
  <c r="E2575" i="1"/>
  <c r="E2576" i="1"/>
  <c r="E2577" i="1"/>
  <c r="E2579" i="1"/>
  <c r="E2580" i="1"/>
  <c r="E2581" i="1"/>
  <c r="E2582" i="1"/>
  <c r="E2583" i="1"/>
  <c r="E2584" i="1"/>
  <c r="E2585" i="1"/>
  <c r="E2586" i="1"/>
  <c r="E2587" i="1"/>
  <c r="E2588" i="1"/>
  <c r="E2589" i="1"/>
  <c r="E2591" i="1"/>
  <c r="E2592" i="1"/>
  <c r="E2593" i="1"/>
  <c r="E2595" i="1"/>
  <c r="E2596" i="1"/>
  <c r="E2597" i="1"/>
  <c r="E2598" i="1"/>
  <c r="E2599" i="1"/>
  <c r="E2600" i="1"/>
  <c r="E2601" i="1"/>
  <c r="E2603" i="1"/>
  <c r="E2604" i="1"/>
  <c r="E2605" i="1"/>
  <c r="E2606" i="1"/>
  <c r="E2607" i="1"/>
  <c r="E2608" i="1"/>
  <c r="E2609" i="1"/>
  <c r="E2611" i="1"/>
  <c r="E2612" i="1"/>
  <c r="E2613" i="1"/>
  <c r="E2614" i="1"/>
  <c r="E2615" i="1"/>
  <c r="E2616" i="1"/>
  <c r="E2617" i="1"/>
  <c r="E2619" i="1"/>
  <c r="E2620" i="1"/>
  <c r="E2621" i="1"/>
  <c r="E2623" i="1"/>
  <c r="E2624" i="1"/>
  <c r="E2625" i="1"/>
  <c r="E2626" i="1"/>
  <c r="E2627" i="1"/>
  <c r="E2628" i="1"/>
  <c r="E2629" i="1"/>
  <c r="E2630" i="1"/>
  <c r="E2631" i="1"/>
  <c r="E2632" i="1"/>
  <c r="E2633" i="1"/>
  <c r="E2635" i="1"/>
  <c r="E2636" i="1"/>
  <c r="E2637" i="1"/>
  <c r="E2639" i="1"/>
  <c r="E2640" i="1"/>
  <c r="E2641" i="1"/>
  <c r="E2643" i="1"/>
  <c r="E2644" i="1"/>
  <c r="E2645" i="1"/>
  <c r="E2646" i="1"/>
  <c r="E2647" i="1"/>
  <c r="E2648" i="1"/>
  <c r="E2649" i="1"/>
  <c r="E2650" i="1"/>
  <c r="E2651" i="1"/>
  <c r="E2652" i="1"/>
  <c r="E2653" i="1"/>
  <c r="E2655" i="1"/>
  <c r="E2656" i="1"/>
  <c r="E2657" i="1"/>
  <c r="E2659" i="1"/>
  <c r="E2660" i="1"/>
  <c r="E2661" i="1"/>
  <c r="E2662" i="1"/>
  <c r="E2663" i="1"/>
  <c r="E2664" i="1"/>
  <c r="E2665" i="1"/>
  <c r="E2667" i="1"/>
  <c r="E2668" i="1"/>
  <c r="E2669" i="1"/>
  <c r="E2670" i="1"/>
  <c r="E2671" i="1"/>
  <c r="E2672" i="1"/>
  <c r="E2673" i="1"/>
  <c r="E2675" i="1"/>
  <c r="E2676" i="1"/>
  <c r="E2677" i="1"/>
  <c r="E2678" i="1"/>
  <c r="E2679" i="1"/>
  <c r="E2680" i="1"/>
  <c r="E2681" i="1"/>
  <c r="E2683" i="1"/>
  <c r="E2684" i="1"/>
  <c r="E2685" i="1"/>
  <c r="E2687" i="1"/>
  <c r="E2688" i="1"/>
  <c r="E2689" i="1"/>
  <c r="E2690" i="1"/>
  <c r="E2691" i="1"/>
  <c r="E2692" i="1"/>
  <c r="E2693" i="1"/>
  <c r="E2694" i="1"/>
  <c r="E2695" i="1"/>
  <c r="E2696" i="1"/>
  <c r="E2697" i="1"/>
  <c r="E2699" i="1"/>
  <c r="E2700" i="1"/>
  <c r="E2701" i="1"/>
  <c r="E2703" i="1"/>
  <c r="E2704" i="1"/>
  <c r="E2705" i="1"/>
  <c r="E2707" i="1"/>
  <c r="E2708" i="1"/>
  <c r="E2709" i="1"/>
  <c r="E2710" i="1"/>
  <c r="E2711" i="1"/>
  <c r="E2712" i="1"/>
  <c r="E2713" i="1"/>
  <c r="E2714" i="1"/>
  <c r="E2715" i="1"/>
  <c r="E2716" i="1"/>
  <c r="E2717" i="1"/>
  <c r="E2719" i="1"/>
  <c r="E2720" i="1"/>
  <c r="E2721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7" i="1"/>
  <c r="E2748" i="1"/>
  <c r="E2749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1" i="1"/>
  <c r="E2772" i="1"/>
  <c r="E2773" i="1"/>
  <c r="E2774" i="1"/>
  <c r="E2775" i="1"/>
  <c r="E2776" i="1"/>
  <c r="E2777" i="1"/>
  <c r="E2778" i="1"/>
  <c r="E2779" i="1"/>
  <c r="E2780" i="1"/>
  <c r="E2781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3" i="1"/>
  <c r="E2804" i="1"/>
  <c r="E2805" i="1"/>
  <c r="E2806" i="1"/>
  <c r="E2807" i="1"/>
  <c r="E2808" i="1"/>
  <c r="E2809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1" i="1"/>
  <c r="E2832" i="1"/>
  <c r="E2833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9" i="1"/>
  <c r="E2860" i="1"/>
  <c r="E2861" i="1"/>
  <c r="E2862" i="1"/>
  <c r="E2863" i="1"/>
  <c r="E2864" i="1"/>
  <c r="E2865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1" i="1"/>
  <c r="E2892" i="1"/>
  <c r="E2893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5" i="1"/>
  <c r="E2916" i="1"/>
  <c r="E2917" i="1"/>
  <c r="E2918" i="1"/>
  <c r="E2919" i="1"/>
  <c r="E2920" i="1"/>
  <c r="E2921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3" i="1"/>
  <c r="E3004" i="1"/>
  <c r="E3005" i="1"/>
  <c r="E3006" i="1"/>
  <c r="E3007" i="1"/>
  <c r="E3008" i="1"/>
  <c r="E3009" i="1"/>
  <c r="E3010" i="1"/>
  <c r="E3011" i="1"/>
  <c r="E3012" i="1"/>
  <c r="E3013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9" i="1"/>
  <c r="E3120" i="1"/>
  <c r="E3121" i="1"/>
  <c r="E3122" i="1"/>
  <c r="E3123" i="1"/>
  <c r="E3124" i="1"/>
  <c r="E3125" i="1"/>
  <c r="E3126" i="1"/>
  <c r="E3127" i="1"/>
  <c r="E3128" i="1"/>
  <c r="E3129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9" i="1"/>
  <c r="E3180" i="1"/>
  <c r="E3181" i="1"/>
  <c r="E3182" i="1"/>
  <c r="E3183" i="1"/>
  <c r="E3184" i="1"/>
  <c r="E3185" i="1"/>
  <c r="E3186" i="1"/>
  <c r="E3187" i="1"/>
  <c r="E3188" i="1"/>
  <c r="E3189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7" i="1"/>
  <c r="E3248" i="1"/>
  <c r="E3249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4" i="1"/>
  <c r="E5" i="1"/>
  <c r="E6" i="1"/>
  <c r="E10" i="1"/>
  <c r="E14" i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E178" i="1"/>
  <c r="E182" i="1"/>
  <c r="E186" i="1"/>
  <c r="E190" i="1"/>
  <c r="E194" i="1"/>
  <c r="E198" i="1"/>
  <c r="E202" i="1"/>
  <c r="E206" i="1"/>
  <c r="E210" i="1"/>
  <c r="E214" i="1"/>
  <c r="E218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2" i="1"/>
  <c r="E394" i="1"/>
  <c r="E398" i="1"/>
  <c r="E402" i="1"/>
  <c r="E404" i="1"/>
  <c r="E406" i="1"/>
  <c r="E410" i="1"/>
  <c r="E414" i="1"/>
  <c r="E418" i="1"/>
  <c r="E422" i="1"/>
  <c r="E426" i="1"/>
  <c r="E430" i="1"/>
  <c r="E434" i="1"/>
  <c r="E438" i="1"/>
  <c r="E440" i="1"/>
  <c r="E442" i="1"/>
  <c r="E446" i="1"/>
  <c r="E450" i="1"/>
  <c r="E454" i="1"/>
  <c r="E458" i="1"/>
  <c r="E462" i="1"/>
  <c r="E466" i="1"/>
  <c r="E470" i="1"/>
  <c r="E474" i="1"/>
  <c r="E478" i="1"/>
  <c r="E482" i="1"/>
  <c r="E486" i="1"/>
  <c r="E490" i="1"/>
  <c r="E494" i="1"/>
  <c r="E498" i="1"/>
  <c r="E502" i="1"/>
  <c r="E506" i="1"/>
  <c r="E510" i="1"/>
  <c r="E514" i="1"/>
  <c r="E518" i="1"/>
  <c r="E520" i="1"/>
  <c r="E522" i="1"/>
  <c r="E526" i="1"/>
  <c r="E530" i="1"/>
  <c r="E532" i="1"/>
  <c r="E534" i="1"/>
  <c r="E538" i="1"/>
  <c r="E542" i="1"/>
  <c r="E546" i="1"/>
  <c r="E550" i="1"/>
  <c r="E554" i="1"/>
  <c r="E558" i="1"/>
  <c r="E562" i="1"/>
  <c r="E566" i="1"/>
  <c r="E568" i="1"/>
  <c r="E570" i="1"/>
  <c r="E574" i="1"/>
  <c r="E578" i="1"/>
  <c r="E582" i="1"/>
  <c r="E586" i="1"/>
  <c r="E590" i="1"/>
  <c r="E594" i="1"/>
  <c r="E602" i="1"/>
  <c r="E604" i="1"/>
  <c r="E606" i="1"/>
  <c r="E640" i="1"/>
  <c r="E692" i="1"/>
  <c r="E724" i="1"/>
  <c r="E833" i="1"/>
  <c r="E946" i="1"/>
  <c r="E948" i="1"/>
  <c r="E1005" i="1"/>
  <c r="E1056" i="1"/>
  <c r="E1195" i="1"/>
  <c r="E1224" i="1"/>
  <c r="E1290" i="1"/>
  <c r="E1294" i="1"/>
  <c r="E1298" i="1"/>
  <c r="E1302" i="1"/>
  <c r="E1306" i="1"/>
  <c r="E1310" i="1"/>
  <c r="E1314" i="1"/>
  <c r="E1318" i="1"/>
  <c r="E1322" i="1"/>
  <c r="E1326" i="1"/>
  <c r="E1330" i="1"/>
  <c r="E1334" i="1"/>
  <c r="E1338" i="1"/>
  <c r="E1342" i="1"/>
  <c r="E1346" i="1"/>
  <c r="E1350" i="1"/>
  <c r="E1354" i="1"/>
  <c r="E1358" i="1"/>
  <c r="E1362" i="1"/>
  <c r="E1366" i="1"/>
  <c r="E1370" i="1"/>
  <c r="E1374" i="1"/>
  <c r="E1378" i="1"/>
  <c r="E1382" i="1"/>
  <c r="E1386" i="1"/>
  <c r="E1390" i="1"/>
  <c r="E1394" i="1"/>
  <c r="E1398" i="1"/>
  <c r="E1402" i="1"/>
  <c r="E1406" i="1"/>
  <c r="E1410" i="1"/>
  <c r="E1414" i="1"/>
  <c r="E1418" i="1"/>
  <c r="E1422" i="1"/>
  <c r="E1426" i="1"/>
  <c r="E1430" i="1"/>
  <c r="E1434" i="1"/>
  <c r="E1438" i="1"/>
  <c r="E1442" i="1"/>
  <c r="E1446" i="1"/>
  <c r="E1450" i="1"/>
  <c r="E1454" i="1"/>
  <c r="E1458" i="1"/>
  <c r="E1462" i="1"/>
  <c r="E1466" i="1"/>
  <c r="E1470" i="1"/>
  <c r="E1474" i="1"/>
  <c r="E1478" i="1"/>
  <c r="E1482" i="1"/>
  <c r="E1486" i="1"/>
  <c r="E1490" i="1"/>
  <c r="E1494" i="1"/>
  <c r="E1498" i="1"/>
  <c r="E1502" i="1"/>
  <c r="E1506" i="1"/>
  <c r="E1510" i="1"/>
  <c r="E1514" i="1"/>
  <c r="E1518" i="1"/>
  <c r="E1522" i="1"/>
  <c r="E1526" i="1"/>
  <c r="E1530" i="1"/>
  <c r="E1534" i="1"/>
  <c r="E1538" i="1"/>
  <c r="E1542" i="1"/>
  <c r="E1546" i="1"/>
  <c r="E1549" i="1"/>
  <c r="E1550" i="1"/>
  <c r="E1554" i="1"/>
  <c r="E1558" i="1"/>
  <c r="E1562" i="1"/>
  <c r="E1566" i="1"/>
  <c r="E1570" i="1"/>
  <c r="E1574" i="1"/>
  <c r="E1578" i="1"/>
  <c r="E1582" i="1"/>
  <c r="E1586" i="1"/>
  <c r="E1590" i="1"/>
  <c r="E1594" i="1"/>
  <c r="E1598" i="1"/>
  <c r="E1602" i="1"/>
  <c r="E1606" i="1"/>
  <c r="E1610" i="1"/>
  <c r="E1614" i="1"/>
  <c r="E1618" i="1"/>
  <c r="E1622" i="1"/>
  <c r="E1626" i="1"/>
  <c r="E1630" i="1"/>
  <c r="E1634" i="1"/>
  <c r="E1638" i="1"/>
  <c r="E1642" i="1"/>
  <c r="E1646" i="1"/>
  <c r="E1650" i="1"/>
  <c r="E1654" i="1"/>
  <c r="E1658" i="1"/>
  <c r="E1662" i="1"/>
  <c r="E1666" i="1"/>
  <c r="E1670" i="1"/>
  <c r="E1674" i="1"/>
  <c r="E1678" i="1"/>
  <c r="E1682" i="1"/>
  <c r="E1686" i="1"/>
  <c r="E1690" i="1"/>
  <c r="E1694" i="1"/>
  <c r="E1698" i="1"/>
  <c r="E1702" i="1"/>
  <c r="E1706" i="1"/>
  <c r="E1710" i="1"/>
  <c r="E1714" i="1"/>
  <c r="E1718" i="1"/>
  <c r="E1722" i="1"/>
  <c r="E1726" i="1"/>
  <c r="E1730" i="1"/>
  <c r="E1734" i="1"/>
  <c r="E1738" i="1"/>
  <c r="E1742" i="1"/>
  <c r="E1746" i="1"/>
  <c r="E1750" i="1"/>
  <c r="E1754" i="1"/>
  <c r="E1758" i="1"/>
  <c r="E1762" i="1"/>
  <c r="E1766" i="1"/>
  <c r="E1770" i="1"/>
  <c r="E1774" i="1"/>
  <c r="E1778" i="1"/>
  <c r="E1782" i="1"/>
  <c r="E1786" i="1"/>
  <c r="E1790" i="1"/>
  <c r="E1794" i="1"/>
  <c r="E1798" i="1"/>
  <c r="E1802" i="1"/>
  <c r="E1806" i="1"/>
  <c r="E1810" i="1"/>
  <c r="E1814" i="1"/>
  <c r="E1818" i="1"/>
  <c r="E1822" i="1"/>
  <c r="E1826" i="1"/>
  <c r="E1830" i="1"/>
  <c r="E1834" i="1"/>
  <c r="E1838" i="1"/>
  <c r="E1842" i="1"/>
  <c r="E1846" i="1"/>
  <c r="E1850" i="1"/>
  <c r="E1854" i="1"/>
  <c r="E1858" i="1"/>
  <c r="E1862" i="1"/>
  <c r="E1866" i="1"/>
  <c r="E1870" i="1"/>
  <c r="E1874" i="1"/>
  <c r="E1882" i="1"/>
  <c r="E1886" i="1"/>
  <c r="E1890" i="1"/>
  <c r="E1898" i="1"/>
  <c r="E1902" i="1"/>
  <c r="E1906" i="1"/>
  <c r="E1914" i="1"/>
  <c r="E1918" i="1"/>
  <c r="E1922" i="1"/>
  <c r="E1930" i="1"/>
  <c r="E1934" i="1"/>
  <c r="E1938" i="1"/>
  <c r="E1946" i="1"/>
  <c r="E1950" i="1"/>
  <c r="E1954" i="1"/>
  <c r="E1962" i="1"/>
  <c r="E1966" i="1"/>
  <c r="E1970" i="1"/>
  <c r="E1978" i="1"/>
  <c r="E1982" i="1"/>
  <c r="E1986" i="1"/>
  <c r="E1994" i="1"/>
  <c r="E1998" i="1"/>
  <c r="E2002" i="1"/>
  <c r="E2010" i="1"/>
  <c r="E2014" i="1"/>
  <c r="E2018" i="1"/>
  <c r="E2026" i="1"/>
  <c r="E2030" i="1"/>
  <c r="E2034" i="1"/>
  <c r="E2042" i="1"/>
  <c r="E2046" i="1"/>
  <c r="E2050" i="1"/>
  <c r="E2058" i="1"/>
  <c r="E2062" i="1"/>
  <c r="E2066" i="1"/>
  <c r="E2074" i="1"/>
  <c r="E2078" i="1"/>
  <c r="E2082" i="1"/>
  <c r="E2090" i="1"/>
  <c r="E2094" i="1"/>
  <c r="E2098" i="1"/>
  <c r="E2106" i="1"/>
  <c r="E2110" i="1"/>
  <c r="E2114" i="1"/>
  <c r="E2122" i="1"/>
  <c r="E2126" i="1"/>
  <c r="E2130" i="1"/>
  <c r="E2138" i="1"/>
  <c r="E2142" i="1"/>
  <c r="E2146" i="1"/>
  <c r="E2154" i="1"/>
  <c r="E2158" i="1"/>
  <c r="E2162" i="1"/>
  <c r="E2170" i="1"/>
  <c r="E2174" i="1"/>
  <c r="E2178" i="1"/>
  <c r="E2186" i="1"/>
  <c r="E2190" i="1"/>
  <c r="E2194" i="1"/>
  <c r="E2202" i="1"/>
  <c r="E2206" i="1"/>
  <c r="E2210" i="1"/>
  <c r="E2218" i="1"/>
  <c r="E2226" i="1"/>
  <c r="E2234" i="1"/>
  <c r="E2238" i="1"/>
  <c r="E2250" i="1"/>
  <c r="E2254" i="1"/>
  <c r="E2258" i="1"/>
  <c r="E2270" i="1"/>
  <c r="E2274" i="1"/>
  <c r="E2282" i="1"/>
  <c r="E2290" i="1"/>
  <c r="E2298" i="1"/>
  <c r="E2302" i="1"/>
  <c r="E2314" i="1"/>
  <c r="E2318" i="1"/>
  <c r="E2322" i="1"/>
  <c r="E2334" i="1"/>
  <c r="E2338" i="1"/>
  <c r="E2346" i="1"/>
  <c r="E2354" i="1"/>
  <c r="E2362" i="1"/>
  <c r="E2366" i="1"/>
  <c r="E2378" i="1"/>
  <c r="E2382" i="1"/>
  <c r="E2386" i="1"/>
  <c r="E2398" i="1"/>
  <c r="E2402" i="1"/>
  <c r="E2410" i="1"/>
  <c r="E2418" i="1"/>
  <c r="E2426" i="1"/>
  <c r="E2430" i="1"/>
  <c r="E2442" i="1"/>
  <c r="E2446" i="1"/>
  <c r="E2450" i="1"/>
  <c r="E2462" i="1"/>
  <c r="E2466" i="1"/>
  <c r="E2474" i="1"/>
  <c r="E2482" i="1"/>
  <c r="E2490" i="1"/>
  <c r="E2494" i="1"/>
  <c r="E2506" i="1"/>
  <c r="E2510" i="1"/>
  <c r="E2514" i="1"/>
  <c r="E2526" i="1"/>
  <c r="E2530" i="1"/>
  <c r="E2538" i="1"/>
  <c r="E2546" i="1"/>
  <c r="E2554" i="1"/>
  <c r="E2558" i="1"/>
  <c r="E2570" i="1"/>
  <c r="E2574" i="1"/>
  <c r="E2578" i="1"/>
  <c r="E2590" i="1"/>
  <c r="E2594" i="1"/>
  <c r="E2602" i="1"/>
  <c r="E2610" i="1"/>
  <c r="E2618" i="1"/>
  <c r="E2622" i="1"/>
  <c r="E2634" i="1"/>
  <c r="E2638" i="1"/>
  <c r="E2642" i="1"/>
  <c r="E2654" i="1"/>
  <c r="E2658" i="1"/>
  <c r="E2666" i="1"/>
  <c r="E2674" i="1"/>
  <c r="E2682" i="1"/>
  <c r="E2686" i="1"/>
  <c r="E2698" i="1"/>
  <c r="E2702" i="1"/>
  <c r="E2706" i="1"/>
  <c r="E2718" i="1"/>
  <c r="E2722" i="1"/>
  <c r="E2746" i="1"/>
  <c r="E2750" i="1"/>
  <c r="E2770" i="1"/>
  <c r="E2782" i="1"/>
  <c r="E2802" i="1"/>
  <c r="E2810" i="1"/>
  <c r="E2830" i="1"/>
  <c r="E2834" i="1"/>
  <c r="E2858" i="1"/>
  <c r="E2866" i="1"/>
  <c r="E2890" i="1"/>
  <c r="E2894" i="1"/>
  <c r="E2914" i="1"/>
  <c r="E2922" i="1"/>
  <c r="E2942" i="1"/>
  <c r="E2966" i="1"/>
  <c r="E3002" i="1"/>
  <c r="E3014" i="1"/>
  <c r="E3058" i="1"/>
  <c r="E3078" i="1"/>
  <c r="E3118" i="1"/>
  <c r="E3130" i="1"/>
  <c r="E3178" i="1"/>
  <c r="E3190" i="1"/>
  <c r="E3246" i="1"/>
  <c r="E3250" i="1"/>
  <c r="E3277" i="1"/>
  <c r="E3278" i="1"/>
  <c r="E3294" i="1"/>
  <c r="E3342" i="1"/>
  <c r="E3398" i="1"/>
  <c r="E3514" i="1"/>
  <c r="E3542" i="1"/>
  <c r="E4034" i="1"/>
  <c r="E4114" i="1"/>
  <c r="K1566" i="2" l="1"/>
  <c r="K23" i="2" s="1"/>
  <c r="V4" i="2" s="1"/>
  <c r="W4" i="2" s="1"/>
  <c r="W5" i="2" s="1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L1505" i="2" s="1"/>
  <c r="M1505" i="2" s="1"/>
  <c r="K1503" i="2"/>
  <c r="K1502" i="2"/>
  <c r="K1501" i="2"/>
  <c r="K1500" i="2"/>
  <c r="K1499" i="2"/>
  <c r="K1498" i="2"/>
  <c r="K1497" i="2"/>
  <c r="K1496" i="2"/>
  <c r="L1497" i="2" s="1"/>
  <c r="M1497" i="2" s="1"/>
  <c r="K1495" i="2"/>
  <c r="K1494" i="2"/>
  <c r="K1493" i="2"/>
  <c r="K1492" i="2"/>
  <c r="L1493" i="2" s="1"/>
  <c r="M1493" i="2" s="1"/>
  <c r="K1491" i="2"/>
  <c r="K1490" i="2"/>
  <c r="K1489" i="2"/>
  <c r="K1488" i="2"/>
  <c r="L1489" i="2" s="1"/>
  <c r="M1489" i="2" s="1"/>
  <c r="K1487" i="2"/>
  <c r="K1486" i="2"/>
  <c r="K1485" i="2"/>
  <c r="K1484" i="2"/>
  <c r="L1485" i="2" s="1"/>
  <c r="M1485" i="2" s="1"/>
  <c r="K1483" i="2"/>
  <c r="K1482" i="2"/>
  <c r="K1481" i="2"/>
  <c r="K1480" i="2"/>
  <c r="K1479" i="2"/>
  <c r="K1478" i="2"/>
  <c r="K1477" i="2"/>
  <c r="K1476" i="2"/>
  <c r="L1477" i="2" s="1"/>
  <c r="M1477" i="2" s="1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L1461" i="2" s="1"/>
  <c r="M1461" i="2" s="1"/>
  <c r="K1459" i="2"/>
  <c r="K1458" i="2"/>
  <c r="K1457" i="2"/>
  <c r="K1456" i="2"/>
  <c r="K1455" i="2"/>
  <c r="K1454" i="2"/>
  <c r="K1453" i="2"/>
  <c r="K1452" i="2"/>
  <c r="L1453" i="2" s="1"/>
  <c r="M1453" i="2" s="1"/>
  <c r="K1451" i="2"/>
  <c r="K1450" i="2"/>
  <c r="K1449" i="2"/>
  <c r="K1448" i="2"/>
  <c r="L1449" i="2" s="1"/>
  <c r="M1449" i="2" s="1"/>
  <c r="K1447" i="2"/>
  <c r="K1446" i="2"/>
  <c r="K1445" i="2"/>
  <c r="K1444" i="2"/>
  <c r="K1443" i="2"/>
  <c r="K1442" i="2"/>
  <c r="K1441" i="2"/>
  <c r="K1440" i="2"/>
  <c r="L1441" i="2" s="1"/>
  <c r="M1441" i="2" s="1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L1429" i="2" s="1"/>
  <c r="M1429" i="2" s="1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L1413" i="2" s="1"/>
  <c r="M1413" i="2" s="1"/>
  <c r="K1411" i="2"/>
  <c r="K1410" i="2"/>
  <c r="K1409" i="2"/>
  <c r="K1408" i="2"/>
  <c r="L1409" i="2" s="1"/>
  <c r="M1409" i="2" s="1"/>
  <c r="K1407" i="2"/>
  <c r="K1406" i="2"/>
  <c r="K1405" i="2"/>
  <c r="K1404" i="2"/>
  <c r="L1405" i="2" s="1"/>
  <c r="M1405" i="2" s="1"/>
  <c r="K1403" i="2"/>
  <c r="K1402" i="2"/>
  <c r="K1401" i="2"/>
  <c r="K1400" i="2"/>
  <c r="L1401" i="2" s="1"/>
  <c r="M1401" i="2" s="1"/>
  <c r="K1399" i="2"/>
  <c r="K1398" i="2"/>
  <c r="K1397" i="2"/>
  <c r="K1396" i="2"/>
  <c r="L1397" i="2" s="1"/>
  <c r="M1397" i="2" s="1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L1385" i="2" s="1"/>
  <c r="M1385" i="2" s="1"/>
  <c r="K1383" i="2"/>
  <c r="K1382" i="2"/>
  <c r="K1381" i="2"/>
  <c r="K1380" i="2"/>
  <c r="L1381" i="2" s="1"/>
  <c r="M1381" i="2" s="1"/>
  <c r="K1379" i="2"/>
  <c r="K1378" i="2"/>
  <c r="K1377" i="2"/>
  <c r="K1376" i="2"/>
  <c r="K1375" i="2"/>
  <c r="K1374" i="2"/>
  <c r="K1373" i="2"/>
  <c r="K1372" i="2"/>
  <c r="L1373" i="2" s="1"/>
  <c r="M1373" i="2" s="1"/>
  <c r="K1371" i="2"/>
  <c r="K1370" i="2"/>
  <c r="K1369" i="2"/>
  <c r="K1368" i="2"/>
  <c r="L1369" i="2" s="1"/>
  <c r="M1369" i="2" s="1"/>
  <c r="K1367" i="2"/>
  <c r="K1366" i="2"/>
  <c r="K1365" i="2"/>
  <c r="K1364" i="2"/>
  <c r="L1365" i="2" s="1"/>
  <c r="M1365" i="2" s="1"/>
  <c r="K1363" i="2"/>
  <c r="K1362" i="2"/>
  <c r="K1361" i="2"/>
  <c r="K1360" i="2"/>
  <c r="K1359" i="2"/>
  <c r="K1358" i="2"/>
  <c r="K1357" i="2"/>
  <c r="K1356" i="2"/>
  <c r="L1357" i="2" s="1"/>
  <c r="M1357" i="2" s="1"/>
  <c r="K1355" i="2"/>
  <c r="K1354" i="2"/>
  <c r="K1353" i="2"/>
  <c r="K1352" i="2"/>
  <c r="L1353" i="2" s="1"/>
  <c r="M1353" i="2" s="1"/>
  <c r="K1351" i="2"/>
  <c r="K1350" i="2"/>
  <c r="K1349" i="2"/>
  <c r="K1348" i="2"/>
  <c r="K1347" i="2"/>
  <c r="K1346" i="2"/>
  <c r="K1345" i="2"/>
  <c r="K1344" i="2"/>
  <c r="L1345" i="2" s="1"/>
  <c r="M1345" i="2" s="1"/>
  <c r="K1343" i="2"/>
  <c r="K1342" i="2"/>
  <c r="K1341" i="2"/>
  <c r="K1340" i="2"/>
  <c r="L1341" i="2" s="1"/>
  <c r="M1341" i="2" s="1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L1329" i="2" s="1"/>
  <c r="M1329" i="2" s="1"/>
  <c r="K1327" i="2"/>
  <c r="K1326" i="2"/>
  <c r="K1325" i="2"/>
  <c r="K1324" i="2"/>
  <c r="L1325" i="2" s="1"/>
  <c r="M1325" i="2" s="1"/>
  <c r="K1323" i="2"/>
  <c r="K1322" i="2"/>
  <c r="K1321" i="2"/>
  <c r="K1320" i="2"/>
  <c r="L1321" i="2" s="1"/>
  <c r="M1321" i="2" s="1"/>
  <c r="K1319" i="2"/>
  <c r="K1318" i="2"/>
  <c r="K1317" i="2"/>
  <c r="K1316" i="2"/>
  <c r="L1317" i="2" s="1"/>
  <c r="M1317" i="2" s="1"/>
  <c r="K1315" i="2"/>
  <c r="K1314" i="2"/>
  <c r="K1313" i="2"/>
  <c r="K1312" i="2"/>
  <c r="L1313" i="2" s="1"/>
  <c r="M1313" i="2" s="1"/>
  <c r="K1311" i="2"/>
  <c r="K1310" i="2"/>
  <c r="K1309" i="2"/>
  <c r="K1308" i="2"/>
  <c r="L1309" i="2" s="1"/>
  <c r="M1309" i="2" s="1"/>
  <c r="K1307" i="2"/>
  <c r="K1306" i="2"/>
  <c r="K1305" i="2"/>
  <c r="K1304" i="2"/>
  <c r="L1305" i="2" s="1"/>
  <c r="M1305" i="2" s="1"/>
  <c r="K1303" i="2"/>
  <c r="K1302" i="2"/>
  <c r="K1301" i="2"/>
  <c r="K1300" i="2"/>
  <c r="L1301" i="2" s="1"/>
  <c r="M1301" i="2" s="1"/>
  <c r="K1299" i="2"/>
  <c r="K1298" i="2"/>
  <c r="K1297" i="2"/>
  <c r="K1296" i="2"/>
  <c r="L1297" i="2" s="1"/>
  <c r="M1297" i="2" s="1"/>
  <c r="K1295" i="2"/>
  <c r="K1294" i="2"/>
  <c r="K1293" i="2"/>
  <c r="K1292" i="2"/>
  <c r="L1293" i="2" s="1"/>
  <c r="M1293" i="2" s="1"/>
  <c r="K1291" i="2"/>
  <c r="K1290" i="2"/>
  <c r="K1289" i="2"/>
  <c r="K1288" i="2"/>
  <c r="L1289" i="2" s="1"/>
  <c r="M1289" i="2" s="1"/>
  <c r="K1287" i="2"/>
  <c r="K1286" i="2"/>
  <c r="K1285" i="2"/>
  <c r="K1284" i="2"/>
  <c r="L1285" i="2" s="1"/>
  <c r="M1285" i="2" s="1"/>
  <c r="K1283" i="2"/>
  <c r="K1282" i="2"/>
  <c r="K1281" i="2"/>
  <c r="K1280" i="2"/>
  <c r="L1281" i="2" s="1"/>
  <c r="M1281" i="2" s="1"/>
  <c r="K1279" i="2"/>
  <c r="K1278" i="2"/>
  <c r="K1277" i="2"/>
  <c r="K1276" i="2"/>
  <c r="K1275" i="2"/>
  <c r="K1274" i="2"/>
  <c r="K1273" i="2"/>
  <c r="K1272" i="2"/>
  <c r="L1273" i="2" s="1"/>
  <c r="M1273" i="2" s="1"/>
  <c r="K1271" i="2"/>
  <c r="K1270" i="2"/>
  <c r="K1269" i="2"/>
  <c r="K1268" i="2"/>
  <c r="L1269" i="2" s="1"/>
  <c r="M1269" i="2" s="1"/>
  <c r="K1267" i="2"/>
  <c r="K1266" i="2"/>
  <c r="K1265" i="2"/>
  <c r="K1264" i="2"/>
  <c r="L1265" i="2" s="1"/>
  <c r="M1265" i="2" s="1"/>
  <c r="K1263" i="2"/>
  <c r="K1262" i="2"/>
  <c r="K1261" i="2"/>
  <c r="K1260" i="2"/>
  <c r="L1261" i="2" s="1"/>
  <c r="M1261" i="2" s="1"/>
  <c r="K1259" i="2"/>
  <c r="K1258" i="2"/>
  <c r="K1257" i="2"/>
  <c r="K1256" i="2"/>
  <c r="K1255" i="2"/>
  <c r="K1254" i="2"/>
  <c r="K1253" i="2"/>
  <c r="K1252" i="2"/>
  <c r="L1253" i="2" s="1"/>
  <c r="M1253" i="2" s="1"/>
  <c r="K1251" i="2"/>
  <c r="K1250" i="2"/>
  <c r="K1249" i="2"/>
  <c r="K1248" i="2"/>
  <c r="L1249" i="2" s="1"/>
  <c r="M1249" i="2" s="1"/>
  <c r="K1247" i="2"/>
  <c r="K1246" i="2"/>
  <c r="K1245" i="2"/>
  <c r="K1244" i="2"/>
  <c r="L1245" i="2" s="1"/>
  <c r="M1245" i="2" s="1"/>
  <c r="K1243" i="2"/>
  <c r="K1242" i="2"/>
  <c r="K1241" i="2"/>
  <c r="K1240" i="2"/>
  <c r="L1241" i="2" s="1"/>
  <c r="M1241" i="2" s="1"/>
  <c r="K1239" i="2"/>
  <c r="K1238" i="2"/>
  <c r="K1237" i="2"/>
  <c r="K1236" i="2"/>
  <c r="L1237" i="2" s="1"/>
  <c r="M1237" i="2" s="1"/>
  <c r="K1235" i="2"/>
  <c r="K1234" i="2"/>
  <c r="K1233" i="2"/>
  <c r="K1232" i="2"/>
  <c r="L1233" i="2" s="1"/>
  <c r="M1233" i="2" s="1"/>
  <c r="K1231" i="2"/>
  <c r="K1230" i="2"/>
  <c r="K1229" i="2"/>
  <c r="K1228" i="2"/>
  <c r="L1229" i="2" s="1"/>
  <c r="M1229" i="2" s="1"/>
  <c r="K1227" i="2"/>
  <c r="K1226" i="2"/>
  <c r="K1225" i="2"/>
  <c r="K1224" i="2"/>
  <c r="L1225" i="2" s="1"/>
  <c r="M1225" i="2" s="1"/>
  <c r="K1223" i="2"/>
  <c r="K1222" i="2"/>
  <c r="K1221" i="2"/>
  <c r="K1220" i="2"/>
  <c r="L1221" i="2" s="1"/>
  <c r="M1221" i="2" s="1"/>
  <c r="K1219" i="2"/>
  <c r="K1218" i="2"/>
  <c r="K1217" i="2"/>
  <c r="K1216" i="2"/>
  <c r="L1217" i="2" s="1"/>
  <c r="M1217" i="2" s="1"/>
  <c r="K1215" i="2"/>
  <c r="K1214" i="2"/>
  <c r="K1213" i="2"/>
  <c r="K1212" i="2"/>
  <c r="L1213" i="2" s="1"/>
  <c r="M1213" i="2" s="1"/>
  <c r="K1211" i="2"/>
  <c r="K1210" i="2"/>
  <c r="K1209" i="2"/>
  <c r="K1208" i="2"/>
  <c r="L1209" i="2" s="1"/>
  <c r="M1209" i="2" s="1"/>
  <c r="K1207" i="2"/>
  <c r="K1206" i="2"/>
  <c r="K1205" i="2"/>
  <c r="K1204" i="2"/>
  <c r="L1205" i="2" s="1"/>
  <c r="M1205" i="2" s="1"/>
  <c r="K1203" i="2"/>
  <c r="K1202" i="2"/>
  <c r="K1201" i="2"/>
  <c r="K1200" i="2"/>
  <c r="L1201" i="2" s="1"/>
  <c r="M1201" i="2" s="1"/>
  <c r="K1199" i="2"/>
  <c r="K1198" i="2"/>
  <c r="K1197" i="2"/>
  <c r="K1196" i="2"/>
  <c r="L1197" i="2" s="1"/>
  <c r="M1197" i="2" s="1"/>
  <c r="K1195" i="2"/>
  <c r="K1194" i="2"/>
  <c r="K1193" i="2"/>
  <c r="K1192" i="2"/>
  <c r="L1193" i="2" s="1"/>
  <c r="M1193" i="2" s="1"/>
  <c r="K1191" i="2"/>
  <c r="K1190" i="2"/>
  <c r="K1189" i="2"/>
  <c r="K1188" i="2"/>
  <c r="L1189" i="2" s="1"/>
  <c r="M1189" i="2" s="1"/>
  <c r="K1187" i="2"/>
  <c r="K1186" i="2"/>
  <c r="K1185" i="2"/>
  <c r="K1184" i="2"/>
  <c r="L1185" i="2" s="1"/>
  <c r="M1185" i="2" s="1"/>
  <c r="K1183" i="2"/>
  <c r="K1182" i="2"/>
  <c r="K1181" i="2"/>
  <c r="K1180" i="2"/>
  <c r="L1181" i="2" s="1"/>
  <c r="M1181" i="2" s="1"/>
  <c r="K1179" i="2"/>
  <c r="K1178" i="2"/>
  <c r="K1177" i="2"/>
  <c r="K1176" i="2"/>
  <c r="L1177" i="2" s="1"/>
  <c r="M1177" i="2" s="1"/>
  <c r="K1175" i="2"/>
  <c r="K1174" i="2"/>
  <c r="K1173" i="2"/>
  <c r="K1172" i="2"/>
  <c r="L1173" i="2" s="1"/>
  <c r="M1173" i="2" s="1"/>
  <c r="K1171" i="2"/>
  <c r="K1170" i="2"/>
  <c r="K1169" i="2"/>
  <c r="K1168" i="2"/>
  <c r="L1169" i="2" s="1"/>
  <c r="M1169" i="2" s="1"/>
  <c r="K1167" i="2"/>
  <c r="K1166" i="2"/>
  <c r="K1165" i="2"/>
  <c r="K1164" i="2"/>
  <c r="L1165" i="2" s="1"/>
  <c r="M1165" i="2" s="1"/>
  <c r="K1163" i="2"/>
  <c r="K1162" i="2"/>
  <c r="K1161" i="2"/>
  <c r="K1160" i="2"/>
  <c r="L1161" i="2" s="1"/>
  <c r="M1161" i="2" s="1"/>
  <c r="K1159" i="2"/>
  <c r="K1158" i="2"/>
  <c r="K1157" i="2"/>
  <c r="K1156" i="2"/>
  <c r="L1157" i="2" s="1"/>
  <c r="M1157" i="2" s="1"/>
  <c r="K1155" i="2"/>
  <c r="K1154" i="2"/>
  <c r="K1153" i="2"/>
  <c r="K1152" i="2"/>
  <c r="L1153" i="2" s="1"/>
  <c r="M1153" i="2" s="1"/>
  <c r="K1151" i="2"/>
  <c r="K1150" i="2"/>
  <c r="K1149" i="2"/>
  <c r="K1148" i="2"/>
  <c r="K1147" i="2"/>
  <c r="K1146" i="2"/>
  <c r="K1145" i="2"/>
  <c r="K1144" i="2"/>
  <c r="L1145" i="2" s="1"/>
  <c r="M1145" i="2" s="1"/>
  <c r="K1143" i="2"/>
  <c r="K1142" i="2"/>
  <c r="K1141" i="2"/>
  <c r="K1140" i="2"/>
  <c r="L1141" i="2" s="1"/>
  <c r="M1141" i="2" s="1"/>
  <c r="K1139" i="2"/>
  <c r="K1138" i="2"/>
  <c r="K1137" i="2"/>
  <c r="K1136" i="2"/>
  <c r="L1137" i="2" s="1"/>
  <c r="M1137" i="2" s="1"/>
  <c r="K1135" i="2"/>
  <c r="K1134" i="2"/>
  <c r="K1133" i="2"/>
  <c r="K1132" i="2"/>
  <c r="L1133" i="2" s="1"/>
  <c r="M1133" i="2" s="1"/>
  <c r="K1131" i="2"/>
  <c r="K1130" i="2"/>
  <c r="K1129" i="2"/>
  <c r="K1128" i="2"/>
  <c r="L1129" i="2" s="1"/>
  <c r="M1129" i="2" s="1"/>
  <c r="K1127" i="2"/>
  <c r="K1126" i="2"/>
  <c r="K1125" i="2"/>
  <c r="K1124" i="2"/>
  <c r="L1125" i="2" s="1"/>
  <c r="M1125" i="2" s="1"/>
  <c r="K1123" i="2"/>
  <c r="K1122" i="2"/>
  <c r="K1121" i="2"/>
  <c r="K1120" i="2"/>
  <c r="L1121" i="2" s="1"/>
  <c r="M1121" i="2" s="1"/>
  <c r="K1119" i="2"/>
  <c r="K1118" i="2"/>
  <c r="K1117" i="2"/>
  <c r="K1116" i="2"/>
  <c r="L1117" i="2" s="1"/>
  <c r="M1117" i="2" s="1"/>
  <c r="K1115" i="2"/>
  <c r="K1114" i="2"/>
  <c r="K1113" i="2"/>
  <c r="K1112" i="2"/>
  <c r="L1113" i="2" s="1"/>
  <c r="M1113" i="2" s="1"/>
  <c r="K1111" i="2"/>
  <c r="K1110" i="2"/>
  <c r="K1109" i="2"/>
  <c r="K1108" i="2"/>
  <c r="L1109" i="2" s="1"/>
  <c r="M1109" i="2" s="1"/>
  <c r="K1107" i="2"/>
  <c r="K1106" i="2"/>
  <c r="K1105" i="2"/>
  <c r="K1104" i="2"/>
  <c r="L1105" i="2" s="1"/>
  <c r="M1105" i="2" s="1"/>
  <c r="K1103" i="2"/>
  <c r="K1102" i="2"/>
  <c r="K1101" i="2"/>
  <c r="K1100" i="2"/>
  <c r="L1101" i="2" s="1"/>
  <c r="M1101" i="2" s="1"/>
  <c r="K1099" i="2"/>
  <c r="K1098" i="2"/>
  <c r="K1097" i="2"/>
  <c r="K1096" i="2"/>
  <c r="L1097" i="2" s="1"/>
  <c r="M1097" i="2" s="1"/>
  <c r="K1095" i="2"/>
  <c r="K1094" i="2"/>
  <c r="K1093" i="2"/>
  <c r="K1092" i="2"/>
  <c r="L1093" i="2" s="1"/>
  <c r="M1093" i="2" s="1"/>
  <c r="K1091" i="2"/>
  <c r="K1090" i="2"/>
  <c r="K1089" i="2"/>
  <c r="K1088" i="2"/>
  <c r="L1089" i="2" s="1"/>
  <c r="M1089" i="2" s="1"/>
  <c r="K1087" i="2"/>
  <c r="K1086" i="2"/>
  <c r="K1085" i="2"/>
  <c r="K1084" i="2"/>
  <c r="K1083" i="2"/>
  <c r="K1082" i="2"/>
  <c r="K1081" i="2"/>
  <c r="K1080" i="2"/>
  <c r="L1081" i="2" s="1"/>
  <c r="M1081" i="2" s="1"/>
  <c r="K1079" i="2"/>
  <c r="K1078" i="2"/>
  <c r="K1077" i="2"/>
  <c r="K1076" i="2"/>
  <c r="L1077" i="2" s="1"/>
  <c r="M1077" i="2" s="1"/>
  <c r="K1075" i="2"/>
  <c r="K1074" i="2"/>
  <c r="K1073" i="2"/>
  <c r="K1072" i="2"/>
  <c r="L1073" i="2" s="1"/>
  <c r="M1073" i="2" s="1"/>
  <c r="K1071" i="2"/>
  <c r="K1070" i="2"/>
  <c r="K1069" i="2"/>
  <c r="K1068" i="2"/>
  <c r="L1069" i="2" s="1"/>
  <c r="M1069" i="2" s="1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L1057" i="2" s="1"/>
  <c r="M1057" i="2" s="1"/>
  <c r="K1055" i="2"/>
  <c r="K1054" i="2"/>
  <c r="K1053" i="2"/>
  <c r="K1052" i="2"/>
  <c r="L1053" i="2" s="1"/>
  <c r="M1053" i="2" s="1"/>
  <c r="K1051" i="2"/>
  <c r="K1050" i="2"/>
  <c r="K1049" i="2"/>
  <c r="K1048" i="2"/>
  <c r="L1049" i="2" s="1"/>
  <c r="M1049" i="2" s="1"/>
  <c r="K1047" i="2"/>
  <c r="K1046" i="2"/>
  <c r="K1045" i="2"/>
  <c r="K1044" i="2"/>
  <c r="L1045" i="2" s="1"/>
  <c r="M1045" i="2" s="1"/>
  <c r="K1043" i="2"/>
  <c r="K1042" i="2"/>
  <c r="K1041" i="2"/>
  <c r="K1040" i="2"/>
  <c r="L1041" i="2" s="1"/>
  <c r="M1041" i="2" s="1"/>
  <c r="K1039" i="2"/>
  <c r="K1038" i="2"/>
  <c r="K1037" i="2"/>
  <c r="K1036" i="2"/>
  <c r="L1037" i="2" s="1"/>
  <c r="M1037" i="2" s="1"/>
  <c r="K1035" i="2"/>
  <c r="K1034" i="2"/>
  <c r="K1033" i="2"/>
  <c r="K1032" i="2"/>
  <c r="L1033" i="2" s="1"/>
  <c r="M1033" i="2" s="1"/>
  <c r="K1031" i="2"/>
  <c r="K1030" i="2"/>
  <c r="K1029" i="2"/>
  <c r="K1028" i="2"/>
  <c r="K1027" i="2"/>
  <c r="K1026" i="2"/>
  <c r="K1025" i="2"/>
  <c r="K1024" i="2"/>
  <c r="L1025" i="2" s="1"/>
  <c r="M1025" i="2" s="1"/>
  <c r="K1023" i="2"/>
  <c r="K1022" i="2"/>
  <c r="K1021" i="2"/>
  <c r="K1020" i="2"/>
  <c r="K1019" i="2"/>
  <c r="K1018" i="2"/>
  <c r="K1017" i="2"/>
  <c r="K1016" i="2"/>
  <c r="L1017" i="2" s="1"/>
  <c r="M1017" i="2" s="1"/>
  <c r="K1015" i="2"/>
  <c r="K1014" i="2"/>
  <c r="K1013" i="2"/>
  <c r="K1012" i="2"/>
  <c r="L1013" i="2" s="1"/>
  <c r="M1013" i="2" s="1"/>
  <c r="K1011" i="2"/>
  <c r="K1010" i="2"/>
  <c r="K1009" i="2"/>
  <c r="K1008" i="2"/>
  <c r="K1007" i="2"/>
  <c r="K1006" i="2"/>
  <c r="K1005" i="2"/>
  <c r="K1004" i="2"/>
  <c r="L1005" i="2" s="1"/>
  <c r="M1005" i="2" s="1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L985" i="2" s="1"/>
  <c r="M985" i="2" s="1"/>
  <c r="K983" i="2"/>
  <c r="K982" i="2"/>
  <c r="K981" i="2"/>
  <c r="K980" i="2"/>
  <c r="L981" i="2" s="1"/>
  <c r="M981" i="2" s="1"/>
  <c r="K979" i="2"/>
  <c r="K978" i="2"/>
  <c r="K977" i="2"/>
  <c r="K976" i="2"/>
  <c r="L977" i="2" s="1"/>
  <c r="M977" i="2" s="1"/>
  <c r="K975" i="2"/>
  <c r="K974" i="2"/>
  <c r="K973" i="2"/>
  <c r="K972" i="2"/>
  <c r="L973" i="2" s="1"/>
  <c r="M973" i="2" s="1"/>
  <c r="K971" i="2"/>
  <c r="K970" i="2"/>
  <c r="K969" i="2"/>
  <c r="K968" i="2"/>
  <c r="L969" i="2" s="1"/>
  <c r="M969" i="2" s="1"/>
  <c r="K967" i="2"/>
  <c r="K966" i="2"/>
  <c r="K965" i="2"/>
  <c r="K964" i="2"/>
  <c r="L965" i="2" s="1"/>
  <c r="M965" i="2" s="1"/>
  <c r="K963" i="2"/>
  <c r="K962" i="2"/>
  <c r="K961" i="2"/>
  <c r="K960" i="2"/>
  <c r="L961" i="2" s="1"/>
  <c r="M961" i="2" s="1"/>
  <c r="K959" i="2"/>
  <c r="K958" i="2"/>
  <c r="K957" i="2"/>
  <c r="K956" i="2"/>
  <c r="K955" i="2"/>
  <c r="K954" i="2"/>
  <c r="K953" i="2"/>
  <c r="K952" i="2"/>
  <c r="L953" i="2" s="1"/>
  <c r="M953" i="2" s="1"/>
  <c r="K951" i="2"/>
  <c r="K950" i="2"/>
  <c r="K949" i="2"/>
  <c r="K948" i="2"/>
  <c r="L949" i="2" s="1"/>
  <c r="M949" i="2" s="1"/>
  <c r="K947" i="2"/>
  <c r="K946" i="2"/>
  <c r="K945" i="2"/>
  <c r="K944" i="2"/>
  <c r="L945" i="2" s="1"/>
  <c r="M945" i="2" s="1"/>
  <c r="K943" i="2"/>
  <c r="K942" i="2"/>
  <c r="K941" i="2"/>
  <c r="K940" i="2"/>
  <c r="L941" i="2" s="1"/>
  <c r="M941" i="2" s="1"/>
  <c r="K939" i="2"/>
  <c r="K938" i="2"/>
  <c r="K937" i="2"/>
  <c r="K936" i="2"/>
  <c r="K935" i="2"/>
  <c r="K934" i="2"/>
  <c r="K933" i="2"/>
  <c r="K932" i="2"/>
  <c r="K931" i="2"/>
  <c r="K930" i="2"/>
  <c r="K929" i="2"/>
  <c r="K928" i="2"/>
  <c r="L929" i="2" s="1"/>
  <c r="M929" i="2" s="1"/>
  <c r="K927" i="2"/>
  <c r="K926" i="2"/>
  <c r="K925" i="2"/>
  <c r="K924" i="2"/>
  <c r="L925" i="2" s="1"/>
  <c r="M925" i="2" s="1"/>
  <c r="K923" i="2"/>
  <c r="K922" i="2"/>
  <c r="K921" i="2"/>
  <c r="K920" i="2"/>
  <c r="L921" i="2" s="1"/>
  <c r="M921" i="2" s="1"/>
  <c r="K919" i="2"/>
  <c r="K918" i="2"/>
  <c r="K917" i="2"/>
  <c r="K916" i="2"/>
  <c r="L917" i="2" s="1"/>
  <c r="M917" i="2" s="1"/>
  <c r="K915" i="2"/>
  <c r="K914" i="2"/>
  <c r="K913" i="2"/>
  <c r="K912" i="2"/>
  <c r="L913" i="2" s="1"/>
  <c r="M913" i="2" s="1"/>
  <c r="K911" i="2"/>
  <c r="K910" i="2"/>
  <c r="K909" i="2"/>
  <c r="K908" i="2"/>
  <c r="L909" i="2" s="1"/>
  <c r="M909" i="2" s="1"/>
  <c r="K907" i="2"/>
  <c r="K906" i="2"/>
  <c r="K905" i="2"/>
  <c r="K904" i="2"/>
  <c r="K903" i="2"/>
  <c r="K902" i="2"/>
  <c r="K901" i="2"/>
  <c r="K900" i="2"/>
  <c r="L901" i="2" s="1"/>
  <c r="M901" i="2" s="1"/>
  <c r="K899" i="2"/>
  <c r="K898" i="2"/>
  <c r="K897" i="2"/>
  <c r="K896" i="2"/>
  <c r="L897" i="2" s="1"/>
  <c r="M897" i="2" s="1"/>
  <c r="K895" i="2"/>
  <c r="K894" i="2"/>
  <c r="K893" i="2"/>
  <c r="K892" i="2"/>
  <c r="L893" i="2" s="1"/>
  <c r="M893" i="2" s="1"/>
  <c r="K891" i="2"/>
  <c r="K890" i="2"/>
  <c r="K889" i="2"/>
  <c r="K888" i="2"/>
  <c r="L889" i="2" s="1"/>
  <c r="M889" i="2" s="1"/>
  <c r="K887" i="2"/>
  <c r="K886" i="2"/>
  <c r="K885" i="2"/>
  <c r="K884" i="2"/>
  <c r="L885" i="2" s="1"/>
  <c r="M885" i="2" s="1"/>
  <c r="K883" i="2"/>
  <c r="K882" i="2"/>
  <c r="K881" i="2"/>
  <c r="K880" i="2"/>
  <c r="K879" i="2"/>
  <c r="K878" i="2"/>
  <c r="K877" i="2"/>
  <c r="K876" i="2"/>
  <c r="L877" i="2" s="1"/>
  <c r="M877" i="2" s="1"/>
  <c r="K875" i="2"/>
  <c r="K874" i="2"/>
  <c r="K873" i="2"/>
  <c r="K872" i="2"/>
  <c r="L873" i="2" s="1"/>
  <c r="M873" i="2" s="1"/>
  <c r="K871" i="2"/>
  <c r="K870" i="2"/>
  <c r="K869" i="2"/>
  <c r="K868" i="2"/>
  <c r="L869" i="2" s="1"/>
  <c r="M869" i="2" s="1"/>
  <c r="K867" i="2"/>
  <c r="K866" i="2"/>
  <c r="K865" i="2"/>
  <c r="K864" i="2"/>
  <c r="L865" i="2" s="1"/>
  <c r="M865" i="2" s="1"/>
  <c r="K863" i="2"/>
  <c r="K862" i="2"/>
  <c r="K861" i="2"/>
  <c r="K860" i="2"/>
  <c r="L861" i="2" s="1"/>
  <c r="M861" i="2" s="1"/>
  <c r="K859" i="2"/>
  <c r="K858" i="2"/>
  <c r="K857" i="2"/>
  <c r="K856" i="2"/>
  <c r="L857" i="2" s="1"/>
  <c r="M857" i="2" s="1"/>
  <c r="K855" i="2"/>
  <c r="K854" i="2"/>
  <c r="K853" i="2"/>
  <c r="K852" i="2"/>
  <c r="L853" i="2" s="1"/>
  <c r="M853" i="2" s="1"/>
  <c r="K851" i="2"/>
  <c r="K850" i="2"/>
  <c r="K849" i="2"/>
  <c r="K848" i="2"/>
  <c r="K847" i="2"/>
  <c r="K846" i="2"/>
  <c r="K845" i="2"/>
  <c r="K844" i="2"/>
  <c r="L845" i="2" s="1"/>
  <c r="M845" i="2" s="1"/>
  <c r="K843" i="2"/>
  <c r="K842" i="2"/>
  <c r="K841" i="2"/>
  <c r="K840" i="2"/>
  <c r="K839" i="2"/>
  <c r="K838" i="2"/>
  <c r="K837" i="2"/>
  <c r="K836" i="2"/>
  <c r="L837" i="2" s="1"/>
  <c r="M837" i="2" s="1"/>
  <c r="K835" i="2"/>
  <c r="K834" i="2"/>
  <c r="K833" i="2"/>
  <c r="K832" i="2"/>
  <c r="L833" i="2" s="1"/>
  <c r="M833" i="2" s="1"/>
  <c r="K831" i="2"/>
  <c r="K830" i="2"/>
  <c r="K829" i="2"/>
  <c r="K828" i="2"/>
  <c r="L829" i="2" s="1"/>
  <c r="M829" i="2" s="1"/>
  <c r="K827" i="2"/>
  <c r="K826" i="2"/>
  <c r="K825" i="2"/>
  <c r="K824" i="2"/>
  <c r="L825" i="2" s="1"/>
  <c r="M825" i="2" s="1"/>
  <c r="K823" i="2"/>
  <c r="K822" i="2"/>
  <c r="K821" i="2"/>
  <c r="K820" i="2"/>
  <c r="L821" i="2" s="1"/>
  <c r="M821" i="2" s="1"/>
  <c r="K819" i="2"/>
  <c r="K818" i="2"/>
  <c r="K817" i="2"/>
  <c r="K816" i="2"/>
  <c r="K815" i="2"/>
  <c r="K814" i="2"/>
  <c r="K813" i="2"/>
  <c r="K812" i="2"/>
  <c r="L813" i="2" s="1"/>
  <c r="M813" i="2" s="1"/>
  <c r="K811" i="2"/>
  <c r="K810" i="2"/>
  <c r="K809" i="2"/>
  <c r="K808" i="2"/>
  <c r="L809" i="2" s="1"/>
  <c r="M809" i="2" s="1"/>
  <c r="K807" i="2"/>
  <c r="K806" i="2"/>
  <c r="K805" i="2"/>
  <c r="K804" i="2"/>
  <c r="L805" i="2" s="1"/>
  <c r="M805" i="2" s="1"/>
  <c r="K803" i="2"/>
  <c r="K802" i="2"/>
  <c r="K801" i="2"/>
  <c r="K800" i="2"/>
  <c r="L801" i="2" s="1"/>
  <c r="M801" i="2" s="1"/>
  <c r="K799" i="2"/>
  <c r="K798" i="2"/>
  <c r="K797" i="2"/>
  <c r="K796" i="2"/>
  <c r="L797" i="2" s="1"/>
  <c r="M797" i="2" s="1"/>
  <c r="K795" i="2"/>
  <c r="K794" i="2"/>
  <c r="K793" i="2"/>
  <c r="K792" i="2"/>
  <c r="L793" i="2" s="1"/>
  <c r="M793" i="2" s="1"/>
  <c r="K791" i="2"/>
  <c r="K790" i="2"/>
  <c r="K789" i="2"/>
  <c r="K788" i="2"/>
  <c r="L789" i="2" s="1"/>
  <c r="M789" i="2" s="1"/>
  <c r="K787" i="2"/>
  <c r="K786" i="2"/>
  <c r="K785" i="2"/>
  <c r="K784" i="2"/>
  <c r="K783" i="2"/>
  <c r="K782" i="2"/>
  <c r="K781" i="2"/>
  <c r="K780" i="2"/>
  <c r="L781" i="2" s="1"/>
  <c r="M781" i="2" s="1"/>
  <c r="K779" i="2"/>
  <c r="K778" i="2"/>
  <c r="K777" i="2"/>
  <c r="K776" i="2"/>
  <c r="K775" i="2"/>
  <c r="K774" i="2"/>
  <c r="K773" i="2"/>
  <c r="K772" i="2"/>
  <c r="L773" i="2" s="1"/>
  <c r="M773" i="2" s="1"/>
  <c r="K771" i="2"/>
  <c r="K770" i="2"/>
  <c r="K769" i="2"/>
  <c r="K768" i="2"/>
  <c r="L769" i="2" s="1"/>
  <c r="M769" i="2" s="1"/>
  <c r="K767" i="2"/>
  <c r="K766" i="2"/>
  <c r="K765" i="2"/>
  <c r="K764" i="2"/>
  <c r="L765" i="2" s="1"/>
  <c r="M765" i="2" s="1"/>
  <c r="K763" i="2"/>
  <c r="K762" i="2"/>
  <c r="K761" i="2"/>
  <c r="K760" i="2"/>
  <c r="L761" i="2" s="1"/>
  <c r="M761" i="2" s="1"/>
  <c r="K759" i="2"/>
  <c r="K758" i="2"/>
  <c r="K757" i="2"/>
  <c r="K756" i="2"/>
  <c r="L757" i="2" s="1"/>
  <c r="M757" i="2" s="1"/>
  <c r="K755" i="2"/>
  <c r="K754" i="2"/>
  <c r="K753" i="2"/>
  <c r="K752" i="2"/>
  <c r="K751" i="2"/>
  <c r="K750" i="2"/>
  <c r="K749" i="2"/>
  <c r="K748" i="2"/>
  <c r="L749" i="2" s="1"/>
  <c r="M749" i="2" s="1"/>
  <c r="K747" i="2"/>
  <c r="K746" i="2"/>
  <c r="K745" i="2"/>
  <c r="K744" i="2"/>
  <c r="L745" i="2" s="1"/>
  <c r="M745" i="2" s="1"/>
  <c r="K743" i="2"/>
  <c r="K742" i="2"/>
  <c r="K741" i="2"/>
  <c r="K740" i="2"/>
  <c r="L741" i="2" s="1"/>
  <c r="M741" i="2" s="1"/>
  <c r="K739" i="2"/>
  <c r="K738" i="2"/>
  <c r="K737" i="2"/>
  <c r="K736" i="2"/>
  <c r="L737" i="2" s="1"/>
  <c r="M737" i="2" s="1"/>
  <c r="K735" i="2"/>
  <c r="K734" i="2"/>
  <c r="K733" i="2"/>
  <c r="K732" i="2"/>
  <c r="L733" i="2" s="1"/>
  <c r="M733" i="2" s="1"/>
  <c r="K731" i="2"/>
  <c r="K730" i="2"/>
  <c r="K729" i="2"/>
  <c r="K728" i="2"/>
  <c r="L729" i="2" s="1"/>
  <c r="M729" i="2" s="1"/>
  <c r="K727" i="2"/>
  <c r="K726" i="2"/>
  <c r="K725" i="2"/>
  <c r="K724" i="2"/>
  <c r="L725" i="2" s="1"/>
  <c r="M725" i="2" s="1"/>
  <c r="K723" i="2"/>
  <c r="K722" i="2"/>
  <c r="K721" i="2"/>
  <c r="K720" i="2"/>
  <c r="K719" i="2"/>
  <c r="K718" i="2"/>
  <c r="K717" i="2"/>
  <c r="K716" i="2"/>
  <c r="L717" i="2" s="1"/>
  <c r="M717" i="2" s="1"/>
  <c r="K715" i="2"/>
  <c r="K714" i="2"/>
  <c r="K713" i="2"/>
  <c r="K712" i="2"/>
  <c r="L713" i="2" s="1"/>
  <c r="M713" i="2" s="1"/>
  <c r="K711" i="2"/>
  <c r="K710" i="2"/>
  <c r="K709" i="2"/>
  <c r="K708" i="2"/>
  <c r="L709" i="2" s="1"/>
  <c r="M709" i="2" s="1"/>
  <c r="K707" i="2"/>
  <c r="K706" i="2"/>
  <c r="K705" i="2"/>
  <c r="K704" i="2"/>
  <c r="L705" i="2" s="1"/>
  <c r="M705" i="2" s="1"/>
  <c r="K703" i="2"/>
  <c r="K702" i="2"/>
  <c r="K701" i="2"/>
  <c r="K700" i="2"/>
  <c r="L701" i="2" s="1"/>
  <c r="M701" i="2" s="1"/>
  <c r="K699" i="2"/>
  <c r="K698" i="2"/>
  <c r="K697" i="2"/>
  <c r="K696" i="2"/>
  <c r="L697" i="2" s="1"/>
  <c r="M697" i="2" s="1"/>
  <c r="K695" i="2"/>
  <c r="K694" i="2"/>
  <c r="K693" i="2"/>
  <c r="K692" i="2"/>
  <c r="L693" i="2" s="1"/>
  <c r="M693" i="2" s="1"/>
  <c r="K691" i="2"/>
  <c r="K690" i="2"/>
  <c r="K689" i="2"/>
  <c r="K688" i="2"/>
  <c r="K687" i="2"/>
  <c r="L687" i="2" s="1"/>
  <c r="M687" i="2" s="1"/>
  <c r="K686" i="2"/>
  <c r="K685" i="2"/>
  <c r="K684" i="2"/>
  <c r="L685" i="2" s="1"/>
  <c r="M685" i="2" s="1"/>
  <c r="K683" i="2"/>
  <c r="L683" i="2" s="1"/>
  <c r="M683" i="2" s="1"/>
  <c r="K682" i="2"/>
  <c r="K681" i="2"/>
  <c r="K680" i="2"/>
  <c r="L681" i="2" s="1"/>
  <c r="M681" i="2" s="1"/>
  <c r="K679" i="2"/>
  <c r="L679" i="2" s="1"/>
  <c r="M679" i="2" s="1"/>
  <c r="K678" i="2"/>
  <c r="K677" i="2"/>
  <c r="K676" i="2"/>
  <c r="L677" i="2" s="1"/>
  <c r="M677" i="2" s="1"/>
  <c r="K675" i="2"/>
  <c r="L675" i="2" s="1"/>
  <c r="M675" i="2" s="1"/>
  <c r="K674" i="2"/>
  <c r="K673" i="2"/>
  <c r="K672" i="2"/>
  <c r="L673" i="2" s="1"/>
  <c r="M673" i="2" s="1"/>
  <c r="K671" i="2"/>
  <c r="L671" i="2" s="1"/>
  <c r="M671" i="2" s="1"/>
  <c r="K670" i="2"/>
  <c r="K669" i="2"/>
  <c r="K668" i="2"/>
  <c r="K667" i="2"/>
  <c r="L667" i="2" s="1"/>
  <c r="M667" i="2" s="1"/>
  <c r="K666" i="2"/>
  <c r="K665" i="2"/>
  <c r="K664" i="2"/>
  <c r="L665" i="2" s="1"/>
  <c r="M665" i="2" s="1"/>
  <c r="K663" i="2"/>
  <c r="L663" i="2" s="1"/>
  <c r="M663" i="2" s="1"/>
  <c r="K662" i="2"/>
  <c r="K661" i="2"/>
  <c r="K660" i="2"/>
  <c r="L661" i="2" s="1"/>
  <c r="M661" i="2" s="1"/>
  <c r="K659" i="2"/>
  <c r="L659" i="2" s="1"/>
  <c r="M659" i="2" s="1"/>
  <c r="K658" i="2"/>
  <c r="K657" i="2"/>
  <c r="K656" i="2"/>
  <c r="L657" i="2" s="1"/>
  <c r="M657" i="2" s="1"/>
  <c r="K655" i="2"/>
  <c r="L655" i="2" s="1"/>
  <c r="M655" i="2" s="1"/>
  <c r="K654" i="2"/>
  <c r="K653" i="2"/>
  <c r="K652" i="2"/>
  <c r="L653" i="2" s="1"/>
  <c r="M653" i="2" s="1"/>
  <c r="K651" i="2"/>
  <c r="L651" i="2" s="1"/>
  <c r="M651" i="2" s="1"/>
  <c r="K650" i="2"/>
  <c r="K649" i="2"/>
  <c r="K648" i="2"/>
  <c r="L649" i="2" s="1"/>
  <c r="M649" i="2" s="1"/>
  <c r="K647" i="2"/>
  <c r="L647" i="2" s="1"/>
  <c r="M647" i="2" s="1"/>
  <c r="K646" i="2"/>
  <c r="K645" i="2"/>
  <c r="K644" i="2"/>
  <c r="L645" i="2" s="1"/>
  <c r="M645" i="2" s="1"/>
  <c r="K643" i="2"/>
  <c r="L643" i="2" s="1"/>
  <c r="M643" i="2" s="1"/>
  <c r="K642" i="2"/>
  <c r="K641" i="2"/>
  <c r="K640" i="2"/>
  <c r="L641" i="2" s="1"/>
  <c r="M641" i="2" s="1"/>
  <c r="K639" i="2"/>
  <c r="L639" i="2" s="1"/>
  <c r="M639" i="2" s="1"/>
  <c r="K638" i="2"/>
  <c r="K637" i="2"/>
  <c r="K636" i="2"/>
  <c r="K635" i="2"/>
  <c r="L635" i="2" s="1"/>
  <c r="M635" i="2" s="1"/>
  <c r="K634" i="2"/>
  <c r="K633" i="2"/>
  <c r="K632" i="2"/>
  <c r="L633" i="2" s="1"/>
  <c r="M633" i="2" s="1"/>
  <c r="K631" i="2"/>
  <c r="L631" i="2" s="1"/>
  <c r="M631" i="2" s="1"/>
  <c r="K630" i="2"/>
  <c r="K629" i="2"/>
  <c r="K628" i="2"/>
  <c r="L629" i="2" s="1"/>
  <c r="M629" i="2" s="1"/>
  <c r="K627" i="2"/>
  <c r="L627" i="2" s="1"/>
  <c r="M627" i="2" s="1"/>
  <c r="K626" i="2"/>
  <c r="K625" i="2"/>
  <c r="K624" i="2"/>
  <c r="L625" i="2" s="1"/>
  <c r="M625" i="2" s="1"/>
  <c r="K623" i="2"/>
  <c r="L623" i="2" s="1"/>
  <c r="M623" i="2" s="1"/>
  <c r="K622" i="2"/>
  <c r="K621" i="2"/>
  <c r="K620" i="2"/>
  <c r="L621" i="2" s="1"/>
  <c r="M621" i="2" s="1"/>
  <c r="K619" i="2"/>
  <c r="L619" i="2" s="1"/>
  <c r="M619" i="2" s="1"/>
  <c r="K618" i="2"/>
  <c r="K617" i="2"/>
  <c r="K616" i="2"/>
  <c r="L617" i="2" s="1"/>
  <c r="M617" i="2" s="1"/>
  <c r="K615" i="2"/>
  <c r="L615" i="2" s="1"/>
  <c r="M615" i="2" s="1"/>
  <c r="K614" i="2"/>
  <c r="K613" i="2"/>
  <c r="K612" i="2"/>
  <c r="L613" i="2" s="1"/>
  <c r="M613" i="2" s="1"/>
  <c r="K611" i="2"/>
  <c r="L611" i="2" s="1"/>
  <c r="M611" i="2" s="1"/>
  <c r="K610" i="2"/>
  <c r="K609" i="2"/>
  <c r="K608" i="2"/>
  <c r="L609" i="2" s="1"/>
  <c r="M609" i="2" s="1"/>
  <c r="K607" i="2"/>
  <c r="L607" i="2" s="1"/>
  <c r="M607" i="2" s="1"/>
  <c r="K606" i="2"/>
  <c r="K605" i="2"/>
  <c r="K604" i="2"/>
  <c r="K603" i="2"/>
  <c r="L603" i="2" s="1"/>
  <c r="M603" i="2" s="1"/>
  <c r="K602" i="2"/>
  <c r="K601" i="2"/>
  <c r="K600" i="2"/>
  <c r="L601" i="2" s="1"/>
  <c r="M601" i="2" s="1"/>
  <c r="K599" i="2"/>
  <c r="L599" i="2" s="1"/>
  <c r="M599" i="2" s="1"/>
  <c r="K598" i="2"/>
  <c r="K597" i="2"/>
  <c r="K596" i="2"/>
  <c r="L597" i="2" s="1"/>
  <c r="M597" i="2" s="1"/>
  <c r="K595" i="2"/>
  <c r="L595" i="2" s="1"/>
  <c r="M595" i="2" s="1"/>
  <c r="K594" i="2"/>
  <c r="K593" i="2"/>
  <c r="K592" i="2"/>
  <c r="L593" i="2" s="1"/>
  <c r="M593" i="2" s="1"/>
  <c r="K591" i="2"/>
  <c r="L591" i="2" s="1"/>
  <c r="M591" i="2" s="1"/>
  <c r="K590" i="2"/>
  <c r="K589" i="2"/>
  <c r="K588" i="2"/>
  <c r="L589" i="2" s="1"/>
  <c r="M589" i="2" s="1"/>
  <c r="K587" i="2"/>
  <c r="L587" i="2" s="1"/>
  <c r="M587" i="2" s="1"/>
  <c r="K586" i="2"/>
  <c r="K585" i="2"/>
  <c r="K584" i="2"/>
  <c r="L585" i="2" s="1"/>
  <c r="M585" i="2" s="1"/>
  <c r="K583" i="2"/>
  <c r="L583" i="2" s="1"/>
  <c r="M583" i="2" s="1"/>
  <c r="K582" i="2"/>
  <c r="K581" i="2"/>
  <c r="K580" i="2"/>
  <c r="L581" i="2" s="1"/>
  <c r="M581" i="2" s="1"/>
  <c r="K579" i="2"/>
  <c r="L579" i="2" s="1"/>
  <c r="M579" i="2" s="1"/>
  <c r="K578" i="2"/>
  <c r="K577" i="2"/>
  <c r="K576" i="2"/>
  <c r="L577" i="2" s="1"/>
  <c r="M577" i="2" s="1"/>
  <c r="K575" i="2"/>
  <c r="L575" i="2" s="1"/>
  <c r="M575" i="2" s="1"/>
  <c r="K574" i="2"/>
  <c r="K573" i="2"/>
  <c r="K572" i="2"/>
  <c r="K571" i="2"/>
  <c r="L571" i="2" s="1"/>
  <c r="M571" i="2" s="1"/>
  <c r="K570" i="2"/>
  <c r="K569" i="2"/>
  <c r="K568" i="2"/>
  <c r="L569" i="2" s="1"/>
  <c r="M569" i="2" s="1"/>
  <c r="K567" i="2"/>
  <c r="L567" i="2" s="1"/>
  <c r="M567" i="2" s="1"/>
  <c r="K566" i="2"/>
  <c r="K565" i="2"/>
  <c r="K564" i="2"/>
  <c r="L565" i="2" s="1"/>
  <c r="M565" i="2" s="1"/>
  <c r="K563" i="2"/>
  <c r="L563" i="2" s="1"/>
  <c r="M563" i="2" s="1"/>
  <c r="K562" i="2"/>
  <c r="K561" i="2"/>
  <c r="K560" i="2"/>
  <c r="L561" i="2" s="1"/>
  <c r="M561" i="2" s="1"/>
  <c r="K559" i="2"/>
  <c r="L559" i="2" s="1"/>
  <c r="M559" i="2" s="1"/>
  <c r="K558" i="2"/>
  <c r="K557" i="2"/>
  <c r="K556" i="2"/>
  <c r="L557" i="2" s="1"/>
  <c r="M557" i="2" s="1"/>
  <c r="K555" i="2"/>
  <c r="L555" i="2" s="1"/>
  <c r="M555" i="2" s="1"/>
  <c r="K554" i="2"/>
  <c r="K553" i="2"/>
  <c r="K552" i="2"/>
  <c r="L553" i="2" s="1"/>
  <c r="M553" i="2" s="1"/>
  <c r="K551" i="2"/>
  <c r="L551" i="2" s="1"/>
  <c r="M551" i="2" s="1"/>
  <c r="K550" i="2"/>
  <c r="K549" i="2"/>
  <c r="K548" i="2"/>
  <c r="L549" i="2" s="1"/>
  <c r="M549" i="2" s="1"/>
  <c r="K547" i="2"/>
  <c r="L547" i="2" s="1"/>
  <c r="M547" i="2" s="1"/>
  <c r="K546" i="2"/>
  <c r="K545" i="2"/>
  <c r="K544" i="2"/>
  <c r="L545" i="2" s="1"/>
  <c r="M545" i="2" s="1"/>
  <c r="K543" i="2"/>
  <c r="L543" i="2" s="1"/>
  <c r="M543" i="2" s="1"/>
  <c r="K542" i="2"/>
  <c r="K541" i="2"/>
  <c r="K540" i="2"/>
  <c r="K539" i="2"/>
  <c r="L539" i="2" s="1"/>
  <c r="M539" i="2" s="1"/>
  <c r="K538" i="2"/>
  <c r="K537" i="2"/>
  <c r="K536" i="2"/>
  <c r="L537" i="2" s="1"/>
  <c r="M537" i="2" s="1"/>
  <c r="K535" i="2"/>
  <c r="L535" i="2" s="1"/>
  <c r="M535" i="2" s="1"/>
  <c r="K534" i="2"/>
  <c r="K533" i="2"/>
  <c r="K532" i="2"/>
  <c r="L533" i="2" s="1"/>
  <c r="M533" i="2" s="1"/>
  <c r="K531" i="2"/>
  <c r="L531" i="2" s="1"/>
  <c r="M531" i="2" s="1"/>
  <c r="K530" i="2"/>
  <c r="K529" i="2"/>
  <c r="K528" i="2"/>
  <c r="L529" i="2" s="1"/>
  <c r="M529" i="2" s="1"/>
  <c r="K527" i="2"/>
  <c r="L527" i="2" s="1"/>
  <c r="M527" i="2" s="1"/>
  <c r="K526" i="2"/>
  <c r="K525" i="2"/>
  <c r="K524" i="2"/>
  <c r="L525" i="2" s="1"/>
  <c r="M525" i="2" s="1"/>
  <c r="K523" i="2"/>
  <c r="L523" i="2" s="1"/>
  <c r="M523" i="2" s="1"/>
  <c r="K522" i="2"/>
  <c r="K521" i="2"/>
  <c r="K520" i="2"/>
  <c r="L521" i="2" s="1"/>
  <c r="M521" i="2" s="1"/>
  <c r="K519" i="2"/>
  <c r="L519" i="2" s="1"/>
  <c r="M519" i="2" s="1"/>
  <c r="K518" i="2"/>
  <c r="K517" i="2"/>
  <c r="K516" i="2"/>
  <c r="L517" i="2" s="1"/>
  <c r="M517" i="2" s="1"/>
  <c r="K515" i="2"/>
  <c r="L515" i="2" s="1"/>
  <c r="M515" i="2" s="1"/>
  <c r="K514" i="2"/>
  <c r="K513" i="2"/>
  <c r="K512" i="2"/>
  <c r="L513" i="2" s="1"/>
  <c r="M513" i="2" s="1"/>
  <c r="K511" i="2"/>
  <c r="L511" i="2" s="1"/>
  <c r="M511" i="2" s="1"/>
  <c r="K510" i="2"/>
  <c r="K509" i="2"/>
  <c r="K508" i="2"/>
  <c r="K507" i="2"/>
  <c r="L507" i="2" s="1"/>
  <c r="M507" i="2" s="1"/>
  <c r="K506" i="2"/>
  <c r="K505" i="2"/>
  <c r="K504" i="2"/>
  <c r="L505" i="2" s="1"/>
  <c r="M505" i="2" s="1"/>
  <c r="K503" i="2"/>
  <c r="L503" i="2" s="1"/>
  <c r="M503" i="2" s="1"/>
  <c r="K502" i="2"/>
  <c r="K501" i="2"/>
  <c r="K500" i="2"/>
  <c r="L501" i="2" s="1"/>
  <c r="M501" i="2" s="1"/>
  <c r="K499" i="2"/>
  <c r="L499" i="2" s="1"/>
  <c r="M499" i="2" s="1"/>
  <c r="K498" i="2"/>
  <c r="K497" i="2"/>
  <c r="K496" i="2"/>
  <c r="L497" i="2" s="1"/>
  <c r="M497" i="2" s="1"/>
  <c r="K495" i="2"/>
  <c r="L495" i="2" s="1"/>
  <c r="M495" i="2" s="1"/>
  <c r="K494" i="2"/>
  <c r="K493" i="2"/>
  <c r="K492" i="2"/>
  <c r="L493" i="2" s="1"/>
  <c r="M493" i="2" s="1"/>
  <c r="K491" i="2"/>
  <c r="L491" i="2" s="1"/>
  <c r="M491" i="2" s="1"/>
  <c r="K490" i="2"/>
  <c r="K489" i="2"/>
  <c r="K488" i="2"/>
  <c r="L489" i="2" s="1"/>
  <c r="M489" i="2" s="1"/>
  <c r="K487" i="2"/>
  <c r="L487" i="2" s="1"/>
  <c r="M487" i="2" s="1"/>
  <c r="K486" i="2"/>
  <c r="K485" i="2"/>
  <c r="K484" i="2"/>
  <c r="L485" i="2" s="1"/>
  <c r="M485" i="2" s="1"/>
  <c r="K483" i="2"/>
  <c r="L483" i="2" s="1"/>
  <c r="M483" i="2" s="1"/>
  <c r="K482" i="2"/>
  <c r="K481" i="2"/>
  <c r="K480" i="2"/>
  <c r="L481" i="2" s="1"/>
  <c r="M481" i="2" s="1"/>
  <c r="K479" i="2"/>
  <c r="K478" i="2"/>
  <c r="K477" i="2"/>
  <c r="K476" i="2"/>
  <c r="K475" i="2"/>
  <c r="L475" i="2" s="1"/>
  <c r="M475" i="2" s="1"/>
  <c r="K474" i="2"/>
  <c r="K473" i="2"/>
  <c r="K472" i="2"/>
  <c r="L473" i="2" s="1"/>
  <c r="M473" i="2" s="1"/>
  <c r="K471" i="2"/>
  <c r="L471" i="2" s="1"/>
  <c r="M471" i="2" s="1"/>
  <c r="K470" i="2"/>
  <c r="K469" i="2"/>
  <c r="K468" i="2"/>
  <c r="L469" i="2" s="1"/>
  <c r="M469" i="2" s="1"/>
  <c r="K467" i="2"/>
  <c r="L467" i="2" s="1"/>
  <c r="M467" i="2" s="1"/>
  <c r="K466" i="2"/>
  <c r="K465" i="2"/>
  <c r="K464" i="2"/>
  <c r="L465" i="2" s="1"/>
  <c r="M465" i="2" s="1"/>
  <c r="K463" i="2"/>
  <c r="L463" i="2" s="1"/>
  <c r="M463" i="2" s="1"/>
  <c r="K462" i="2"/>
  <c r="K461" i="2"/>
  <c r="K460" i="2"/>
  <c r="L461" i="2" s="1"/>
  <c r="M461" i="2" s="1"/>
  <c r="K459" i="2"/>
  <c r="L459" i="2" s="1"/>
  <c r="M459" i="2" s="1"/>
  <c r="K458" i="2"/>
  <c r="K457" i="2"/>
  <c r="K456" i="2"/>
  <c r="L457" i="2" s="1"/>
  <c r="M457" i="2" s="1"/>
  <c r="K455" i="2"/>
  <c r="L455" i="2" s="1"/>
  <c r="M455" i="2" s="1"/>
  <c r="K454" i="2"/>
  <c r="K453" i="2"/>
  <c r="K452" i="2"/>
  <c r="L453" i="2" s="1"/>
  <c r="M453" i="2" s="1"/>
  <c r="K451" i="2"/>
  <c r="L451" i="2" s="1"/>
  <c r="M451" i="2" s="1"/>
  <c r="K450" i="2"/>
  <c r="K449" i="2"/>
  <c r="K448" i="2"/>
  <c r="L449" i="2" s="1"/>
  <c r="M449" i="2" s="1"/>
  <c r="K447" i="2"/>
  <c r="L447" i="2" s="1"/>
  <c r="M447" i="2" s="1"/>
  <c r="K446" i="2"/>
  <c r="K445" i="2"/>
  <c r="K444" i="2"/>
  <c r="K443" i="2"/>
  <c r="L443" i="2" s="1"/>
  <c r="M443" i="2" s="1"/>
  <c r="K442" i="2"/>
  <c r="K441" i="2"/>
  <c r="K440" i="2"/>
  <c r="L441" i="2" s="1"/>
  <c r="M441" i="2" s="1"/>
  <c r="K439" i="2"/>
  <c r="L439" i="2" s="1"/>
  <c r="M439" i="2" s="1"/>
  <c r="K438" i="2"/>
  <c r="K437" i="2"/>
  <c r="K436" i="2"/>
  <c r="L437" i="2" s="1"/>
  <c r="M437" i="2" s="1"/>
  <c r="K435" i="2"/>
  <c r="L435" i="2" s="1"/>
  <c r="M435" i="2" s="1"/>
  <c r="K434" i="2"/>
  <c r="K433" i="2"/>
  <c r="K432" i="2"/>
  <c r="L433" i="2" s="1"/>
  <c r="M433" i="2" s="1"/>
  <c r="K431" i="2"/>
  <c r="L431" i="2" s="1"/>
  <c r="M431" i="2" s="1"/>
  <c r="K430" i="2"/>
  <c r="K429" i="2"/>
  <c r="K428" i="2"/>
  <c r="L429" i="2" s="1"/>
  <c r="M429" i="2" s="1"/>
  <c r="K427" i="2"/>
  <c r="L427" i="2" s="1"/>
  <c r="M427" i="2" s="1"/>
  <c r="K426" i="2"/>
  <c r="K425" i="2"/>
  <c r="K424" i="2"/>
  <c r="L425" i="2" s="1"/>
  <c r="M425" i="2" s="1"/>
  <c r="K423" i="2"/>
  <c r="L423" i="2" s="1"/>
  <c r="M423" i="2" s="1"/>
  <c r="K422" i="2"/>
  <c r="K421" i="2"/>
  <c r="K420" i="2"/>
  <c r="L421" i="2" s="1"/>
  <c r="M421" i="2" s="1"/>
  <c r="K419" i="2"/>
  <c r="L419" i="2" s="1"/>
  <c r="M419" i="2" s="1"/>
  <c r="K418" i="2"/>
  <c r="K417" i="2"/>
  <c r="K416" i="2"/>
  <c r="L417" i="2" s="1"/>
  <c r="M417" i="2" s="1"/>
  <c r="K415" i="2"/>
  <c r="L415" i="2" s="1"/>
  <c r="M415" i="2" s="1"/>
  <c r="K414" i="2"/>
  <c r="K413" i="2"/>
  <c r="K412" i="2"/>
  <c r="K411" i="2"/>
  <c r="L411" i="2" s="1"/>
  <c r="M411" i="2" s="1"/>
  <c r="K410" i="2"/>
  <c r="K409" i="2"/>
  <c r="K408" i="2"/>
  <c r="L409" i="2" s="1"/>
  <c r="M409" i="2" s="1"/>
  <c r="K407" i="2"/>
  <c r="L407" i="2" s="1"/>
  <c r="M407" i="2" s="1"/>
  <c r="K406" i="2"/>
  <c r="K405" i="2"/>
  <c r="K404" i="2"/>
  <c r="L405" i="2" s="1"/>
  <c r="M405" i="2" s="1"/>
  <c r="K403" i="2"/>
  <c r="L403" i="2" s="1"/>
  <c r="M403" i="2" s="1"/>
  <c r="K402" i="2"/>
  <c r="K401" i="2"/>
  <c r="K400" i="2"/>
  <c r="L401" i="2" s="1"/>
  <c r="M401" i="2" s="1"/>
  <c r="K399" i="2"/>
  <c r="L399" i="2" s="1"/>
  <c r="M399" i="2" s="1"/>
  <c r="K398" i="2"/>
  <c r="K397" i="2"/>
  <c r="K396" i="2"/>
  <c r="L397" i="2" s="1"/>
  <c r="M397" i="2" s="1"/>
  <c r="K395" i="2"/>
  <c r="L395" i="2" s="1"/>
  <c r="M395" i="2" s="1"/>
  <c r="K394" i="2"/>
  <c r="K393" i="2"/>
  <c r="K392" i="2"/>
  <c r="L393" i="2" s="1"/>
  <c r="M393" i="2" s="1"/>
  <c r="K391" i="2"/>
  <c r="L391" i="2" s="1"/>
  <c r="M391" i="2" s="1"/>
  <c r="K390" i="2"/>
  <c r="K389" i="2"/>
  <c r="K388" i="2"/>
  <c r="L389" i="2" s="1"/>
  <c r="M389" i="2" s="1"/>
  <c r="K387" i="2"/>
  <c r="L387" i="2" s="1"/>
  <c r="M387" i="2" s="1"/>
  <c r="K386" i="2"/>
  <c r="K385" i="2"/>
  <c r="K384" i="2"/>
  <c r="L385" i="2" s="1"/>
  <c r="M385" i="2" s="1"/>
  <c r="K383" i="2"/>
  <c r="L383" i="2" s="1"/>
  <c r="M383" i="2" s="1"/>
  <c r="K382" i="2"/>
  <c r="K381" i="2"/>
  <c r="K380" i="2"/>
  <c r="K379" i="2"/>
  <c r="L379" i="2" s="1"/>
  <c r="M379" i="2" s="1"/>
  <c r="K378" i="2"/>
  <c r="K377" i="2"/>
  <c r="K376" i="2"/>
  <c r="L377" i="2" s="1"/>
  <c r="M377" i="2" s="1"/>
  <c r="K375" i="2"/>
  <c r="L375" i="2" s="1"/>
  <c r="M375" i="2" s="1"/>
  <c r="K374" i="2"/>
  <c r="K373" i="2"/>
  <c r="K372" i="2"/>
  <c r="L373" i="2" s="1"/>
  <c r="M373" i="2" s="1"/>
  <c r="K371" i="2"/>
  <c r="L371" i="2" s="1"/>
  <c r="M371" i="2" s="1"/>
  <c r="K370" i="2"/>
  <c r="K369" i="2"/>
  <c r="K368" i="2"/>
  <c r="L369" i="2" s="1"/>
  <c r="M369" i="2" s="1"/>
  <c r="K367" i="2"/>
  <c r="L367" i="2" s="1"/>
  <c r="M367" i="2" s="1"/>
  <c r="K366" i="2"/>
  <c r="K365" i="2"/>
  <c r="K364" i="2"/>
  <c r="L365" i="2" s="1"/>
  <c r="M365" i="2" s="1"/>
  <c r="K363" i="2"/>
  <c r="L363" i="2" s="1"/>
  <c r="M363" i="2" s="1"/>
  <c r="K362" i="2"/>
  <c r="K361" i="2"/>
  <c r="K360" i="2"/>
  <c r="L361" i="2" s="1"/>
  <c r="M361" i="2" s="1"/>
  <c r="K359" i="2"/>
  <c r="L359" i="2" s="1"/>
  <c r="M359" i="2" s="1"/>
  <c r="K358" i="2"/>
  <c r="K357" i="2"/>
  <c r="K356" i="2"/>
  <c r="L357" i="2" s="1"/>
  <c r="M357" i="2" s="1"/>
  <c r="K355" i="2"/>
  <c r="L355" i="2" s="1"/>
  <c r="M355" i="2" s="1"/>
  <c r="K354" i="2"/>
  <c r="K353" i="2"/>
  <c r="K352" i="2"/>
  <c r="L353" i="2" s="1"/>
  <c r="M353" i="2" s="1"/>
  <c r="K351" i="2"/>
  <c r="L351" i="2" s="1"/>
  <c r="M351" i="2" s="1"/>
  <c r="K350" i="2"/>
  <c r="K349" i="2"/>
  <c r="K348" i="2"/>
  <c r="K347" i="2"/>
  <c r="L347" i="2" s="1"/>
  <c r="M347" i="2" s="1"/>
  <c r="K346" i="2"/>
  <c r="K345" i="2"/>
  <c r="K344" i="2"/>
  <c r="L345" i="2" s="1"/>
  <c r="M345" i="2" s="1"/>
  <c r="K343" i="2"/>
  <c r="L343" i="2" s="1"/>
  <c r="M343" i="2" s="1"/>
  <c r="K342" i="2"/>
  <c r="K341" i="2"/>
  <c r="K340" i="2"/>
  <c r="L341" i="2" s="1"/>
  <c r="M341" i="2" s="1"/>
  <c r="K339" i="2"/>
  <c r="L339" i="2" s="1"/>
  <c r="M339" i="2" s="1"/>
  <c r="K338" i="2"/>
  <c r="K337" i="2"/>
  <c r="K336" i="2"/>
  <c r="L337" i="2" s="1"/>
  <c r="M337" i="2" s="1"/>
  <c r="K335" i="2"/>
  <c r="L335" i="2" s="1"/>
  <c r="M335" i="2" s="1"/>
  <c r="K334" i="2"/>
  <c r="K333" i="2"/>
  <c r="K332" i="2"/>
  <c r="L333" i="2" s="1"/>
  <c r="M333" i="2" s="1"/>
  <c r="K331" i="2"/>
  <c r="L331" i="2" s="1"/>
  <c r="M331" i="2" s="1"/>
  <c r="K330" i="2"/>
  <c r="K329" i="2"/>
  <c r="K328" i="2"/>
  <c r="L329" i="2" s="1"/>
  <c r="M329" i="2" s="1"/>
  <c r="K327" i="2"/>
  <c r="L327" i="2" s="1"/>
  <c r="M327" i="2" s="1"/>
  <c r="K326" i="2"/>
  <c r="K325" i="2"/>
  <c r="K324" i="2"/>
  <c r="L325" i="2" s="1"/>
  <c r="M325" i="2" s="1"/>
  <c r="K323" i="2"/>
  <c r="L323" i="2" s="1"/>
  <c r="M323" i="2" s="1"/>
  <c r="K322" i="2"/>
  <c r="K321" i="2"/>
  <c r="K320" i="2"/>
  <c r="L321" i="2" s="1"/>
  <c r="M321" i="2" s="1"/>
  <c r="K319" i="2"/>
  <c r="K318" i="2"/>
  <c r="K317" i="2"/>
  <c r="K316" i="2"/>
  <c r="K315" i="2"/>
  <c r="L315" i="2" s="1"/>
  <c r="M315" i="2" s="1"/>
  <c r="K314" i="2"/>
  <c r="K313" i="2"/>
  <c r="K312" i="2"/>
  <c r="L313" i="2" s="1"/>
  <c r="M313" i="2" s="1"/>
  <c r="K311" i="2"/>
  <c r="L311" i="2" s="1"/>
  <c r="M311" i="2" s="1"/>
  <c r="K310" i="2"/>
  <c r="K309" i="2"/>
  <c r="K308" i="2"/>
  <c r="L309" i="2" s="1"/>
  <c r="M309" i="2" s="1"/>
  <c r="K307" i="2"/>
  <c r="L307" i="2" s="1"/>
  <c r="M307" i="2" s="1"/>
  <c r="K306" i="2"/>
  <c r="K305" i="2"/>
  <c r="K304" i="2"/>
  <c r="K303" i="2"/>
  <c r="L303" i="2" s="1"/>
  <c r="M303" i="2" s="1"/>
  <c r="K302" i="2"/>
  <c r="K301" i="2"/>
  <c r="K300" i="2"/>
  <c r="K299" i="2"/>
  <c r="L299" i="2" s="1"/>
  <c r="M299" i="2" s="1"/>
  <c r="K298" i="2"/>
  <c r="K297" i="2"/>
  <c r="K296" i="2"/>
  <c r="L297" i="2" s="1"/>
  <c r="M297" i="2" s="1"/>
  <c r="K295" i="2"/>
  <c r="L295" i="2" s="1"/>
  <c r="M295" i="2" s="1"/>
  <c r="K294" i="2"/>
  <c r="K293" i="2"/>
  <c r="K292" i="2"/>
  <c r="L293" i="2" s="1"/>
  <c r="M293" i="2" s="1"/>
  <c r="K291" i="2"/>
  <c r="L291" i="2" s="1"/>
  <c r="M291" i="2" s="1"/>
  <c r="K290" i="2"/>
  <c r="K289" i="2"/>
  <c r="K288" i="2"/>
  <c r="L289" i="2" s="1"/>
  <c r="M289" i="2" s="1"/>
  <c r="K287" i="2"/>
  <c r="K286" i="2"/>
  <c r="K285" i="2"/>
  <c r="K284" i="2"/>
  <c r="L285" i="2" s="1"/>
  <c r="M285" i="2" s="1"/>
  <c r="K283" i="2"/>
  <c r="L283" i="2" s="1"/>
  <c r="M283" i="2" s="1"/>
  <c r="K282" i="2"/>
  <c r="K281" i="2"/>
  <c r="K280" i="2"/>
  <c r="L281" i="2" s="1"/>
  <c r="M281" i="2" s="1"/>
  <c r="K279" i="2"/>
  <c r="L279" i="2" s="1"/>
  <c r="M279" i="2" s="1"/>
  <c r="K278" i="2"/>
  <c r="K277" i="2"/>
  <c r="K276" i="2"/>
  <c r="K275" i="2"/>
  <c r="L275" i="2" s="1"/>
  <c r="M275" i="2" s="1"/>
  <c r="K274" i="2"/>
  <c r="K273" i="2"/>
  <c r="K272" i="2"/>
  <c r="K271" i="2"/>
  <c r="L271" i="2" s="1"/>
  <c r="M271" i="2" s="1"/>
  <c r="K270" i="2"/>
  <c r="K269" i="2"/>
  <c r="K268" i="2"/>
  <c r="L269" i="2" s="1"/>
  <c r="M269" i="2" s="1"/>
  <c r="K267" i="2"/>
  <c r="L267" i="2" s="1"/>
  <c r="M267" i="2" s="1"/>
  <c r="K266" i="2"/>
  <c r="K265" i="2"/>
  <c r="K264" i="2"/>
  <c r="L265" i="2" s="1"/>
  <c r="M265" i="2" s="1"/>
  <c r="K263" i="2"/>
  <c r="L263" i="2" s="1"/>
  <c r="M263" i="2" s="1"/>
  <c r="K262" i="2"/>
  <c r="K261" i="2"/>
  <c r="K260" i="2"/>
  <c r="L261" i="2" s="1"/>
  <c r="M261" i="2" s="1"/>
  <c r="K259" i="2"/>
  <c r="L259" i="2" s="1"/>
  <c r="M259" i="2" s="1"/>
  <c r="K258" i="2"/>
  <c r="K257" i="2"/>
  <c r="K256" i="2"/>
  <c r="L257" i="2" s="1"/>
  <c r="M257" i="2" s="1"/>
  <c r="K255" i="2"/>
  <c r="L256" i="2" s="1"/>
  <c r="M256" i="2" s="1"/>
  <c r="K254" i="2"/>
  <c r="K253" i="2"/>
  <c r="K252" i="2"/>
  <c r="L253" i="2" s="1"/>
  <c r="M253" i="2" s="1"/>
  <c r="K251" i="2"/>
  <c r="L251" i="2" s="1"/>
  <c r="M251" i="2" s="1"/>
  <c r="K250" i="2"/>
  <c r="K249" i="2"/>
  <c r="K248" i="2"/>
  <c r="L249" i="2" s="1"/>
  <c r="M249" i="2" s="1"/>
  <c r="K247" i="2"/>
  <c r="L247" i="2" s="1"/>
  <c r="M247" i="2" s="1"/>
  <c r="K246" i="2"/>
  <c r="K245" i="2"/>
  <c r="K244" i="2"/>
  <c r="K243" i="2"/>
  <c r="L243" i="2" s="1"/>
  <c r="M243" i="2" s="1"/>
  <c r="K242" i="2"/>
  <c r="K241" i="2"/>
  <c r="K240" i="2"/>
  <c r="K239" i="2"/>
  <c r="L239" i="2" s="1"/>
  <c r="M239" i="2" s="1"/>
  <c r="K238" i="2"/>
  <c r="K237" i="2"/>
  <c r="K236" i="2"/>
  <c r="L237" i="2" s="1"/>
  <c r="M237" i="2" s="1"/>
  <c r="K235" i="2"/>
  <c r="L235" i="2" s="1"/>
  <c r="M235" i="2" s="1"/>
  <c r="K234" i="2"/>
  <c r="K233" i="2"/>
  <c r="K232" i="2"/>
  <c r="L233" i="2" s="1"/>
  <c r="M233" i="2" s="1"/>
  <c r="K231" i="2"/>
  <c r="L231" i="2" s="1"/>
  <c r="M231" i="2" s="1"/>
  <c r="K230" i="2"/>
  <c r="K229" i="2"/>
  <c r="K228" i="2"/>
  <c r="L229" i="2" s="1"/>
  <c r="M229" i="2" s="1"/>
  <c r="K227" i="2"/>
  <c r="L227" i="2" s="1"/>
  <c r="M227" i="2" s="1"/>
  <c r="K226" i="2"/>
  <c r="K225" i="2"/>
  <c r="K224" i="2"/>
  <c r="L225" i="2" s="1"/>
  <c r="M225" i="2" s="1"/>
  <c r="K223" i="2"/>
  <c r="L224" i="2" s="1"/>
  <c r="M224" i="2" s="1"/>
  <c r="K222" i="2"/>
  <c r="K221" i="2"/>
  <c r="K220" i="2"/>
  <c r="L221" i="2" s="1"/>
  <c r="M221" i="2" s="1"/>
  <c r="K219" i="2"/>
  <c r="L219" i="2" s="1"/>
  <c r="M219" i="2" s="1"/>
  <c r="K218" i="2"/>
  <c r="K217" i="2"/>
  <c r="K216" i="2"/>
  <c r="L217" i="2" s="1"/>
  <c r="M217" i="2" s="1"/>
  <c r="K215" i="2"/>
  <c r="L215" i="2" s="1"/>
  <c r="M215" i="2" s="1"/>
  <c r="K214" i="2"/>
  <c r="K213" i="2"/>
  <c r="K212" i="2"/>
  <c r="L213" i="2" s="1"/>
  <c r="M213" i="2" s="1"/>
  <c r="K211" i="2"/>
  <c r="L211" i="2" s="1"/>
  <c r="M211" i="2" s="1"/>
  <c r="K210" i="2"/>
  <c r="K209" i="2"/>
  <c r="K208" i="2"/>
  <c r="L209" i="2" s="1"/>
  <c r="M209" i="2" s="1"/>
  <c r="K207" i="2"/>
  <c r="L207" i="2" s="1"/>
  <c r="M207" i="2" s="1"/>
  <c r="K206" i="2"/>
  <c r="K205" i="2"/>
  <c r="K204" i="2"/>
  <c r="L205" i="2" s="1"/>
  <c r="M205" i="2" s="1"/>
  <c r="K203" i="2"/>
  <c r="L203" i="2" s="1"/>
  <c r="M203" i="2" s="1"/>
  <c r="K202" i="2"/>
  <c r="K201" i="2"/>
  <c r="K200" i="2"/>
  <c r="K199" i="2"/>
  <c r="L199" i="2" s="1"/>
  <c r="M199" i="2" s="1"/>
  <c r="K198" i="2"/>
  <c r="K197" i="2"/>
  <c r="K196" i="2"/>
  <c r="K195" i="2"/>
  <c r="L195" i="2" s="1"/>
  <c r="M195" i="2" s="1"/>
  <c r="K194" i="2"/>
  <c r="K193" i="2"/>
  <c r="K192" i="2"/>
  <c r="L193" i="2" s="1"/>
  <c r="M193" i="2" s="1"/>
  <c r="K191" i="2"/>
  <c r="L191" i="2" s="1"/>
  <c r="M191" i="2" s="1"/>
  <c r="K190" i="2"/>
  <c r="K189" i="2"/>
  <c r="K188" i="2"/>
  <c r="L189" i="2" s="1"/>
  <c r="M189" i="2" s="1"/>
  <c r="K187" i="2"/>
  <c r="L187" i="2" s="1"/>
  <c r="M187" i="2" s="1"/>
  <c r="K186" i="2"/>
  <c r="K185" i="2"/>
  <c r="K184" i="2"/>
  <c r="K183" i="2"/>
  <c r="L183" i="2" s="1"/>
  <c r="M183" i="2" s="1"/>
  <c r="K182" i="2"/>
  <c r="K181" i="2"/>
  <c r="K180" i="2"/>
  <c r="L181" i="2" s="1"/>
  <c r="M181" i="2" s="1"/>
  <c r="K179" i="2"/>
  <c r="L179" i="2" s="1"/>
  <c r="M179" i="2" s="1"/>
  <c r="K178" i="2"/>
  <c r="K177" i="2"/>
  <c r="K176" i="2"/>
  <c r="L177" i="2" s="1"/>
  <c r="M177" i="2" s="1"/>
  <c r="K175" i="2"/>
  <c r="L175" i="2" s="1"/>
  <c r="M175" i="2" s="1"/>
  <c r="K174" i="2"/>
  <c r="K173" i="2"/>
  <c r="K172" i="2"/>
  <c r="L173" i="2" s="1"/>
  <c r="M173" i="2" s="1"/>
  <c r="K171" i="2"/>
  <c r="L171" i="2" s="1"/>
  <c r="M171" i="2" s="1"/>
  <c r="K170" i="2"/>
  <c r="K169" i="2"/>
  <c r="K168" i="2"/>
  <c r="K167" i="2"/>
  <c r="L167" i="2" s="1"/>
  <c r="M167" i="2" s="1"/>
  <c r="K166" i="2"/>
  <c r="K165" i="2"/>
  <c r="K164" i="2"/>
  <c r="K163" i="2"/>
  <c r="L163" i="2" s="1"/>
  <c r="M163" i="2" s="1"/>
  <c r="K162" i="2"/>
  <c r="K161" i="2"/>
  <c r="K160" i="2"/>
  <c r="L161" i="2" s="1"/>
  <c r="M161" i="2" s="1"/>
  <c r="K159" i="2"/>
  <c r="L159" i="2" s="1"/>
  <c r="M159" i="2" s="1"/>
  <c r="K158" i="2"/>
  <c r="K157" i="2"/>
  <c r="K156" i="2"/>
  <c r="L157" i="2" s="1"/>
  <c r="M157" i="2" s="1"/>
  <c r="K155" i="2"/>
  <c r="L155" i="2" s="1"/>
  <c r="M155" i="2" s="1"/>
  <c r="K154" i="2"/>
  <c r="K153" i="2"/>
  <c r="K152" i="2"/>
  <c r="K151" i="2"/>
  <c r="L151" i="2" s="1"/>
  <c r="M151" i="2" s="1"/>
  <c r="K150" i="2"/>
  <c r="K149" i="2"/>
  <c r="K148" i="2"/>
  <c r="L149" i="2" s="1"/>
  <c r="M149" i="2" s="1"/>
  <c r="K147" i="2"/>
  <c r="L147" i="2" s="1"/>
  <c r="M147" i="2" s="1"/>
  <c r="K146" i="2"/>
  <c r="K145" i="2"/>
  <c r="K144" i="2"/>
  <c r="L145" i="2" s="1"/>
  <c r="M145" i="2" s="1"/>
  <c r="K143" i="2"/>
  <c r="L143" i="2" s="1"/>
  <c r="M143" i="2" s="1"/>
  <c r="K142" i="2"/>
  <c r="K141" i="2"/>
  <c r="K140" i="2"/>
  <c r="L141" i="2" s="1"/>
  <c r="M141" i="2" s="1"/>
  <c r="K139" i="2"/>
  <c r="L139" i="2" s="1"/>
  <c r="M139" i="2" s="1"/>
  <c r="K138" i="2"/>
  <c r="K137" i="2"/>
  <c r="K136" i="2"/>
  <c r="K135" i="2"/>
  <c r="L135" i="2" s="1"/>
  <c r="M135" i="2" s="1"/>
  <c r="K134" i="2"/>
  <c r="K133" i="2"/>
  <c r="K132" i="2"/>
  <c r="K131" i="2"/>
  <c r="L131" i="2" s="1"/>
  <c r="M131" i="2" s="1"/>
  <c r="K130" i="2"/>
  <c r="K129" i="2"/>
  <c r="K128" i="2"/>
  <c r="L129" i="2" s="1"/>
  <c r="M129" i="2" s="1"/>
  <c r="K127" i="2"/>
  <c r="L127" i="2" s="1"/>
  <c r="M127" i="2" s="1"/>
  <c r="K126" i="2"/>
  <c r="K125" i="2"/>
  <c r="K124" i="2"/>
  <c r="L125" i="2" s="1"/>
  <c r="M125" i="2" s="1"/>
  <c r="K123" i="2"/>
  <c r="L123" i="2" s="1"/>
  <c r="M123" i="2" s="1"/>
  <c r="K122" i="2"/>
  <c r="K121" i="2"/>
  <c r="K120" i="2"/>
  <c r="K119" i="2"/>
  <c r="L119" i="2" s="1"/>
  <c r="M119" i="2" s="1"/>
  <c r="K118" i="2"/>
  <c r="K117" i="2"/>
  <c r="K116" i="2"/>
  <c r="L117" i="2" s="1"/>
  <c r="M117" i="2" s="1"/>
  <c r="K115" i="2"/>
  <c r="L115" i="2" s="1"/>
  <c r="M115" i="2" s="1"/>
  <c r="K114" i="2"/>
  <c r="K113" i="2"/>
  <c r="K112" i="2"/>
  <c r="L113" i="2" s="1"/>
  <c r="M113" i="2" s="1"/>
  <c r="K111" i="2"/>
  <c r="L111" i="2" s="1"/>
  <c r="M111" i="2" s="1"/>
  <c r="K110" i="2"/>
  <c r="K109" i="2"/>
  <c r="K108" i="2"/>
  <c r="L109" i="2" s="1"/>
  <c r="M109" i="2" s="1"/>
  <c r="K107" i="2"/>
  <c r="L107" i="2" s="1"/>
  <c r="M107" i="2" s="1"/>
  <c r="K106" i="2"/>
  <c r="K105" i="2"/>
  <c r="K104" i="2"/>
  <c r="K103" i="2"/>
  <c r="L103" i="2" s="1"/>
  <c r="M103" i="2" s="1"/>
  <c r="K102" i="2"/>
  <c r="K101" i="2"/>
  <c r="K100" i="2"/>
  <c r="K99" i="2"/>
  <c r="L99" i="2" s="1"/>
  <c r="M99" i="2" s="1"/>
  <c r="K98" i="2"/>
  <c r="K97" i="2"/>
  <c r="K96" i="2"/>
  <c r="L97" i="2" s="1"/>
  <c r="M97" i="2" s="1"/>
  <c r="K95" i="2"/>
  <c r="L95" i="2" s="1"/>
  <c r="M95" i="2" s="1"/>
  <c r="K94" i="2"/>
  <c r="K93" i="2"/>
  <c r="K92" i="2"/>
  <c r="L93" i="2" s="1"/>
  <c r="M93" i="2" s="1"/>
  <c r="K91" i="2"/>
  <c r="L91" i="2" s="1"/>
  <c r="M91" i="2" s="1"/>
  <c r="K90" i="2"/>
  <c r="K89" i="2"/>
  <c r="K88" i="2"/>
  <c r="K87" i="2"/>
  <c r="L87" i="2" s="1"/>
  <c r="M87" i="2" s="1"/>
  <c r="K86" i="2"/>
  <c r="K85" i="2"/>
  <c r="K84" i="2"/>
  <c r="L85" i="2" s="1"/>
  <c r="M85" i="2" s="1"/>
  <c r="K83" i="2"/>
  <c r="L83" i="2" s="1"/>
  <c r="M83" i="2" s="1"/>
  <c r="K82" i="2"/>
  <c r="K81" i="2"/>
  <c r="K80" i="2"/>
  <c r="L81" i="2" s="1"/>
  <c r="M81" i="2" s="1"/>
  <c r="K79" i="2"/>
  <c r="L79" i="2" s="1"/>
  <c r="M79" i="2" s="1"/>
  <c r="K78" i="2"/>
  <c r="K77" i="2"/>
  <c r="K76" i="2"/>
  <c r="L77" i="2" s="1"/>
  <c r="M77" i="2" s="1"/>
  <c r="K75" i="2"/>
  <c r="L75" i="2" s="1"/>
  <c r="M75" i="2" s="1"/>
  <c r="K74" i="2"/>
  <c r="K73" i="2"/>
  <c r="K72" i="2"/>
  <c r="K71" i="2"/>
  <c r="L71" i="2" s="1"/>
  <c r="M71" i="2" s="1"/>
  <c r="K70" i="2"/>
  <c r="K69" i="2"/>
  <c r="K68" i="2"/>
  <c r="K67" i="2"/>
  <c r="L67" i="2" s="1"/>
  <c r="M67" i="2" s="1"/>
  <c r="K66" i="2"/>
  <c r="K65" i="2"/>
  <c r="K64" i="2"/>
  <c r="L65" i="2" s="1"/>
  <c r="M65" i="2" s="1"/>
  <c r="K63" i="2"/>
  <c r="L63" i="2" s="1"/>
  <c r="M63" i="2" s="1"/>
  <c r="K62" i="2"/>
  <c r="K61" i="2"/>
  <c r="K60" i="2"/>
  <c r="L61" i="2" s="1"/>
  <c r="M61" i="2" s="1"/>
  <c r="K59" i="2"/>
  <c r="L59" i="2" s="1"/>
  <c r="M59" i="2" s="1"/>
  <c r="K58" i="2"/>
  <c r="K57" i="2"/>
  <c r="K56" i="2"/>
  <c r="K55" i="2"/>
  <c r="L55" i="2" s="1"/>
  <c r="M55" i="2" s="1"/>
  <c r="K54" i="2"/>
  <c r="K53" i="2"/>
  <c r="K52" i="2"/>
  <c r="L53" i="2" s="1"/>
  <c r="M53" i="2" s="1"/>
  <c r="K51" i="2"/>
  <c r="L51" i="2" s="1"/>
  <c r="M51" i="2" s="1"/>
  <c r="K50" i="2"/>
  <c r="K49" i="2"/>
  <c r="K48" i="2"/>
  <c r="L49" i="2" s="1"/>
  <c r="M49" i="2" s="1"/>
  <c r="K47" i="2"/>
  <c r="L47" i="2" s="1"/>
  <c r="M47" i="2" s="1"/>
  <c r="K46" i="2"/>
  <c r="K45" i="2"/>
  <c r="K44" i="2"/>
  <c r="L45" i="2" s="1"/>
  <c r="M45" i="2" s="1"/>
  <c r="K43" i="2"/>
  <c r="L43" i="2" s="1"/>
  <c r="M43" i="2" s="1"/>
  <c r="K42" i="2"/>
  <c r="K41" i="2"/>
  <c r="K40" i="2"/>
  <c r="K39" i="2"/>
  <c r="L39" i="2" s="1"/>
  <c r="M39" i="2" s="1"/>
  <c r="K38" i="2"/>
  <c r="K37" i="2"/>
  <c r="K36" i="2"/>
  <c r="K35" i="2"/>
  <c r="L35" i="2" s="1"/>
  <c r="M35" i="2" s="1"/>
  <c r="K34" i="2"/>
  <c r="K33" i="2"/>
  <c r="K32" i="2"/>
  <c r="L33" i="2" s="1"/>
  <c r="M33" i="2" s="1"/>
  <c r="K31" i="2"/>
  <c r="L31" i="2" s="1"/>
  <c r="M31" i="2" s="1"/>
  <c r="K30" i="2"/>
  <c r="K29" i="2"/>
  <c r="K28" i="2"/>
  <c r="L29" i="2" s="1"/>
  <c r="M29" i="2" s="1"/>
  <c r="K27" i="2"/>
  <c r="L27" i="2" s="1"/>
  <c r="M27" i="2" s="1"/>
  <c r="K26" i="2"/>
  <c r="L1522" i="2"/>
  <c r="M1522" i="2" s="1"/>
  <c r="K25" i="2"/>
  <c r="L1474" i="2"/>
  <c r="M1474" i="2" s="1"/>
  <c r="L1562" i="2"/>
  <c r="M1562" i="2" s="1"/>
  <c r="L1558" i="2"/>
  <c r="M1558" i="2" s="1"/>
  <c r="L1546" i="2"/>
  <c r="M1546" i="2" s="1"/>
  <c r="L1542" i="2"/>
  <c r="M1542" i="2" s="1"/>
  <c r="L1530" i="2"/>
  <c r="M1530" i="2" s="1"/>
  <c r="L1526" i="2"/>
  <c r="M1526" i="2" s="1"/>
  <c r="L1514" i="2"/>
  <c r="M1514" i="2" s="1"/>
  <c r="L1510" i="2"/>
  <c r="M1510" i="2" s="1"/>
  <c r="L1498" i="2"/>
  <c r="M1498" i="2" s="1"/>
  <c r="L1494" i="2"/>
  <c r="M1494" i="2" s="1"/>
  <c r="L1482" i="2"/>
  <c r="M1482" i="2" s="1"/>
  <c r="L1478" i="2"/>
  <c r="M1478" i="2" s="1"/>
  <c r="L1466" i="2"/>
  <c r="M1466" i="2" s="1"/>
  <c r="L1462" i="2"/>
  <c r="M1462" i="2" s="1"/>
  <c r="L1458" i="2"/>
  <c r="M1458" i="2" s="1"/>
  <c r="L1450" i="2"/>
  <c r="M1450" i="2" s="1"/>
  <c r="L1446" i="2"/>
  <c r="M1446" i="2" s="1"/>
  <c r="L1442" i="2"/>
  <c r="M1442" i="2" s="1"/>
  <c r="L1434" i="2"/>
  <c r="M1434" i="2" s="1"/>
  <c r="L1430" i="2"/>
  <c r="M1430" i="2" s="1"/>
  <c r="L1426" i="2"/>
  <c r="M1426" i="2" s="1"/>
  <c r="L1418" i="2"/>
  <c r="M1418" i="2" s="1"/>
  <c r="L1410" i="2"/>
  <c r="M1410" i="2" s="1"/>
  <c r="L1402" i="2"/>
  <c r="M1402" i="2" s="1"/>
  <c r="L1386" i="2"/>
  <c r="M1386" i="2" s="1"/>
  <c r="L1378" i="2"/>
  <c r="M1378" i="2" s="1"/>
  <c r="L1370" i="2"/>
  <c r="M1370" i="2" s="1"/>
  <c r="L1354" i="2"/>
  <c r="M1354" i="2" s="1"/>
  <c r="L1346" i="2"/>
  <c r="M1346" i="2" s="1"/>
  <c r="L1338" i="2"/>
  <c r="M1338" i="2" s="1"/>
  <c r="L1322" i="2"/>
  <c r="M1322" i="2" s="1"/>
  <c r="L1314" i="2"/>
  <c r="M1314" i="2" s="1"/>
  <c r="L1306" i="2"/>
  <c r="M1306" i="2" s="1"/>
  <c r="L1290" i="2"/>
  <c r="M1290" i="2" s="1"/>
  <c r="L1282" i="2"/>
  <c r="M1282" i="2" s="1"/>
  <c r="L1274" i="2"/>
  <c r="M1274" i="2" s="1"/>
  <c r="L1258" i="2"/>
  <c r="M1258" i="2" s="1"/>
  <c r="L1250" i="2"/>
  <c r="M1250" i="2" s="1"/>
  <c r="L1242" i="2"/>
  <c r="M1242" i="2" s="1"/>
  <c r="L1226" i="2"/>
  <c r="M1226" i="2" s="1"/>
  <c r="L1218" i="2"/>
  <c r="M1218" i="2" s="1"/>
  <c r="L1210" i="2"/>
  <c r="M1210" i="2" s="1"/>
  <c r="L1194" i="2"/>
  <c r="M1194" i="2" s="1"/>
  <c r="L1186" i="2"/>
  <c r="M1186" i="2" s="1"/>
  <c r="L1178" i="2"/>
  <c r="M1178" i="2" s="1"/>
  <c r="L1162" i="2"/>
  <c r="M1162" i="2" s="1"/>
  <c r="L1154" i="2"/>
  <c r="M1154" i="2" s="1"/>
  <c r="L1146" i="2"/>
  <c r="M1146" i="2" s="1"/>
  <c r="L1130" i="2"/>
  <c r="M1130" i="2" s="1"/>
  <c r="L1122" i="2"/>
  <c r="M1122" i="2" s="1"/>
  <c r="L1114" i="2"/>
  <c r="M1114" i="2" s="1"/>
  <c r="L1098" i="2"/>
  <c r="M1098" i="2" s="1"/>
  <c r="L1090" i="2"/>
  <c r="M1090" i="2" s="1"/>
  <c r="L1082" i="2"/>
  <c r="M1082" i="2" s="1"/>
  <c r="L1066" i="2"/>
  <c r="M1066" i="2" s="1"/>
  <c r="L1058" i="2"/>
  <c r="M1058" i="2" s="1"/>
  <c r="L1034" i="2"/>
  <c r="M1034" i="2" s="1"/>
  <c r="L1026" i="2"/>
  <c r="M1026" i="2" s="1"/>
  <c r="L1018" i="2"/>
  <c r="M1018" i="2" s="1"/>
  <c r="L994" i="2"/>
  <c r="M994" i="2" s="1"/>
  <c r="L986" i="2"/>
  <c r="M986" i="2" s="1"/>
  <c r="L970" i="2"/>
  <c r="M970" i="2" s="1"/>
  <c r="L954" i="2"/>
  <c r="M954" i="2" s="1"/>
  <c r="L938" i="2"/>
  <c r="M938" i="2" s="1"/>
  <c r="L930" i="2"/>
  <c r="M930" i="2" s="1"/>
  <c r="L898" i="2"/>
  <c r="M898" i="2" s="1"/>
  <c r="L882" i="2"/>
  <c r="M882" i="2" s="1"/>
  <c r="L866" i="2"/>
  <c r="M866" i="2" s="1"/>
  <c r="L818" i="2"/>
  <c r="M818" i="2" s="1"/>
  <c r="L802" i="2"/>
  <c r="M802" i="2" s="1"/>
  <c r="L770" i="2"/>
  <c r="M770" i="2" s="1"/>
  <c r="L738" i="2"/>
  <c r="M738" i="2" s="1"/>
  <c r="L682" i="2"/>
  <c r="M682" i="2" s="1"/>
  <c r="L678" i="2"/>
  <c r="M678" i="2" s="1"/>
  <c r="L646" i="2"/>
  <c r="M646" i="2" s="1"/>
  <c r="L618" i="2"/>
  <c r="M618" i="2" s="1"/>
  <c r="L614" i="2"/>
  <c r="M614" i="2" s="1"/>
  <c r="L550" i="2"/>
  <c r="M550" i="2" s="1"/>
  <c r="L522" i="2"/>
  <c r="M522" i="2" s="1"/>
  <c r="L518" i="2"/>
  <c r="M518" i="2" s="1"/>
  <c r="L1437" i="2"/>
  <c r="M1437" i="2" s="1"/>
  <c r="L1557" i="2"/>
  <c r="M1557" i="2" s="1"/>
  <c r="L1457" i="2"/>
  <c r="M1457" i="2" s="1"/>
  <c r="L1433" i="2"/>
  <c r="M1433" i="2" s="1"/>
  <c r="L1257" i="2"/>
  <c r="M1257" i="2" s="1"/>
  <c r="L1029" i="2"/>
  <c r="M1029" i="2" s="1"/>
  <c r="L1566" i="2"/>
  <c r="M1566" i="2" s="1"/>
  <c r="L1550" i="2"/>
  <c r="M1550" i="2" s="1"/>
  <c r="L1534" i="2"/>
  <c r="M1534" i="2" s="1"/>
  <c r="L1518" i="2"/>
  <c r="M1518" i="2" s="1"/>
  <c r="L1502" i="2"/>
  <c r="M1502" i="2" s="1"/>
  <c r="L1486" i="2"/>
  <c r="M1486" i="2" s="1"/>
  <c r="L1470" i="2"/>
  <c r="M1470" i="2" s="1"/>
  <c r="L1454" i="2"/>
  <c r="M1454" i="2" s="1"/>
  <c r="L1438" i="2"/>
  <c r="M1438" i="2" s="1"/>
  <c r="L1422" i="2"/>
  <c r="M1422" i="2" s="1"/>
  <c r="L1394" i="2"/>
  <c r="M1394" i="2" s="1"/>
  <c r="L1362" i="2"/>
  <c r="M1362" i="2" s="1"/>
  <c r="L1330" i="2"/>
  <c r="M1330" i="2" s="1"/>
  <c r="L1298" i="2"/>
  <c r="M1298" i="2" s="1"/>
  <c r="L1266" i="2"/>
  <c r="M1266" i="2" s="1"/>
  <c r="L1234" i="2"/>
  <c r="M1234" i="2" s="1"/>
  <c r="L1202" i="2"/>
  <c r="M1202" i="2" s="1"/>
  <c r="L1170" i="2"/>
  <c r="M1170" i="2" s="1"/>
  <c r="L1138" i="2"/>
  <c r="M1138" i="2" s="1"/>
  <c r="L1106" i="2"/>
  <c r="M1106" i="2" s="1"/>
  <c r="L1074" i="2"/>
  <c r="M1074" i="2" s="1"/>
  <c r="L1010" i="2"/>
  <c r="M1010" i="2" s="1"/>
  <c r="L978" i="2"/>
  <c r="M978" i="2" s="1"/>
  <c r="L946" i="2"/>
  <c r="M946" i="2" s="1"/>
  <c r="L714" i="2"/>
  <c r="M714" i="2" s="1"/>
  <c r="L586" i="2"/>
  <c r="M586" i="2" s="1"/>
  <c r="L850" i="2"/>
  <c r="M850" i="2" s="1"/>
  <c r="L710" i="2"/>
  <c r="M710" i="2" s="1"/>
  <c r="L582" i="2"/>
  <c r="M582" i="2" s="1"/>
  <c r="L1414" i="2"/>
  <c r="M1414" i="2" s="1"/>
  <c r="L1406" i="2"/>
  <c r="M1406" i="2" s="1"/>
  <c r="L1398" i="2"/>
  <c r="M1398" i="2" s="1"/>
  <c r="L1390" i="2"/>
  <c r="M1390" i="2" s="1"/>
  <c r="L1382" i="2"/>
  <c r="M1382" i="2" s="1"/>
  <c r="L1374" i="2"/>
  <c r="M1374" i="2" s="1"/>
  <c r="L1366" i="2"/>
  <c r="M1366" i="2" s="1"/>
  <c r="L1358" i="2"/>
  <c r="M1358" i="2" s="1"/>
  <c r="L1350" i="2"/>
  <c r="M1350" i="2" s="1"/>
  <c r="L1342" i="2"/>
  <c r="M1342" i="2" s="1"/>
  <c r="L1334" i="2"/>
  <c r="M1334" i="2" s="1"/>
  <c r="L1326" i="2"/>
  <c r="M1326" i="2" s="1"/>
  <c r="L1318" i="2"/>
  <c r="M1318" i="2" s="1"/>
  <c r="L1310" i="2"/>
  <c r="M1310" i="2" s="1"/>
  <c r="L1302" i="2"/>
  <c r="M1302" i="2" s="1"/>
  <c r="L1294" i="2"/>
  <c r="M1294" i="2" s="1"/>
  <c r="L1286" i="2"/>
  <c r="M1286" i="2" s="1"/>
  <c r="L1278" i="2"/>
  <c r="M1278" i="2" s="1"/>
  <c r="L1270" i="2"/>
  <c r="M1270" i="2" s="1"/>
  <c r="L1262" i="2"/>
  <c r="M1262" i="2" s="1"/>
  <c r="L1254" i="2"/>
  <c r="M1254" i="2" s="1"/>
  <c r="L1246" i="2"/>
  <c r="M1246" i="2" s="1"/>
  <c r="L1238" i="2"/>
  <c r="M1238" i="2" s="1"/>
  <c r="L1230" i="2"/>
  <c r="M1230" i="2" s="1"/>
  <c r="L1222" i="2"/>
  <c r="M1222" i="2" s="1"/>
  <c r="L1214" i="2"/>
  <c r="M1214" i="2" s="1"/>
  <c r="L1206" i="2"/>
  <c r="M1206" i="2" s="1"/>
  <c r="L1198" i="2"/>
  <c r="M1198" i="2" s="1"/>
  <c r="L1190" i="2"/>
  <c r="M1190" i="2" s="1"/>
  <c r="L1182" i="2"/>
  <c r="M1182" i="2" s="1"/>
  <c r="L1174" i="2"/>
  <c r="M1174" i="2" s="1"/>
  <c r="L1166" i="2"/>
  <c r="M1166" i="2" s="1"/>
  <c r="L1158" i="2"/>
  <c r="M1158" i="2" s="1"/>
  <c r="L1150" i="2"/>
  <c r="M1150" i="2" s="1"/>
  <c r="L1142" i="2"/>
  <c r="M1142" i="2" s="1"/>
  <c r="L1134" i="2"/>
  <c r="M1134" i="2" s="1"/>
  <c r="L1126" i="2"/>
  <c r="M1126" i="2" s="1"/>
  <c r="L1118" i="2"/>
  <c r="M1118" i="2" s="1"/>
  <c r="L1110" i="2"/>
  <c r="M1110" i="2" s="1"/>
  <c r="L1102" i="2"/>
  <c r="M1102" i="2" s="1"/>
  <c r="L1094" i="2"/>
  <c r="M1094" i="2" s="1"/>
  <c r="L1086" i="2"/>
  <c r="M1086" i="2" s="1"/>
  <c r="L1078" i="2"/>
  <c r="M1078" i="2" s="1"/>
  <c r="L1070" i="2"/>
  <c r="M1070" i="2" s="1"/>
  <c r="L1062" i="2"/>
  <c r="M1062" i="2" s="1"/>
  <c r="L1046" i="2"/>
  <c r="M1046" i="2" s="1"/>
  <c r="L1038" i="2"/>
  <c r="M1038" i="2" s="1"/>
  <c r="L1030" i="2"/>
  <c r="M1030" i="2" s="1"/>
  <c r="L1014" i="2"/>
  <c r="M1014" i="2" s="1"/>
  <c r="L1006" i="2"/>
  <c r="M1006" i="2" s="1"/>
  <c r="L998" i="2"/>
  <c r="M998" i="2" s="1"/>
  <c r="L982" i="2"/>
  <c r="M982" i="2" s="1"/>
  <c r="L974" i="2"/>
  <c r="M974" i="2" s="1"/>
  <c r="L966" i="2"/>
  <c r="M966" i="2" s="1"/>
  <c r="L950" i="2"/>
  <c r="M950" i="2" s="1"/>
  <c r="L942" i="2"/>
  <c r="M942" i="2" s="1"/>
  <c r="L934" i="2"/>
  <c r="M934" i="2" s="1"/>
  <c r="L918" i="2"/>
  <c r="M918" i="2" s="1"/>
  <c r="L910" i="2"/>
  <c r="M910" i="2" s="1"/>
  <c r="L906" i="2"/>
  <c r="M906" i="2" s="1"/>
  <c r="L894" i="2"/>
  <c r="M894" i="2" s="1"/>
  <c r="L890" i="2"/>
  <c r="M890" i="2" s="1"/>
  <c r="L886" i="2"/>
  <c r="M886" i="2" s="1"/>
  <c r="L874" i="2"/>
  <c r="M874" i="2" s="1"/>
  <c r="L870" i="2"/>
  <c r="M870" i="2" s="1"/>
  <c r="L862" i="2"/>
  <c r="M862" i="2" s="1"/>
  <c r="L854" i="2"/>
  <c r="M854" i="2" s="1"/>
  <c r="L846" i="2"/>
  <c r="M846" i="2" s="1"/>
  <c r="L842" i="2"/>
  <c r="M842" i="2" s="1"/>
  <c r="L830" i="2"/>
  <c r="M830" i="2" s="1"/>
  <c r="L826" i="2"/>
  <c r="M826" i="2" s="1"/>
  <c r="L822" i="2"/>
  <c r="M822" i="2" s="1"/>
  <c r="L810" i="2"/>
  <c r="M810" i="2" s="1"/>
  <c r="L806" i="2"/>
  <c r="M806" i="2" s="1"/>
  <c r="L798" i="2"/>
  <c r="M798" i="2" s="1"/>
  <c r="L790" i="2"/>
  <c r="M790" i="2" s="1"/>
  <c r="L782" i="2"/>
  <c r="M782" i="2" s="1"/>
  <c r="L778" i="2"/>
  <c r="M778" i="2" s="1"/>
  <c r="L766" i="2"/>
  <c r="M766" i="2" s="1"/>
  <c r="L762" i="2"/>
  <c r="M762" i="2" s="1"/>
  <c r="L758" i="2"/>
  <c r="M758" i="2" s="1"/>
  <c r="L746" i="2"/>
  <c r="M746" i="2" s="1"/>
  <c r="L742" i="2"/>
  <c r="M742" i="2" s="1"/>
  <c r="L734" i="2"/>
  <c r="M734" i="2" s="1"/>
  <c r="L726" i="2"/>
  <c r="M726" i="2" s="1"/>
  <c r="L722" i="2"/>
  <c r="M722" i="2" s="1"/>
  <c r="L718" i="2"/>
  <c r="M718" i="2" s="1"/>
  <c r="L702" i="2"/>
  <c r="M702" i="2" s="1"/>
  <c r="L698" i="2"/>
  <c r="M698" i="2" s="1"/>
  <c r="L694" i="2"/>
  <c r="M694" i="2" s="1"/>
  <c r="L686" i="2"/>
  <c r="M686" i="2" s="1"/>
  <c r="L674" i="2"/>
  <c r="M674" i="2" s="1"/>
  <c r="L670" i="2"/>
  <c r="M670" i="2" s="1"/>
  <c r="L662" i="2"/>
  <c r="M662" i="2" s="1"/>
  <c r="L658" i="2"/>
  <c r="M658" i="2" s="1"/>
  <c r="L654" i="2"/>
  <c r="M654" i="2" s="1"/>
  <c r="L638" i="2"/>
  <c r="M638" i="2" s="1"/>
  <c r="L634" i="2"/>
  <c r="M634" i="2" s="1"/>
  <c r="L630" i="2"/>
  <c r="M630" i="2" s="1"/>
  <c r="L622" i="2"/>
  <c r="M622" i="2" s="1"/>
  <c r="L610" i="2"/>
  <c r="M610" i="2" s="1"/>
  <c r="L606" i="2"/>
  <c r="M606" i="2" s="1"/>
  <c r="L598" i="2"/>
  <c r="M598" i="2" s="1"/>
  <c r="L594" i="2"/>
  <c r="M594" i="2" s="1"/>
  <c r="L590" i="2"/>
  <c r="M590" i="2" s="1"/>
  <c r="L574" i="2"/>
  <c r="M574" i="2" s="1"/>
  <c r="L570" i="2"/>
  <c r="M570" i="2" s="1"/>
  <c r="L566" i="2"/>
  <c r="M566" i="2" s="1"/>
  <c r="L558" i="2"/>
  <c r="M558" i="2" s="1"/>
  <c r="L546" i="2"/>
  <c r="M546" i="2" s="1"/>
  <c r="L542" i="2"/>
  <c r="M542" i="2" s="1"/>
  <c r="L534" i="2"/>
  <c r="M534" i="2" s="1"/>
  <c r="L530" i="2"/>
  <c r="M530" i="2" s="1"/>
  <c r="L526" i="2"/>
  <c r="M526" i="2" s="1"/>
  <c r="L510" i="2"/>
  <c r="M510" i="2" s="1"/>
  <c r="L506" i="2"/>
  <c r="M506" i="2" s="1"/>
  <c r="L502" i="2"/>
  <c r="M502" i="2" s="1"/>
  <c r="L494" i="2"/>
  <c r="M494" i="2" s="1"/>
  <c r="L490" i="2"/>
  <c r="M490" i="2" s="1"/>
  <c r="L486" i="2"/>
  <c r="M486" i="2" s="1"/>
  <c r="L478" i="2"/>
  <c r="M478" i="2" s="1"/>
  <c r="L474" i="2"/>
  <c r="M474" i="2" s="1"/>
  <c r="L470" i="2"/>
  <c r="M470" i="2" s="1"/>
  <c r="L462" i="2"/>
  <c r="M462" i="2" s="1"/>
  <c r="L458" i="2"/>
  <c r="M458" i="2" s="1"/>
  <c r="L454" i="2"/>
  <c r="M454" i="2" s="1"/>
  <c r="L446" i="2"/>
  <c r="M446" i="2" s="1"/>
  <c r="L442" i="2"/>
  <c r="M442" i="2" s="1"/>
  <c r="L438" i="2"/>
  <c r="M438" i="2" s="1"/>
  <c r="L430" i="2"/>
  <c r="M430" i="2" s="1"/>
  <c r="L426" i="2"/>
  <c r="M426" i="2" s="1"/>
  <c r="L414" i="2"/>
  <c r="M414" i="2" s="1"/>
  <c r="L410" i="2"/>
  <c r="M410" i="2" s="1"/>
  <c r="L406" i="2"/>
  <c r="M406" i="2" s="1"/>
  <c r="L394" i="2"/>
  <c r="M394" i="2" s="1"/>
  <c r="L390" i="2"/>
  <c r="M390" i="2" s="1"/>
  <c r="L382" i="2"/>
  <c r="M382" i="2" s="1"/>
  <c r="L374" i="2"/>
  <c r="M374" i="2" s="1"/>
  <c r="L366" i="2"/>
  <c r="M366" i="2" s="1"/>
  <c r="L362" i="2"/>
  <c r="M362" i="2" s="1"/>
  <c r="L350" i="2"/>
  <c r="M350" i="2" s="1"/>
  <c r="L346" i="2"/>
  <c r="M346" i="2" s="1"/>
  <c r="L342" i="2"/>
  <c r="M342" i="2" s="1"/>
  <c r="L330" i="2"/>
  <c r="M330" i="2" s="1"/>
  <c r="L326" i="2"/>
  <c r="M326" i="2" s="1"/>
  <c r="L318" i="2"/>
  <c r="M318" i="2" s="1"/>
  <c r="L310" i="2"/>
  <c r="M310" i="2" s="1"/>
  <c r="L302" i="2"/>
  <c r="M302" i="2" s="1"/>
  <c r="L298" i="2"/>
  <c r="M298" i="2" s="1"/>
  <c r="L286" i="2"/>
  <c r="M286" i="2" s="1"/>
  <c r="L282" i="2"/>
  <c r="M282" i="2" s="1"/>
  <c r="L278" i="2"/>
  <c r="M278" i="2" s="1"/>
  <c r="L266" i="2"/>
  <c r="M266" i="2" s="1"/>
  <c r="L262" i="2"/>
  <c r="M262" i="2" s="1"/>
  <c r="L254" i="2"/>
  <c r="M254" i="2" s="1"/>
  <c r="L246" i="2"/>
  <c r="M246" i="2" s="1"/>
  <c r="L238" i="2"/>
  <c r="M238" i="2" s="1"/>
  <c r="L234" i="2"/>
  <c r="M234" i="2" s="1"/>
  <c r="L222" i="2"/>
  <c r="M222" i="2" s="1"/>
  <c r="L218" i="2"/>
  <c r="M218" i="2" s="1"/>
  <c r="L214" i="2"/>
  <c r="M214" i="2" s="1"/>
  <c r="L202" i="2"/>
  <c r="M202" i="2" s="1"/>
  <c r="L198" i="2"/>
  <c r="M198" i="2" s="1"/>
  <c r="L190" i="2"/>
  <c r="M190" i="2" s="1"/>
  <c r="L182" i="2"/>
  <c r="M182" i="2" s="1"/>
  <c r="L174" i="2"/>
  <c r="M174" i="2" s="1"/>
  <c r="L170" i="2"/>
  <c r="M170" i="2" s="1"/>
  <c r="L158" i="2"/>
  <c r="M158" i="2" s="1"/>
  <c r="L150" i="2"/>
  <c r="M150" i="2" s="1"/>
  <c r="L146" i="2"/>
  <c r="M146" i="2" s="1"/>
  <c r="L130" i="2"/>
  <c r="M130" i="2" s="1"/>
  <c r="L118" i="2"/>
  <c r="M118" i="2" s="1"/>
  <c r="L110" i="2"/>
  <c r="M110" i="2" s="1"/>
  <c r="L86" i="2"/>
  <c r="M86" i="2" s="1"/>
  <c r="L82" i="2"/>
  <c r="M82" i="2" s="1"/>
  <c r="L78" i="2"/>
  <c r="M78" i="2" s="1"/>
  <c r="L54" i="2"/>
  <c r="M54" i="2" s="1"/>
  <c r="L46" i="2"/>
  <c r="M46" i="2" s="1"/>
  <c r="L34" i="2"/>
  <c r="M34" i="2" s="1"/>
  <c r="L1513" i="2" l="1"/>
  <c r="M1513" i="2" s="1"/>
  <c r="L62" i="2"/>
  <c r="M62" i="2" s="1"/>
  <c r="L102" i="2"/>
  <c r="M102" i="2" s="1"/>
  <c r="L134" i="2"/>
  <c r="M134" i="2" s="1"/>
  <c r="L166" i="2"/>
  <c r="M166" i="2" s="1"/>
  <c r="L422" i="2"/>
  <c r="M422" i="2" s="1"/>
  <c r="L186" i="2"/>
  <c r="M186" i="2" s="1"/>
  <c r="L206" i="2"/>
  <c r="M206" i="2" s="1"/>
  <c r="L230" i="2"/>
  <c r="M230" i="2" s="1"/>
  <c r="L250" i="2"/>
  <c r="M250" i="2" s="1"/>
  <c r="L270" i="2"/>
  <c r="M270" i="2" s="1"/>
  <c r="L294" i="2"/>
  <c r="M294" i="2" s="1"/>
  <c r="L314" i="2"/>
  <c r="M314" i="2" s="1"/>
  <c r="L334" i="2"/>
  <c r="M334" i="2" s="1"/>
  <c r="L358" i="2"/>
  <c r="M358" i="2" s="1"/>
  <c r="L378" i="2"/>
  <c r="M378" i="2" s="1"/>
  <c r="L398" i="2"/>
  <c r="M398" i="2" s="1"/>
  <c r="L691" i="2"/>
  <c r="M691" i="2" s="1"/>
  <c r="L695" i="2"/>
  <c r="M695" i="2" s="1"/>
  <c r="L699" i="2"/>
  <c r="M699" i="2" s="1"/>
  <c r="L703" i="2"/>
  <c r="M703" i="2" s="1"/>
  <c r="L707" i="2"/>
  <c r="M707" i="2" s="1"/>
  <c r="L711" i="2"/>
  <c r="M711" i="2" s="1"/>
  <c r="L715" i="2"/>
  <c r="M715" i="2" s="1"/>
  <c r="L719" i="2"/>
  <c r="M719" i="2" s="1"/>
  <c r="L723" i="2"/>
  <c r="M723" i="2" s="1"/>
  <c r="L727" i="2"/>
  <c r="M727" i="2" s="1"/>
  <c r="L731" i="2"/>
  <c r="M731" i="2" s="1"/>
  <c r="L735" i="2"/>
  <c r="M735" i="2" s="1"/>
  <c r="L739" i="2"/>
  <c r="M739" i="2" s="1"/>
  <c r="L743" i="2"/>
  <c r="M743" i="2" s="1"/>
  <c r="L747" i="2"/>
  <c r="M747" i="2" s="1"/>
  <c r="L751" i="2"/>
  <c r="M751" i="2" s="1"/>
  <c r="L755" i="2"/>
  <c r="M755" i="2" s="1"/>
  <c r="L759" i="2"/>
  <c r="M759" i="2" s="1"/>
  <c r="L763" i="2"/>
  <c r="M763" i="2" s="1"/>
  <c r="L767" i="2"/>
  <c r="M767" i="2" s="1"/>
  <c r="L771" i="2"/>
  <c r="M771" i="2" s="1"/>
  <c r="L775" i="2"/>
  <c r="M775" i="2" s="1"/>
  <c r="L779" i="2"/>
  <c r="M779" i="2" s="1"/>
  <c r="L783" i="2"/>
  <c r="M783" i="2" s="1"/>
  <c r="L787" i="2"/>
  <c r="M787" i="2" s="1"/>
  <c r="L791" i="2"/>
  <c r="M791" i="2" s="1"/>
  <c r="L795" i="2"/>
  <c r="M795" i="2" s="1"/>
  <c r="L799" i="2"/>
  <c r="M799" i="2" s="1"/>
  <c r="L803" i="2"/>
  <c r="M803" i="2" s="1"/>
  <c r="L807" i="2"/>
  <c r="M807" i="2" s="1"/>
  <c r="L811" i="2"/>
  <c r="M811" i="2" s="1"/>
  <c r="L815" i="2"/>
  <c r="M815" i="2" s="1"/>
  <c r="L819" i="2"/>
  <c r="M819" i="2" s="1"/>
  <c r="L823" i="2"/>
  <c r="M823" i="2" s="1"/>
  <c r="L827" i="2"/>
  <c r="M827" i="2" s="1"/>
  <c r="L831" i="2"/>
  <c r="M831" i="2" s="1"/>
  <c r="L835" i="2"/>
  <c r="M835" i="2" s="1"/>
  <c r="L839" i="2"/>
  <c r="M839" i="2" s="1"/>
  <c r="L843" i="2"/>
  <c r="M843" i="2" s="1"/>
  <c r="L847" i="2"/>
  <c r="M847" i="2" s="1"/>
  <c r="L851" i="2"/>
  <c r="M851" i="2" s="1"/>
  <c r="L855" i="2"/>
  <c r="M855" i="2" s="1"/>
  <c r="L859" i="2"/>
  <c r="M859" i="2" s="1"/>
  <c r="L863" i="2"/>
  <c r="M863" i="2" s="1"/>
  <c r="L867" i="2"/>
  <c r="M867" i="2" s="1"/>
  <c r="L871" i="2"/>
  <c r="M871" i="2" s="1"/>
  <c r="L875" i="2"/>
  <c r="M875" i="2" s="1"/>
  <c r="L879" i="2"/>
  <c r="M879" i="2" s="1"/>
  <c r="L883" i="2"/>
  <c r="M883" i="2" s="1"/>
  <c r="L887" i="2"/>
  <c r="M887" i="2" s="1"/>
  <c r="L891" i="2"/>
  <c r="M891" i="2" s="1"/>
  <c r="L895" i="2"/>
  <c r="M895" i="2" s="1"/>
  <c r="L899" i="2"/>
  <c r="M899" i="2" s="1"/>
  <c r="L903" i="2"/>
  <c r="M903" i="2" s="1"/>
  <c r="L907" i="2"/>
  <c r="M907" i="2" s="1"/>
  <c r="L911" i="2"/>
  <c r="M911" i="2" s="1"/>
  <c r="L915" i="2"/>
  <c r="M915" i="2" s="1"/>
  <c r="L919" i="2"/>
  <c r="M919" i="2" s="1"/>
  <c r="L923" i="2"/>
  <c r="M923" i="2" s="1"/>
  <c r="L927" i="2"/>
  <c r="M927" i="2" s="1"/>
  <c r="L931" i="2"/>
  <c r="M931" i="2" s="1"/>
  <c r="L935" i="2"/>
  <c r="M935" i="2" s="1"/>
  <c r="L939" i="2"/>
  <c r="M939" i="2" s="1"/>
  <c r="L943" i="2"/>
  <c r="M943" i="2" s="1"/>
  <c r="L947" i="2"/>
  <c r="M947" i="2" s="1"/>
  <c r="L951" i="2"/>
  <c r="M951" i="2" s="1"/>
  <c r="L955" i="2"/>
  <c r="M955" i="2" s="1"/>
  <c r="L959" i="2"/>
  <c r="M959" i="2" s="1"/>
  <c r="L963" i="2"/>
  <c r="M963" i="2" s="1"/>
  <c r="L967" i="2"/>
  <c r="M967" i="2" s="1"/>
  <c r="L971" i="2"/>
  <c r="M971" i="2" s="1"/>
  <c r="L975" i="2"/>
  <c r="M975" i="2" s="1"/>
  <c r="L979" i="2"/>
  <c r="M979" i="2" s="1"/>
  <c r="L983" i="2"/>
  <c r="M983" i="2" s="1"/>
  <c r="L987" i="2"/>
  <c r="M987" i="2" s="1"/>
  <c r="L991" i="2"/>
  <c r="M991" i="2" s="1"/>
  <c r="L995" i="2"/>
  <c r="M995" i="2" s="1"/>
  <c r="L999" i="2"/>
  <c r="M999" i="2" s="1"/>
  <c r="L1003" i="2"/>
  <c r="M1003" i="2" s="1"/>
  <c r="L1007" i="2"/>
  <c r="M1007" i="2" s="1"/>
  <c r="L1011" i="2"/>
  <c r="M1011" i="2" s="1"/>
  <c r="L1015" i="2"/>
  <c r="M1015" i="2" s="1"/>
  <c r="L1019" i="2"/>
  <c r="M1019" i="2" s="1"/>
  <c r="L1023" i="2"/>
  <c r="M1023" i="2" s="1"/>
  <c r="L1027" i="2"/>
  <c r="M1027" i="2" s="1"/>
  <c r="L288" i="2"/>
  <c r="M288" i="2" s="1"/>
  <c r="L320" i="2"/>
  <c r="M320" i="2" s="1"/>
  <c r="L1031" i="2"/>
  <c r="M1031" i="2" s="1"/>
  <c r="L1035" i="2"/>
  <c r="M1035" i="2" s="1"/>
  <c r="L1039" i="2"/>
  <c r="M1039" i="2" s="1"/>
  <c r="L1043" i="2"/>
  <c r="M1043" i="2" s="1"/>
  <c r="L1047" i="2"/>
  <c r="M1047" i="2" s="1"/>
  <c r="L1051" i="2"/>
  <c r="M1051" i="2" s="1"/>
  <c r="L1055" i="2"/>
  <c r="M1055" i="2" s="1"/>
  <c r="L1059" i="2"/>
  <c r="M1059" i="2" s="1"/>
  <c r="L1063" i="2"/>
  <c r="M1063" i="2" s="1"/>
  <c r="L1067" i="2"/>
  <c r="M1067" i="2" s="1"/>
  <c r="L1071" i="2"/>
  <c r="M1071" i="2" s="1"/>
  <c r="L1075" i="2"/>
  <c r="M1075" i="2" s="1"/>
  <c r="L1079" i="2"/>
  <c r="M1079" i="2" s="1"/>
  <c r="L1083" i="2"/>
  <c r="M1083" i="2" s="1"/>
  <c r="L1087" i="2"/>
  <c r="M1087" i="2" s="1"/>
  <c r="L1091" i="2"/>
  <c r="M1091" i="2" s="1"/>
  <c r="L1095" i="2"/>
  <c r="M1095" i="2" s="1"/>
  <c r="L1099" i="2"/>
  <c r="M1099" i="2" s="1"/>
  <c r="L1103" i="2"/>
  <c r="M1103" i="2" s="1"/>
  <c r="L1107" i="2"/>
  <c r="M1107" i="2" s="1"/>
  <c r="L1111" i="2"/>
  <c r="M1111" i="2" s="1"/>
  <c r="L1115" i="2"/>
  <c r="M1115" i="2" s="1"/>
  <c r="L1119" i="2"/>
  <c r="M1119" i="2" s="1"/>
  <c r="L1123" i="2"/>
  <c r="M1123" i="2" s="1"/>
  <c r="L1127" i="2"/>
  <c r="M1127" i="2" s="1"/>
  <c r="L1131" i="2"/>
  <c r="M1131" i="2" s="1"/>
  <c r="L1135" i="2"/>
  <c r="M1135" i="2" s="1"/>
  <c r="L1139" i="2"/>
  <c r="M1139" i="2" s="1"/>
  <c r="L1143" i="2"/>
  <c r="M1143" i="2" s="1"/>
  <c r="L1147" i="2"/>
  <c r="M1147" i="2" s="1"/>
  <c r="L1151" i="2"/>
  <c r="M1151" i="2" s="1"/>
  <c r="L1155" i="2"/>
  <c r="M1155" i="2" s="1"/>
  <c r="L1159" i="2"/>
  <c r="M1159" i="2" s="1"/>
  <c r="L1163" i="2"/>
  <c r="M1163" i="2" s="1"/>
  <c r="L1171" i="2"/>
  <c r="M1171" i="2" s="1"/>
  <c r="L1175" i="2"/>
  <c r="M1175" i="2" s="1"/>
  <c r="L1179" i="2"/>
  <c r="M1179" i="2" s="1"/>
  <c r="L1183" i="2"/>
  <c r="M1183" i="2" s="1"/>
  <c r="L1187" i="2"/>
  <c r="M1187" i="2" s="1"/>
  <c r="L1191" i="2"/>
  <c r="M1191" i="2" s="1"/>
  <c r="L1195" i="2"/>
  <c r="M1195" i="2" s="1"/>
  <c r="L1199" i="2"/>
  <c r="M1199" i="2" s="1"/>
  <c r="L1203" i="2"/>
  <c r="M1203" i="2" s="1"/>
  <c r="L1207" i="2"/>
  <c r="M1207" i="2" s="1"/>
  <c r="L1211" i="2"/>
  <c r="M1211" i="2" s="1"/>
  <c r="L1215" i="2"/>
  <c r="M1215" i="2" s="1"/>
  <c r="L1219" i="2"/>
  <c r="M1219" i="2" s="1"/>
  <c r="L1223" i="2"/>
  <c r="M1223" i="2" s="1"/>
  <c r="L1227" i="2"/>
  <c r="M1227" i="2" s="1"/>
  <c r="L1231" i="2"/>
  <c r="M1231" i="2" s="1"/>
  <c r="L1235" i="2"/>
  <c r="M1235" i="2" s="1"/>
  <c r="L1239" i="2"/>
  <c r="M1239" i="2" s="1"/>
  <c r="L1243" i="2"/>
  <c r="M1243" i="2" s="1"/>
  <c r="L1247" i="2"/>
  <c r="M1247" i="2" s="1"/>
  <c r="L26" i="2"/>
  <c r="M26" i="2" s="1"/>
  <c r="L1251" i="2"/>
  <c r="M1251" i="2" s="1"/>
  <c r="L1255" i="2"/>
  <c r="M1255" i="2" s="1"/>
  <c r="L1259" i="2"/>
  <c r="M1259" i="2" s="1"/>
  <c r="L1263" i="2"/>
  <c r="M1263" i="2" s="1"/>
  <c r="L1267" i="2"/>
  <c r="M1267" i="2" s="1"/>
  <c r="L1271" i="2"/>
  <c r="M1271" i="2" s="1"/>
  <c r="L1275" i="2"/>
  <c r="M1275" i="2" s="1"/>
  <c r="L1279" i="2"/>
  <c r="M1279" i="2" s="1"/>
  <c r="L1283" i="2"/>
  <c r="M1283" i="2" s="1"/>
  <c r="L1287" i="2"/>
  <c r="M1287" i="2" s="1"/>
  <c r="L1291" i="2"/>
  <c r="M1291" i="2" s="1"/>
  <c r="L1295" i="2"/>
  <c r="M1295" i="2" s="1"/>
  <c r="L1299" i="2"/>
  <c r="M1299" i="2" s="1"/>
  <c r="L1303" i="2"/>
  <c r="M1303" i="2" s="1"/>
  <c r="L1307" i="2"/>
  <c r="M1307" i="2" s="1"/>
  <c r="L1311" i="2"/>
  <c r="M1311" i="2" s="1"/>
  <c r="L1315" i="2"/>
  <c r="M1315" i="2" s="1"/>
  <c r="L1319" i="2"/>
  <c r="M1319" i="2" s="1"/>
  <c r="L1323" i="2"/>
  <c r="M1323" i="2" s="1"/>
  <c r="L1327" i="2"/>
  <c r="M1327" i="2" s="1"/>
  <c r="L1331" i="2"/>
  <c r="M1331" i="2" s="1"/>
  <c r="L1335" i="2"/>
  <c r="M1335" i="2" s="1"/>
  <c r="L1339" i="2"/>
  <c r="M1339" i="2" s="1"/>
  <c r="L1343" i="2"/>
  <c r="M1343" i="2" s="1"/>
  <c r="L1347" i="2"/>
  <c r="M1347" i="2" s="1"/>
  <c r="L1351" i="2"/>
  <c r="M1351" i="2" s="1"/>
  <c r="L1355" i="2"/>
  <c r="M1355" i="2" s="1"/>
  <c r="L1359" i="2"/>
  <c r="M1359" i="2" s="1"/>
  <c r="L1363" i="2"/>
  <c r="M1363" i="2" s="1"/>
  <c r="L30" i="2"/>
  <c r="M30" i="2" s="1"/>
  <c r="L38" i="2"/>
  <c r="M38" i="2" s="1"/>
  <c r="L42" i="2"/>
  <c r="M42" i="2" s="1"/>
  <c r="L50" i="2"/>
  <c r="M50" i="2" s="1"/>
  <c r="L58" i="2"/>
  <c r="M58" i="2" s="1"/>
  <c r="L66" i="2"/>
  <c r="M66" i="2" s="1"/>
  <c r="L70" i="2"/>
  <c r="M70" i="2" s="1"/>
  <c r="L74" i="2"/>
  <c r="M74" i="2" s="1"/>
  <c r="L90" i="2"/>
  <c r="M90" i="2" s="1"/>
  <c r="L94" i="2"/>
  <c r="M94" i="2" s="1"/>
  <c r="L98" i="2"/>
  <c r="M98" i="2" s="1"/>
  <c r="L106" i="2"/>
  <c r="M106" i="2" s="1"/>
  <c r="L114" i="2"/>
  <c r="M114" i="2" s="1"/>
  <c r="L122" i="2"/>
  <c r="M122" i="2" s="1"/>
  <c r="L126" i="2"/>
  <c r="M126" i="2" s="1"/>
  <c r="L138" i="2"/>
  <c r="M138" i="2" s="1"/>
  <c r="L142" i="2"/>
  <c r="M142" i="2" s="1"/>
  <c r="L154" i="2"/>
  <c r="M154" i="2" s="1"/>
  <c r="L162" i="2"/>
  <c r="M162" i="2" s="1"/>
  <c r="L178" i="2"/>
  <c r="M178" i="2" s="1"/>
  <c r="L194" i="2"/>
  <c r="M194" i="2" s="1"/>
  <c r="L210" i="2"/>
  <c r="M210" i="2" s="1"/>
  <c r="L226" i="2"/>
  <c r="M226" i="2" s="1"/>
  <c r="L242" i="2"/>
  <c r="M242" i="2" s="1"/>
  <c r="L258" i="2"/>
  <c r="M258" i="2" s="1"/>
  <c r="L274" i="2"/>
  <c r="M274" i="2" s="1"/>
  <c r="L290" i="2"/>
  <c r="M290" i="2" s="1"/>
  <c r="L306" i="2"/>
  <c r="M306" i="2" s="1"/>
  <c r="L322" i="2"/>
  <c r="M322" i="2" s="1"/>
  <c r="L338" i="2"/>
  <c r="M338" i="2" s="1"/>
  <c r="L354" i="2"/>
  <c r="M354" i="2" s="1"/>
  <c r="L370" i="2"/>
  <c r="M370" i="2" s="1"/>
  <c r="L386" i="2"/>
  <c r="M386" i="2" s="1"/>
  <c r="L402" i="2"/>
  <c r="M402" i="2" s="1"/>
  <c r="L418" i="2"/>
  <c r="M418" i="2" s="1"/>
  <c r="L434" i="2"/>
  <c r="M434" i="2" s="1"/>
  <c r="L450" i="2"/>
  <c r="M450" i="2" s="1"/>
  <c r="L466" i="2"/>
  <c r="M466" i="2" s="1"/>
  <c r="L482" i="2"/>
  <c r="M482" i="2" s="1"/>
  <c r="L498" i="2"/>
  <c r="M498" i="2" s="1"/>
  <c r="L514" i="2"/>
  <c r="M514" i="2" s="1"/>
  <c r="L538" i="2"/>
  <c r="M538" i="2" s="1"/>
  <c r="L554" i="2"/>
  <c r="M554" i="2" s="1"/>
  <c r="L958" i="2"/>
  <c r="M958" i="2" s="1"/>
  <c r="L962" i="2"/>
  <c r="M962" i="2" s="1"/>
  <c r="L1002" i="2"/>
  <c r="M1002" i="2" s="1"/>
  <c r="L1022" i="2"/>
  <c r="M1022" i="2" s="1"/>
  <c r="L1042" i="2"/>
  <c r="M1042" i="2" s="1"/>
  <c r="L1050" i="2"/>
  <c r="M1050" i="2" s="1"/>
  <c r="L1054" i="2"/>
  <c r="M1054" i="2" s="1"/>
  <c r="L1517" i="2"/>
  <c r="M1517" i="2" s="1"/>
  <c r="L1521" i="2"/>
  <c r="M1521" i="2" s="1"/>
  <c r="L1525" i="2"/>
  <c r="M1525" i="2" s="1"/>
  <c r="L1399" i="2"/>
  <c r="M1399" i="2" s="1"/>
  <c r="L562" i="2"/>
  <c r="M562" i="2" s="1"/>
  <c r="L578" i="2"/>
  <c r="M578" i="2" s="1"/>
  <c r="L602" i="2"/>
  <c r="M602" i="2" s="1"/>
  <c r="L626" i="2"/>
  <c r="M626" i="2" s="1"/>
  <c r="L642" i="2"/>
  <c r="M642" i="2" s="1"/>
  <c r="L650" i="2"/>
  <c r="M650" i="2" s="1"/>
  <c r="L666" i="2"/>
  <c r="M666" i="2" s="1"/>
  <c r="L690" i="2"/>
  <c r="M690" i="2" s="1"/>
  <c r="L706" i="2"/>
  <c r="M706" i="2" s="1"/>
  <c r="L730" i="2"/>
  <c r="M730" i="2" s="1"/>
  <c r="L750" i="2"/>
  <c r="M750" i="2" s="1"/>
  <c r="L754" i="2"/>
  <c r="M754" i="2" s="1"/>
  <c r="L774" i="2"/>
  <c r="M774" i="2" s="1"/>
  <c r="L786" i="2"/>
  <c r="M786" i="2" s="1"/>
  <c r="L794" i="2"/>
  <c r="M794" i="2" s="1"/>
  <c r="L814" i="2"/>
  <c r="M814" i="2" s="1"/>
  <c r="L834" i="2"/>
  <c r="M834" i="2" s="1"/>
  <c r="L838" i="2"/>
  <c r="M838" i="2" s="1"/>
  <c r="L858" i="2"/>
  <c r="M858" i="2" s="1"/>
  <c r="L878" i="2"/>
  <c r="M878" i="2" s="1"/>
  <c r="L902" i="2"/>
  <c r="M902" i="2" s="1"/>
  <c r="L914" i="2"/>
  <c r="M914" i="2" s="1"/>
  <c r="L922" i="2"/>
  <c r="M922" i="2" s="1"/>
  <c r="L926" i="2"/>
  <c r="M926" i="2" s="1"/>
  <c r="L480" i="2"/>
  <c r="M480" i="2" s="1"/>
  <c r="L1463" i="2"/>
  <c r="M1463" i="2" s="1"/>
  <c r="L1561" i="2"/>
  <c r="M1561" i="2" s="1"/>
  <c r="L777" i="2"/>
  <c r="M777" i="2" s="1"/>
  <c r="L841" i="2"/>
  <c r="M841" i="2" s="1"/>
  <c r="L905" i="2"/>
  <c r="M905" i="2" s="1"/>
  <c r="L989" i="2"/>
  <c r="M989" i="2" s="1"/>
  <c r="L993" i="2"/>
  <c r="M993" i="2" s="1"/>
  <c r="L990" i="2"/>
  <c r="M990" i="2" s="1"/>
  <c r="L1541" i="2"/>
  <c r="M1541" i="2" s="1"/>
  <c r="L1527" i="2"/>
  <c r="M1527" i="2" s="1"/>
  <c r="L1565" i="2"/>
  <c r="M1565" i="2" s="1"/>
  <c r="L1168" i="2"/>
  <c r="M1168" i="2" s="1"/>
  <c r="L1372" i="2"/>
  <c r="M1372" i="2" s="1"/>
  <c r="L1452" i="2"/>
  <c r="M1452" i="2" s="1"/>
  <c r="L1476" i="2"/>
  <c r="M1476" i="2" s="1"/>
  <c r="L1504" i="2"/>
  <c r="M1504" i="2" s="1"/>
  <c r="L1076" i="2"/>
  <c r="M1076" i="2" s="1"/>
  <c r="L1184" i="2"/>
  <c r="M1184" i="2" s="1"/>
  <c r="L1248" i="2"/>
  <c r="M1248" i="2" s="1"/>
  <c r="L180" i="2"/>
  <c r="M180" i="2" s="1"/>
  <c r="L1529" i="2"/>
  <c r="M1529" i="2" s="1"/>
  <c r="L1312" i="2"/>
  <c r="M1312" i="2" s="1"/>
  <c r="L448" i="2"/>
  <c r="M448" i="2" s="1"/>
  <c r="L788" i="2"/>
  <c r="M788" i="2" s="1"/>
  <c r="L1120" i="2"/>
  <c r="M1120" i="2" s="1"/>
  <c r="L1528" i="2"/>
  <c r="M1528" i="2" s="1"/>
  <c r="L948" i="2"/>
  <c r="M948" i="2" s="1"/>
  <c r="L980" i="2"/>
  <c r="M980" i="2" s="1"/>
  <c r="L244" i="2"/>
  <c r="M244" i="2" s="1"/>
  <c r="L276" i="2"/>
  <c r="M276" i="2" s="1"/>
  <c r="L692" i="2"/>
  <c r="M692" i="2" s="1"/>
  <c r="L724" i="2"/>
  <c r="M724" i="2" s="1"/>
  <c r="L964" i="2"/>
  <c r="M964" i="2" s="1"/>
  <c r="L996" i="2"/>
  <c r="M996" i="2" s="1"/>
  <c r="L1008" i="2"/>
  <c r="M1008" i="2" s="1"/>
  <c r="L1028" i="2"/>
  <c r="M1028" i="2" s="1"/>
  <c r="L1060" i="2"/>
  <c r="M1060" i="2" s="1"/>
  <c r="L1072" i="2"/>
  <c r="M1072" i="2" s="1"/>
  <c r="L1092" i="2"/>
  <c r="M1092" i="2" s="1"/>
  <c r="L1132" i="2"/>
  <c r="M1132" i="2" s="1"/>
  <c r="L1144" i="2"/>
  <c r="M1144" i="2" s="1"/>
  <c r="L1148" i="2"/>
  <c r="M1148" i="2" s="1"/>
  <c r="L1212" i="2"/>
  <c r="M1212" i="2" s="1"/>
  <c r="L1228" i="2"/>
  <c r="M1228" i="2" s="1"/>
  <c r="L1256" i="2"/>
  <c r="M1256" i="2" s="1"/>
  <c r="L1272" i="2"/>
  <c r="M1272" i="2" s="1"/>
  <c r="L1276" i="2"/>
  <c r="M1276" i="2" s="1"/>
  <c r="L1340" i="2"/>
  <c r="M1340" i="2" s="1"/>
  <c r="L1356" i="2"/>
  <c r="M1356" i="2" s="1"/>
  <c r="L1384" i="2"/>
  <c r="M1384" i="2" s="1"/>
  <c r="L1424" i="2"/>
  <c r="M1424" i="2" s="1"/>
  <c r="L1464" i="2"/>
  <c r="M1464" i="2" s="1"/>
  <c r="L1500" i="2"/>
  <c r="M1500" i="2" s="1"/>
  <c r="L1540" i="2"/>
  <c r="M1540" i="2" s="1"/>
  <c r="L1552" i="2"/>
  <c r="M1552" i="2" s="1"/>
  <c r="L1136" i="2"/>
  <c r="M1136" i="2" s="1"/>
  <c r="L308" i="2"/>
  <c r="M308" i="2" s="1"/>
  <c r="L852" i="2"/>
  <c r="M852" i="2" s="1"/>
  <c r="L1152" i="2"/>
  <c r="M1152" i="2" s="1"/>
  <c r="L1216" i="2"/>
  <c r="M1216" i="2" s="1"/>
  <c r="L1280" i="2"/>
  <c r="M1280" i="2" s="1"/>
  <c r="L576" i="2"/>
  <c r="M576" i="2" s="1"/>
  <c r="L884" i="2"/>
  <c r="M884" i="2" s="1"/>
  <c r="L1012" i="2"/>
  <c r="M1012" i="2" s="1"/>
  <c r="L1200" i="2"/>
  <c r="M1200" i="2" s="1"/>
  <c r="L1264" i="2"/>
  <c r="M1264" i="2" s="1"/>
  <c r="L1108" i="2"/>
  <c r="M1108" i="2" s="1"/>
  <c r="L1232" i="2"/>
  <c r="M1232" i="2" s="1"/>
  <c r="L1296" i="2"/>
  <c r="M1296" i="2" s="1"/>
  <c r="L1400" i="2"/>
  <c r="M1400" i="2" s="1"/>
  <c r="L52" i="2"/>
  <c r="M52" i="2" s="1"/>
  <c r="L352" i="2"/>
  <c r="M352" i="2" s="1"/>
  <c r="L608" i="2"/>
  <c r="M608" i="2" s="1"/>
  <c r="L756" i="2"/>
  <c r="M756" i="2" s="1"/>
  <c r="L916" i="2"/>
  <c r="M916" i="2" s="1"/>
  <c r="L1044" i="2"/>
  <c r="M1044" i="2" s="1"/>
  <c r="L1367" i="2"/>
  <c r="M1367" i="2" s="1"/>
  <c r="L1371" i="2"/>
  <c r="M1371" i="2" s="1"/>
  <c r="L1375" i="2"/>
  <c r="M1375" i="2" s="1"/>
  <c r="L1379" i="2"/>
  <c r="M1379" i="2" s="1"/>
  <c r="L1383" i="2"/>
  <c r="M1383" i="2" s="1"/>
  <c r="L1387" i="2"/>
  <c r="M1387" i="2" s="1"/>
  <c r="L1391" i="2"/>
  <c r="M1391" i="2" s="1"/>
  <c r="L1395" i="2"/>
  <c r="M1395" i="2" s="1"/>
  <c r="L1403" i="2"/>
  <c r="M1403" i="2" s="1"/>
  <c r="L1407" i="2"/>
  <c r="M1407" i="2" s="1"/>
  <c r="L1411" i="2"/>
  <c r="M1411" i="2" s="1"/>
  <c r="L1415" i="2"/>
  <c r="M1415" i="2" s="1"/>
  <c r="L1419" i="2"/>
  <c r="M1419" i="2" s="1"/>
  <c r="L1423" i="2"/>
  <c r="M1423" i="2" s="1"/>
  <c r="L1427" i="2"/>
  <c r="M1427" i="2" s="1"/>
  <c r="L1431" i="2"/>
  <c r="M1431" i="2" s="1"/>
  <c r="L1435" i="2"/>
  <c r="M1435" i="2" s="1"/>
  <c r="L1439" i="2"/>
  <c r="M1439" i="2" s="1"/>
  <c r="L1443" i="2"/>
  <c r="M1443" i="2" s="1"/>
  <c r="L1447" i="2"/>
  <c r="M1447" i="2" s="1"/>
  <c r="L1451" i="2"/>
  <c r="M1451" i="2" s="1"/>
  <c r="L1455" i="2"/>
  <c r="M1455" i="2" s="1"/>
  <c r="L1459" i="2"/>
  <c r="M1459" i="2" s="1"/>
  <c r="L1467" i="2"/>
  <c r="M1467" i="2" s="1"/>
  <c r="L1471" i="2"/>
  <c r="M1471" i="2" s="1"/>
  <c r="L1475" i="2"/>
  <c r="M1475" i="2" s="1"/>
  <c r="L1479" i="2"/>
  <c r="M1479" i="2" s="1"/>
  <c r="L1483" i="2"/>
  <c r="M1483" i="2" s="1"/>
  <c r="L1487" i="2"/>
  <c r="M1487" i="2" s="1"/>
  <c r="L1491" i="2"/>
  <c r="M1491" i="2" s="1"/>
  <c r="L1495" i="2"/>
  <c r="M1495" i="2" s="1"/>
  <c r="L1499" i="2"/>
  <c r="M1499" i="2" s="1"/>
  <c r="L1503" i="2"/>
  <c r="M1503" i="2" s="1"/>
  <c r="L1507" i="2"/>
  <c r="M1507" i="2" s="1"/>
  <c r="L1511" i="2"/>
  <c r="M1511" i="2" s="1"/>
  <c r="L1515" i="2"/>
  <c r="M1515" i="2" s="1"/>
  <c r="L1519" i="2"/>
  <c r="M1519" i="2" s="1"/>
  <c r="L1523" i="2"/>
  <c r="M1523" i="2" s="1"/>
  <c r="L1535" i="2"/>
  <c r="M1535" i="2" s="1"/>
  <c r="L1539" i="2"/>
  <c r="M1539" i="2" s="1"/>
  <c r="L1543" i="2"/>
  <c r="M1543" i="2" s="1"/>
  <c r="L1547" i="2"/>
  <c r="M1547" i="2" s="1"/>
  <c r="L1551" i="2"/>
  <c r="M1551" i="2" s="1"/>
  <c r="L1555" i="2"/>
  <c r="M1555" i="2" s="1"/>
  <c r="L1559" i="2"/>
  <c r="M1559" i="2" s="1"/>
  <c r="L1563" i="2"/>
  <c r="M1563" i="2" s="1"/>
  <c r="L212" i="2"/>
  <c r="M212" i="2" s="1"/>
  <c r="L48" i="2"/>
  <c r="M48" i="2" s="1"/>
  <c r="L112" i="2"/>
  <c r="M112" i="2" s="1"/>
  <c r="L132" i="2"/>
  <c r="M132" i="2" s="1"/>
  <c r="L144" i="2"/>
  <c r="M144" i="2" s="1"/>
  <c r="L164" i="2"/>
  <c r="M164" i="2" s="1"/>
  <c r="L176" i="2"/>
  <c r="M176" i="2" s="1"/>
  <c r="L196" i="2"/>
  <c r="M196" i="2" s="1"/>
  <c r="L208" i="2"/>
  <c r="M208" i="2" s="1"/>
  <c r="L260" i="2"/>
  <c r="M260" i="2" s="1"/>
  <c r="L272" i="2"/>
  <c r="M272" i="2" s="1"/>
  <c r="L292" i="2"/>
  <c r="M292" i="2" s="1"/>
  <c r="L304" i="2"/>
  <c r="M304" i="2" s="1"/>
  <c r="L348" i="2"/>
  <c r="M348" i="2" s="1"/>
  <c r="L380" i="2"/>
  <c r="M380" i="2" s="1"/>
  <c r="L412" i="2"/>
  <c r="M412" i="2" s="1"/>
  <c r="L444" i="2"/>
  <c r="M444" i="2" s="1"/>
  <c r="L476" i="2"/>
  <c r="M476" i="2" s="1"/>
  <c r="L508" i="2"/>
  <c r="M508" i="2" s="1"/>
  <c r="L540" i="2"/>
  <c r="M540" i="2" s="1"/>
  <c r="L572" i="2"/>
  <c r="M572" i="2" s="1"/>
  <c r="L604" i="2"/>
  <c r="M604" i="2" s="1"/>
  <c r="L636" i="2"/>
  <c r="M636" i="2" s="1"/>
  <c r="L676" i="2"/>
  <c r="M676" i="2" s="1"/>
  <c r="L688" i="2"/>
  <c r="M688" i="2" s="1"/>
  <c r="L708" i="2"/>
  <c r="M708" i="2" s="1"/>
  <c r="L720" i="2"/>
  <c r="M720" i="2" s="1"/>
  <c r="L740" i="2"/>
  <c r="M740" i="2" s="1"/>
  <c r="L752" i="2"/>
  <c r="M752" i="2" s="1"/>
  <c r="L772" i="2"/>
  <c r="M772" i="2" s="1"/>
  <c r="L784" i="2"/>
  <c r="M784" i="2" s="1"/>
  <c r="L804" i="2"/>
  <c r="M804" i="2" s="1"/>
  <c r="L816" i="2"/>
  <c r="M816" i="2" s="1"/>
  <c r="L836" i="2"/>
  <c r="M836" i="2" s="1"/>
  <c r="L848" i="2"/>
  <c r="M848" i="2" s="1"/>
  <c r="L868" i="2"/>
  <c r="M868" i="2" s="1"/>
  <c r="L880" i="2"/>
  <c r="M880" i="2" s="1"/>
  <c r="L900" i="2"/>
  <c r="M900" i="2" s="1"/>
  <c r="L932" i="2"/>
  <c r="M932" i="2" s="1"/>
  <c r="L944" i="2"/>
  <c r="M944" i="2" s="1"/>
  <c r="L36" i="2"/>
  <c r="M36" i="2" s="1"/>
  <c r="L68" i="2"/>
  <c r="M68" i="2" s="1"/>
  <c r="L80" i="2"/>
  <c r="M80" i="2" s="1"/>
  <c r="L100" i="2"/>
  <c r="M100" i="2" s="1"/>
  <c r="L228" i="2"/>
  <c r="M228" i="2" s="1"/>
  <c r="L240" i="2"/>
  <c r="M240" i="2" s="1"/>
  <c r="L245" i="2"/>
  <c r="M245" i="2" s="1"/>
  <c r="L277" i="2"/>
  <c r="M277" i="2" s="1"/>
  <c r="L116" i="2"/>
  <c r="M116" i="2" s="1"/>
  <c r="L384" i="2"/>
  <c r="M384" i="2" s="1"/>
  <c r="L512" i="2"/>
  <c r="M512" i="2" s="1"/>
  <c r="L640" i="2"/>
  <c r="M640" i="2" s="1"/>
  <c r="L820" i="2"/>
  <c r="M820" i="2" s="1"/>
  <c r="L84" i="2"/>
  <c r="M84" i="2" s="1"/>
  <c r="L148" i="2"/>
  <c r="M148" i="2" s="1"/>
  <c r="L416" i="2"/>
  <c r="M416" i="2" s="1"/>
  <c r="L544" i="2"/>
  <c r="M544" i="2" s="1"/>
  <c r="L1124" i="2"/>
  <c r="M1124" i="2" s="1"/>
  <c r="L1156" i="2"/>
  <c r="M1156" i="2" s="1"/>
  <c r="L1188" i="2"/>
  <c r="M1188" i="2" s="1"/>
  <c r="L1220" i="2"/>
  <c r="M1220" i="2" s="1"/>
  <c r="L1252" i="2"/>
  <c r="M1252" i="2" s="1"/>
  <c r="L1284" i="2"/>
  <c r="M1284" i="2" s="1"/>
  <c r="L40" i="2"/>
  <c r="M40" i="2" s="1"/>
  <c r="L56" i="2"/>
  <c r="M56" i="2" s="1"/>
  <c r="L76" i="2"/>
  <c r="M76" i="2" s="1"/>
  <c r="L92" i="2"/>
  <c r="M92" i="2" s="1"/>
  <c r="L104" i="2"/>
  <c r="M104" i="2" s="1"/>
  <c r="L120" i="2"/>
  <c r="M120" i="2" s="1"/>
  <c r="L136" i="2"/>
  <c r="M136" i="2" s="1"/>
  <c r="L152" i="2"/>
  <c r="M152" i="2" s="1"/>
  <c r="L168" i="2"/>
  <c r="M168" i="2" s="1"/>
  <c r="L184" i="2"/>
  <c r="M184" i="2" s="1"/>
  <c r="L204" i="2"/>
  <c r="M204" i="2" s="1"/>
  <c r="L280" i="2"/>
  <c r="M280" i="2" s="1"/>
  <c r="L300" i="2"/>
  <c r="M300" i="2" s="1"/>
  <c r="L316" i="2"/>
  <c r="M316" i="2" s="1"/>
  <c r="L324" i="2"/>
  <c r="M324" i="2" s="1"/>
  <c r="L344" i="2"/>
  <c r="M344" i="2" s="1"/>
  <c r="L360" i="2"/>
  <c r="M360" i="2" s="1"/>
  <c r="L372" i="2"/>
  <c r="M372" i="2" s="1"/>
  <c r="L392" i="2"/>
  <c r="M392" i="2" s="1"/>
  <c r="L500" i="2"/>
  <c r="M500" i="2" s="1"/>
  <c r="L516" i="2"/>
  <c r="M516" i="2" s="1"/>
  <c r="L532" i="2"/>
  <c r="M532" i="2" s="1"/>
  <c r="L548" i="2"/>
  <c r="M548" i="2" s="1"/>
  <c r="L564" i="2"/>
  <c r="M564" i="2" s="1"/>
  <c r="L584" i="2"/>
  <c r="M584" i="2" s="1"/>
  <c r="L600" i="2"/>
  <c r="M600" i="2" s="1"/>
  <c r="L612" i="2"/>
  <c r="M612" i="2" s="1"/>
  <c r="L632" i="2"/>
  <c r="M632" i="2" s="1"/>
  <c r="L648" i="2"/>
  <c r="M648" i="2" s="1"/>
  <c r="L660" i="2"/>
  <c r="M660" i="2" s="1"/>
  <c r="L668" i="2"/>
  <c r="M668" i="2" s="1"/>
  <c r="L680" i="2"/>
  <c r="M680" i="2" s="1"/>
  <c r="L840" i="2"/>
  <c r="M840" i="2" s="1"/>
  <c r="L856" i="2"/>
  <c r="M856" i="2" s="1"/>
  <c r="L872" i="2"/>
  <c r="M872" i="2" s="1"/>
  <c r="L1333" i="2"/>
  <c r="M1333" i="2" s="1"/>
  <c r="L1332" i="2"/>
  <c r="M1332" i="2" s="1"/>
  <c r="L1344" i="2"/>
  <c r="M1344" i="2" s="1"/>
  <c r="L1348" i="2"/>
  <c r="M1348" i="2" s="1"/>
  <c r="L1349" i="2"/>
  <c r="M1349" i="2" s="1"/>
  <c r="L1361" i="2"/>
  <c r="M1361" i="2" s="1"/>
  <c r="L1360" i="2"/>
  <c r="M1360" i="2" s="1"/>
  <c r="L1376" i="2"/>
  <c r="M1376" i="2" s="1"/>
  <c r="L1377" i="2"/>
  <c r="M1377" i="2" s="1"/>
  <c r="L1420" i="2"/>
  <c r="M1420" i="2" s="1"/>
  <c r="L1432" i="2"/>
  <c r="M1432" i="2" s="1"/>
  <c r="L1444" i="2"/>
  <c r="M1444" i="2" s="1"/>
  <c r="L1445" i="2"/>
  <c r="M1445" i="2" s="1"/>
  <c r="L1456" i="2"/>
  <c r="M1456" i="2" s="1"/>
  <c r="L1472" i="2"/>
  <c r="M1472" i="2" s="1"/>
  <c r="L1473" i="2"/>
  <c r="M1473" i="2" s="1"/>
  <c r="L1484" i="2"/>
  <c r="M1484" i="2" s="1"/>
  <c r="L1496" i="2"/>
  <c r="M1496" i="2" s="1"/>
  <c r="L1508" i="2"/>
  <c r="M1508" i="2" s="1"/>
  <c r="L1509" i="2"/>
  <c r="M1509" i="2" s="1"/>
  <c r="L1520" i="2"/>
  <c r="M1520" i="2" s="1"/>
  <c r="L1536" i="2"/>
  <c r="M1536" i="2" s="1"/>
  <c r="L1537" i="2"/>
  <c r="M1537" i="2" s="1"/>
  <c r="L1545" i="2"/>
  <c r="M1545" i="2" s="1"/>
  <c r="L1544" i="2"/>
  <c r="M1544" i="2" s="1"/>
  <c r="L1556" i="2"/>
  <c r="M1556" i="2" s="1"/>
  <c r="L37" i="2"/>
  <c r="M37" i="2" s="1"/>
  <c r="L69" i="2"/>
  <c r="M69" i="2" s="1"/>
  <c r="L101" i="2"/>
  <c r="M101" i="2" s="1"/>
  <c r="L133" i="2"/>
  <c r="M133" i="2" s="1"/>
  <c r="L165" i="2"/>
  <c r="M165" i="2" s="1"/>
  <c r="L197" i="2"/>
  <c r="M197" i="2" s="1"/>
  <c r="L1128" i="2"/>
  <c r="M1128" i="2" s="1"/>
  <c r="L1160" i="2"/>
  <c r="M1160" i="2" s="1"/>
  <c r="L1176" i="2"/>
  <c r="M1176" i="2" s="1"/>
  <c r="L1192" i="2"/>
  <c r="M1192" i="2" s="1"/>
  <c r="L1208" i="2"/>
  <c r="M1208" i="2" s="1"/>
  <c r="L1224" i="2"/>
  <c r="M1224" i="2" s="1"/>
  <c r="L1240" i="2"/>
  <c r="M1240" i="2" s="1"/>
  <c r="L1288" i="2"/>
  <c r="M1288" i="2" s="1"/>
  <c r="L1304" i="2"/>
  <c r="M1304" i="2" s="1"/>
  <c r="L301" i="2"/>
  <c r="M301" i="2" s="1"/>
  <c r="L317" i="2"/>
  <c r="M317" i="2" s="1"/>
  <c r="L349" i="2"/>
  <c r="M349" i="2" s="1"/>
  <c r="L381" i="2"/>
  <c r="M381" i="2" s="1"/>
  <c r="L413" i="2"/>
  <c r="M413" i="2" s="1"/>
  <c r="L445" i="2"/>
  <c r="M445" i="2" s="1"/>
  <c r="L477" i="2"/>
  <c r="M477" i="2" s="1"/>
  <c r="L509" i="2"/>
  <c r="M509" i="2" s="1"/>
  <c r="L541" i="2"/>
  <c r="M541" i="2" s="1"/>
  <c r="L573" i="2"/>
  <c r="M573" i="2" s="1"/>
  <c r="L605" i="2"/>
  <c r="M605" i="2" s="1"/>
  <c r="L637" i="2"/>
  <c r="M637" i="2" s="1"/>
  <c r="L669" i="2"/>
  <c r="M669" i="2" s="1"/>
  <c r="L933" i="2"/>
  <c r="M933" i="2" s="1"/>
  <c r="L997" i="2"/>
  <c r="M997" i="2" s="1"/>
  <c r="L1061" i="2"/>
  <c r="M1061" i="2" s="1"/>
  <c r="L1149" i="2"/>
  <c r="M1149" i="2" s="1"/>
  <c r="L1277" i="2"/>
  <c r="M1277" i="2" s="1"/>
  <c r="L1465" i="2"/>
  <c r="M1465" i="2" s="1"/>
  <c r="L1328" i="2"/>
  <c r="M1328" i="2" s="1"/>
  <c r="L1412" i="2"/>
  <c r="M1412" i="2" s="1"/>
  <c r="L1440" i="2"/>
  <c r="M1440" i="2" s="1"/>
  <c r="L1516" i="2"/>
  <c r="M1516" i="2" s="1"/>
  <c r="L1501" i="2"/>
  <c r="M1501" i="2" s="1"/>
  <c r="L223" i="2"/>
  <c r="M223" i="2" s="1"/>
  <c r="L255" i="2"/>
  <c r="M255" i="2" s="1"/>
  <c r="L287" i="2"/>
  <c r="M287" i="2" s="1"/>
  <c r="L319" i="2"/>
  <c r="M319" i="2" s="1"/>
  <c r="L336" i="2"/>
  <c r="M336" i="2" s="1"/>
  <c r="L368" i="2"/>
  <c r="M368" i="2" s="1"/>
  <c r="L400" i="2"/>
  <c r="M400" i="2" s="1"/>
  <c r="L432" i="2"/>
  <c r="M432" i="2" s="1"/>
  <c r="L464" i="2"/>
  <c r="M464" i="2" s="1"/>
  <c r="L496" i="2"/>
  <c r="M496" i="2" s="1"/>
  <c r="L528" i="2"/>
  <c r="M528" i="2" s="1"/>
  <c r="L560" i="2"/>
  <c r="M560" i="2" s="1"/>
  <c r="L592" i="2"/>
  <c r="M592" i="2" s="1"/>
  <c r="L624" i="2"/>
  <c r="M624" i="2" s="1"/>
  <c r="L656" i="2"/>
  <c r="M656" i="2" s="1"/>
  <c r="L1009" i="2"/>
  <c r="M1009" i="2" s="1"/>
  <c r="L479" i="2"/>
  <c r="M479" i="2" s="1"/>
  <c r="L1167" i="2"/>
  <c r="M1167" i="2" s="1"/>
  <c r="L1531" i="2"/>
  <c r="M1531" i="2" s="1"/>
  <c r="L1140" i="2"/>
  <c r="M1140" i="2" s="1"/>
  <c r="L1172" i="2"/>
  <c r="M1172" i="2" s="1"/>
  <c r="L1204" i="2"/>
  <c r="M1204" i="2" s="1"/>
  <c r="L1236" i="2"/>
  <c r="M1236" i="2" s="1"/>
  <c r="L1268" i="2"/>
  <c r="M1268" i="2" s="1"/>
  <c r="L1300" i="2"/>
  <c r="M1300" i="2" s="1"/>
  <c r="L1324" i="2"/>
  <c r="M1324" i="2" s="1"/>
  <c r="L1352" i="2"/>
  <c r="M1352" i="2" s="1"/>
  <c r="L1380" i="2"/>
  <c r="M1380" i="2" s="1"/>
  <c r="L1408" i="2"/>
  <c r="M1408" i="2" s="1"/>
  <c r="L1436" i="2"/>
  <c r="M1436" i="2" s="1"/>
  <c r="L1460" i="2"/>
  <c r="M1460" i="2" s="1"/>
  <c r="L1488" i="2"/>
  <c r="M1488" i="2" s="1"/>
  <c r="L1512" i="2"/>
  <c r="M1512" i="2" s="1"/>
  <c r="L1564" i="2"/>
  <c r="M1564" i="2" s="1"/>
  <c r="L32" i="2"/>
  <c r="M32" i="2" s="1"/>
  <c r="L64" i="2"/>
  <c r="M64" i="2" s="1"/>
  <c r="L96" i="2"/>
  <c r="M96" i="2" s="1"/>
  <c r="L128" i="2"/>
  <c r="M128" i="2" s="1"/>
  <c r="L160" i="2"/>
  <c r="M160" i="2" s="1"/>
  <c r="L192" i="2"/>
  <c r="M192" i="2" s="1"/>
  <c r="L332" i="2"/>
  <c r="M332" i="2" s="1"/>
  <c r="L364" i="2"/>
  <c r="M364" i="2" s="1"/>
  <c r="L396" i="2"/>
  <c r="M396" i="2" s="1"/>
  <c r="L428" i="2"/>
  <c r="M428" i="2" s="1"/>
  <c r="L460" i="2"/>
  <c r="M460" i="2" s="1"/>
  <c r="L492" i="2"/>
  <c r="M492" i="2" s="1"/>
  <c r="L524" i="2"/>
  <c r="M524" i="2" s="1"/>
  <c r="L556" i="2"/>
  <c r="M556" i="2" s="1"/>
  <c r="L588" i="2"/>
  <c r="M588" i="2" s="1"/>
  <c r="L620" i="2"/>
  <c r="M620" i="2" s="1"/>
  <c r="L652" i="2"/>
  <c r="M652" i="2" s="1"/>
  <c r="L672" i="2"/>
  <c r="M672" i="2" s="1"/>
  <c r="L704" i="2"/>
  <c r="M704" i="2" s="1"/>
  <c r="L736" i="2"/>
  <c r="M736" i="2" s="1"/>
  <c r="L768" i="2"/>
  <c r="M768" i="2" s="1"/>
  <c r="L800" i="2"/>
  <c r="M800" i="2" s="1"/>
  <c r="L832" i="2"/>
  <c r="M832" i="2" s="1"/>
  <c r="L864" i="2"/>
  <c r="M864" i="2" s="1"/>
  <c r="L896" i="2"/>
  <c r="M896" i="2" s="1"/>
  <c r="L928" i="2"/>
  <c r="M928" i="2" s="1"/>
  <c r="L960" i="2"/>
  <c r="M960" i="2" s="1"/>
  <c r="L992" i="2"/>
  <c r="M992" i="2" s="1"/>
  <c r="L1024" i="2"/>
  <c r="M1024" i="2" s="1"/>
  <c r="L1056" i="2"/>
  <c r="M1056" i="2" s="1"/>
  <c r="L1088" i="2"/>
  <c r="M1088" i="2" s="1"/>
  <c r="L28" i="2"/>
  <c r="M28" i="2" s="1"/>
  <c r="L44" i="2"/>
  <c r="M44" i="2" s="1"/>
  <c r="L60" i="2"/>
  <c r="M60" i="2" s="1"/>
  <c r="L72" i="2"/>
  <c r="M72" i="2" s="1"/>
  <c r="L88" i="2"/>
  <c r="M88" i="2" s="1"/>
  <c r="L108" i="2"/>
  <c r="M108" i="2" s="1"/>
  <c r="L124" i="2"/>
  <c r="M124" i="2" s="1"/>
  <c r="L140" i="2"/>
  <c r="M140" i="2" s="1"/>
  <c r="L156" i="2"/>
  <c r="M156" i="2" s="1"/>
  <c r="L172" i="2"/>
  <c r="M172" i="2" s="1"/>
  <c r="L188" i="2"/>
  <c r="M188" i="2" s="1"/>
  <c r="L200" i="2"/>
  <c r="M200" i="2" s="1"/>
  <c r="L216" i="2"/>
  <c r="M216" i="2" s="1"/>
  <c r="L220" i="2"/>
  <c r="M220" i="2" s="1"/>
  <c r="L232" i="2"/>
  <c r="M232" i="2" s="1"/>
  <c r="L236" i="2"/>
  <c r="M236" i="2" s="1"/>
  <c r="L248" i="2"/>
  <c r="M248" i="2" s="1"/>
  <c r="L252" i="2"/>
  <c r="M252" i="2" s="1"/>
  <c r="L264" i="2"/>
  <c r="M264" i="2" s="1"/>
  <c r="L268" i="2"/>
  <c r="M268" i="2" s="1"/>
  <c r="L284" i="2"/>
  <c r="M284" i="2" s="1"/>
  <c r="L296" i="2"/>
  <c r="M296" i="2" s="1"/>
  <c r="L312" i="2"/>
  <c r="M312" i="2" s="1"/>
  <c r="L328" i="2"/>
  <c r="M328" i="2" s="1"/>
  <c r="L340" i="2"/>
  <c r="M340" i="2" s="1"/>
  <c r="L356" i="2"/>
  <c r="M356" i="2" s="1"/>
  <c r="L376" i="2"/>
  <c r="M376" i="2" s="1"/>
  <c r="L388" i="2"/>
  <c r="M388" i="2" s="1"/>
  <c r="L404" i="2"/>
  <c r="M404" i="2" s="1"/>
  <c r="L408" i="2"/>
  <c r="M408" i="2" s="1"/>
  <c r="L420" i="2"/>
  <c r="M420" i="2" s="1"/>
  <c r="L424" i="2"/>
  <c r="M424" i="2" s="1"/>
  <c r="L436" i="2"/>
  <c r="M436" i="2" s="1"/>
  <c r="L440" i="2"/>
  <c r="M440" i="2" s="1"/>
  <c r="L452" i="2"/>
  <c r="M452" i="2" s="1"/>
  <c r="L456" i="2"/>
  <c r="M456" i="2" s="1"/>
  <c r="L468" i="2"/>
  <c r="M468" i="2" s="1"/>
  <c r="L472" i="2"/>
  <c r="M472" i="2" s="1"/>
  <c r="L484" i="2"/>
  <c r="M484" i="2" s="1"/>
  <c r="L488" i="2"/>
  <c r="M488" i="2" s="1"/>
  <c r="L504" i="2"/>
  <c r="M504" i="2" s="1"/>
  <c r="L520" i="2"/>
  <c r="M520" i="2" s="1"/>
  <c r="L536" i="2"/>
  <c r="M536" i="2" s="1"/>
  <c r="L552" i="2"/>
  <c r="M552" i="2" s="1"/>
  <c r="L568" i="2"/>
  <c r="M568" i="2" s="1"/>
  <c r="L580" i="2"/>
  <c r="M580" i="2" s="1"/>
  <c r="L596" i="2"/>
  <c r="M596" i="2" s="1"/>
  <c r="L616" i="2"/>
  <c r="M616" i="2" s="1"/>
  <c r="L628" i="2"/>
  <c r="M628" i="2" s="1"/>
  <c r="L644" i="2"/>
  <c r="M644" i="2" s="1"/>
  <c r="L664" i="2"/>
  <c r="M664" i="2" s="1"/>
  <c r="L684" i="2"/>
  <c r="M684" i="2" s="1"/>
  <c r="L696" i="2"/>
  <c r="M696" i="2" s="1"/>
  <c r="L700" i="2"/>
  <c r="M700" i="2" s="1"/>
  <c r="L712" i="2"/>
  <c r="M712" i="2" s="1"/>
  <c r="L716" i="2"/>
  <c r="M716" i="2" s="1"/>
  <c r="L728" i="2"/>
  <c r="M728" i="2" s="1"/>
  <c r="L732" i="2"/>
  <c r="M732" i="2" s="1"/>
  <c r="L744" i="2"/>
  <c r="M744" i="2" s="1"/>
  <c r="L748" i="2"/>
  <c r="M748" i="2" s="1"/>
  <c r="L760" i="2"/>
  <c r="M760" i="2" s="1"/>
  <c r="L764" i="2"/>
  <c r="M764" i="2" s="1"/>
  <c r="L776" i="2"/>
  <c r="M776" i="2" s="1"/>
  <c r="L780" i="2"/>
  <c r="M780" i="2" s="1"/>
  <c r="L792" i="2"/>
  <c r="M792" i="2" s="1"/>
  <c r="L796" i="2"/>
  <c r="M796" i="2" s="1"/>
  <c r="L808" i="2"/>
  <c r="M808" i="2" s="1"/>
  <c r="L812" i="2"/>
  <c r="M812" i="2" s="1"/>
  <c r="L824" i="2"/>
  <c r="M824" i="2" s="1"/>
  <c r="L828" i="2"/>
  <c r="M828" i="2" s="1"/>
  <c r="L844" i="2"/>
  <c r="M844" i="2" s="1"/>
  <c r="L860" i="2"/>
  <c r="M860" i="2" s="1"/>
  <c r="L876" i="2"/>
  <c r="M876" i="2" s="1"/>
  <c r="L888" i="2"/>
  <c r="M888" i="2" s="1"/>
  <c r="L892" i="2"/>
  <c r="M892" i="2" s="1"/>
  <c r="L904" i="2"/>
  <c r="M904" i="2" s="1"/>
  <c r="L908" i="2"/>
  <c r="M908" i="2" s="1"/>
  <c r="L920" i="2"/>
  <c r="M920" i="2" s="1"/>
  <c r="L924" i="2"/>
  <c r="M924" i="2" s="1"/>
  <c r="L936" i="2"/>
  <c r="M936" i="2" s="1"/>
  <c r="L940" i="2"/>
  <c r="M940" i="2" s="1"/>
  <c r="L952" i="2"/>
  <c r="M952" i="2" s="1"/>
  <c r="L956" i="2"/>
  <c r="M956" i="2" s="1"/>
  <c r="L968" i="2"/>
  <c r="M968" i="2" s="1"/>
  <c r="L972" i="2"/>
  <c r="M972" i="2" s="1"/>
  <c r="L984" i="2"/>
  <c r="M984" i="2" s="1"/>
  <c r="L988" i="2"/>
  <c r="M988" i="2" s="1"/>
  <c r="L1000" i="2"/>
  <c r="M1000" i="2" s="1"/>
  <c r="L1004" i="2"/>
  <c r="M1004" i="2" s="1"/>
  <c r="L1016" i="2"/>
  <c r="M1016" i="2" s="1"/>
  <c r="L1020" i="2"/>
  <c r="M1020" i="2" s="1"/>
  <c r="L1032" i="2"/>
  <c r="M1032" i="2" s="1"/>
  <c r="L1036" i="2"/>
  <c r="M1036" i="2" s="1"/>
  <c r="L1048" i="2"/>
  <c r="M1048" i="2" s="1"/>
  <c r="L1052" i="2"/>
  <c r="M1052" i="2" s="1"/>
  <c r="L1064" i="2"/>
  <c r="M1064" i="2" s="1"/>
  <c r="L1068" i="2"/>
  <c r="M1068" i="2" s="1"/>
  <c r="L1080" i="2"/>
  <c r="M1080" i="2" s="1"/>
  <c r="L1084" i="2"/>
  <c r="M1084" i="2" s="1"/>
  <c r="L1096" i="2"/>
  <c r="M1096" i="2" s="1"/>
  <c r="L1100" i="2"/>
  <c r="M1100" i="2" s="1"/>
  <c r="L1112" i="2"/>
  <c r="M1112" i="2" s="1"/>
  <c r="L1116" i="2"/>
  <c r="M1116" i="2" s="1"/>
  <c r="L1316" i="2"/>
  <c r="M1316" i="2" s="1"/>
  <c r="L1320" i="2"/>
  <c r="M1320" i="2" s="1"/>
  <c r="L1336" i="2"/>
  <c r="M1336" i="2" s="1"/>
  <c r="L1364" i="2"/>
  <c r="M1364" i="2" s="1"/>
  <c r="L1388" i="2"/>
  <c r="M1388" i="2" s="1"/>
  <c r="L1389" i="2"/>
  <c r="M1389" i="2" s="1"/>
  <c r="L1393" i="2"/>
  <c r="M1393" i="2" s="1"/>
  <c r="L1392" i="2"/>
  <c r="M1392" i="2" s="1"/>
  <c r="L1404" i="2"/>
  <c r="M1404" i="2" s="1"/>
  <c r="L1417" i="2"/>
  <c r="M1417" i="2" s="1"/>
  <c r="L1416" i="2"/>
  <c r="M1416" i="2" s="1"/>
  <c r="L1428" i="2"/>
  <c r="M1428" i="2" s="1"/>
  <c r="L1469" i="2"/>
  <c r="M1469" i="2" s="1"/>
  <c r="L1468" i="2"/>
  <c r="M1468" i="2" s="1"/>
  <c r="L1481" i="2"/>
  <c r="M1481" i="2" s="1"/>
  <c r="L1480" i="2"/>
  <c r="M1480" i="2" s="1"/>
  <c r="L1492" i="2"/>
  <c r="M1492" i="2" s="1"/>
  <c r="L1533" i="2"/>
  <c r="M1533" i="2" s="1"/>
  <c r="L1532" i="2"/>
  <c r="M1532" i="2" s="1"/>
  <c r="L1548" i="2"/>
  <c r="M1548" i="2" s="1"/>
  <c r="L1560" i="2"/>
  <c r="M1560" i="2" s="1"/>
  <c r="L41" i="2"/>
  <c r="M41" i="2" s="1"/>
  <c r="L57" i="2"/>
  <c r="M57" i="2" s="1"/>
  <c r="L73" i="2"/>
  <c r="M73" i="2" s="1"/>
  <c r="L89" i="2"/>
  <c r="M89" i="2" s="1"/>
  <c r="L105" i="2"/>
  <c r="M105" i="2" s="1"/>
  <c r="L121" i="2"/>
  <c r="M121" i="2" s="1"/>
  <c r="L137" i="2"/>
  <c r="M137" i="2" s="1"/>
  <c r="L153" i="2"/>
  <c r="M153" i="2" s="1"/>
  <c r="L169" i="2"/>
  <c r="M169" i="2" s="1"/>
  <c r="L185" i="2"/>
  <c r="M185" i="2" s="1"/>
  <c r="L201" i="2"/>
  <c r="M201" i="2" s="1"/>
  <c r="L1164" i="2"/>
  <c r="M1164" i="2" s="1"/>
  <c r="L1180" i="2"/>
  <c r="M1180" i="2" s="1"/>
  <c r="L1196" i="2"/>
  <c r="M1196" i="2" s="1"/>
  <c r="L1244" i="2"/>
  <c r="M1244" i="2" s="1"/>
  <c r="L1260" i="2"/>
  <c r="M1260" i="2" s="1"/>
  <c r="L1292" i="2"/>
  <c r="M1292" i="2" s="1"/>
  <c r="L1308" i="2"/>
  <c r="M1308" i="2" s="1"/>
  <c r="L241" i="2"/>
  <c r="M241" i="2" s="1"/>
  <c r="L273" i="2"/>
  <c r="M273" i="2" s="1"/>
  <c r="L305" i="2"/>
  <c r="M305" i="2" s="1"/>
  <c r="L689" i="2"/>
  <c r="M689" i="2" s="1"/>
  <c r="L721" i="2"/>
  <c r="M721" i="2" s="1"/>
  <c r="L753" i="2"/>
  <c r="M753" i="2" s="1"/>
  <c r="L785" i="2"/>
  <c r="M785" i="2" s="1"/>
  <c r="L817" i="2"/>
  <c r="M817" i="2" s="1"/>
  <c r="L849" i="2"/>
  <c r="M849" i="2" s="1"/>
  <c r="L881" i="2"/>
  <c r="M881" i="2" s="1"/>
  <c r="L937" i="2"/>
  <c r="M937" i="2" s="1"/>
  <c r="L957" i="2"/>
  <c r="M957" i="2" s="1"/>
  <c r="L1001" i="2"/>
  <c r="M1001" i="2" s="1"/>
  <c r="L1021" i="2"/>
  <c r="M1021" i="2" s="1"/>
  <c r="L1065" i="2"/>
  <c r="M1065" i="2" s="1"/>
  <c r="L1085" i="2"/>
  <c r="M1085" i="2" s="1"/>
  <c r="L1337" i="2"/>
  <c r="M1337" i="2" s="1"/>
  <c r="L1425" i="2"/>
  <c r="M1425" i="2" s="1"/>
  <c r="L1553" i="2"/>
  <c r="M1553" i="2" s="1"/>
  <c r="L1368" i="2"/>
  <c r="M1368" i="2" s="1"/>
  <c r="L1396" i="2"/>
  <c r="M1396" i="2" s="1"/>
  <c r="L1448" i="2"/>
  <c r="M1448" i="2" s="1"/>
  <c r="L1524" i="2"/>
  <c r="M1524" i="2" s="1"/>
  <c r="L1421" i="2"/>
  <c r="M1421" i="2" s="1"/>
  <c r="L1549" i="2"/>
  <c r="M1549" i="2" s="1"/>
  <c r="L912" i="2"/>
  <c r="M912" i="2" s="1"/>
  <c r="L976" i="2"/>
  <c r="M976" i="2" s="1"/>
  <c r="L1040" i="2"/>
  <c r="M1040" i="2" s="1"/>
  <c r="L1104" i="2"/>
  <c r="M1104" i="2" s="1"/>
  <c r="L1490" i="2"/>
  <c r="M1490" i="2" s="1"/>
  <c r="L1506" i="2"/>
  <c r="M1506" i="2" s="1"/>
  <c r="L1554" i="2"/>
  <c r="M1554" i="2" s="1"/>
  <c r="L1538" i="2"/>
  <c r="M1538" i="2" s="1"/>
  <c r="M23" i="2" l="1"/>
  <c r="V6" i="2" s="1"/>
  <c r="V7" i="2" l="1"/>
  <c r="V10" i="2"/>
  <c r="W6" i="2"/>
</calcChain>
</file>

<file path=xl/sharedStrings.xml><?xml version="1.0" encoding="utf-8"?>
<sst xmlns="http://schemas.openxmlformats.org/spreadsheetml/2006/main" count="6201" uniqueCount="27">
  <si>
    <t>@TYU24</t>
  </si>
  <si>
    <t>@JYU24</t>
  </si>
  <si>
    <t>@GCQ24</t>
  </si>
  <si>
    <t>@ESU24</t>
  </si>
  <si>
    <t xml:space="preserve"> </t>
  </si>
  <si>
    <t>Size</t>
  </si>
  <si>
    <t>Symbol</t>
  </si>
  <si>
    <t>Equity</t>
  </si>
  <si>
    <t>Date</t>
  </si>
  <si>
    <t>Equity_rec</t>
  </si>
  <si>
    <t xml:space="preserve">Date </t>
  </si>
  <si>
    <t>Formula in E2</t>
  </si>
  <si>
    <t>Formula in D2</t>
  </si>
  <si>
    <t>=C2*D2</t>
  </si>
  <si>
    <t>Peak</t>
  </si>
  <si>
    <t>DrawDown</t>
  </si>
  <si>
    <t>Global Equity</t>
  </si>
  <si>
    <t>Total Profit</t>
  </si>
  <si>
    <t>Unit Margin</t>
  </si>
  <si>
    <t>Tot Margin</t>
  </si>
  <si>
    <t>Starting Capital</t>
  </si>
  <si>
    <t>Margin Required</t>
  </si>
  <si>
    <t>Minimum Capital</t>
  </si>
  <si>
    <t>=VLOOKUP(A2;Portfolio!$G$3:$I$6;3)</t>
  </si>
  <si>
    <t>Total  Years</t>
  </si>
  <si>
    <r>
      <t xml:space="preserve">Max DrawDown </t>
    </r>
    <r>
      <rPr>
        <sz val="18"/>
        <color theme="1"/>
        <rFont val="Calibri"/>
        <family val="2"/>
        <scheme val="minor"/>
      </rPr>
      <t>(times x 1.3)</t>
    </r>
  </si>
  <si>
    <t>ROA (Return On Account)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</si>
</sst>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[$$-409]* #,##0.00_ ;_-[$$-409]* \-#,##0.00\ ;_-[$$-409]* &quot;-&quot;??_ ;_-@_ "/>
    <numFmt numFmtId="167" formatCode="_-[$$-409]* #,##0_ ;_-[$$-409]* \-#,##0\ ;_-[$$-409]* &quot;-&quot;??_ ;_-@_ "/>
    <numFmt numFmtId="168" formatCode="_-* #,##0.0_-;\-* #,##0.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quotePrefix="1"/>
    <xf numFmtId="164" fontId="0" fillId="0" borderId="0" xfId="1" applyNumberFormat="1" applyFont="1"/>
    <xf numFmtId="164" fontId="2" fillId="0" borderId="0" xfId="1" applyNumberFormat="1" applyFont="1"/>
    <xf numFmtId="0" fontId="4" fillId="0" borderId="0" xfId="0" applyFont="1"/>
    <xf numFmtId="164" fontId="4" fillId="0" borderId="0" xfId="1" applyNumberFormat="1" applyFont="1"/>
    <xf numFmtId="0" fontId="4" fillId="0" borderId="0" xfId="0" pivotButton="1" applyFont="1"/>
    <xf numFmtId="164" fontId="10" fillId="0" borderId="0" xfId="1" applyNumberFormat="1" applyFont="1"/>
    <xf numFmtId="0" fontId="6" fillId="0" borderId="0" xfId="0" applyFont="1" applyBorder="1"/>
    <xf numFmtId="165" fontId="9" fillId="0" borderId="0" xfId="0" applyNumberFormat="1" applyFont="1" applyBorder="1"/>
    <xf numFmtId="164" fontId="3" fillId="0" borderId="0" xfId="1" applyNumberFormat="1" applyFont="1"/>
    <xf numFmtId="0" fontId="2" fillId="0" borderId="0" xfId="0" quotePrefix="1" applyFont="1"/>
    <xf numFmtId="0" fontId="11" fillId="0" borderId="0" xfId="0" applyFont="1"/>
    <xf numFmtId="0" fontId="4" fillId="0" borderId="0" xfId="0" quotePrefix="1" applyFont="1" applyBorder="1"/>
    <xf numFmtId="0" fontId="5" fillId="0" borderId="1" xfId="0" applyFont="1" applyBorder="1" applyAlignment="1">
      <alignment horizontal="center" vertical="top" wrapText="1"/>
    </xf>
    <xf numFmtId="0" fontId="4" fillId="2" borderId="1" xfId="0" quotePrefix="1" applyFont="1" applyFill="1" applyBorder="1"/>
    <xf numFmtId="167" fontId="4" fillId="0" borderId="1" xfId="0" applyNumberFormat="1" applyFont="1" applyBorder="1"/>
    <xf numFmtId="166" fontId="5" fillId="0" borderId="1" xfId="1" applyNumberFormat="1" applyFont="1" applyBorder="1" applyAlignment="1">
      <alignment horizontal="center" vertical="top" wrapText="1"/>
    </xf>
    <xf numFmtId="167" fontId="4" fillId="2" borderId="1" xfId="1" applyNumberFormat="1" applyFont="1" applyFill="1" applyBorder="1"/>
    <xf numFmtId="167" fontId="5" fillId="0" borderId="1" xfId="0" applyNumberFormat="1" applyFont="1" applyBorder="1"/>
    <xf numFmtId="0" fontId="0" fillId="0" borderId="0" xfId="0" applyBorder="1"/>
    <xf numFmtId="167" fontId="12" fillId="0" borderId="0" xfId="0" applyNumberFormat="1" applyFont="1" applyBorder="1"/>
    <xf numFmtId="167" fontId="7" fillId="0" borderId="0" xfId="2" applyNumberFormat="1" applyFont="1" applyBorder="1"/>
    <xf numFmtId="167" fontId="8" fillId="0" borderId="0" xfId="2" applyNumberFormat="1" applyFont="1" applyBorder="1"/>
    <xf numFmtId="0" fontId="6" fillId="0" borderId="0" xfId="0" applyFont="1" applyFill="1" applyBorder="1"/>
    <xf numFmtId="9" fontId="14" fillId="0" borderId="0" xfId="3" applyFont="1" applyBorder="1"/>
    <xf numFmtId="9" fontId="15" fillId="0" borderId="0" xfId="3" applyFont="1" applyBorder="1"/>
    <xf numFmtId="0" fontId="4" fillId="2" borderId="1" xfId="0" applyFont="1" applyFill="1" applyBorder="1" applyAlignment="1">
      <alignment horizontal="center"/>
    </xf>
    <xf numFmtId="9" fontId="16" fillId="0" borderId="0" xfId="3" applyFont="1"/>
    <xf numFmtId="168" fontId="9" fillId="2" borderId="0" xfId="1" applyNumberFormat="1" applyFont="1" applyFill="1" applyBorder="1"/>
    <xf numFmtId="167" fontId="12" fillId="2" borderId="0" xfId="0" applyNumberFormat="1" applyFont="1" applyFill="1" applyBorder="1"/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12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Portfolio!$K$24</c:f>
              <c:strCache>
                <c:ptCount val="1"/>
                <c:pt idx="0">
                  <c:v> Global Equity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Portfolio!$A$25:$A$1566</c:f>
              <c:numCache>
                <c:formatCode>General</c:formatCode>
                <c:ptCount val="1542"/>
                <c:pt idx="0">
                  <c:v>1190709</c:v>
                </c:pt>
                <c:pt idx="1">
                  <c:v>1190710</c:v>
                </c:pt>
                <c:pt idx="2">
                  <c:v>1190711</c:v>
                </c:pt>
                <c:pt idx="3">
                  <c:v>1190712</c:v>
                </c:pt>
                <c:pt idx="4">
                  <c:v>1190714</c:v>
                </c:pt>
                <c:pt idx="5">
                  <c:v>1190715</c:v>
                </c:pt>
                <c:pt idx="6">
                  <c:v>1190716</c:v>
                </c:pt>
                <c:pt idx="7">
                  <c:v>1190717</c:v>
                </c:pt>
                <c:pt idx="8">
                  <c:v>1190718</c:v>
                </c:pt>
                <c:pt idx="9">
                  <c:v>1190719</c:v>
                </c:pt>
                <c:pt idx="10">
                  <c:v>1190721</c:v>
                </c:pt>
                <c:pt idx="11">
                  <c:v>1190722</c:v>
                </c:pt>
                <c:pt idx="12">
                  <c:v>1190723</c:v>
                </c:pt>
                <c:pt idx="13">
                  <c:v>1190724</c:v>
                </c:pt>
                <c:pt idx="14">
                  <c:v>1190725</c:v>
                </c:pt>
                <c:pt idx="15">
                  <c:v>1190726</c:v>
                </c:pt>
                <c:pt idx="16">
                  <c:v>1190728</c:v>
                </c:pt>
                <c:pt idx="17">
                  <c:v>1190729</c:v>
                </c:pt>
                <c:pt idx="18">
                  <c:v>1190730</c:v>
                </c:pt>
                <c:pt idx="19">
                  <c:v>1190731</c:v>
                </c:pt>
                <c:pt idx="20">
                  <c:v>1190801</c:v>
                </c:pt>
                <c:pt idx="21">
                  <c:v>1190802</c:v>
                </c:pt>
                <c:pt idx="22">
                  <c:v>1190804</c:v>
                </c:pt>
                <c:pt idx="23">
                  <c:v>1190805</c:v>
                </c:pt>
                <c:pt idx="24">
                  <c:v>1190806</c:v>
                </c:pt>
                <c:pt idx="25">
                  <c:v>1190807</c:v>
                </c:pt>
                <c:pt idx="26">
                  <c:v>1190808</c:v>
                </c:pt>
                <c:pt idx="27">
                  <c:v>1190809</c:v>
                </c:pt>
                <c:pt idx="28">
                  <c:v>1190811</c:v>
                </c:pt>
                <c:pt idx="29">
                  <c:v>1190812</c:v>
                </c:pt>
                <c:pt idx="30">
                  <c:v>1190813</c:v>
                </c:pt>
                <c:pt idx="31">
                  <c:v>1190814</c:v>
                </c:pt>
                <c:pt idx="32">
                  <c:v>1190815</c:v>
                </c:pt>
                <c:pt idx="33">
                  <c:v>1190816</c:v>
                </c:pt>
                <c:pt idx="34">
                  <c:v>1190818</c:v>
                </c:pt>
                <c:pt idx="35">
                  <c:v>1190819</c:v>
                </c:pt>
                <c:pt idx="36">
                  <c:v>1190820</c:v>
                </c:pt>
                <c:pt idx="37">
                  <c:v>1190821</c:v>
                </c:pt>
                <c:pt idx="38">
                  <c:v>1190822</c:v>
                </c:pt>
                <c:pt idx="39">
                  <c:v>1190823</c:v>
                </c:pt>
                <c:pt idx="40">
                  <c:v>1190825</c:v>
                </c:pt>
                <c:pt idx="41">
                  <c:v>1190826</c:v>
                </c:pt>
                <c:pt idx="42">
                  <c:v>1190827</c:v>
                </c:pt>
                <c:pt idx="43">
                  <c:v>1190828</c:v>
                </c:pt>
                <c:pt idx="44">
                  <c:v>1190829</c:v>
                </c:pt>
                <c:pt idx="45">
                  <c:v>1190830</c:v>
                </c:pt>
                <c:pt idx="46">
                  <c:v>1190901</c:v>
                </c:pt>
                <c:pt idx="47">
                  <c:v>1190902</c:v>
                </c:pt>
                <c:pt idx="48">
                  <c:v>1190903</c:v>
                </c:pt>
                <c:pt idx="49">
                  <c:v>1190904</c:v>
                </c:pt>
                <c:pt idx="50">
                  <c:v>1190905</c:v>
                </c:pt>
                <c:pt idx="51">
                  <c:v>1190906</c:v>
                </c:pt>
                <c:pt idx="52">
                  <c:v>1190908</c:v>
                </c:pt>
                <c:pt idx="53">
                  <c:v>1190909</c:v>
                </c:pt>
                <c:pt idx="54">
                  <c:v>1190910</c:v>
                </c:pt>
                <c:pt idx="55">
                  <c:v>1190911</c:v>
                </c:pt>
                <c:pt idx="56">
                  <c:v>1190912</c:v>
                </c:pt>
                <c:pt idx="57">
                  <c:v>1190913</c:v>
                </c:pt>
                <c:pt idx="58">
                  <c:v>1190915</c:v>
                </c:pt>
                <c:pt idx="59">
                  <c:v>1190916</c:v>
                </c:pt>
                <c:pt idx="60">
                  <c:v>1190917</c:v>
                </c:pt>
                <c:pt idx="61">
                  <c:v>1190918</c:v>
                </c:pt>
                <c:pt idx="62">
                  <c:v>1190919</c:v>
                </c:pt>
                <c:pt idx="63">
                  <c:v>1190920</c:v>
                </c:pt>
                <c:pt idx="64">
                  <c:v>1190922</c:v>
                </c:pt>
                <c:pt idx="65">
                  <c:v>1190923</c:v>
                </c:pt>
                <c:pt idx="66">
                  <c:v>1190924</c:v>
                </c:pt>
                <c:pt idx="67">
                  <c:v>1190925</c:v>
                </c:pt>
                <c:pt idx="68">
                  <c:v>1190926</c:v>
                </c:pt>
                <c:pt idx="69">
                  <c:v>1190927</c:v>
                </c:pt>
                <c:pt idx="70">
                  <c:v>1190929</c:v>
                </c:pt>
                <c:pt idx="71">
                  <c:v>1190930</c:v>
                </c:pt>
                <c:pt idx="72">
                  <c:v>1191001</c:v>
                </c:pt>
                <c:pt idx="73">
                  <c:v>1191002</c:v>
                </c:pt>
                <c:pt idx="74">
                  <c:v>1191003</c:v>
                </c:pt>
                <c:pt idx="75">
                  <c:v>1191004</c:v>
                </c:pt>
                <c:pt idx="76">
                  <c:v>1191006</c:v>
                </c:pt>
                <c:pt idx="77">
                  <c:v>1191007</c:v>
                </c:pt>
                <c:pt idx="78">
                  <c:v>1191008</c:v>
                </c:pt>
                <c:pt idx="79">
                  <c:v>1191009</c:v>
                </c:pt>
                <c:pt idx="80">
                  <c:v>1191010</c:v>
                </c:pt>
                <c:pt idx="81">
                  <c:v>1191011</c:v>
                </c:pt>
                <c:pt idx="82">
                  <c:v>1191013</c:v>
                </c:pt>
                <c:pt idx="83">
                  <c:v>1191014</c:v>
                </c:pt>
                <c:pt idx="84">
                  <c:v>1191015</c:v>
                </c:pt>
                <c:pt idx="85">
                  <c:v>1191016</c:v>
                </c:pt>
                <c:pt idx="86">
                  <c:v>1191017</c:v>
                </c:pt>
                <c:pt idx="87">
                  <c:v>1191018</c:v>
                </c:pt>
                <c:pt idx="88">
                  <c:v>1191020</c:v>
                </c:pt>
                <c:pt idx="89">
                  <c:v>1191021</c:v>
                </c:pt>
                <c:pt idx="90">
                  <c:v>1191022</c:v>
                </c:pt>
                <c:pt idx="91">
                  <c:v>1191023</c:v>
                </c:pt>
                <c:pt idx="92">
                  <c:v>1191024</c:v>
                </c:pt>
                <c:pt idx="93">
                  <c:v>1191025</c:v>
                </c:pt>
                <c:pt idx="94">
                  <c:v>1191027</c:v>
                </c:pt>
                <c:pt idx="95">
                  <c:v>1191028</c:v>
                </c:pt>
                <c:pt idx="96">
                  <c:v>1191029</c:v>
                </c:pt>
                <c:pt idx="97">
                  <c:v>1191030</c:v>
                </c:pt>
                <c:pt idx="98">
                  <c:v>1191031</c:v>
                </c:pt>
                <c:pt idx="99">
                  <c:v>1191101</c:v>
                </c:pt>
                <c:pt idx="100">
                  <c:v>1191103</c:v>
                </c:pt>
                <c:pt idx="101">
                  <c:v>1191104</c:v>
                </c:pt>
                <c:pt idx="102">
                  <c:v>1191105</c:v>
                </c:pt>
                <c:pt idx="103">
                  <c:v>1191106</c:v>
                </c:pt>
                <c:pt idx="104">
                  <c:v>1191107</c:v>
                </c:pt>
                <c:pt idx="105">
                  <c:v>1191108</c:v>
                </c:pt>
                <c:pt idx="106">
                  <c:v>1191110</c:v>
                </c:pt>
                <c:pt idx="107">
                  <c:v>1191111</c:v>
                </c:pt>
                <c:pt idx="108">
                  <c:v>1191112</c:v>
                </c:pt>
                <c:pt idx="109">
                  <c:v>1191113</c:v>
                </c:pt>
                <c:pt idx="110">
                  <c:v>1191114</c:v>
                </c:pt>
                <c:pt idx="111">
                  <c:v>1191115</c:v>
                </c:pt>
                <c:pt idx="112">
                  <c:v>1191117</c:v>
                </c:pt>
                <c:pt idx="113">
                  <c:v>1191118</c:v>
                </c:pt>
                <c:pt idx="114">
                  <c:v>1191119</c:v>
                </c:pt>
                <c:pt idx="115">
                  <c:v>1191120</c:v>
                </c:pt>
                <c:pt idx="116">
                  <c:v>1191121</c:v>
                </c:pt>
                <c:pt idx="117">
                  <c:v>1191122</c:v>
                </c:pt>
                <c:pt idx="118">
                  <c:v>1191124</c:v>
                </c:pt>
                <c:pt idx="119">
                  <c:v>1191125</c:v>
                </c:pt>
                <c:pt idx="120">
                  <c:v>1191126</c:v>
                </c:pt>
                <c:pt idx="121">
                  <c:v>1191127</c:v>
                </c:pt>
                <c:pt idx="122">
                  <c:v>1191128</c:v>
                </c:pt>
                <c:pt idx="123">
                  <c:v>1191129</c:v>
                </c:pt>
                <c:pt idx="124">
                  <c:v>1191201</c:v>
                </c:pt>
                <c:pt idx="125">
                  <c:v>1191202</c:v>
                </c:pt>
                <c:pt idx="126">
                  <c:v>1191203</c:v>
                </c:pt>
                <c:pt idx="127">
                  <c:v>1191204</c:v>
                </c:pt>
                <c:pt idx="128">
                  <c:v>1191205</c:v>
                </c:pt>
                <c:pt idx="129">
                  <c:v>1191206</c:v>
                </c:pt>
                <c:pt idx="130">
                  <c:v>1191208</c:v>
                </c:pt>
                <c:pt idx="131">
                  <c:v>1191209</c:v>
                </c:pt>
                <c:pt idx="132">
                  <c:v>1191210</c:v>
                </c:pt>
                <c:pt idx="133">
                  <c:v>1191211</c:v>
                </c:pt>
                <c:pt idx="134">
                  <c:v>1191212</c:v>
                </c:pt>
                <c:pt idx="135">
                  <c:v>1191213</c:v>
                </c:pt>
                <c:pt idx="136">
                  <c:v>1191215</c:v>
                </c:pt>
                <c:pt idx="137">
                  <c:v>1191216</c:v>
                </c:pt>
                <c:pt idx="138">
                  <c:v>1191217</c:v>
                </c:pt>
                <c:pt idx="139">
                  <c:v>1191218</c:v>
                </c:pt>
                <c:pt idx="140">
                  <c:v>1191219</c:v>
                </c:pt>
                <c:pt idx="141">
                  <c:v>1191220</c:v>
                </c:pt>
                <c:pt idx="142">
                  <c:v>1191222</c:v>
                </c:pt>
                <c:pt idx="143">
                  <c:v>1191223</c:v>
                </c:pt>
                <c:pt idx="144">
                  <c:v>1191224</c:v>
                </c:pt>
                <c:pt idx="145">
                  <c:v>1191225</c:v>
                </c:pt>
                <c:pt idx="146">
                  <c:v>1191226</c:v>
                </c:pt>
                <c:pt idx="147">
                  <c:v>1191227</c:v>
                </c:pt>
                <c:pt idx="148">
                  <c:v>1191229</c:v>
                </c:pt>
                <c:pt idx="149">
                  <c:v>1191230</c:v>
                </c:pt>
                <c:pt idx="150">
                  <c:v>1191231</c:v>
                </c:pt>
                <c:pt idx="151">
                  <c:v>1200101</c:v>
                </c:pt>
                <c:pt idx="152">
                  <c:v>1200102</c:v>
                </c:pt>
                <c:pt idx="153">
                  <c:v>1200103</c:v>
                </c:pt>
                <c:pt idx="154">
                  <c:v>1200105</c:v>
                </c:pt>
                <c:pt idx="155">
                  <c:v>1200106</c:v>
                </c:pt>
                <c:pt idx="156">
                  <c:v>1200107</c:v>
                </c:pt>
                <c:pt idx="157">
                  <c:v>1200108</c:v>
                </c:pt>
                <c:pt idx="158">
                  <c:v>1200109</c:v>
                </c:pt>
                <c:pt idx="159">
                  <c:v>1200110</c:v>
                </c:pt>
                <c:pt idx="160">
                  <c:v>1200112</c:v>
                </c:pt>
                <c:pt idx="161">
                  <c:v>1200113</c:v>
                </c:pt>
                <c:pt idx="162">
                  <c:v>1200114</c:v>
                </c:pt>
                <c:pt idx="163">
                  <c:v>1200115</c:v>
                </c:pt>
                <c:pt idx="164">
                  <c:v>1200116</c:v>
                </c:pt>
                <c:pt idx="165">
                  <c:v>1200117</c:v>
                </c:pt>
                <c:pt idx="166">
                  <c:v>1200119</c:v>
                </c:pt>
                <c:pt idx="167">
                  <c:v>1200120</c:v>
                </c:pt>
                <c:pt idx="168">
                  <c:v>1200121</c:v>
                </c:pt>
                <c:pt idx="169">
                  <c:v>1200122</c:v>
                </c:pt>
                <c:pt idx="170">
                  <c:v>1200123</c:v>
                </c:pt>
                <c:pt idx="171">
                  <c:v>1200124</c:v>
                </c:pt>
                <c:pt idx="172">
                  <c:v>1200126</c:v>
                </c:pt>
                <c:pt idx="173">
                  <c:v>1200127</c:v>
                </c:pt>
                <c:pt idx="174">
                  <c:v>1200128</c:v>
                </c:pt>
                <c:pt idx="175">
                  <c:v>1200129</c:v>
                </c:pt>
                <c:pt idx="176">
                  <c:v>1200130</c:v>
                </c:pt>
                <c:pt idx="177">
                  <c:v>1200131</c:v>
                </c:pt>
                <c:pt idx="178">
                  <c:v>1200202</c:v>
                </c:pt>
                <c:pt idx="179">
                  <c:v>1200203</c:v>
                </c:pt>
                <c:pt idx="180">
                  <c:v>1200204</c:v>
                </c:pt>
                <c:pt idx="181">
                  <c:v>1200205</c:v>
                </c:pt>
                <c:pt idx="182">
                  <c:v>1200206</c:v>
                </c:pt>
                <c:pt idx="183">
                  <c:v>1200207</c:v>
                </c:pt>
                <c:pt idx="184">
                  <c:v>1200209</c:v>
                </c:pt>
                <c:pt idx="185">
                  <c:v>1200210</c:v>
                </c:pt>
                <c:pt idx="186">
                  <c:v>1200211</c:v>
                </c:pt>
                <c:pt idx="187">
                  <c:v>1200212</c:v>
                </c:pt>
                <c:pt idx="188">
                  <c:v>1200213</c:v>
                </c:pt>
                <c:pt idx="189">
                  <c:v>1200214</c:v>
                </c:pt>
                <c:pt idx="190">
                  <c:v>1200216</c:v>
                </c:pt>
                <c:pt idx="191">
                  <c:v>1200217</c:v>
                </c:pt>
                <c:pt idx="192">
                  <c:v>1200218</c:v>
                </c:pt>
                <c:pt idx="193">
                  <c:v>1200219</c:v>
                </c:pt>
                <c:pt idx="194">
                  <c:v>1200220</c:v>
                </c:pt>
                <c:pt idx="195">
                  <c:v>1200221</c:v>
                </c:pt>
                <c:pt idx="196">
                  <c:v>1200223</c:v>
                </c:pt>
                <c:pt idx="197">
                  <c:v>1200224</c:v>
                </c:pt>
                <c:pt idx="198">
                  <c:v>1200225</c:v>
                </c:pt>
                <c:pt idx="199">
                  <c:v>1200226</c:v>
                </c:pt>
                <c:pt idx="200">
                  <c:v>1200227</c:v>
                </c:pt>
                <c:pt idx="201">
                  <c:v>1200228</c:v>
                </c:pt>
                <c:pt idx="202">
                  <c:v>1200301</c:v>
                </c:pt>
                <c:pt idx="203">
                  <c:v>1200302</c:v>
                </c:pt>
                <c:pt idx="204">
                  <c:v>1200303</c:v>
                </c:pt>
                <c:pt idx="205">
                  <c:v>1200304</c:v>
                </c:pt>
                <c:pt idx="206">
                  <c:v>1200305</c:v>
                </c:pt>
                <c:pt idx="207">
                  <c:v>1200306</c:v>
                </c:pt>
                <c:pt idx="208">
                  <c:v>1200308</c:v>
                </c:pt>
                <c:pt idx="209">
                  <c:v>1200309</c:v>
                </c:pt>
                <c:pt idx="210">
                  <c:v>1200310</c:v>
                </c:pt>
                <c:pt idx="211">
                  <c:v>1200311</c:v>
                </c:pt>
                <c:pt idx="212">
                  <c:v>1200312</c:v>
                </c:pt>
                <c:pt idx="213">
                  <c:v>1200313</c:v>
                </c:pt>
                <c:pt idx="214">
                  <c:v>1200315</c:v>
                </c:pt>
                <c:pt idx="215">
                  <c:v>1200316</c:v>
                </c:pt>
                <c:pt idx="216">
                  <c:v>1200317</c:v>
                </c:pt>
                <c:pt idx="217">
                  <c:v>1200318</c:v>
                </c:pt>
                <c:pt idx="218">
                  <c:v>1200319</c:v>
                </c:pt>
                <c:pt idx="219">
                  <c:v>1200320</c:v>
                </c:pt>
                <c:pt idx="220">
                  <c:v>1200322</c:v>
                </c:pt>
                <c:pt idx="221">
                  <c:v>1200323</c:v>
                </c:pt>
                <c:pt idx="222">
                  <c:v>1200324</c:v>
                </c:pt>
                <c:pt idx="223">
                  <c:v>1200325</c:v>
                </c:pt>
                <c:pt idx="224">
                  <c:v>1200326</c:v>
                </c:pt>
                <c:pt idx="225">
                  <c:v>1200327</c:v>
                </c:pt>
                <c:pt idx="226">
                  <c:v>1200329</c:v>
                </c:pt>
                <c:pt idx="227">
                  <c:v>1200330</c:v>
                </c:pt>
                <c:pt idx="228">
                  <c:v>1200331</c:v>
                </c:pt>
                <c:pt idx="229">
                  <c:v>1200401</c:v>
                </c:pt>
                <c:pt idx="230">
                  <c:v>1200402</c:v>
                </c:pt>
                <c:pt idx="231">
                  <c:v>1200403</c:v>
                </c:pt>
                <c:pt idx="232">
                  <c:v>1200405</c:v>
                </c:pt>
                <c:pt idx="233">
                  <c:v>1200406</c:v>
                </c:pt>
                <c:pt idx="234">
                  <c:v>1200407</c:v>
                </c:pt>
                <c:pt idx="235">
                  <c:v>1200408</c:v>
                </c:pt>
                <c:pt idx="236">
                  <c:v>1200409</c:v>
                </c:pt>
                <c:pt idx="237">
                  <c:v>1200412</c:v>
                </c:pt>
                <c:pt idx="238">
                  <c:v>1200413</c:v>
                </c:pt>
                <c:pt idx="239">
                  <c:v>1200414</c:v>
                </c:pt>
                <c:pt idx="240">
                  <c:v>1200415</c:v>
                </c:pt>
                <c:pt idx="241">
                  <c:v>1200416</c:v>
                </c:pt>
                <c:pt idx="242">
                  <c:v>1200417</c:v>
                </c:pt>
                <c:pt idx="243">
                  <c:v>1200419</c:v>
                </c:pt>
                <c:pt idx="244">
                  <c:v>1200420</c:v>
                </c:pt>
                <c:pt idx="245">
                  <c:v>1200421</c:v>
                </c:pt>
                <c:pt idx="246">
                  <c:v>1200422</c:v>
                </c:pt>
                <c:pt idx="247">
                  <c:v>1200423</c:v>
                </c:pt>
                <c:pt idx="248">
                  <c:v>1200424</c:v>
                </c:pt>
                <c:pt idx="249">
                  <c:v>1200426</c:v>
                </c:pt>
                <c:pt idx="250">
                  <c:v>1200427</c:v>
                </c:pt>
                <c:pt idx="251">
                  <c:v>1200428</c:v>
                </c:pt>
                <c:pt idx="252">
                  <c:v>1200429</c:v>
                </c:pt>
                <c:pt idx="253">
                  <c:v>1200430</c:v>
                </c:pt>
                <c:pt idx="254">
                  <c:v>1200501</c:v>
                </c:pt>
                <c:pt idx="255">
                  <c:v>1200503</c:v>
                </c:pt>
                <c:pt idx="256">
                  <c:v>1200504</c:v>
                </c:pt>
                <c:pt idx="257">
                  <c:v>1200505</c:v>
                </c:pt>
                <c:pt idx="258">
                  <c:v>1200506</c:v>
                </c:pt>
                <c:pt idx="259">
                  <c:v>1200507</c:v>
                </c:pt>
                <c:pt idx="260">
                  <c:v>1200508</c:v>
                </c:pt>
                <c:pt idx="261">
                  <c:v>1200510</c:v>
                </c:pt>
                <c:pt idx="262">
                  <c:v>1200511</c:v>
                </c:pt>
                <c:pt idx="263">
                  <c:v>1200512</c:v>
                </c:pt>
                <c:pt idx="264">
                  <c:v>1200513</c:v>
                </c:pt>
                <c:pt idx="265">
                  <c:v>1200514</c:v>
                </c:pt>
                <c:pt idx="266">
                  <c:v>1200515</c:v>
                </c:pt>
                <c:pt idx="267">
                  <c:v>1200517</c:v>
                </c:pt>
                <c:pt idx="268">
                  <c:v>1200518</c:v>
                </c:pt>
                <c:pt idx="269">
                  <c:v>1200519</c:v>
                </c:pt>
                <c:pt idx="270">
                  <c:v>1200520</c:v>
                </c:pt>
                <c:pt idx="271">
                  <c:v>1200521</c:v>
                </c:pt>
                <c:pt idx="272">
                  <c:v>1200522</c:v>
                </c:pt>
                <c:pt idx="273">
                  <c:v>1200524</c:v>
                </c:pt>
                <c:pt idx="274">
                  <c:v>1200525</c:v>
                </c:pt>
                <c:pt idx="275">
                  <c:v>1200526</c:v>
                </c:pt>
                <c:pt idx="276">
                  <c:v>1200527</c:v>
                </c:pt>
                <c:pt idx="277">
                  <c:v>1200528</c:v>
                </c:pt>
                <c:pt idx="278">
                  <c:v>1200529</c:v>
                </c:pt>
                <c:pt idx="279">
                  <c:v>1200531</c:v>
                </c:pt>
                <c:pt idx="280">
                  <c:v>1200601</c:v>
                </c:pt>
                <c:pt idx="281">
                  <c:v>1200602</c:v>
                </c:pt>
                <c:pt idx="282">
                  <c:v>1200603</c:v>
                </c:pt>
                <c:pt idx="283">
                  <c:v>1200604</c:v>
                </c:pt>
                <c:pt idx="284">
                  <c:v>1200605</c:v>
                </c:pt>
                <c:pt idx="285">
                  <c:v>1200607</c:v>
                </c:pt>
                <c:pt idx="286">
                  <c:v>1200608</c:v>
                </c:pt>
                <c:pt idx="287">
                  <c:v>1200609</c:v>
                </c:pt>
                <c:pt idx="288">
                  <c:v>1200610</c:v>
                </c:pt>
                <c:pt idx="289">
                  <c:v>1200611</c:v>
                </c:pt>
                <c:pt idx="290">
                  <c:v>1200612</c:v>
                </c:pt>
                <c:pt idx="291">
                  <c:v>1200614</c:v>
                </c:pt>
                <c:pt idx="292">
                  <c:v>1200615</c:v>
                </c:pt>
                <c:pt idx="293">
                  <c:v>1200616</c:v>
                </c:pt>
                <c:pt idx="294">
                  <c:v>1200617</c:v>
                </c:pt>
                <c:pt idx="295">
                  <c:v>1200618</c:v>
                </c:pt>
                <c:pt idx="296">
                  <c:v>1200619</c:v>
                </c:pt>
                <c:pt idx="297">
                  <c:v>1200621</c:v>
                </c:pt>
                <c:pt idx="298">
                  <c:v>1200622</c:v>
                </c:pt>
                <c:pt idx="299">
                  <c:v>1200623</c:v>
                </c:pt>
                <c:pt idx="300">
                  <c:v>1200624</c:v>
                </c:pt>
                <c:pt idx="301">
                  <c:v>1200625</c:v>
                </c:pt>
                <c:pt idx="302">
                  <c:v>1200626</c:v>
                </c:pt>
                <c:pt idx="303">
                  <c:v>1200628</c:v>
                </c:pt>
                <c:pt idx="304">
                  <c:v>1200629</c:v>
                </c:pt>
                <c:pt idx="305">
                  <c:v>1200630</c:v>
                </c:pt>
                <c:pt idx="306">
                  <c:v>1200701</c:v>
                </c:pt>
                <c:pt idx="307">
                  <c:v>1200702</c:v>
                </c:pt>
                <c:pt idx="308">
                  <c:v>1200703</c:v>
                </c:pt>
                <c:pt idx="309">
                  <c:v>1200705</c:v>
                </c:pt>
                <c:pt idx="310">
                  <c:v>1200706</c:v>
                </c:pt>
                <c:pt idx="311">
                  <c:v>1200707</c:v>
                </c:pt>
                <c:pt idx="312">
                  <c:v>1200708</c:v>
                </c:pt>
                <c:pt idx="313">
                  <c:v>1200709</c:v>
                </c:pt>
                <c:pt idx="314">
                  <c:v>1200710</c:v>
                </c:pt>
                <c:pt idx="315">
                  <c:v>1200712</c:v>
                </c:pt>
                <c:pt idx="316">
                  <c:v>1200713</c:v>
                </c:pt>
                <c:pt idx="317">
                  <c:v>1200714</c:v>
                </c:pt>
                <c:pt idx="318">
                  <c:v>1200715</c:v>
                </c:pt>
                <c:pt idx="319">
                  <c:v>1200716</c:v>
                </c:pt>
                <c:pt idx="320">
                  <c:v>1200717</c:v>
                </c:pt>
                <c:pt idx="321">
                  <c:v>1200719</c:v>
                </c:pt>
                <c:pt idx="322">
                  <c:v>1200720</c:v>
                </c:pt>
                <c:pt idx="323">
                  <c:v>1200721</c:v>
                </c:pt>
                <c:pt idx="324">
                  <c:v>1200722</c:v>
                </c:pt>
                <c:pt idx="325">
                  <c:v>1200723</c:v>
                </c:pt>
                <c:pt idx="326">
                  <c:v>1200724</c:v>
                </c:pt>
                <c:pt idx="327">
                  <c:v>1200726</c:v>
                </c:pt>
                <c:pt idx="328">
                  <c:v>1200727</c:v>
                </c:pt>
                <c:pt idx="329">
                  <c:v>1200728</c:v>
                </c:pt>
                <c:pt idx="330">
                  <c:v>1200729</c:v>
                </c:pt>
                <c:pt idx="331">
                  <c:v>1200730</c:v>
                </c:pt>
                <c:pt idx="332">
                  <c:v>1200731</c:v>
                </c:pt>
                <c:pt idx="333">
                  <c:v>1200802</c:v>
                </c:pt>
                <c:pt idx="334">
                  <c:v>1200803</c:v>
                </c:pt>
                <c:pt idx="335">
                  <c:v>1200804</c:v>
                </c:pt>
                <c:pt idx="336">
                  <c:v>1200805</c:v>
                </c:pt>
                <c:pt idx="337">
                  <c:v>1200806</c:v>
                </c:pt>
                <c:pt idx="338">
                  <c:v>1200807</c:v>
                </c:pt>
                <c:pt idx="339">
                  <c:v>1200809</c:v>
                </c:pt>
                <c:pt idx="340">
                  <c:v>1200810</c:v>
                </c:pt>
                <c:pt idx="341">
                  <c:v>1200811</c:v>
                </c:pt>
                <c:pt idx="342">
                  <c:v>1200812</c:v>
                </c:pt>
                <c:pt idx="343">
                  <c:v>1200813</c:v>
                </c:pt>
                <c:pt idx="344">
                  <c:v>1200814</c:v>
                </c:pt>
                <c:pt idx="345">
                  <c:v>1200816</c:v>
                </c:pt>
                <c:pt idx="346">
                  <c:v>1200817</c:v>
                </c:pt>
                <c:pt idx="347">
                  <c:v>1200818</c:v>
                </c:pt>
                <c:pt idx="348">
                  <c:v>1200819</c:v>
                </c:pt>
                <c:pt idx="349">
                  <c:v>1200820</c:v>
                </c:pt>
                <c:pt idx="350">
                  <c:v>1200821</c:v>
                </c:pt>
                <c:pt idx="351">
                  <c:v>1200823</c:v>
                </c:pt>
                <c:pt idx="352">
                  <c:v>1200824</c:v>
                </c:pt>
                <c:pt idx="353">
                  <c:v>1200825</c:v>
                </c:pt>
                <c:pt idx="354">
                  <c:v>1200826</c:v>
                </c:pt>
                <c:pt idx="355">
                  <c:v>1200827</c:v>
                </c:pt>
                <c:pt idx="356">
                  <c:v>1200828</c:v>
                </c:pt>
                <c:pt idx="357">
                  <c:v>1200830</c:v>
                </c:pt>
                <c:pt idx="358">
                  <c:v>1200831</c:v>
                </c:pt>
                <c:pt idx="359">
                  <c:v>1200901</c:v>
                </c:pt>
                <c:pt idx="360">
                  <c:v>1200902</c:v>
                </c:pt>
                <c:pt idx="361">
                  <c:v>1200903</c:v>
                </c:pt>
                <c:pt idx="362">
                  <c:v>1200904</c:v>
                </c:pt>
                <c:pt idx="363">
                  <c:v>1200906</c:v>
                </c:pt>
                <c:pt idx="364">
                  <c:v>1200907</c:v>
                </c:pt>
                <c:pt idx="365">
                  <c:v>1200908</c:v>
                </c:pt>
                <c:pt idx="366">
                  <c:v>1200909</c:v>
                </c:pt>
                <c:pt idx="367">
                  <c:v>1200910</c:v>
                </c:pt>
                <c:pt idx="368">
                  <c:v>1200911</c:v>
                </c:pt>
                <c:pt idx="369">
                  <c:v>1200913</c:v>
                </c:pt>
                <c:pt idx="370">
                  <c:v>1200914</c:v>
                </c:pt>
                <c:pt idx="371">
                  <c:v>1200915</c:v>
                </c:pt>
                <c:pt idx="372">
                  <c:v>1200916</c:v>
                </c:pt>
                <c:pt idx="373">
                  <c:v>1200917</c:v>
                </c:pt>
                <c:pt idx="374">
                  <c:v>1200918</c:v>
                </c:pt>
                <c:pt idx="375">
                  <c:v>1200920</c:v>
                </c:pt>
                <c:pt idx="376">
                  <c:v>1200921</c:v>
                </c:pt>
                <c:pt idx="377">
                  <c:v>1200922</c:v>
                </c:pt>
                <c:pt idx="378">
                  <c:v>1200923</c:v>
                </c:pt>
                <c:pt idx="379">
                  <c:v>1200924</c:v>
                </c:pt>
                <c:pt idx="380">
                  <c:v>1200925</c:v>
                </c:pt>
                <c:pt idx="381">
                  <c:v>1200927</c:v>
                </c:pt>
                <c:pt idx="382">
                  <c:v>1200928</c:v>
                </c:pt>
                <c:pt idx="383">
                  <c:v>1200929</c:v>
                </c:pt>
                <c:pt idx="384">
                  <c:v>1200930</c:v>
                </c:pt>
                <c:pt idx="385">
                  <c:v>1201001</c:v>
                </c:pt>
                <c:pt idx="386">
                  <c:v>1201002</c:v>
                </c:pt>
                <c:pt idx="387">
                  <c:v>1201004</c:v>
                </c:pt>
                <c:pt idx="388">
                  <c:v>1201005</c:v>
                </c:pt>
                <c:pt idx="389">
                  <c:v>1201006</c:v>
                </c:pt>
                <c:pt idx="390">
                  <c:v>1201007</c:v>
                </c:pt>
                <c:pt idx="391">
                  <c:v>1201008</c:v>
                </c:pt>
                <c:pt idx="392">
                  <c:v>1201009</c:v>
                </c:pt>
                <c:pt idx="393">
                  <c:v>1201011</c:v>
                </c:pt>
                <c:pt idx="394">
                  <c:v>1201012</c:v>
                </c:pt>
                <c:pt idx="395">
                  <c:v>1201013</c:v>
                </c:pt>
                <c:pt idx="396">
                  <c:v>1201014</c:v>
                </c:pt>
                <c:pt idx="397">
                  <c:v>1201015</c:v>
                </c:pt>
                <c:pt idx="398">
                  <c:v>1201016</c:v>
                </c:pt>
                <c:pt idx="399">
                  <c:v>1201018</c:v>
                </c:pt>
                <c:pt idx="400">
                  <c:v>1201019</c:v>
                </c:pt>
                <c:pt idx="401">
                  <c:v>1201020</c:v>
                </c:pt>
                <c:pt idx="402">
                  <c:v>1201021</c:v>
                </c:pt>
                <c:pt idx="403">
                  <c:v>1201022</c:v>
                </c:pt>
                <c:pt idx="404">
                  <c:v>1201023</c:v>
                </c:pt>
                <c:pt idx="405">
                  <c:v>1201025</c:v>
                </c:pt>
                <c:pt idx="406">
                  <c:v>1201026</c:v>
                </c:pt>
                <c:pt idx="407">
                  <c:v>1201027</c:v>
                </c:pt>
                <c:pt idx="408">
                  <c:v>1201028</c:v>
                </c:pt>
                <c:pt idx="409">
                  <c:v>1201029</c:v>
                </c:pt>
                <c:pt idx="410">
                  <c:v>1201030</c:v>
                </c:pt>
                <c:pt idx="411">
                  <c:v>1201101</c:v>
                </c:pt>
                <c:pt idx="412">
                  <c:v>1201102</c:v>
                </c:pt>
                <c:pt idx="413">
                  <c:v>1201103</c:v>
                </c:pt>
                <c:pt idx="414">
                  <c:v>1201104</c:v>
                </c:pt>
                <c:pt idx="415">
                  <c:v>1201105</c:v>
                </c:pt>
                <c:pt idx="416">
                  <c:v>1201106</c:v>
                </c:pt>
                <c:pt idx="417">
                  <c:v>1201108</c:v>
                </c:pt>
                <c:pt idx="418">
                  <c:v>1201109</c:v>
                </c:pt>
                <c:pt idx="419">
                  <c:v>1201110</c:v>
                </c:pt>
                <c:pt idx="420">
                  <c:v>1201111</c:v>
                </c:pt>
                <c:pt idx="421">
                  <c:v>1201112</c:v>
                </c:pt>
                <c:pt idx="422">
                  <c:v>1201113</c:v>
                </c:pt>
                <c:pt idx="423">
                  <c:v>1201115</c:v>
                </c:pt>
                <c:pt idx="424">
                  <c:v>1201116</c:v>
                </c:pt>
                <c:pt idx="425">
                  <c:v>1201117</c:v>
                </c:pt>
                <c:pt idx="426">
                  <c:v>1201118</c:v>
                </c:pt>
                <c:pt idx="427">
                  <c:v>1201119</c:v>
                </c:pt>
                <c:pt idx="428">
                  <c:v>1201120</c:v>
                </c:pt>
                <c:pt idx="429">
                  <c:v>1201122</c:v>
                </c:pt>
                <c:pt idx="430">
                  <c:v>1201123</c:v>
                </c:pt>
                <c:pt idx="431">
                  <c:v>1201124</c:v>
                </c:pt>
                <c:pt idx="432">
                  <c:v>1201125</c:v>
                </c:pt>
                <c:pt idx="433">
                  <c:v>1201126</c:v>
                </c:pt>
                <c:pt idx="434">
                  <c:v>1201127</c:v>
                </c:pt>
                <c:pt idx="435">
                  <c:v>1201129</c:v>
                </c:pt>
                <c:pt idx="436">
                  <c:v>1201130</c:v>
                </c:pt>
                <c:pt idx="437">
                  <c:v>1201201</c:v>
                </c:pt>
                <c:pt idx="438">
                  <c:v>1201202</c:v>
                </c:pt>
                <c:pt idx="439">
                  <c:v>1201203</c:v>
                </c:pt>
                <c:pt idx="440">
                  <c:v>1201204</c:v>
                </c:pt>
                <c:pt idx="441">
                  <c:v>1201206</c:v>
                </c:pt>
                <c:pt idx="442">
                  <c:v>1201207</c:v>
                </c:pt>
                <c:pt idx="443">
                  <c:v>1201208</c:v>
                </c:pt>
                <c:pt idx="444">
                  <c:v>1201209</c:v>
                </c:pt>
                <c:pt idx="445">
                  <c:v>1201210</c:v>
                </c:pt>
                <c:pt idx="446">
                  <c:v>1201211</c:v>
                </c:pt>
                <c:pt idx="447">
                  <c:v>1201213</c:v>
                </c:pt>
                <c:pt idx="448">
                  <c:v>1201214</c:v>
                </c:pt>
                <c:pt idx="449">
                  <c:v>1201215</c:v>
                </c:pt>
                <c:pt idx="450">
                  <c:v>1201216</c:v>
                </c:pt>
                <c:pt idx="451">
                  <c:v>1201217</c:v>
                </c:pt>
                <c:pt idx="452">
                  <c:v>1201218</c:v>
                </c:pt>
                <c:pt idx="453">
                  <c:v>1201220</c:v>
                </c:pt>
                <c:pt idx="454">
                  <c:v>1201221</c:v>
                </c:pt>
                <c:pt idx="455">
                  <c:v>1201222</c:v>
                </c:pt>
                <c:pt idx="456">
                  <c:v>1201223</c:v>
                </c:pt>
                <c:pt idx="457">
                  <c:v>1201224</c:v>
                </c:pt>
                <c:pt idx="458">
                  <c:v>1201227</c:v>
                </c:pt>
                <c:pt idx="459">
                  <c:v>1201228</c:v>
                </c:pt>
                <c:pt idx="460">
                  <c:v>1201229</c:v>
                </c:pt>
                <c:pt idx="461">
                  <c:v>1201230</c:v>
                </c:pt>
                <c:pt idx="462">
                  <c:v>1201231</c:v>
                </c:pt>
                <c:pt idx="463">
                  <c:v>1210103</c:v>
                </c:pt>
                <c:pt idx="464">
                  <c:v>1210104</c:v>
                </c:pt>
                <c:pt idx="465">
                  <c:v>1210105</c:v>
                </c:pt>
                <c:pt idx="466">
                  <c:v>1210106</c:v>
                </c:pt>
                <c:pt idx="467">
                  <c:v>1210107</c:v>
                </c:pt>
                <c:pt idx="468">
                  <c:v>1210108</c:v>
                </c:pt>
                <c:pt idx="469">
                  <c:v>1210110</c:v>
                </c:pt>
                <c:pt idx="470">
                  <c:v>1210111</c:v>
                </c:pt>
                <c:pt idx="471">
                  <c:v>1210112</c:v>
                </c:pt>
                <c:pt idx="472">
                  <c:v>1210113</c:v>
                </c:pt>
                <c:pt idx="473">
                  <c:v>1210114</c:v>
                </c:pt>
                <c:pt idx="474">
                  <c:v>1210115</c:v>
                </c:pt>
                <c:pt idx="475">
                  <c:v>1210117</c:v>
                </c:pt>
                <c:pt idx="476">
                  <c:v>1210118</c:v>
                </c:pt>
                <c:pt idx="477">
                  <c:v>1210119</c:v>
                </c:pt>
                <c:pt idx="478">
                  <c:v>1210120</c:v>
                </c:pt>
                <c:pt idx="479">
                  <c:v>1210121</c:v>
                </c:pt>
                <c:pt idx="480">
                  <c:v>1210122</c:v>
                </c:pt>
                <c:pt idx="481">
                  <c:v>1210124</c:v>
                </c:pt>
                <c:pt idx="482">
                  <c:v>1210125</c:v>
                </c:pt>
                <c:pt idx="483">
                  <c:v>1210126</c:v>
                </c:pt>
                <c:pt idx="484">
                  <c:v>1210127</c:v>
                </c:pt>
                <c:pt idx="485">
                  <c:v>1210128</c:v>
                </c:pt>
                <c:pt idx="486">
                  <c:v>1210129</c:v>
                </c:pt>
                <c:pt idx="487">
                  <c:v>1210131</c:v>
                </c:pt>
                <c:pt idx="488">
                  <c:v>1210201</c:v>
                </c:pt>
                <c:pt idx="489">
                  <c:v>1210202</c:v>
                </c:pt>
                <c:pt idx="490">
                  <c:v>1210203</c:v>
                </c:pt>
                <c:pt idx="491">
                  <c:v>1210204</c:v>
                </c:pt>
                <c:pt idx="492">
                  <c:v>1210205</c:v>
                </c:pt>
                <c:pt idx="493">
                  <c:v>1210207</c:v>
                </c:pt>
                <c:pt idx="494">
                  <c:v>1210208</c:v>
                </c:pt>
                <c:pt idx="495">
                  <c:v>1210209</c:v>
                </c:pt>
                <c:pt idx="496">
                  <c:v>1210210</c:v>
                </c:pt>
                <c:pt idx="497">
                  <c:v>1210211</c:v>
                </c:pt>
                <c:pt idx="498">
                  <c:v>1210212</c:v>
                </c:pt>
                <c:pt idx="499">
                  <c:v>1210214</c:v>
                </c:pt>
                <c:pt idx="500">
                  <c:v>1210215</c:v>
                </c:pt>
                <c:pt idx="501">
                  <c:v>1210216</c:v>
                </c:pt>
                <c:pt idx="502">
                  <c:v>1210217</c:v>
                </c:pt>
                <c:pt idx="503">
                  <c:v>1210218</c:v>
                </c:pt>
                <c:pt idx="504">
                  <c:v>1210219</c:v>
                </c:pt>
                <c:pt idx="505">
                  <c:v>1210221</c:v>
                </c:pt>
                <c:pt idx="506">
                  <c:v>1210222</c:v>
                </c:pt>
                <c:pt idx="507">
                  <c:v>1210223</c:v>
                </c:pt>
                <c:pt idx="508">
                  <c:v>1210224</c:v>
                </c:pt>
                <c:pt idx="509">
                  <c:v>1210225</c:v>
                </c:pt>
                <c:pt idx="510">
                  <c:v>1210226</c:v>
                </c:pt>
                <c:pt idx="511">
                  <c:v>1210228</c:v>
                </c:pt>
                <c:pt idx="512">
                  <c:v>1210301</c:v>
                </c:pt>
                <c:pt idx="513">
                  <c:v>1210302</c:v>
                </c:pt>
                <c:pt idx="514">
                  <c:v>1210303</c:v>
                </c:pt>
                <c:pt idx="515">
                  <c:v>1210304</c:v>
                </c:pt>
                <c:pt idx="516">
                  <c:v>1210305</c:v>
                </c:pt>
                <c:pt idx="517">
                  <c:v>1210307</c:v>
                </c:pt>
                <c:pt idx="518">
                  <c:v>1210308</c:v>
                </c:pt>
                <c:pt idx="519">
                  <c:v>1210309</c:v>
                </c:pt>
                <c:pt idx="520">
                  <c:v>1210310</c:v>
                </c:pt>
                <c:pt idx="521">
                  <c:v>1210311</c:v>
                </c:pt>
                <c:pt idx="522">
                  <c:v>1210312</c:v>
                </c:pt>
                <c:pt idx="523">
                  <c:v>1210314</c:v>
                </c:pt>
                <c:pt idx="524">
                  <c:v>1210315</c:v>
                </c:pt>
                <c:pt idx="525">
                  <c:v>1210316</c:v>
                </c:pt>
                <c:pt idx="526">
                  <c:v>1210317</c:v>
                </c:pt>
                <c:pt idx="527">
                  <c:v>1210318</c:v>
                </c:pt>
                <c:pt idx="528">
                  <c:v>1210319</c:v>
                </c:pt>
                <c:pt idx="529">
                  <c:v>1210321</c:v>
                </c:pt>
                <c:pt idx="530">
                  <c:v>1210322</c:v>
                </c:pt>
                <c:pt idx="531">
                  <c:v>1210323</c:v>
                </c:pt>
                <c:pt idx="532">
                  <c:v>1210324</c:v>
                </c:pt>
                <c:pt idx="533">
                  <c:v>1210325</c:v>
                </c:pt>
                <c:pt idx="534">
                  <c:v>1210326</c:v>
                </c:pt>
                <c:pt idx="535">
                  <c:v>1210328</c:v>
                </c:pt>
                <c:pt idx="536">
                  <c:v>1210329</c:v>
                </c:pt>
                <c:pt idx="537">
                  <c:v>1210330</c:v>
                </c:pt>
                <c:pt idx="538">
                  <c:v>1210331</c:v>
                </c:pt>
                <c:pt idx="539">
                  <c:v>1210401</c:v>
                </c:pt>
                <c:pt idx="540">
                  <c:v>1210402</c:v>
                </c:pt>
                <c:pt idx="541">
                  <c:v>1210404</c:v>
                </c:pt>
                <c:pt idx="542">
                  <c:v>1210405</c:v>
                </c:pt>
                <c:pt idx="543">
                  <c:v>1210406</c:v>
                </c:pt>
                <c:pt idx="544">
                  <c:v>1210407</c:v>
                </c:pt>
                <c:pt idx="545">
                  <c:v>1210408</c:v>
                </c:pt>
                <c:pt idx="546">
                  <c:v>1210409</c:v>
                </c:pt>
                <c:pt idx="547">
                  <c:v>1210411</c:v>
                </c:pt>
                <c:pt idx="548">
                  <c:v>1210412</c:v>
                </c:pt>
                <c:pt idx="549">
                  <c:v>1210413</c:v>
                </c:pt>
                <c:pt idx="550">
                  <c:v>1210414</c:v>
                </c:pt>
                <c:pt idx="551">
                  <c:v>1210415</c:v>
                </c:pt>
                <c:pt idx="552">
                  <c:v>1210416</c:v>
                </c:pt>
                <c:pt idx="553">
                  <c:v>1210418</c:v>
                </c:pt>
                <c:pt idx="554">
                  <c:v>1210419</c:v>
                </c:pt>
                <c:pt idx="555">
                  <c:v>1210420</c:v>
                </c:pt>
                <c:pt idx="556">
                  <c:v>1210421</c:v>
                </c:pt>
                <c:pt idx="557">
                  <c:v>1210422</c:v>
                </c:pt>
                <c:pt idx="558">
                  <c:v>1210423</c:v>
                </c:pt>
                <c:pt idx="559">
                  <c:v>1210425</c:v>
                </c:pt>
                <c:pt idx="560">
                  <c:v>1210426</c:v>
                </c:pt>
                <c:pt idx="561">
                  <c:v>1210427</c:v>
                </c:pt>
                <c:pt idx="562">
                  <c:v>1210428</c:v>
                </c:pt>
                <c:pt idx="563">
                  <c:v>1210429</c:v>
                </c:pt>
                <c:pt idx="564">
                  <c:v>1210430</c:v>
                </c:pt>
                <c:pt idx="565">
                  <c:v>1210502</c:v>
                </c:pt>
                <c:pt idx="566">
                  <c:v>1210503</c:v>
                </c:pt>
                <c:pt idx="567">
                  <c:v>1210504</c:v>
                </c:pt>
                <c:pt idx="568">
                  <c:v>1210505</c:v>
                </c:pt>
                <c:pt idx="569">
                  <c:v>1210506</c:v>
                </c:pt>
                <c:pt idx="570">
                  <c:v>1210507</c:v>
                </c:pt>
                <c:pt idx="571">
                  <c:v>1210509</c:v>
                </c:pt>
                <c:pt idx="572">
                  <c:v>1210510</c:v>
                </c:pt>
                <c:pt idx="573">
                  <c:v>1210511</c:v>
                </c:pt>
                <c:pt idx="574">
                  <c:v>1210512</c:v>
                </c:pt>
                <c:pt idx="575">
                  <c:v>1210513</c:v>
                </c:pt>
                <c:pt idx="576">
                  <c:v>1210514</c:v>
                </c:pt>
                <c:pt idx="577">
                  <c:v>1210516</c:v>
                </c:pt>
                <c:pt idx="578">
                  <c:v>1210517</c:v>
                </c:pt>
                <c:pt idx="579">
                  <c:v>1210518</c:v>
                </c:pt>
                <c:pt idx="580">
                  <c:v>1210519</c:v>
                </c:pt>
                <c:pt idx="581">
                  <c:v>1210520</c:v>
                </c:pt>
                <c:pt idx="582">
                  <c:v>1210521</c:v>
                </c:pt>
                <c:pt idx="583">
                  <c:v>1210523</c:v>
                </c:pt>
                <c:pt idx="584">
                  <c:v>1210524</c:v>
                </c:pt>
                <c:pt idx="585">
                  <c:v>1210525</c:v>
                </c:pt>
                <c:pt idx="586">
                  <c:v>1210526</c:v>
                </c:pt>
                <c:pt idx="587">
                  <c:v>1210527</c:v>
                </c:pt>
                <c:pt idx="588">
                  <c:v>1210528</c:v>
                </c:pt>
                <c:pt idx="589">
                  <c:v>1210530</c:v>
                </c:pt>
                <c:pt idx="590">
                  <c:v>1210531</c:v>
                </c:pt>
                <c:pt idx="591">
                  <c:v>1210601</c:v>
                </c:pt>
                <c:pt idx="592">
                  <c:v>1210602</c:v>
                </c:pt>
                <c:pt idx="593">
                  <c:v>1210603</c:v>
                </c:pt>
                <c:pt idx="594">
                  <c:v>1210604</c:v>
                </c:pt>
                <c:pt idx="595">
                  <c:v>1210606</c:v>
                </c:pt>
                <c:pt idx="596">
                  <c:v>1210607</c:v>
                </c:pt>
                <c:pt idx="597">
                  <c:v>1210608</c:v>
                </c:pt>
                <c:pt idx="598">
                  <c:v>1210609</c:v>
                </c:pt>
                <c:pt idx="599">
                  <c:v>1210610</c:v>
                </c:pt>
                <c:pt idx="600">
                  <c:v>1210611</c:v>
                </c:pt>
                <c:pt idx="601">
                  <c:v>1210613</c:v>
                </c:pt>
                <c:pt idx="602">
                  <c:v>1210614</c:v>
                </c:pt>
                <c:pt idx="603">
                  <c:v>1210615</c:v>
                </c:pt>
                <c:pt idx="604">
                  <c:v>1210616</c:v>
                </c:pt>
                <c:pt idx="605">
                  <c:v>1210617</c:v>
                </c:pt>
                <c:pt idx="606">
                  <c:v>1210618</c:v>
                </c:pt>
                <c:pt idx="607">
                  <c:v>1210620</c:v>
                </c:pt>
                <c:pt idx="608">
                  <c:v>1210621</c:v>
                </c:pt>
                <c:pt idx="609">
                  <c:v>1210622</c:v>
                </c:pt>
                <c:pt idx="610">
                  <c:v>1210623</c:v>
                </c:pt>
                <c:pt idx="611">
                  <c:v>1210624</c:v>
                </c:pt>
                <c:pt idx="612">
                  <c:v>1210625</c:v>
                </c:pt>
                <c:pt idx="613">
                  <c:v>1210627</c:v>
                </c:pt>
                <c:pt idx="614">
                  <c:v>1210628</c:v>
                </c:pt>
                <c:pt idx="615">
                  <c:v>1210629</c:v>
                </c:pt>
                <c:pt idx="616">
                  <c:v>1210630</c:v>
                </c:pt>
                <c:pt idx="617">
                  <c:v>1210701</c:v>
                </c:pt>
                <c:pt idx="618">
                  <c:v>1210702</c:v>
                </c:pt>
                <c:pt idx="619">
                  <c:v>1210704</c:v>
                </c:pt>
                <c:pt idx="620">
                  <c:v>1210705</c:v>
                </c:pt>
                <c:pt idx="621">
                  <c:v>1210706</c:v>
                </c:pt>
                <c:pt idx="622">
                  <c:v>1210707</c:v>
                </c:pt>
                <c:pt idx="623">
                  <c:v>1210708</c:v>
                </c:pt>
                <c:pt idx="624">
                  <c:v>1210709</c:v>
                </c:pt>
                <c:pt idx="625">
                  <c:v>1210711</c:v>
                </c:pt>
                <c:pt idx="626">
                  <c:v>1210712</c:v>
                </c:pt>
                <c:pt idx="627">
                  <c:v>1210713</c:v>
                </c:pt>
                <c:pt idx="628">
                  <c:v>1210714</c:v>
                </c:pt>
                <c:pt idx="629">
                  <c:v>1210715</c:v>
                </c:pt>
                <c:pt idx="630">
                  <c:v>1210716</c:v>
                </c:pt>
                <c:pt idx="631">
                  <c:v>1210718</c:v>
                </c:pt>
                <c:pt idx="632">
                  <c:v>1210719</c:v>
                </c:pt>
                <c:pt idx="633">
                  <c:v>1210720</c:v>
                </c:pt>
                <c:pt idx="634">
                  <c:v>1210721</c:v>
                </c:pt>
                <c:pt idx="635">
                  <c:v>1210722</c:v>
                </c:pt>
                <c:pt idx="636">
                  <c:v>1210723</c:v>
                </c:pt>
                <c:pt idx="637">
                  <c:v>1210725</c:v>
                </c:pt>
                <c:pt idx="638">
                  <c:v>1210726</c:v>
                </c:pt>
                <c:pt idx="639">
                  <c:v>1210727</c:v>
                </c:pt>
                <c:pt idx="640">
                  <c:v>1210728</c:v>
                </c:pt>
                <c:pt idx="641">
                  <c:v>1210729</c:v>
                </c:pt>
                <c:pt idx="642">
                  <c:v>1210730</c:v>
                </c:pt>
                <c:pt idx="643">
                  <c:v>1210801</c:v>
                </c:pt>
                <c:pt idx="644">
                  <c:v>1210802</c:v>
                </c:pt>
                <c:pt idx="645">
                  <c:v>1210803</c:v>
                </c:pt>
                <c:pt idx="646">
                  <c:v>1210804</c:v>
                </c:pt>
                <c:pt idx="647">
                  <c:v>1210805</c:v>
                </c:pt>
                <c:pt idx="648">
                  <c:v>1210806</c:v>
                </c:pt>
                <c:pt idx="649">
                  <c:v>1210808</c:v>
                </c:pt>
                <c:pt idx="650">
                  <c:v>1210809</c:v>
                </c:pt>
                <c:pt idx="651">
                  <c:v>1210810</c:v>
                </c:pt>
                <c:pt idx="652">
                  <c:v>1210811</c:v>
                </c:pt>
                <c:pt idx="653">
                  <c:v>1210812</c:v>
                </c:pt>
                <c:pt idx="654">
                  <c:v>1210813</c:v>
                </c:pt>
                <c:pt idx="655">
                  <c:v>1210815</c:v>
                </c:pt>
                <c:pt idx="656">
                  <c:v>1210816</c:v>
                </c:pt>
                <c:pt idx="657">
                  <c:v>1210817</c:v>
                </c:pt>
                <c:pt idx="658">
                  <c:v>1210818</c:v>
                </c:pt>
                <c:pt idx="659">
                  <c:v>1210819</c:v>
                </c:pt>
                <c:pt idx="660">
                  <c:v>1210820</c:v>
                </c:pt>
                <c:pt idx="661">
                  <c:v>1210822</c:v>
                </c:pt>
                <c:pt idx="662">
                  <c:v>1210823</c:v>
                </c:pt>
                <c:pt idx="663">
                  <c:v>1210824</c:v>
                </c:pt>
                <c:pt idx="664">
                  <c:v>1210825</c:v>
                </c:pt>
                <c:pt idx="665">
                  <c:v>1210826</c:v>
                </c:pt>
                <c:pt idx="666">
                  <c:v>1210827</c:v>
                </c:pt>
                <c:pt idx="667">
                  <c:v>1210829</c:v>
                </c:pt>
                <c:pt idx="668">
                  <c:v>1210830</c:v>
                </c:pt>
                <c:pt idx="669">
                  <c:v>1210831</c:v>
                </c:pt>
                <c:pt idx="670">
                  <c:v>1210901</c:v>
                </c:pt>
                <c:pt idx="671">
                  <c:v>1210902</c:v>
                </c:pt>
                <c:pt idx="672">
                  <c:v>1210903</c:v>
                </c:pt>
                <c:pt idx="673">
                  <c:v>1210905</c:v>
                </c:pt>
                <c:pt idx="674">
                  <c:v>1210906</c:v>
                </c:pt>
                <c:pt idx="675">
                  <c:v>1210907</c:v>
                </c:pt>
                <c:pt idx="676">
                  <c:v>1210908</c:v>
                </c:pt>
                <c:pt idx="677">
                  <c:v>1210909</c:v>
                </c:pt>
                <c:pt idx="678">
                  <c:v>1210910</c:v>
                </c:pt>
                <c:pt idx="679">
                  <c:v>1210912</c:v>
                </c:pt>
                <c:pt idx="680">
                  <c:v>1210913</c:v>
                </c:pt>
                <c:pt idx="681">
                  <c:v>1210914</c:v>
                </c:pt>
                <c:pt idx="682">
                  <c:v>1210915</c:v>
                </c:pt>
                <c:pt idx="683">
                  <c:v>1210916</c:v>
                </c:pt>
                <c:pt idx="684">
                  <c:v>1210917</c:v>
                </c:pt>
                <c:pt idx="685">
                  <c:v>1210919</c:v>
                </c:pt>
                <c:pt idx="686">
                  <c:v>1210920</c:v>
                </c:pt>
                <c:pt idx="687">
                  <c:v>1210921</c:v>
                </c:pt>
                <c:pt idx="688">
                  <c:v>1210922</c:v>
                </c:pt>
                <c:pt idx="689">
                  <c:v>1210923</c:v>
                </c:pt>
                <c:pt idx="690">
                  <c:v>1210924</c:v>
                </c:pt>
                <c:pt idx="691">
                  <c:v>1210926</c:v>
                </c:pt>
                <c:pt idx="692">
                  <c:v>1210927</c:v>
                </c:pt>
                <c:pt idx="693">
                  <c:v>1210928</c:v>
                </c:pt>
                <c:pt idx="694">
                  <c:v>1210929</c:v>
                </c:pt>
                <c:pt idx="695">
                  <c:v>1210930</c:v>
                </c:pt>
                <c:pt idx="696">
                  <c:v>1211001</c:v>
                </c:pt>
                <c:pt idx="697">
                  <c:v>1211003</c:v>
                </c:pt>
                <c:pt idx="698">
                  <c:v>1211004</c:v>
                </c:pt>
                <c:pt idx="699">
                  <c:v>1211005</c:v>
                </c:pt>
                <c:pt idx="700">
                  <c:v>1211006</c:v>
                </c:pt>
                <c:pt idx="701">
                  <c:v>1211007</c:v>
                </c:pt>
                <c:pt idx="702">
                  <c:v>1211008</c:v>
                </c:pt>
                <c:pt idx="703">
                  <c:v>1211010</c:v>
                </c:pt>
                <c:pt idx="704">
                  <c:v>1211011</c:v>
                </c:pt>
                <c:pt idx="705">
                  <c:v>1211012</c:v>
                </c:pt>
                <c:pt idx="706">
                  <c:v>1211013</c:v>
                </c:pt>
                <c:pt idx="707">
                  <c:v>1211014</c:v>
                </c:pt>
                <c:pt idx="708">
                  <c:v>1211015</c:v>
                </c:pt>
                <c:pt idx="709">
                  <c:v>1211017</c:v>
                </c:pt>
                <c:pt idx="710">
                  <c:v>1211018</c:v>
                </c:pt>
                <c:pt idx="711">
                  <c:v>1211019</c:v>
                </c:pt>
                <c:pt idx="712">
                  <c:v>1211020</c:v>
                </c:pt>
                <c:pt idx="713">
                  <c:v>1211021</c:v>
                </c:pt>
                <c:pt idx="714">
                  <c:v>1211022</c:v>
                </c:pt>
                <c:pt idx="715">
                  <c:v>1211024</c:v>
                </c:pt>
                <c:pt idx="716">
                  <c:v>1211025</c:v>
                </c:pt>
                <c:pt idx="717">
                  <c:v>1211026</c:v>
                </c:pt>
                <c:pt idx="718">
                  <c:v>1211027</c:v>
                </c:pt>
                <c:pt idx="719">
                  <c:v>1211028</c:v>
                </c:pt>
                <c:pt idx="720">
                  <c:v>1211029</c:v>
                </c:pt>
                <c:pt idx="721">
                  <c:v>1211031</c:v>
                </c:pt>
                <c:pt idx="722">
                  <c:v>1211101</c:v>
                </c:pt>
                <c:pt idx="723">
                  <c:v>1211102</c:v>
                </c:pt>
                <c:pt idx="724">
                  <c:v>1211103</c:v>
                </c:pt>
                <c:pt idx="725">
                  <c:v>1211104</c:v>
                </c:pt>
                <c:pt idx="726">
                  <c:v>1211105</c:v>
                </c:pt>
                <c:pt idx="727">
                  <c:v>1211107</c:v>
                </c:pt>
                <c:pt idx="728">
                  <c:v>1211108</c:v>
                </c:pt>
                <c:pt idx="729">
                  <c:v>1211109</c:v>
                </c:pt>
                <c:pt idx="730">
                  <c:v>1211110</c:v>
                </c:pt>
                <c:pt idx="731">
                  <c:v>1211111</c:v>
                </c:pt>
                <c:pt idx="732">
                  <c:v>1211112</c:v>
                </c:pt>
                <c:pt idx="733">
                  <c:v>1211114</c:v>
                </c:pt>
                <c:pt idx="734">
                  <c:v>1211115</c:v>
                </c:pt>
                <c:pt idx="735">
                  <c:v>1211116</c:v>
                </c:pt>
                <c:pt idx="736">
                  <c:v>1211117</c:v>
                </c:pt>
                <c:pt idx="737">
                  <c:v>1211118</c:v>
                </c:pt>
                <c:pt idx="738">
                  <c:v>1211119</c:v>
                </c:pt>
                <c:pt idx="739">
                  <c:v>1211121</c:v>
                </c:pt>
                <c:pt idx="740">
                  <c:v>1211122</c:v>
                </c:pt>
                <c:pt idx="741">
                  <c:v>1211123</c:v>
                </c:pt>
                <c:pt idx="742">
                  <c:v>1211124</c:v>
                </c:pt>
                <c:pt idx="743">
                  <c:v>1211125</c:v>
                </c:pt>
                <c:pt idx="744">
                  <c:v>1211126</c:v>
                </c:pt>
                <c:pt idx="745">
                  <c:v>1211128</c:v>
                </c:pt>
                <c:pt idx="746">
                  <c:v>1211129</c:v>
                </c:pt>
                <c:pt idx="747">
                  <c:v>1211130</c:v>
                </c:pt>
                <c:pt idx="748">
                  <c:v>1211201</c:v>
                </c:pt>
                <c:pt idx="749">
                  <c:v>1211202</c:v>
                </c:pt>
                <c:pt idx="750">
                  <c:v>1211203</c:v>
                </c:pt>
                <c:pt idx="751">
                  <c:v>1211205</c:v>
                </c:pt>
                <c:pt idx="752">
                  <c:v>1211206</c:v>
                </c:pt>
                <c:pt idx="753">
                  <c:v>1211207</c:v>
                </c:pt>
                <c:pt idx="754">
                  <c:v>1211208</c:v>
                </c:pt>
                <c:pt idx="755">
                  <c:v>1211209</c:v>
                </c:pt>
                <c:pt idx="756">
                  <c:v>1211210</c:v>
                </c:pt>
                <c:pt idx="757">
                  <c:v>1211212</c:v>
                </c:pt>
                <c:pt idx="758">
                  <c:v>1211213</c:v>
                </c:pt>
                <c:pt idx="759">
                  <c:v>1211214</c:v>
                </c:pt>
                <c:pt idx="760">
                  <c:v>1211215</c:v>
                </c:pt>
                <c:pt idx="761">
                  <c:v>1211216</c:v>
                </c:pt>
                <c:pt idx="762">
                  <c:v>1211217</c:v>
                </c:pt>
                <c:pt idx="763">
                  <c:v>1211219</c:v>
                </c:pt>
                <c:pt idx="764">
                  <c:v>1211220</c:v>
                </c:pt>
                <c:pt idx="765">
                  <c:v>1211221</c:v>
                </c:pt>
                <c:pt idx="766">
                  <c:v>1211222</c:v>
                </c:pt>
                <c:pt idx="767">
                  <c:v>1211223</c:v>
                </c:pt>
                <c:pt idx="768">
                  <c:v>1211226</c:v>
                </c:pt>
                <c:pt idx="769">
                  <c:v>1211227</c:v>
                </c:pt>
                <c:pt idx="770">
                  <c:v>1211228</c:v>
                </c:pt>
                <c:pt idx="771">
                  <c:v>1211229</c:v>
                </c:pt>
                <c:pt idx="772">
                  <c:v>1211230</c:v>
                </c:pt>
                <c:pt idx="773">
                  <c:v>1211231</c:v>
                </c:pt>
                <c:pt idx="774">
                  <c:v>1220102</c:v>
                </c:pt>
                <c:pt idx="775">
                  <c:v>1220103</c:v>
                </c:pt>
                <c:pt idx="776">
                  <c:v>1220104</c:v>
                </c:pt>
                <c:pt idx="777">
                  <c:v>1220105</c:v>
                </c:pt>
                <c:pt idx="778">
                  <c:v>1220106</c:v>
                </c:pt>
                <c:pt idx="779">
                  <c:v>1220107</c:v>
                </c:pt>
                <c:pt idx="780">
                  <c:v>1220109</c:v>
                </c:pt>
                <c:pt idx="781">
                  <c:v>1220110</c:v>
                </c:pt>
                <c:pt idx="782">
                  <c:v>1220111</c:v>
                </c:pt>
                <c:pt idx="783">
                  <c:v>1220112</c:v>
                </c:pt>
                <c:pt idx="784">
                  <c:v>1220113</c:v>
                </c:pt>
                <c:pt idx="785">
                  <c:v>1220114</c:v>
                </c:pt>
                <c:pt idx="786">
                  <c:v>1220116</c:v>
                </c:pt>
                <c:pt idx="787">
                  <c:v>1220117</c:v>
                </c:pt>
                <c:pt idx="788">
                  <c:v>1220118</c:v>
                </c:pt>
                <c:pt idx="789">
                  <c:v>1220119</c:v>
                </c:pt>
                <c:pt idx="790">
                  <c:v>1220120</c:v>
                </c:pt>
                <c:pt idx="791">
                  <c:v>1220121</c:v>
                </c:pt>
                <c:pt idx="792">
                  <c:v>1220123</c:v>
                </c:pt>
                <c:pt idx="793">
                  <c:v>1220124</c:v>
                </c:pt>
                <c:pt idx="794">
                  <c:v>1220125</c:v>
                </c:pt>
                <c:pt idx="795">
                  <c:v>1220126</c:v>
                </c:pt>
                <c:pt idx="796">
                  <c:v>1220127</c:v>
                </c:pt>
                <c:pt idx="797">
                  <c:v>1220128</c:v>
                </c:pt>
                <c:pt idx="798">
                  <c:v>1220130</c:v>
                </c:pt>
                <c:pt idx="799">
                  <c:v>1220131</c:v>
                </c:pt>
                <c:pt idx="800">
                  <c:v>1220201</c:v>
                </c:pt>
                <c:pt idx="801">
                  <c:v>1220202</c:v>
                </c:pt>
                <c:pt idx="802">
                  <c:v>1220203</c:v>
                </c:pt>
                <c:pt idx="803">
                  <c:v>1220204</c:v>
                </c:pt>
                <c:pt idx="804">
                  <c:v>1220206</c:v>
                </c:pt>
                <c:pt idx="805">
                  <c:v>1220207</c:v>
                </c:pt>
                <c:pt idx="806">
                  <c:v>1220208</c:v>
                </c:pt>
                <c:pt idx="807">
                  <c:v>1220209</c:v>
                </c:pt>
                <c:pt idx="808">
                  <c:v>1220210</c:v>
                </c:pt>
                <c:pt idx="809">
                  <c:v>1220211</c:v>
                </c:pt>
                <c:pt idx="810">
                  <c:v>1220213</c:v>
                </c:pt>
                <c:pt idx="811">
                  <c:v>1220214</c:v>
                </c:pt>
                <c:pt idx="812">
                  <c:v>1220215</c:v>
                </c:pt>
                <c:pt idx="813">
                  <c:v>1220216</c:v>
                </c:pt>
                <c:pt idx="814">
                  <c:v>1220217</c:v>
                </c:pt>
                <c:pt idx="815">
                  <c:v>1220218</c:v>
                </c:pt>
                <c:pt idx="816">
                  <c:v>1220220</c:v>
                </c:pt>
                <c:pt idx="817">
                  <c:v>1220221</c:v>
                </c:pt>
                <c:pt idx="818">
                  <c:v>1220222</c:v>
                </c:pt>
                <c:pt idx="819">
                  <c:v>1220223</c:v>
                </c:pt>
                <c:pt idx="820">
                  <c:v>1220224</c:v>
                </c:pt>
                <c:pt idx="821">
                  <c:v>1220225</c:v>
                </c:pt>
                <c:pt idx="822">
                  <c:v>1220227</c:v>
                </c:pt>
                <c:pt idx="823">
                  <c:v>1220228</c:v>
                </c:pt>
                <c:pt idx="824">
                  <c:v>1220301</c:v>
                </c:pt>
                <c:pt idx="825">
                  <c:v>1220302</c:v>
                </c:pt>
                <c:pt idx="826">
                  <c:v>1220303</c:v>
                </c:pt>
                <c:pt idx="827">
                  <c:v>1220304</c:v>
                </c:pt>
                <c:pt idx="828">
                  <c:v>1220306</c:v>
                </c:pt>
                <c:pt idx="829">
                  <c:v>1220307</c:v>
                </c:pt>
                <c:pt idx="830">
                  <c:v>1220308</c:v>
                </c:pt>
                <c:pt idx="831">
                  <c:v>1220309</c:v>
                </c:pt>
                <c:pt idx="832">
                  <c:v>1220310</c:v>
                </c:pt>
                <c:pt idx="833">
                  <c:v>1220311</c:v>
                </c:pt>
                <c:pt idx="834">
                  <c:v>1220313</c:v>
                </c:pt>
                <c:pt idx="835">
                  <c:v>1220314</c:v>
                </c:pt>
                <c:pt idx="836">
                  <c:v>1220315</c:v>
                </c:pt>
                <c:pt idx="837">
                  <c:v>1220316</c:v>
                </c:pt>
                <c:pt idx="838">
                  <c:v>1220317</c:v>
                </c:pt>
                <c:pt idx="839">
                  <c:v>1220318</c:v>
                </c:pt>
                <c:pt idx="840">
                  <c:v>1220320</c:v>
                </c:pt>
                <c:pt idx="841">
                  <c:v>1220321</c:v>
                </c:pt>
                <c:pt idx="842">
                  <c:v>1220322</c:v>
                </c:pt>
                <c:pt idx="843">
                  <c:v>1220323</c:v>
                </c:pt>
                <c:pt idx="844">
                  <c:v>1220324</c:v>
                </c:pt>
                <c:pt idx="845">
                  <c:v>1220325</c:v>
                </c:pt>
                <c:pt idx="846">
                  <c:v>1220327</c:v>
                </c:pt>
                <c:pt idx="847">
                  <c:v>1220328</c:v>
                </c:pt>
                <c:pt idx="848">
                  <c:v>1220329</c:v>
                </c:pt>
                <c:pt idx="849">
                  <c:v>1220330</c:v>
                </c:pt>
                <c:pt idx="850">
                  <c:v>1220331</c:v>
                </c:pt>
                <c:pt idx="851">
                  <c:v>1220401</c:v>
                </c:pt>
                <c:pt idx="852">
                  <c:v>1220403</c:v>
                </c:pt>
                <c:pt idx="853">
                  <c:v>1220404</c:v>
                </c:pt>
                <c:pt idx="854">
                  <c:v>1220405</c:v>
                </c:pt>
                <c:pt idx="855">
                  <c:v>1220406</c:v>
                </c:pt>
                <c:pt idx="856">
                  <c:v>1220407</c:v>
                </c:pt>
                <c:pt idx="857">
                  <c:v>1220408</c:v>
                </c:pt>
                <c:pt idx="858">
                  <c:v>1220410</c:v>
                </c:pt>
                <c:pt idx="859">
                  <c:v>1220411</c:v>
                </c:pt>
                <c:pt idx="860">
                  <c:v>1220412</c:v>
                </c:pt>
                <c:pt idx="861">
                  <c:v>1220413</c:v>
                </c:pt>
                <c:pt idx="862">
                  <c:v>1220414</c:v>
                </c:pt>
                <c:pt idx="863">
                  <c:v>1220417</c:v>
                </c:pt>
                <c:pt idx="864">
                  <c:v>1220418</c:v>
                </c:pt>
                <c:pt idx="865">
                  <c:v>1220419</c:v>
                </c:pt>
                <c:pt idx="866">
                  <c:v>1220420</c:v>
                </c:pt>
                <c:pt idx="867">
                  <c:v>1220421</c:v>
                </c:pt>
                <c:pt idx="868">
                  <c:v>1220422</c:v>
                </c:pt>
                <c:pt idx="869">
                  <c:v>1220424</c:v>
                </c:pt>
                <c:pt idx="870">
                  <c:v>1220425</c:v>
                </c:pt>
                <c:pt idx="871">
                  <c:v>1220426</c:v>
                </c:pt>
                <c:pt idx="872">
                  <c:v>1220427</c:v>
                </c:pt>
                <c:pt idx="873">
                  <c:v>1220428</c:v>
                </c:pt>
                <c:pt idx="874">
                  <c:v>1220429</c:v>
                </c:pt>
                <c:pt idx="875">
                  <c:v>1220501</c:v>
                </c:pt>
                <c:pt idx="876">
                  <c:v>1220502</c:v>
                </c:pt>
                <c:pt idx="877">
                  <c:v>1220503</c:v>
                </c:pt>
                <c:pt idx="878">
                  <c:v>1220504</c:v>
                </c:pt>
                <c:pt idx="879">
                  <c:v>1220505</c:v>
                </c:pt>
                <c:pt idx="880">
                  <c:v>1220506</c:v>
                </c:pt>
                <c:pt idx="881">
                  <c:v>1220508</c:v>
                </c:pt>
                <c:pt idx="882">
                  <c:v>1220509</c:v>
                </c:pt>
                <c:pt idx="883">
                  <c:v>1220510</c:v>
                </c:pt>
                <c:pt idx="884">
                  <c:v>1220511</c:v>
                </c:pt>
                <c:pt idx="885">
                  <c:v>1220512</c:v>
                </c:pt>
                <c:pt idx="886">
                  <c:v>1220513</c:v>
                </c:pt>
                <c:pt idx="887">
                  <c:v>1220515</c:v>
                </c:pt>
                <c:pt idx="888">
                  <c:v>1220516</c:v>
                </c:pt>
                <c:pt idx="889">
                  <c:v>1220517</c:v>
                </c:pt>
                <c:pt idx="890">
                  <c:v>1220518</c:v>
                </c:pt>
                <c:pt idx="891">
                  <c:v>1220519</c:v>
                </c:pt>
                <c:pt idx="892">
                  <c:v>1220520</c:v>
                </c:pt>
                <c:pt idx="893">
                  <c:v>1220522</c:v>
                </c:pt>
                <c:pt idx="894">
                  <c:v>1220523</c:v>
                </c:pt>
                <c:pt idx="895">
                  <c:v>1220524</c:v>
                </c:pt>
                <c:pt idx="896">
                  <c:v>1220525</c:v>
                </c:pt>
                <c:pt idx="897">
                  <c:v>1220526</c:v>
                </c:pt>
                <c:pt idx="898">
                  <c:v>1220527</c:v>
                </c:pt>
                <c:pt idx="899">
                  <c:v>1220529</c:v>
                </c:pt>
                <c:pt idx="900">
                  <c:v>1220530</c:v>
                </c:pt>
                <c:pt idx="901">
                  <c:v>1220531</c:v>
                </c:pt>
                <c:pt idx="902">
                  <c:v>1220601</c:v>
                </c:pt>
                <c:pt idx="903">
                  <c:v>1220602</c:v>
                </c:pt>
                <c:pt idx="904">
                  <c:v>1220603</c:v>
                </c:pt>
                <c:pt idx="905">
                  <c:v>1220605</c:v>
                </c:pt>
                <c:pt idx="906">
                  <c:v>1220606</c:v>
                </c:pt>
                <c:pt idx="907">
                  <c:v>1220607</c:v>
                </c:pt>
                <c:pt idx="908">
                  <c:v>1220608</c:v>
                </c:pt>
                <c:pt idx="909">
                  <c:v>1220609</c:v>
                </c:pt>
                <c:pt idx="910">
                  <c:v>1220610</c:v>
                </c:pt>
                <c:pt idx="911">
                  <c:v>1220612</c:v>
                </c:pt>
                <c:pt idx="912">
                  <c:v>1220613</c:v>
                </c:pt>
                <c:pt idx="913">
                  <c:v>1220614</c:v>
                </c:pt>
                <c:pt idx="914">
                  <c:v>1220615</c:v>
                </c:pt>
                <c:pt idx="915">
                  <c:v>1220616</c:v>
                </c:pt>
                <c:pt idx="916">
                  <c:v>1220617</c:v>
                </c:pt>
                <c:pt idx="917">
                  <c:v>1220619</c:v>
                </c:pt>
                <c:pt idx="918">
                  <c:v>1220620</c:v>
                </c:pt>
                <c:pt idx="919">
                  <c:v>1220621</c:v>
                </c:pt>
                <c:pt idx="920">
                  <c:v>1220622</c:v>
                </c:pt>
                <c:pt idx="921">
                  <c:v>1220623</c:v>
                </c:pt>
                <c:pt idx="922">
                  <c:v>1220624</c:v>
                </c:pt>
                <c:pt idx="923">
                  <c:v>1220626</c:v>
                </c:pt>
                <c:pt idx="924">
                  <c:v>1220627</c:v>
                </c:pt>
                <c:pt idx="925">
                  <c:v>1220628</c:v>
                </c:pt>
                <c:pt idx="926">
                  <c:v>1220629</c:v>
                </c:pt>
                <c:pt idx="927">
                  <c:v>1220630</c:v>
                </c:pt>
                <c:pt idx="928">
                  <c:v>1220701</c:v>
                </c:pt>
                <c:pt idx="929">
                  <c:v>1220703</c:v>
                </c:pt>
                <c:pt idx="930">
                  <c:v>1220704</c:v>
                </c:pt>
                <c:pt idx="931">
                  <c:v>1220705</c:v>
                </c:pt>
                <c:pt idx="932">
                  <c:v>1220706</c:v>
                </c:pt>
                <c:pt idx="933">
                  <c:v>1220707</c:v>
                </c:pt>
                <c:pt idx="934">
                  <c:v>1220708</c:v>
                </c:pt>
                <c:pt idx="935">
                  <c:v>1220710</c:v>
                </c:pt>
                <c:pt idx="936">
                  <c:v>1220711</c:v>
                </c:pt>
                <c:pt idx="937">
                  <c:v>1220712</c:v>
                </c:pt>
                <c:pt idx="938">
                  <c:v>1220713</c:v>
                </c:pt>
                <c:pt idx="939">
                  <c:v>1220714</c:v>
                </c:pt>
                <c:pt idx="940">
                  <c:v>1220715</c:v>
                </c:pt>
                <c:pt idx="941">
                  <c:v>1220717</c:v>
                </c:pt>
                <c:pt idx="942">
                  <c:v>1220718</c:v>
                </c:pt>
                <c:pt idx="943">
                  <c:v>1220719</c:v>
                </c:pt>
                <c:pt idx="944">
                  <c:v>1220720</c:v>
                </c:pt>
                <c:pt idx="945">
                  <c:v>1220721</c:v>
                </c:pt>
                <c:pt idx="946">
                  <c:v>1220722</c:v>
                </c:pt>
                <c:pt idx="947">
                  <c:v>1220724</c:v>
                </c:pt>
                <c:pt idx="948">
                  <c:v>1220725</c:v>
                </c:pt>
                <c:pt idx="949">
                  <c:v>1220726</c:v>
                </c:pt>
                <c:pt idx="950">
                  <c:v>1220727</c:v>
                </c:pt>
                <c:pt idx="951">
                  <c:v>1220728</c:v>
                </c:pt>
                <c:pt idx="952">
                  <c:v>1220729</c:v>
                </c:pt>
                <c:pt idx="953">
                  <c:v>1220731</c:v>
                </c:pt>
                <c:pt idx="954">
                  <c:v>1220801</c:v>
                </c:pt>
                <c:pt idx="955">
                  <c:v>1220802</c:v>
                </c:pt>
                <c:pt idx="956">
                  <c:v>1220803</c:v>
                </c:pt>
                <c:pt idx="957">
                  <c:v>1220804</c:v>
                </c:pt>
                <c:pt idx="958">
                  <c:v>1220805</c:v>
                </c:pt>
                <c:pt idx="959">
                  <c:v>1220807</c:v>
                </c:pt>
                <c:pt idx="960">
                  <c:v>1220808</c:v>
                </c:pt>
                <c:pt idx="961">
                  <c:v>1220809</c:v>
                </c:pt>
                <c:pt idx="962">
                  <c:v>1220810</c:v>
                </c:pt>
                <c:pt idx="963">
                  <c:v>1220811</c:v>
                </c:pt>
                <c:pt idx="964">
                  <c:v>1220812</c:v>
                </c:pt>
                <c:pt idx="965">
                  <c:v>1220814</c:v>
                </c:pt>
                <c:pt idx="966">
                  <c:v>1220815</c:v>
                </c:pt>
                <c:pt idx="967">
                  <c:v>1220816</c:v>
                </c:pt>
                <c:pt idx="968">
                  <c:v>1220817</c:v>
                </c:pt>
                <c:pt idx="969">
                  <c:v>1220818</c:v>
                </c:pt>
                <c:pt idx="970">
                  <c:v>1220819</c:v>
                </c:pt>
                <c:pt idx="971">
                  <c:v>1220821</c:v>
                </c:pt>
                <c:pt idx="972">
                  <c:v>1220822</c:v>
                </c:pt>
                <c:pt idx="973">
                  <c:v>1220823</c:v>
                </c:pt>
                <c:pt idx="974">
                  <c:v>1220824</c:v>
                </c:pt>
                <c:pt idx="975">
                  <c:v>1220825</c:v>
                </c:pt>
                <c:pt idx="976">
                  <c:v>1220826</c:v>
                </c:pt>
                <c:pt idx="977">
                  <c:v>1220828</c:v>
                </c:pt>
                <c:pt idx="978">
                  <c:v>1220829</c:v>
                </c:pt>
                <c:pt idx="979">
                  <c:v>1220830</c:v>
                </c:pt>
                <c:pt idx="980">
                  <c:v>1220831</c:v>
                </c:pt>
                <c:pt idx="981">
                  <c:v>1220901</c:v>
                </c:pt>
                <c:pt idx="982">
                  <c:v>1220902</c:v>
                </c:pt>
                <c:pt idx="983">
                  <c:v>1220904</c:v>
                </c:pt>
                <c:pt idx="984">
                  <c:v>1220905</c:v>
                </c:pt>
                <c:pt idx="985">
                  <c:v>1220906</c:v>
                </c:pt>
                <c:pt idx="986">
                  <c:v>1220907</c:v>
                </c:pt>
                <c:pt idx="987">
                  <c:v>1220908</c:v>
                </c:pt>
                <c:pt idx="988">
                  <c:v>1220909</c:v>
                </c:pt>
                <c:pt idx="989">
                  <c:v>1220911</c:v>
                </c:pt>
                <c:pt idx="990">
                  <c:v>1220912</c:v>
                </c:pt>
                <c:pt idx="991">
                  <c:v>1220913</c:v>
                </c:pt>
                <c:pt idx="992">
                  <c:v>1220914</c:v>
                </c:pt>
                <c:pt idx="993">
                  <c:v>1220915</c:v>
                </c:pt>
                <c:pt idx="994">
                  <c:v>1220916</c:v>
                </c:pt>
                <c:pt idx="995">
                  <c:v>1220918</c:v>
                </c:pt>
                <c:pt idx="996">
                  <c:v>1220919</c:v>
                </c:pt>
                <c:pt idx="997">
                  <c:v>1220920</c:v>
                </c:pt>
                <c:pt idx="998">
                  <c:v>1220921</c:v>
                </c:pt>
                <c:pt idx="999">
                  <c:v>1220922</c:v>
                </c:pt>
                <c:pt idx="1000">
                  <c:v>1220923</c:v>
                </c:pt>
                <c:pt idx="1001">
                  <c:v>1220925</c:v>
                </c:pt>
                <c:pt idx="1002">
                  <c:v>1220926</c:v>
                </c:pt>
                <c:pt idx="1003">
                  <c:v>1220927</c:v>
                </c:pt>
                <c:pt idx="1004">
                  <c:v>1220928</c:v>
                </c:pt>
                <c:pt idx="1005">
                  <c:v>1220929</c:v>
                </c:pt>
                <c:pt idx="1006">
                  <c:v>1220930</c:v>
                </c:pt>
                <c:pt idx="1007">
                  <c:v>1221002</c:v>
                </c:pt>
                <c:pt idx="1008">
                  <c:v>1221003</c:v>
                </c:pt>
                <c:pt idx="1009">
                  <c:v>1221004</c:v>
                </c:pt>
                <c:pt idx="1010">
                  <c:v>1221005</c:v>
                </c:pt>
                <c:pt idx="1011">
                  <c:v>1221006</c:v>
                </c:pt>
                <c:pt idx="1012">
                  <c:v>1221007</c:v>
                </c:pt>
                <c:pt idx="1013">
                  <c:v>1221009</c:v>
                </c:pt>
                <c:pt idx="1014">
                  <c:v>1221010</c:v>
                </c:pt>
                <c:pt idx="1015">
                  <c:v>1221011</c:v>
                </c:pt>
                <c:pt idx="1016">
                  <c:v>1221012</c:v>
                </c:pt>
                <c:pt idx="1017">
                  <c:v>1221013</c:v>
                </c:pt>
                <c:pt idx="1018">
                  <c:v>1221014</c:v>
                </c:pt>
                <c:pt idx="1019">
                  <c:v>1221016</c:v>
                </c:pt>
                <c:pt idx="1020">
                  <c:v>1221017</c:v>
                </c:pt>
                <c:pt idx="1021">
                  <c:v>1221018</c:v>
                </c:pt>
                <c:pt idx="1022">
                  <c:v>1221019</c:v>
                </c:pt>
                <c:pt idx="1023">
                  <c:v>1221020</c:v>
                </c:pt>
                <c:pt idx="1024">
                  <c:v>1221021</c:v>
                </c:pt>
                <c:pt idx="1025">
                  <c:v>1221023</c:v>
                </c:pt>
                <c:pt idx="1026">
                  <c:v>1221024</c:v>
                </c:pt>
                <c:pt idx="1027">
                  <c:v>1221025</c:v>
                </c:pt>
                <c:pt idx="1028">
                  <c:v>1221026</c:v>
                </c:pt>
                <c:pt idx="1029">
                  <c:v>1221027</c:v>
                </c:pt>
                <c:pt idx="1030">
                  <c:v>1221028</c:v>
                </c:pt>
                <c:pt idx="1031">
                  <c:v>1221030</c:v>
                </c:pt>
                <c:pt idx="1032">
                  <c:v>1221031</c:v>
                </c:pt>
                <c:pt idx="1033">
                  <c:v>1221101</c:v>
                </c:pt>
                <c:pt idx="1034">
                  <c:v>1221102</c:v>
                </c:pt>
                <c:pt idx="1035">
                  <c:v>1221103</c:v>
                </c:pt>
                <c:pt idx="1036">
                  <c:v>1221104</c:v>
                </c:pt>
                <c:pt idx="1037">
                  <c:v>1221106</c:v>
                </c:pt>
                <c:pt idx="1038">
                  <c:v>1221107</c:v>
                </c:pt>
                <c:pt idx="1039">
                  <c:v>1221108</c:v>
                </c:pt>
                <c:pt idx="1040">
                  <c:v>1221109</c:v>
                </c:pt>
                <c:pt idx="1041">
                  <c:v>1221110</c:v>
                </c:pt>
                <c:pt idx="1042">
                  <c:v>1221111</c:v>
                </c:pt>
                <c:pt idx="1043">
                  <c:v>1221113</c:v>
                </c:pt>
                <c:pt idx="1044">
                  <c:v>1221114</c:v>
                </c:pt>
                <c:pt idx="1045">
                  <c:v>1221115</c:v>
                </c:pt>
                <c:pt idx="1046">
                  <c:v>1221116</c:v>
                </c:pt>
                <c:pt idx="1047">
                  <c:v>1221117</c:v>
                </c:pt>
                <c:pt idx="1048">
                  <c:v>1221118</c:v>
                </c:pt>
                <c:pt idx="1049">
                  <c:v>1221120</c:v>
                </c:pt>
                <c:pt idx="1050">
                  <c:v>1221121</c:v>
                </c:pt>
                <c:pt idx="1051">
                  <c:v>1221122</c:v>
                </c:pt>
                <c:pt idx="1052">
                  <c:v>1221123</c:v>
                </c:pt>
                <c:pt idx="1053">
                  <c:v>1221124</c:v>
                </c:pt>
                <c:pt idx="1054">
                  <c:v>1221125</c:v>
                </c:pt>
                <c:pt idx="1055">
                  <c:v>1221127</c:v>
                </c:pt>
                <c:pt idx="1056">
                  <c:v>1221128</c:v>
                </c:pt>
                <c:pt idx="1057">
                  <c:v>1221129</c:v>
                </c:pt>
                <c:pt idx="1058">
                  <c:v>1221130</c:v>
                </c:pt>
                <c:pt idx="1059">
                  <c:v>1221201</c:v>
                </c:pt>
                <c:pt idx="1060">
                  <c:v>1221202</c:v>
                </c:pt>
                <c:pt idx="1061">
                  <c:v>1221204</c:v>
                </c:pt>
                <c:pt idx="1062">
                  <c:v>1221205</c:v>
                </c:pt>
                <c:pt idx="1063">
                  <c:v>1221206</c:v>
                </c:pt>
                <c:pt idx="1064">
                  <c:v>1221207</c:v>
                </c:pt>
                <c:pt idx="1065">
                  <c:v>1221208</c:v>
                </c:pt>
                <c:pt idx="1066">
                  <c:v>1221209</c:v>
                </c:pt>
                <c:pt idx="1067">
                  <c:v>1221211</c:v>
                </c:pt>
                <c:pt idx="1068">
                  <c:v>1221212</c:v>
                </c:pt>
                <c:pt idx="1069">
                  <c:v>1221213</c:v>
                </c:pt>
                <c:pt idx="1070">
                  <c:v>1221214</c:v>
                </c:pt>
                <c:pt idx="1071">
                  <c:v>1221215</c:v>
                </c:pt>
                <c:pt idx="1072">
                  <c:v>1221216</c:v>
                </c:pt>
                <c:pt idx="1073">
                  <c:v>1221218</c:v>
                </c:pt>
                <c:pt idx="1074">
                  <c:v>1221219</c:v>
                </c:pt>
                <c:pt idx="1075">
                  <c:v>1221220</c:v>
                </c:pt>
                <c:pt idx="1076">
                  <c:v>1221221</c:v>
                </c:pt>
                <c:pt idx="1077">
                  <c:v>1221222</c:v>
                </c:pt>
                <c:pt idx="1078">
                  <c:v>1221223</c:v>
                </c:pt>
                <c:pt idx="1079">
                  <c:v>1221226</c:v>
                </c:pt>
                <c:pt idx="1080">
                  <c:v>1221227</c:v>
                </c:pt>
                <c:pt idx="1081">
                  <c:v>1221228</c:v>
                </c:pt>
                <c:pt idx="1082">
                  <c:v>1221229</c:v>
                </c:pt>
                <c:pt idx="1083">
                  <c:v>1221230</c:v>
                </c:pt>
                <c:pt idx="1084">
                  <c:v>1230102</c:v>
                </c:pt>
                <c:pt idx="1085">
                  <c:v>1230103</c:v>
                </c:pt>
                <c:pt idx="1086">
                  <c:v>1230104</c:v>
                </c:pt>
                <c:pt idx="1087">
                  <c:v>1230105</c:v>
                </c:pt>
                <c:pt idx="1088">
                  <c:v>1230106</c:v>
                </c:pt>
                <c:pt idx="1089">
                  <c:v>1230108</c:v>
                </c:pt>
                <c:pt idx="1090">
                  <c:v>1230109</c:v>
                </c:pt>
                <c:pt idx="1091">
                  <c:v>1230110</c:v>
                </c:pt>
                <c:pt idx="1092">
                  <c:v>1230111</c:v>
                </c:pt>
                <c:pt idx="1093">
                  <c:v>1230112</c:v>
                </c:pt>
                <c:pt idx="1094">
                  <c:v>1230113</c:v>
                </c:pt>
                <c:pt idx="1095">
                  <c:v>1230115</c:v>
                </c:pt>
                <c:pt idx="1096">
                  <c:v>1230116</c:v>
                </c:pt>
                <c:pt idx="1097">
                  <c:v>1230117</c:v>
                </c:pt>
                <c:pt idx="1098">
                  <c:v>1230118</c:v>
                </c:pt>
                <c:pt idx="1099">
                  <c:v>1230119</c:v>
                </c:pt>
                <c:pt idx="1100">
                  <c:v>1230120</c:v>
                </c:pt>
                <c:pt idx="1101">
                  <c:v>1230122</c:v>
                </c:pt>
                <c:pt idx="1102">
                  <c:v>1230123</c:v>
                </c:pt>
                <c:pt idx="1103">
                  <c:v>1230124</c:v>
                </c:pt>
                <c:pt idx="1104">
                  <c:v>1230125</c:v>
                </c:pt>
                <c:pt idx="1105">
                  <c:v>1230126</c:v>
                </c:pt>
                <c:pt idx="1106">
                  <c:v>1230127</c:v>
                </c:pt>
                <c:pt idx="1107">
                  <c:v>1230129</c:v>
                </c:pt>
                <c:pt idx="1108">
                  <c:v>1230130</c:v>
                </c:pt>
                <c:pt idx="1109">
                  <c:v>1230131</c:v>
                </c:pt>
                <c:pt idx="1110">
                  <c:v>1230201</c:v>
                </c:pt>
                <c:pt idx="1111">
                  <c:v>1230202</c:v>
                </c:pt>
                <c:pt idx="1112">
                  <c:v>1230203</c:v>
                </c:pt>
                <c:pt idx="1113">
                  <c:v>1230205</c:v>
                </c:pt>
                <c:pt idx="1114">
                  <c:v>1230206</c:v>
                </c:pt>
                <c:pt idx="1115">
                  <c:v>1230207</c:v>
                </c:pt>
                <c:pt idx="1116">
                  <c:v>1230208</c:v>
                </c:pt>
                <c:pt idx="1117">
                  <c:v>1230209</c:v>
                </c:pt>
                <c:pt idx="1118">
                  <c:v>1230210</c:v>
                </c:pt>
                <c:pt idx="1119">
                  <c:v>1230212</c:v>
                </c:pt>
                <c:pt idx="1120">
                  <c:v>1230213</c:v>
                </c:pt>
                <c:pt idx="1121">
                  <c:v>1230214</c:v>
                </c:pt>
                <c:pt idx="1122">
                  <c:v>1230215</c:v>
                </c:pt>
                <c:pt idx="1123">
                  <c:v>1230216</c:v>
                </c:pt>
                <c:pt idx="1124">
                  <c:v>1230217</c:v>
                </c:pt>
                <c:pt idx="1125">
                  <c:v>1230219</c:v>
                </c:pt>
                <c:pt idx="1126">
                  <c:v>1230220</c:v>
                </c:pt>
                <c:pt idx="1127">
                  <c:v>1230221</c:v>
                </c:pt>
                <c:pt idx="1128">
                  <c:v>1230222</c:v>
                </c:pt>
                <c:pt idx="1129">
                  <c:v>1230223</c:v>
                </c:pt>
                <c:pt idx="1130">
                  <c:v>1230224</c:v>
                </c:pt>
                <c:pt idx="1131">
                  <c:v>1230226</c:v>
                </c:pt>
                <c:pt idx="1132">
                  <c:v>1230227</c:v>
                </c:pt>
                <c:pt idx="1133">
                  <c:v>1230228</c:v>
                </c:pt>
                <c:pt idx="1134">
                  <c:v>1230301</c:v>
                </c:pt>
                <c:pt idx="1135">
                  <c:v>1230302</c:v>
                </c:pt>
                <c:pt idx="1136">
                  <c:v>1230303</c:v>
                </c:pt>
                <c:pt idx="1137">
                  <c:v>1230305</c:v>
                </c:pt>
                <c:pt idx="1138">
                  <c:v>1230306</c:v>
                </c:pt>
                <c:pt idx="1139">
                  <c:v>1230307</c:v>
                </c:pt>
                <c:pt idx="1140">
                  <c:v>1230308</c:v>
                </c:pt>
                <c:pt idx="1141">
                  <c:v>1230309</c:v>
                </c:pt>
                <c:pt idx="1142">
                  <c:v>1230310</c:v>
                </c:pt>
                <c:pt idx="1143">
                  <c:v>1230312</c:v>
                </c:pt>
                <c:pt idx="1144">
                  <c:v>1230313</c:v>
                </c:pt>
                <c:pt idx="1145">
                  <c:v>1230314</c:v>
                </c:pt>
                <c:pt idx="1146">
                  <c:v>1230315</c:v>
                </c:pt>
                <c:pt idx="1147">
                  <c:v>1230316</c:v>
                </c:pt>
                <c:pt idx="1148">
                  <c:v>1230317</c:v>
                </c:pt>
                <c:pt idx="1149">
                  <c:v>1230319</c:v>
                </c:pt>
                <c:pt idx="1150">
                  <c:v>1230320</c:v>
                </c:pt>
                <c:pt idx="1151">
                  <c:v>1230321</c:v>
                </c:pt>
                <c:pt idx="1152">
                  <c:v>1230322</c:v>
                </c:pt>
                <c:pt idx="1153">
                  <c:v>1230323</c:v>
                </c:pt>
                <c:pt idx="1154">
                  <c:v>1230324</c:v>
                </c:pt>
                <c:pt idx="1155">
                  <c:v>1230326</c:v>
                </c:pt>
                <c:pt idx="1156">
                  <c:v>1230327</c:v>
                </c:pt>
                <c:pt idx="1157">
                  <c:v>1230328</c:v>
                </c:pt>
                <c:pt idx="1158">
                  <c:v>1230329</c:v>
                </c:pt>
                <c:pt idx="1159">
                  <c:v>1230330</c:v>
                </c:pt>
                <c:pt idx="1160">
                  <c:v>1230331</c:v>
                </c:pt>
                <c:pt idx="1161">
                  <c:v>1230402</c:v>
                </c:pt>
                <c:pt idx="1162">
                  <c:v>1230403</c:v>
                </c:pt>
                <c:pt idx="1163">
                  <c:v>1230404</c:v>
                </c:pt>
                <c:pt idx="1164">
                  <c:v>1230405</c:v>
                </c:pt>
                <c:pt idx="1165">
                  <c:v>1230406</c:v>
                </c:pt>
                <c:pt idx="1166">
                  <c:v>1230407</c:v>
                </c:pt>
                <c:pt idx="1167">
                  <c:v>1230409</c:v>
                </c:pt>
                <c:pt idx="1168">
                  <c:v>1230410</c:v>
                </c:pt>
                <c:pt idx="1169">
                  <c:v>1230411</c:v>
                </c:pt>
                <c:pt idx="1170">
                  <c:v>1230412</c:v>
                </c:pt>
                <c:pt idx="1171">
                  <c:v>1230413</c:v>
                </c:pt>
                <c:pt idx="1172">
                  <c:v>1230414</c:v>
                </c:pt>
                <c:pt idx="1173">
                  <c:v>1230416</c:v>
                </c:pt>
                <c:pt idx="1174">
                  <c:v>1230417</c:v>
                </c:pt>
                <c:pt idx="1175">
                  <c:v>1230418</c:v>
                </c:pt>
                <c:pt idx="1176">
                  <c:v>1230419</c:v>
                </c:pt>
                <c:pt idx="1177">
                  <c:v>1230420</c:v>
                </c:pt>
                <c:pt idx="1178">
                  <c:v>1230421</c:v>
                </c:pt>
                <c:pt idx="1179">
                  <c:v>1230423</c:v>
                </c:pt>
                <c:pt idx="1180">
                  <c:v>1230424</c:v>
                </c:pt>
                <c:pt idx="1181">
                  <c:v>1230425</c:v>
                </c:pt>
                <c:pt idx="1182">
                  <c:v>1230426</c:v>
                </c:pt>
                <c:pt idx="1183">
                  <c:v>1230427</c:v>
                </c:pt>
                <c:pt idx="1184">
                  <c:v>1230428</c:v>
                </c:pt>
                <c:pt idx="1185">
                  <c:v>1230430</c:v>
                </c:pt>
                <c:pt idx="1186">
                  <c:v>1230501</c:v>
                </c:pt>
                <c:pt idx="1187">
                  <c:v>1230502</c:v>
                </c:pt>
                <c:pt idx="1188">
                  <c:v>1230503</c:v>
                </c:pt>
                <c:pt idx="1189">
                  <c:v>1230504</c:v>
                </c:pt>
                <c:pt idx="1190">
                  <c:v>1230505</c:v>
                </c:pt>
                <c:pt idx="1191">
                  <c:v>1230507</c:v>
                </c:pt>
                <c:pt idx="1192">
                  <c:v>1230508</c:v>
                </c:pt>
                <c:pt idx="1193">
                  <c:v>1230509</c:v>
                </c:pt>
                <c:pt idx="1194">
                  <c:v>1230510</c:v>
                </c:pt>
                <c:pt idx="1195">
                  <c:v>1230511</c:v>
                </c:pt>
                <c:pt idx="1196">
                  <c:v>1230512</c:v>
                </c:pt>
                <c:pt idx="1197">
                  <c:v>1230514</c:v>
                </c:pt>
                <c:pt idx="1198">
                  <c:v>1230515</c:v>
                </c:pt>
                <c:pt idx="1199">
                  <c:v>1230516</c:v>
                </c:pt>
                <c:pt idx="1200">
                  <c:v>1230517</c:v>
                </c:pt>
                <c:pt idx="1201">
                  <c:v>1230518</c:v>
                </c:pt>
                <c:pt idx="1202">
                  <c:v>1230519</c:v>
                </c:pt>
                <c:pt idx="1203">
                  <c:v>1230521</c:v>
                </c:pt>
                <c:pt idx="1204">
                  <c:v>1230522</c:v>
                </c:pt>
                <c:pt idx="1205">
                  <c:v>1230523</c:v>
                </c:pt>
                <c:pt idx="1206">
                  <c:v>1230524</c:v>
                </c:pt>
                <c:pt idx="1207">
                  <c:v>1230525</c:v>
                </c:pt>
                <c:pt idx="1208">
                  <c:v>1230526</c:v>
                </c:pt>
                <c:pt idx="1209">
                  <c:v>1230528</c:v>
                </c:pt>
                <c:pt idx="1210">
                  <c:v>1230529</c:v>
                </c:pt>
                <c:pt idx="1211">
                  <c:v>1230530</c:v>
                </c:pt>
                <c:pt idx="1212">
                  <c:v>1230531</c:v>
                </c:pt>
                <c:pt idx="1213">
                  <c:v>1230601</c:v>
                </c:pt>
                <c:pt idx="1214">
                  <c:v>1230602</c:v>
                </c:pt>
                <c:pt idx="1215">
                  <c:v>1230604</c:v>
                </c:pt>
                <c:pt idx="1216">
                  <c:v>1230605</c:v>
                </c:pt>
                <c:pt idx="1217">
                  <c:v>1230606</c:v>
                </c:pt>
                <c:pt idx="1218">
                  <c:v>1230607</c:v>
                </c:pt>
                <c:pt idx="1219">
                  <c:v>1230608</c:v>
                </c:pt>
                <c:pt idx="1220">
                  <c:v>1230609</c:v>
                </c:pt>
                <c:pt idx="1221">
                  <c:v>1230611</c:v>
                </c:pt>
                <c:pt idx="1222">
                  <c:v>1230612</c:v>
                </c:pt>
                <c:pt idx="1223">
                  <c:v>1230613</c:v>
                </c:pt>
                <c:pt idx="1224">
                  <c:v>1230614</c:v>
                </c:pt>
                <c:pt idx="1225">
                  <c:v>1230615</c:v>
                </c:pt>
                <c:pt idx="1226">
                  <c:v>1230616</c:v>
                </c:pt>
                <c:pt idx="1227">
                  <c:v>1230618</c:v>
                </c:pt>
                <c:pt idx="1228">
                  <c:v>1230619</c:v>
                </c:pt>
                <c:pt idx="1229">
                  <c:v>1230620</c:v>
                </c:pt>
                <c:pt idx="1230">
                  <c:v>1230621</c:v>
                </c:pt>
                <c:pt idx="1231">
                  <c:v>1230622</c:v>
                </c:pt>
                <c:pt idx="1232">
                  <c:v>1230623</c:v>
                </c:pt>
                <c:pt idx="1233">
                  <c:v>1230625</c:v>
                </c:pt>
                <c:pt idx="1234">
                  <c:v>1230626</c:v>
                </c:pt>
                <c:pt idx="1235">
                  <c:v>1230627</c:v>
                </c:pt>
                <c:pt idx="1236">
                  <c:v>1230628</c:v>
                </c:pt>
                <c:pt idx="1237">
                  <c:v>1230629</c:v>
                </c:pt>
                <c:pt idx="1238">
                  <c:v>1230630</c:v>
                </c:pt>
                <c:pt idx="1239">
                  <c:v>1230702</c:v>
                </c:pt>
                <c:pt idx="1240">
                  <c:v>1230703</c:v>
                </c:pt>
                <c:pt idx="1241">
                  <c:v>1230704</c:v>
                </c:pt>
                <c:pt idx="1242">
                  <c:v>1230705</c:v>
                </c:pt>
                <c:pt idx="1243">
                  <c:v>1230706</c:v>
                </c:pt>
                <c:pt idx="1244">
                  <c:v>1230707</c:v>
                </c:pt>
                <c:pt idx="1245">
                  <c:v>1230709</c:v>
                </c:pt>
                <c:pt idx="1246">
                  <c:v>1230710</c:v>
                </c:pt>
                <c:pt idx="1247">
                  <c:v>1230711</c:v>
                </c:pt>
                <c:pt idx="1248">
                  <c:v>1230712</c:v>
                </c:pt>
                <c:pt idx="1249">
                  <c:v>1230713</c:v>
                </c:pt>
                <c:pt idx="1250">
                  <c:v>1230714</c:v>
                </c:pt>
                <c:pt idx="1251">
                  <c:v>1230716</c:v>
                </c:pt>
                <c:pt idx="1252">
                  <c:v>1230717</c:v>
                </c:pt>
                <c:pt idx="1253">
                  <c:v>1230718</c:v>
                </c:pt>
                <c:pt idx="1254">
                  <c:v>1230719</c:v>
                </c:pt>
                <c:pt idx="1255">
                  <c:v>1230720</c:v>
                </c:pt>
                <c:pt idx="1256">
                  <c:v>1230721</c:v>
                </c:pt>
                <c:pt idx="1257">
                  <c:v>1230723</c:v>
                </c:pt>
                <c:pt idx="1258">
                  <c:v>1230724</c:v>
                </c:pt>
                <c:pt idx="1259">
                  <c:v>1230725</c:v>
                </c:pt>
                <c:pt idx="1260">
                  <c:v>1230726</c:v>
                </c:pt>
                <c:pt idx="1261">
                  <c:v>1230727</c:v>
                </c:pt>
                <c:pt idx="1262">
                  <c:v>1230728</c:v>
                </c:pt>
                <c:pt idx="1263">
                  <c:v>1230730</c:v>
                </c:pt>
                <c:pt idx="1264">
                  <c:v>1230731</c:v>
                </c:pt>
                <c:pt idx="1265">
                  <c:v>1230801</c:v>
                </c:pt>
                <c:pt idx="1266">
                  <c:v>1230802</c:v>
                </c:pt>
                <c:pt idx="1267">
                  <c:v>1230803</c:v>
                </c:pt>
                <c:pt idx="1268">
                  <c:v>1230804</c:v>
                </c:pt>
                <c:pt idx="1269">
                  <c:v>1230806</c:v>
                </c:pt>
                <c:pt idx="1270">
                  <c:v>1230807</c:v>
                </c:pt>
                <c:pt idx="1271">
                  <c:v>1230808</c:v>
                </c:pt>
                <c:pt idx="1272">
                  <c:v>1230809</c:v>
                </c:pt>
                <c:pt idx="1273">
                  <c:v>1230810</c:v>
                </c:pt>
                <c:pt idx="1274">
                  <c:v>1230811</c:v>
                </c:pt>
                <c:pt idx="1275">
                  <c:v>1230813</c:v>
                </c:pt>
                <c:pt idx="1276">
                  <c:v>1230814</c:v>
                </c:pt>
                <c:pt idx="1277">
                  <c:v>1230815</c:v>
                </c:pt>
                <c:pt idx="1278">
                  <c:v>1230816</c:v>
                </c:pt>
                <c:pt idx="1279">
                  <c:v>1230817</c:v>
                </c:pt>
                <c:pt idx="1280">
                  <c:v>1230818</c:v>
                </c:pt>
                <c:pt idx="1281">
                  <c:v>1230820</c:v>
                </c:pt>
                <c:pt idx="1282">
                  <c:v>1230821</c:v>
                </c:pt>
                <c:pt idx="1283">
                  <c:v>1230822</c:v>
                </c:pt>
                <c:pt idx="1284">
                  <c:v>1230823</c:v>
                </c:pt>
                <c:pt idx="1285">
                  <c:v>1230824</c:v>
                </c:pt>
                <c:pt idx="1286">
                  <c:v>1230825</c:v>
                </c:pt>
                <c:pt idx="1287">
                  <c:v>1230827</c:v>
                </c:pt>
                <c:pt idx="1288">
                  <c:v>1230828</c:v>
                </c:pt>
                <c:pt idx="1289">
                  <c:v>1230829</c:v>
                </c:pt>
                <c:pt idx="1290">
                  <c:v>1230830</c:v>
                </c:pt>
                <c:pt idx="1291">
                  <c:v>1230831</c:v>
                </c:pt>
                <c:pt idx="1292">
                  <c:v>1230901</c:v>
                </c:pt>
                <c:pt idx="1293">
                  <c:v>1230903</c:v>
                </c:pt>
                <c:pt idx="1294">
                  <c:v>1230904</c:v>
                </c:pt>
                <c:pt idx="1295">
                  <c:v>1230905</c:v>
                </c:pt>
                <c:pt idx="1296">
                  <c:v>1230906</c:v>
                </c:pt>
                <c:pt idx="1297">
                  <c:v>1230907</c:v>
                </c:pt>
                <c:pt idx="1298">
                  <c:v>1230908</c:v>
                </c:pt>
                <c:pt idx="1299">
                  <c:v>1230910</c:v>
                </c:pt>
                <c:pt idx="1300">
                  <c:v>1230911</c:v>
                </c:pt>
                <c:pt idx="1301">
                  <c:v>1230912</c:v>
                </c:pt>
                <c:pt idx="1302">
                  <c:v>1230913</c:v>
                </c:pt>
                <c:pt idx="1303">
                  <c:v>1230914</c:v>
                </c:pt>
                <c:pt idx="1304">
                  <c:v>1230915</c:v>
                </c:pt>
                <c:pt idx="1305">
                  <c:v>1230917</c:v>
                </c:pt>
                <c:pt idx="1306">
                  <c:v>1230918</c:v>
                </c:pt>
                <c:pt idx="1307">
                  <c:v>1230919</c:v>
                </c:pt>
                <c:pt idx="1308">
                  <c:v>1230920</c:v>
                </c:pt>
                <c:pt idx="1309">
                  <c:v>1230921</c:v>
                </c:pt>
                <c:pt idx="1310">
                  <c:v>1230922</c:v>
                </c:pt>
                <c:pt idx="1311">
                  <c:v>1230924</c:v>
                </c:pt>
                <c:pt idx="1312">
                  <c:v>1230925</c:v>
                </c:pt>
                <c:pt idx="1313">
                  <c:v>1230926</c:v>
                </c:pt>
                <c:pt idx="1314">
                  <c:v>1230927</c:v>
                </c:pt>
                <c:pt idx="1315">
                  <c:v>1230928</c:v>
                </c:pt>
                <c:pt idx="1316">
                  <c:v>1230929</c:v>
                </c:pt>
                <c:pt idx="1317">
                  <c:v>1231001</c:v>
                </c:pt>
                <c:pt idx="1318">
                  <c:v>1231002</c:v>
                </c:pt>
                <c:pt idx="1319">
                  <c:v>1231003</c:v>
                </c:pt>
                <c:pt idx="1320">
                  <c:v>1231004</c:v>
                </c:pt>
                <c:pt idx="1321">
                  <c:v>1231005</c:v>
                </c:pt>
                <c:pt idx="1322">
                  <c:v>1231006</c:v>
                </c:pt>
                <c:pt idx="1323">
                  <c:v>1231008</c:v>
                </c:pt>
                <c:pt idx="1324">
                  <c:v>1231009</c:v>
                </c:pt>
                <c:pt idx="1325">
                  <c:v>1231010</c:v>
                </c:pt>
                <c:pt idx="1326">
                  <c:v>1231011</c:v>
                </c:pt>
                <c:pt idx="1327">
                  <c:v>1231012</c:v>
                </c:pt>
                <c:pt idx="1328">
                  <c:v>1231013</c:v>
                </c:pt>
                <c:pt idx="1329">
                  <c:v>1231015</c:v>
                </c:pt>
                <c:pt idx="1330">
                  <c:v>1231016</c:v>
                </c:pt>
                <c:pt idx="1331">
                  <c:v>1231017</c:v>
                </c:pt>
                <c:pt idx="1332">
                  <c:v>1231018</c:v>
                </c:pt>
                <c:pt idx="1333">
                  <c:v>1231019</c:v>
                </c:pt>
                <c:pt idx="1334">
                  <c:v>1231020</c:v>
                </c:pt>
                <c:pt idx="1335">
                  <c:v>1231022</c:v>
                </c:pt>
                <c:pt idx="1336">
                  <c:v>1231023</c:v>
                </c:pt>
                <c:pt idx="1337">
                  <c:v>1231024</c:v>
                </c:pt>
                <c:pt idx="1338">
                  <c:v>1231025</c:v>
                </c:pt>
                <c:pt idx="1339">
                  <c:v>1231026</c:v>
                </c:pt>
                <c:pt idx="1340">
                  <c:v>1231027</c:v>
                </c:pt>
                <c:pt idx="1341">
                  <c:v>1231029</c:v>
                </c:pt>
                <c:pt idx="1342">
                  <c:v>1231030</c:v>
                </c:pt>
                <c:pt idx="1343">
                  <c:v>1231031</c:v>
                </c:pt>
                <c:pt idx="1344">
                  <c:v>1231101</c:v>
                </c:pt>
                <c:pt idx="1345">
                  <c:v>1231102</c:v>
                </c:pt>
                <c:pt idx="1346">
                  <c:v>1231103</c:v>
                </c:pt>
                <c:pt idx="1347">
                  <c:v>1231105</c:v>
                </c:pt>
                <c:pt idx="1348">
                  <c:v>1231106</c:v>
                </c:pt>
                <c:pt idx="1349">
                  <c:v>1231107</c:v>
                </c:pt>
                <c:pt idx="1350">
                  <c:v>1231108</c:v>
                </c:pt>
                <c:pt idx="1351">
                  <c:v>1231109</c:v>
                </c:pt>
                <c:pt idx="1352">
                  <c:v>1231110</c:v>
                </c:pt>
                <c:pt idx="1353">
                  <c:v>1231112</c:v>
                </c:pt>
                <c:pt idx="1354">
                  <c:v>1231113</c:v>
                </c:pt>
                <c:pt idx="1355">
                  <c:v>1231114</c:v>
                </c:pt>
                <c:pt idx="1356">
                  <c:v>1231115</c:v>
                </c:pt>
                <c:pt idx="1357">
                  <c:v>1231116</c:v>
                </c:pt>
                <c:pt idx="1358">
                  <c:v>1231117</c:v>
                </c:pt>
                <c:pt idx="1359">
                  <c:v>1231119</c:v>
                </c:pt>
                <c:pt idx="1360">
                  <c:v>1231120</c:v>
                </c:pt>
                <c:pt idx="1361">
                  <c:v>1231121</c:v>
                </c:pt>
                <c:pt idx="1362">
                  <c:v>1231122</c:v>
                </c:pt>
                <c:pt idx="1363">
                  <c:v>1231123</c:v>
                </c:pt>
                <c:pt idx="1364">
                  <c:v>1231124</c:v>
                </c:pt>
                <c:pt idx="1365">
                  <c:v>1231126</c:v>
                </c:pt>
                <c:pt idx="1366">
                  <c:v>1231127</c:v>
                </c:pt>
                <c:pt idx="1367">
                  <c:v>1231128</c:v>
                </c:pt>
                <c:pt idx="1368">
                  <c:v>1231129</c:v>
                </c:pt>
                <c:pt idx="1369">
                  <c:v>1231130</c:v>
                </c:pt>
                <c:pt idx="1370">
                  <c:v>1231201</c:v>
                </c:pt>
                <c:pt idx="1371">
                  <c:v>1231203</c:v>
                </c:pt>
                <c:pt idx="1372">
                  <c:v>1231204</c:v>
                </c:pt>
                <c:pt idx="1373">
                  <c:v>1231205</c:v>
                </c:pt>
                <c:pt idx="1374">
                  <c:v>1231206</c:v>
                </c:pt>
                <c:pt idx="1375">
                  <c:v>1231207</c:v>
                </c:pt>
                <c:pt idx="1376">
                  <c:v>1231208</c:v>
                </c:pt>
                <c:pt idx="1377">
                  <c:v>1231210</c:v>
                </c:pt>
                <c:pt idx="1378">
                  <c:v>1231211</c:v>
                </c:pt>
                <c:pt idx="1379">
                  <c:v>1231212</c:v>
                </c:pt>
                <c:pt idx="1380">
                  <c:v>1231213</c:v>
                </c:pt>
                <c:pt idx="1381">
                  <c:v>1231214</c:v>
                </c:pt>
                <c:pt idx="1382">
                  <c:v>1231215</c:v>
                </c:pt>
                <c:pt idx="1383">
                  <c:v>1231217</c:v>
                </c:pt>
                <c:pt idx="1384">
                  <c:v>1231218</c:v>
                </c:pt>
                <c:pt idx="1385">
                  <c:v>1231219</c:v>
                </c:pt>
                <c:pt idx="1386">
                  <c:v>1231220</c:v>
                </c:pt>
                <c:pt idx="1387">
                  <c:v>1231221</c:v>
                </c:pt>
                <c:pt idx="1388">
                  <c:v>1231222</c:v>
                </c:pt>
                <c:pt idx="1389">
                  <c:v>1231225</c:v>
                </c:pt>
                <c:pt idx="1390">
                  <c:v>1231226</c:v>
                </c:pt>
                <c:pt idx="1391">
                  <c:v>1231227</c:v>
                </c:pt>
                <c:pt idx="1392">
                  <c:v>1231228</c:v>
                </c:pt>
                <c:pt idx="1393">
                  <c:v>1231229</c:v>
                </c:pt>
                <c:pt idx="1394">
                  <c:v>1240101</c:v>
                </c:pt>
                <c:pt idx="1395">
                  <c:v>1240102</c:v>
                </c:pt>
                <c:pt idx="1396">
                  <c:v>1240103</c:v>
                </c:pt>
                <c:pt idx="1397">
                  <c:v>1240104</c:v>
                </c:pt>
                <c:pt idx="1398">
                  <c:v>1240105</c:v>
                </c:pt>
                <c:pt idx="1399">
                  <c:v>1240107</c:v>
                </c:pt>
                <c:pt idx="1400">
                  <c:v>1240108</c:v>
                </c:pt>
                <c:pt idx="1401">
                  <c:v>1240109</c:v>
                </c:pt>
                <c:pt idx="1402">
                  <c:v>1240110</c:v>
                </c:pt>
                <c:pt idx="1403">
                  <c:v>1240111</c:v>
                </c:pt>
                <c:pt idx="1404">
                  <c:v>1240112</c:v>
                </c:pt>
                <c:pt idx="1405">
                  <c:v>1240114</c:v>
                </c:pt>
                <c:pt idx="1406">
                  <c:v>1240115</c:v>
                </c:pt>
                <c:pt idx="1407">
                  <c:v>1240116</c:v>
                </c:pt>
                <c:pt idx="1408">
                  <c:v>1240117</c:v>
                </c:pt>
                <c:pt idx="1409">
                  <c:v>1240118</c:v>
                </c:pt>
                <c:pt idx="1410">
                  <c:v>1240119</c:v>
                </c:pt>
                <c:pt idx="1411">
                  <c:v>1240121</c:v>
                </c:pt>
                <c:pt idx="1412">
                  <c:v>1240122</c:v>
                </c:pt>
                <c:pt idx="1413">
                  <c:v>1240123</c:v>
                </c:pt>
                <c:pt idx="1414">
                  <c:v>1240124</c:v>
                </c:pt>
                <c:pt idx="1415">
                  <c:v>1240125</c:v>
                </c:pt>
                <c:pt idx="1416">
                  <c:v>1240126</c:v>
                </c:pt>
                <c:pt idx="1417">
                  <c:v>1240128</c:v>
                </c:pt>
                <c:pt idx="1418">
                  <c:v>1240129</c:v>
                </c:pt>
                <c:pt idx="1419">
                  <c:v>1240130</c:v>
                </c:pt>
                <c:pt idx="1420">
                  <c:v>1240131</c:v>
                </c:pt>
                <c:pt idx="1421">
                  <c:v>1240201</c:v>
                </c:pt>
                <c:pt idx="1422">
                  <c:v>1240202</c:v>
                </c:pt>
                <c:pt idx="1423">
                  <c:v>1240204</c:v>
                </c:pt>
                <c:pt idx="1424">
                  <c:v>1240205</c:v>
                </c:pt>
                <c:pt idx="1425">
                  <c:v>1240206</c:v>
                </c:pt>
                <c:pt idx="1426">
                  <c:v>1240207</c:v>
                </c:pt>
                <c:pt idx="1427">
                  <c:v>1240208</c:v>
                </c:pt>
                <c:pt idx="1428">
                  <c:v>1240209</c:v>
                </c:pt>
                <c:pt idx="1429">
                  <c:v>1240211</c:v>
                </c:pt>
                <c:pt idx="1430">
                  <c:v>1240212</c:v>
                </c:pt>
                <c:pt idx="1431">
                  <c:v>1240213</c:v>
                </c:pt>
                <c:pt idx="1432">
                  <c:v>1240214</c:v>
                </c:pt>
                <c:pt idx="1433">
                  <c:v>1240215</c:v>
                </c:pt>
                <c:pt idx="1434">
                  <c:v>1240216</c:v>
                </c:pt>
                <c:pt idx="1435">
                  <c:v>1240218</c:v>
                </c:pt>
                <c:pt idx="1436">
                  <c:v>1240219</c:v>
                </c:pt>
                <c:pt idx="1437">
                  <c:v>1240220</c:v>
                </c:pt>
                <c:pt idx="1438">
                  <c:v>1240221</c:v>
                </c:pt>
                <c:pt idx="1439">
                  <c:v>1240222</c:v>
                </c:pt>
                <c:pt idx="1440">
                  <c:v>1240223</c:v>
                </c:pt>
                <c:pt idx="1441">
                  <c:v>1240225</c:v>
                </c:pt>
                <c:pt idx="1442">
                  <c:v>1240226</c:v>
                </c:pt>
                <c:pt idx="1443">
                  <c:v>1240227</c:v>
                </c:pt>
                <c:pt idx="1444">
                  <c:v>1240228</c:v>
                </c:pt>
                <c:pt idx="1445">
                  <c:v>1240229</c:v>
                </c:pt>
                <c:pt idx="1446">
                  <c:v>1240301</c:v>
                </c:pt>
                <c:pt idx="1447">
                  <c:v>1240303</c:v>
                </c:pt>
                <c:pt idx="1448">
                  <c:v>1240304</c:v>
                </c:pt>
                <c:pt idx="1449">
                  <c:v>1240305</c:v>
                </c:pt>
                <c:pt idx="1450">
                  <c:v>1240306</c:v>
                </c:pt>
                <c:pt idx="1451">
                  <c:v>1240307</c:v>
                </c:pt>
                <c:pt idx="1452">
                  <c:v>1240308</c:v>
                </c:pt>
                <c:pt idx="1453">
                  <c:v>1240310</c:v>
                </c:pt>
                <c:pt idx="1454">
                  <c:v>1240311</c:v>
                </c:pt>
                <c:pt idx="1455">
                  <c:v>1240312</c:v>
                </c:pt>
                <c:pt idx="1456">
                  <c:v>1240313</c:v>
                </c:pt>
                <c:pt idx="1457">
                  <c:v>1240314</c:v>
                </c:pt>
                <c:pt idx="1458">
                  <c:v>1240315</c:v>
                </c:pt>
                <c:pt idx="1459">
                  <c:v>1240317</c:v>
                </c:pt>
                <c:pt idx="1460">
                  <c:v>1240318</c:v>
                </c:pt>
                <c:pt idx="1461">
                  <c:v>1240319</c:v>
                </c:pt>
                <c:pt idx="1462">
                  <c:v>1240320</c:v>
                </c:pt>
                <c:pt idx="1463">
                  <c:v>1240321</c:v>
                </c:pt>
                <c:pt idx="1464">
                  <c:v>1240322</c:v>
                </c:pt>
                <c:pt idx="1465">
                  <c:v>1240324</c:v>
                </c:pt>
                <c:pt idx="1466">
                  <c:v>1240325</c:v>
                </c:pt>
                <c:pt idx="1467">
                  <c:v>1240326</c:v>
                </c:pt>
                <c:pt idx="1468">
                  <c:v>1240327</c:v>
                </c:pt>
                <c:pt idx="1469">
                  <c:v>1240328</c:v>
                </c:pt>
                <c:pt idx="1470">
                  <c:v>1240331</c:v>
                </c:pt>
                <c:pt idx="1471">
                  <c:v>1240401</c:v>
                </c:pt>
                <c:pt idx="1472">
                  <c:v>1240402</c:v>
                </c:pt>
                <c:pt idx="1473">
                  <c:v>1240403</c:v>
                </c:pt>
                <c:pt idx="1474">
                  <c:v>1240404</c:v>
                </c:pt>
                <c:pt idx="1475">
                  <c:v>1240405</c:v>
                </c:pt>
                <c:pt idx="1476">
                  <c:v>1240407</c:v>
                </c:pt>
                <c:pt idx="1477">
                  <c:v>1240408</c:v>
                </c:pt>
                <c:pt idx="1478">
                  <c:v>1240409</c:v>
                </c:pt>
                <c:pt idx="1479">
                  <c:v>1240410</c:v>
                </c:pt>
                <c:pt idx="1480">
                  <c:v>1240411</c:v>
                </c:pt>
                <c:pt idx="1481">
                  <c:v>1240412</c:v>
                </c:pt>
                <c:pt idx="1482">
                  <c:v>1240414</c:v>
                </c:pt>
                <c:pt idx="1483">
                  <c:v>1240415</c:v>
                </c:pt>
                <c:pt idx="1484">
                  <c:v>1240416</c:v>
                </c:pt>
                <c:pt idx="1485">
                  <c:v>1240417</c:v>
                </c:pt>
                <c:pt idx="1486">
                  <c:v>1240418</c:v>
                </c:pt>
                <c:pt idx="1487">
                  <c:v>1240419</c:v>
                </c:pt>
                <c:pt idx="1488">
                  <c:v>1240421</c:v>
                </c:pt>
                <c:pt idx="1489">
                  <c:v>1240422</c:v>
                </c:pt>
                <c:pt idx="1490">
                  <c:v>1240423</c:v>
                </c:pt>
                <c:pt idx="1491">
                  <c:v>1240424</c:v>
                </c:pt>
                <c:pt idx="1492">
                  <c:v>1240425</c:v>
                </c:pt>
                <c:pt idx="1493">
                  <c:v>1240426</c:v>
                </c:pt>
                <c:pt idx="1494">
                  <c:v>1240428</c:v>
                </c:pt>
                <c:pt idx="1495">
                  <c:v>1240429</c:v>
                </c:pt>
                <c:pt idx="1496">
                  <c:v>1240430</c:v>
                </c:pt>
                <c:pt idx="1497">
                  <c:v>1240501</c:v>
                </c:pt>
                <c:pt idx="1498">
                  <c:v>1240502</c:v>
                </c:pt>
                <c:pt idx="1499">
                  <c:v>1240503</c:v>
                </c:pt>
                <c:pt idx="1500">
                  <c:v>1240505</c:v>
                </c:pt>
                <c:pt idx="1501">
                  <c:v>1240506</c:v>
                </c:pt>
                <c:pt idx="1502">
                  <c:v>1240507</c:v>
                </c:pt>
                <c:pt idx="1503">
                  <c:v>1240508</c:v>
                </c:pt>
                <c:pt idx="1504">
                  <c:v>1240509</c:v>
                </c:pt>
                <c:pt idx="1505">
                  <c:v>1240510</c:v>
                </c:pt>
                <c:pt idx="1506">
                  <c:v>1240512</c:v>
                </c:pt>
                <c:pt idx="1507">
                  <c:v>1240513</c:v>
                </c:pt>
                <c:pt idx="1508">
                  <c:v>1240514</c:v>
                </c:pt>
                <c:pt idx="1509">
                  <c:v>1240515</c:v>
                </c:pt>
                <c:pt idx="1510">
                  <c:v>1240516</c:v>
                </c:pt>
                <c:pt idx="1511">
                  <c:v>1240517</c:v>
                </c:pt>
                <c:pt idx="1512">
                  <c:v>1240519</c:v>
                </c:pt>
                <c:pt idx="1513">
                  <c:v>1240520</c:v>
                </c:pt>
                <c:pt idx="1514">
                  <c:v>1240521</c:v>
                </c:pt>
                <c:pt idx="1515">
                  <c:v>1240522</c:v>
                </c:pt>
                <c:pt idx="1516">
                  <c:v>1240523</c:v>
                </c:pt>
                <c:pt idx="1517">
                  <c:v>1240524</c:v>
                </c:pt>
                <c:pt idx="1518">
                  <c:v>1240526</c:v>
                </c:pt>
                <c:pt idx="1519">
                  <c:v>1240527</c:v>
                </c:pt>
                <c:pt idx="1520">
                  <c:v>1240528</c:v>
                </c:pt>
                <c:pt idx="1521">
                  <c:v>1240529</c:v>
                </c:pt>
                <c:pt idx="1522">
                  <c:v>1240530</c:v>
                </c:pt>
                <c:pt idx="1523">
                  <c:v>1240531</c:v>
                </c:pt>
                <c:pt idx="1524">
                  <c:v>1240602</c:v>
                </c:pt>
                <c:pt idx="1525">
                  <c:v>1240603</c:v>
                </c:pt>
                <c:pt idx="1526">
                  <c:v>1240604</c:v>
                </c:pt>
                <c:pt idx="1527">
                  <c:v>1240605</c:v>
                </c:pt>
                <c:pt idx="1528">
                  <c:v>1240606</c:v>
                </c:pt>
                <c:pt idx="1529">
                  <c:v>1240607</c:v>
                </c:pt>
                <c:pt idx="1530">
                  <c:v>1240609</c:v>
                </c:pt>
                <c:pt idx="1531">
                  <c:v>1240610</c:v>
                </c:pt>
                <c:pt idx="1532">
                  <c:v>1240611</c:v>
                </c:pt>
                <c:pt idx="1533">
                  <c:v>1240612</c:v>
                </c:pt>
                <c:pt idx="1534">
                  <c:v>1240613</c:v>
                </c:pt>
                <c:pt idx="1535">
                  <c:v>1240614</c:v>
                </c:pt>
                <c:pt idx="1536">
                  <c:v>1240616</c:v>
                </c:pt>
                <c:pt idx="1537">
                  <c:v>1240617</c:v>
                </c:pt>
                <c:pt idx="1538">
                  <c:v>1240618</c:v>
                </c:pt>
                <c:pt idx="1539">
                  <c:v>1240619</c:v>
                </c:pt>
                <c:pt idx="1540">
                  <c:v>1240620</c:v>
                </c:pt>
                <c:pt idx="1541">
                  <c:v>1240621</c:v>
                </c:pt>
              </c:numCache>
            </c:numRef>
          </c:cat>
          <c:val>
            <c:numRef>
              <c:f>Portfolio!$K$25:$K$1566</c:f>
              <c:numCache>
                <c:formatCode>_-* #,##0_-;\-* #,##0_-;_-* "-"??_-;_-@_-</c:formatCode>
                <c:ptCount val="1542"/>
                <c:pt idx="0">
                  <c:v>808.1</c:v>
                </c:pt>
                <c:pt idx="1">
                  <c:v>-1087.5</c:v>
                </c:pt>
                <c:pt idx="2">
                  <c:v>4820</c:v>
                </c:pt>
                <c:pt idx="3">
                  <c:v>6756.25</c:v>
                </c:pt>
                <c:pt idx="4">
                  <c:v>6743.75</c:v>
                </c:pt>
                <c:pt idx="5">
                  <c:v>7353.15</c:v>
                </c:pt>
                <c:pt idx="6">
                  <c:v>7009.35</c:v>
                </c:pt>
                <c:pt idx="7">
                  <c:v>7762.5</c:v>
                </c:pt>
                <c:pt idx="8">
                  <c:v>11508.75</c:v>
                </c:pt>
                <c:pt idx="9">
                  <c:v>6974.4</c:v>
                </c:pt>
                <c:pt idx="10">
                  <c:v>9883.75</c:v>
                </c:pt>
                <c:pt idx="11">
                  <c:v>9670</c:v>
                </c:pt>
                <c:pt idx="12">
                  <c:v>8241.25</c:v>
                </c:pt>
                <c:pt idx="13">
                  <c:v>5762.5</c:v>
                </c:pt>
                <c:pt idx="14">
                  <c:v>6891.9</c:v>
                </c:pt>
                <c:pt idx="15">
                  <c:v>6930.65</c:v>
                </c:pt>
                <c:pt idx="16">
                  <c:v>5791.9</c:v>
                </c:pt>
                <c:pt idx="17">
                  <c:v>5491.25</c:v>
                </c:pt>
                <c:pt idx="18">
                  <c:v>4377.5</c:v>
                </c:pt>
                <c:pt idx="19">
                  <c:v>4151.25</c:v>
                </c:pt>
                <c:pt idx="20">
                  <c:v>3540</c:v>
                </c:pt>
                <c:pt idx="21">
                  <c:v>9086.25</c:v>
                </c:pt>
                <c:pt idx="22">
                  <c:v>5765</c:v>
                </c:pt>
                <c:pt idx="23">
                  <c:v>4976.8999999999996</c:v>
                </c:pt>
                <c:pt idx="24">
                  <c:v>5940.65</c:v>
                </c:pt>
                <c:pt idx="25">
                  <c:v>2218.75</c:v>
                </c:pt>
                <c:pt idx="26">
                  <c:v>-658.75</c:v>
                </c:pt>
                <c:pt idx="27">
                  <c:v>-5660.5999999999985</c:v>
                </c:pt>
                <c:pt idx="28">
                  <c:v>-2991.25</c:v>
                </c:pt>
                <c:pt idx="29">
                  <c:v>-2935</c:v>
                </c:pt>
                <c:pt idx="30">
                  <c:v>-1631.9000000000015</c:v>
                </c:pt>
                <c:pt idx="31">
                  <c:v>-1885</c:v>
                </c:pt>
                <c:pt idx="32">
                  <c:v>-1403.75</c:v>
                </c:pt>
                <c:pt idx="33">
                  <c:v>-8548.0999999999985</c:v>
                </c:pt>
                <c:pt idx="34">
                  <c:v>-6475</c:v>
                </c:pt>
                <c:pt idx="35">
                  <c:v>-6028.1500000000015</c:v>
                </c:pt>
                <c:pt idx="36">
                  <c:v>-4309.3499999999985</c:v>
                </c:pt>
                <c:pt idx="37">
                  <c:v>-7503.1500000000015</c:v>
                </c:pt>
                <c:pt idx="38">
                  <c:v>-9221.8499999999985</c:v>
                </c:pt>
                <c:pt idx="39">
                  <c:v>-7970.6500000000015</c:v>
                </c:pt>
                <c:pt idx="40">
                  <c:v>5483.0999999999985</c:v>
                </c:pt>
                <c:pt idx="41">
                  <c:v>4613.75</c:v>
                </c:pt>
                <c:pt idx="42">
                  <c:v>-2205.5999999999985</c:v>
                </c:pt>
                <c:pt idx="43">
                  <c:v>-1504.3499999999985</c:v>
                </c:pt>
                <c:pt idx="44">
                  <c:v>20</c:v>
                </c:pt>
                <c:pt idx="45">
                  <c:v>1575</c:v>
                </c:pt>
                <c:pt idx="46">
                  <c:v>566.84999999999854</c:v>
                </c:pt>
                <c:pt idx="47">
                  <c:v>1107.5</c:v>
                </c:pt>
                <c:pt idx="48">
                  <c:v>1685.6500000000015</c:v>
                </c:pt>
                <c:pt idx="49">
                  <c:v>640.59999999999854</c:v>
                </c:pt>
                <c:pt idx="50">
                  <c:v>-1932.5</c:v>
                </c:pt>
                <c:pt idx="51">
                  <c:v>2428.75</c:v>
                </c:pt>
                <c:pt idx="52">
                  <c:v>1403.75</c:v>
                </c:pt>
                <c:pt idx="53">
                  <c:v>899.40000000000146</c:v>
                </c:pt>
                <c:pt idx="54">
                  <c:v>-1268.0999999999985</c:v>
                </c:pt>
                <c:pt idx="55">
                  <c:v>2985.6500000000015</c:v>
                </c:pt>
                <c:pt idx="56">
                  <c:v>1881.8499999999985</c:v>
                </c:pt>
                <c:pt idx="57">
                  <c:v>-2940</c:v>
                </c:pt>
                <c:pt idx="58">
                  <c:v>830</c:v>
                </c:pt>
                <c:pt idx="59">
                  <c:v>101.25</c:v>
                </c:pt>
                <c:pt idx="60">
                  <c:v>-558.75</c:v>
                </c:pt>
                <c:pt idx="61">
                  <c:v>-4439.3499999999985</c:v>
                </c:pt>
                <c:pt idx="62">
                  <c:v>-5645.5999999999985</c:v>
                </c:pt>
                <c:pt idx="63">
                  <c:v>-4648.75</c:v>
                </c:pt>
                <c:pt idx="64">
                  <c:v>-8373.75</c:v>
                </c:pt>
                <c:pt idx="65">
                  <c:v>-9175.6500000000015</c:v>
                </c:pt>
                <c:pt idx="66">
                  <c:v>-12633.75</c:v>
                </c:pt>
                <c:pt idx="67">
                  <c:v>-8913.75</c:v>
                </c:pt>
                <c:pt idx="68">
                  <c:v>-6250.5999999999985</c:v>
                </c:pt>
                <c:pt idx="69">
                  <c:v>-7115</c:v>
                </c:pt>
                <c:pt idx="70">
                  <c:v>-9295</c:v>
                </c:pt>
                <c:pt idx="71">
                  <c:v>-9205.6500000000015</c:v>
                </c:pt>
                <c:pt idx="72">
                  <c:v>-7577.5</c:v>
                </c:pt>
                <c:pt idx="73">
                  <c:v>-6566.9000000000015</c:v>
                </c:pt>
                <c:pt idx="74">
                  <c:v>1195</c:v>
                </c:pt>
                <c:pt idx="75">
                  <c:v>4598.1500000000015</c:v>
                </c:pt>
                <c:pt idx="76">
                  <c:v>2708.75</c:v>
                </c:pt>
                <c:pt idx="77">
                  <c:v>2714.3499999999985</c:v>
                </c:pt>
                <c:pt idx="78">
                  <c:v>5636.9000000000015</c:v>
                </c:pt>
                <c:pt idx="79">
                  <c:v>3185.6500000000015</c:v>
                </c:pt>
                <c:pt idx="80">
                  <c:v>186.90000000000146</c:v>
                </c:pt>
                <c:pt idx="81">
                  <c:v>5178.0999999999985</c:v>
                </c:pt>
                <c:pt idx="82">
                  <c:v>8502.5</c:v>
                </c:pt>
                <c:pt idx="83">
                  <c:v>7423.75</c:v>
                </c:pt>
                <c:pt idx="84">
                  <c:v>6110.6500000000015</c:v>
                </c:pt>
                <c:pt idx="85">
                  <c:v>7189.4000000000015</c:v>
                </c:pt>
                <c:pt idx="86">
                  <c:v>5662.5</c:v>
                </c:pt>
                <c:pt idx="87">
                  <c:v>5397.5</c:v>
                </c:pt>
                <c:pt idx="88">
                  <c:v>3403.0999999999985</c:v>
                </c:pt>
                <c:pt idx="89">
                  <c:v>2388.1500000000015</c:v>
                </c:pt>
                <c:pt idx="90">
                  <c:v>1361.8499999999985</c:v>
                </c:pt>
                <c:pt idx="91">
                  <c:v>216.25</c:v>
                </c:pt>
                <c:pt idx="92">
                  <c:v>210</c:v>
                </c:pt>
                <c:pt idx="93">
                  <c:v>1350.6500000000015</c:v>
                </c:pt>
                <c:pt idx="94">
                  <c:v>3225.5999999999985</c:v>
                </c:pt>
                <c:pt idx="95">
                  <c:v>3747.5</c:v>
                </c:pt>
                <c:pt idx="96">
                  <c:v>7121.25</c:v>
                </c:pt>
                <c:pt idx="97">
                  <c:v>5600</c:v>
                </c:pt>
                <c:pt idx="98">
                  <c:v>5770</c:v>
                </c:pt>
                <c:pt idx="99">
                  <c:v>10448.150000000001</c:v>
                </c:pt>
                <c:pt idx="100">
                  <c:v>8600.5999999999985</c:v>
                </c:pt>
                <c:pt idx="101">
                  <c:v>9328.75</c:v>
                </c:pt>
                <c:pt idx="102">
                  <c:v>11013.75</c:v>
                </c:pt>
                <c:pt idx="103">
                  <c:v>14992.5</c:v>
                </c:pt>
                <c:pt idx="104">
                  <c:v>14359.400000000001</c:v>
                </c:pt>
                <c:pt idx="105">
                  <c:v>12101.900000000001</c:v>
                </c:pt>
                <c:pt idx="106">
                  <c:v>10627.5</c:v>
                </c:pt>
                <c:pt idx="107">
                  <c:v>11465</c:v>
                </c:pt>
                <c:pt idx="108">
                  <c:v>10765.599999999999</c:v>
                </c:pt>
                <c:pt idx="109">
                  <c:v>10493.150000000001</c:v>
                </c:pt>
                <c:pt idx="110">
                  <c:v>9024.4000000000015</c:v>
                </c:pt>
                <c:pt idx="111">
                  <c:v>9965.6500000000015</c:v>
                </c:pt>
                <c:pt idx="112">
                  <c:v>10504.400000000001</c:v>
                </c:pt>
                <c:pt idx="113">
                  <c:v>10299.349999999999</c:v>
                </c:pt>
                <c:pt idx="114">
                  <c:v>6064.3499999999985</c:v>
                </c:pt>
                <c:pt idx="115">
                  <c:v>8061.9000000000015</c:v>
                </c:pt>
                <c:pt idx="116">
                  <c:v>8151.9000000000015</c:v>
                </c:pt>
                <c:pt idx="117">
                  <c:v>7919.4000000000015</c:v>
                </c:pt>
                <c:pt idx="118">
                  <c:v>7085</c:v>
                </c:pt>
                <c:pt idx="119">
                  <c:v>7467.5</c:v>
                </c:pt>
                <c:pt idx="120">
                  <c:v>7113.75</c:v>
                </c:pt>
                <c:pt idx="121">
                  <c:v>7054.4000000000015</c:v>
                </c:pt>
                <c:pt idx="122">
                  <c:v>7556.25</c:v>
                </c:pt>
                <c:pt idx="123">
                  <c:v>7841.8499999999985</c:v>
                </c:pt>
                <c:pt idx="124">
                  <c:v>8124.3499999999985</c:v>
                </c:pt>
                <c:pt idx="125">
                  <c:v>8636.8499999999985</c:v>
                </c:pt>
                <c:pt idx="126">
                  <c:v>10856.25</c:v>
                </c:pt>
                <c:pt idx="127">
                  <c:v>13366.25</c:v>
                </c:pt>
                <c:pt idx="128">
                  <c:v>12630.650000000001</c:v>
                </c:pt>
                <c:pt idx="129">
                  <c:v>13645.650000000001</c:v>
                </c:pt>
                <c:pt idx="130">
                  <c:v>13735</c:v>
                </c:pt>
                <c:pt idx="131">
                  <c:v>13401.900000000001</c:v>
                </c:pt>
                <c:pt idx="132">
                  <c:v>12491.25</c:v>
                </c:pt>
                <c:pt idx="133">
                  <c:v>12336.900000000001</c:v>
                </c:pt>
                <c:pt idx="134">
                  <c:v>13298.75</c:v>
                </c:pt>
                <c:pt idx="135">
                  <c:v>17565</c:v>
                </c:pt>
                <c:pt idx="136">
                  <c:v>18723.75</c:v>
                </c:pt>
                <c:pt idx="137">
                  <c:v>18633.099999999999</c:v>
                </c:pt>
                <c:pt idx="138">
                  <c:v>18168.75</c:v>
                </c:pt>
                <c:pt idx="139">
                  <c:v>18234.400000000001</c:v>
                </c:pt>
                <c:pt idx="140">
                  <c:v>19230.650000000001</c:v>
                </c:pt>
                <c:pt idx="141">
                  <c:v>19729.400000000001</c:v>
                </c:pt>
                <c:pt idx="142">
                  <c:v>19821.849999999999</c:v>
                </c:pt>
                <c:pt idx="143">
                  <c:v>19668.099999999999</c:v>
                </c:pt>
                <c:pt idx="144">
                  <c:v>20480.650000000001</c:v>
                </c:pt>
                <c:pt idx="145">
                  <c:v>21253.75</c:v>
                </c:pt>
                <c:pt idx="146">
                  <c:v>21619.4</c:v>
                </c:pt>
                <c:pt idx="147">
                  <c:v>21584.400000000001</c:v>
                </c:pt>
                <c:pt idx="148">
                  <c:v>20915.599999999999</c:v>
                </c:pt>
                <c:pt idx="149">
                  <c:v>21087.5</c:v>
                </c:pt>
                <c:pt idx="150">
                  <c:v>17615.599999999999</c:v>
                </c:pt>
                <c:pt idx="151">
                  <c:v>19089.400000000001</c:v>
                </c:pt>
                <c:pt idx="152">
                  <c:v>18465</c:v>
                </c:pt>
                <c:pt idx="153">
                  <c:v>23885.65</c:v>
                </c:pt>
                <c:pt idx="154">
                  <c:v>28368.1</c:v>
                </c:pt>
                <c:pt idx="155">
                  <c:v>28866.9</c:v>
                </c:pt>
                <c:pt idx="156">
                  <c:v>29041.9</c:v>
                </c:pt>
                <c:pt idx="157">
                  <c:v>28991.9</c:v>
                </c:pt>
                <c:pt idx="158">
                  <c:v>31831.85</c:v>
                </c:pt>
                <c:pt idx="159">
                  <c:v>31978.15</c:v>
                </c:pt>
                <c:pt idx="160">
                  <c:v>32238.1</c:v>
                </c:pt>
                <c:pt idx="161">
                  <c:v>31518.75</c:v>
                </c:pt>
                <c:pt idx="162">
                  <c:v>31923.15</c:v>
                </c:pt>
                <c:pt idx="163">
                  <c:v>31334.35</c:v>
                </c:pt>
                <c:pt idx="164">
                  <c:v>31421.85</c:v>
                </c:pt>
                <c:pt idx="165">
                  <c:v>31862.5</c:v>
                </c:pt>
                <c:pt idx="166">
                  <c:v>30284.400000000001</c:v>
                </c:pt>
                <c:pt idx="167">
                  <c:v>30468.75</c:v>
                </c:pt>
                <c:pt idx="168">
                  <c:v>31471.25</c:v>
                </c:pt>
                <c:pt idx="169">
                  <c:v>31225</c:v>
                </c:pt>
                <c:pt idx="170">
                  <c:v>33283.1</c:v>
                </c:pt>
                <c:pt idx="171">
                  <c:v>32240</c:v>
                </c:pt>
                <c:pt idx="172">
                  <c:v>40183.75</c:v>
                </c:pt>
                <c:pt idx="173">
                  <c:v>39232.5</c:v>
                </c:pt>
                <c:pt idx="174">
                  <c:v>40761.9</c:v>
                </c:pt>
                <c:pt idx="175">
                  <c:v>42980.65</c:v>
                </c:pt>
                <c:pt idx="176">
                  <c:v>42063.1</c:v>
                </c:pt>
                <c:pt idx="177">
                  <c:v>42283.75</c:v>
                </c:pt>
                <c:pt idx="178">
                  <c:v>47121.85</c:v>
                </c:pt>
                <c:pt idx="179">
                  <c:v>45181.25</c:v>
                </c:pt>
                <c:pt idx="180">
                  <c:v>44493.1</c:v>
                </c:pt>
                <c:pt idx="181">
                  <c:v>48117.5</c:v>
                </c:pt>
                <c:pt idx="182">
                  <c:v>54181.85</c:v>
                </c:pt>
                <c:pt idx="183">
                  <c:v>52428.1</c:v>
                </c:pt>
                <c:pt idx="184">
                  <c:v>55008.75</c:v>
                </c:pt>
                <c:pt idx="185">
                  <c:v>52905</c:v>
                </c:pt>
                <c:pt idx="186">
                  <c:v>53864.4</c:v>
                </c:pt>
                <c:pt idx="187">
                  <c:v>51686.25</c:v>
                </c:pt>
                <c:pt idx="188">
                  <c:v>49610</c:v>
                </c:pt>
                <c:pt idx="189">
                  <c:v>50014.400000000001</c:v>
                </c:pt>
                <c:pt idx="190">
                  <c:v>49156.85</c:v>
                </c:pt>
                <c:pt idx="191">
                  <c:v>48922.5</c:v>
                </c:pt>
                <c:pt idx="192">
                  <c:v>50853.75</c:v>
                </c:pt>
                <c:pt idx="193">
                  <c:v>51439.35</c:v>
                </c:pt>
                <c:pt idx="194">
                  <c:v>52473.75</c:v>
                </c:pt>
                <c:pt idx="195">
                  <c:v>56036.85</c:v>
                </c:pt>
                <c:pt idx="196">
                  <c:v>61148.75</c:v>
                </c:pt>
                <c:pt idx="197">
                  <c:v>61389.4</c:v>
                </c:pt>
                <c:pt idx="198">
                  <c:v>61458.75</c:v>
                </c:pt>
                <c:pt idx="199">
                  <c:v>65345.599999999999</c:v>
                </c:pt>
                <c:pt idx="200">
                  <c:v>54250</c:v>
                </c:pt>
                <c:pt idx="201">
                  <c:v>56151.9</c:v>
                </c:pt>
                <c:pt idx="202">
                  <c:v>65508.15</c:v>
                </c:pt>
                <c:pt idx="203">
                  <c:v>64050</c:v>
                </c:pt>
                <c:pt idx="204">
                  <c:v>59500.65</c:v>
                </c:pt>
                <c:pt idx="205">
                  <c:v>70864.350000000006</c:v>
                </c:pt>
                <c:pt idx="206">
                  <c:v>68532.5</c:v>
                </c:pt>
                <c:pt idx="207">
                  <c:v>74003.100000000006</c:v>
                </c:pt>
                <c:pt idx="208">
                  <c:v>90913.75</c:v>
                </c:pt>
                <c:pt idx="209">
                  <c:v>91651.25</c:v>
                </c:pt>
                <c:pt idx="210">
                  <c:v>96466.85</c:v>
                </c:pt>
                <c:pt idx="211">
                  <c:v>90173.15</c:v>
                </c:pt>
                <c:pt idx="212">
                  <c:v>92866.25</c:v>
                </c:pt>
                <c:pt idx="213">
                  <c:v>92803.75</c:v>
                </c:pt>
                <c:pt idx="214">
                  <c:v>69641.850000000006</c:v>
                </c:pt>
                <c:pt idx="215">
                  <c:v>67458.100000000006</c:v>
                </c:pt>
                <c:pt idx="216">
                  <c:v>72483.75</c:v>
                </c:pt>
                <c:pt idx="217">
                  <c:v>72478.100000000006</c:v>
                </c:pt>
                <c:pt idx="218">
                  <c:v>84578.15</c:v>
                </c:pt>
                <c:pt idx="219">
                  <c:v>80437.5</c:v>
                </c:pt>
                <c:pt idx="220">
                  <c:v>94208.15</c:v>
                </c:pt>
                <c:pt idx="221">
                  <c:v>91055</c:v>
                </c:pt>
                <c:pt idx="222">
                  <c:v>99925.6</c:v>
                </c:pt>
                <c:pt idx="223">
                  <c:v>109834.35</c:v>
                </c:pt>
                <c:pt idx="224">
                  <c:v>110106.25</c:v>
                </c:pt>
                <c:pt idx="225">
                  <c:v>116449.35</c:v>
                </c:pt>
                <c:pt idx="226">
                  <c:v>117946.25</c:v>
                </c:pt>
                <c:pt idx="227">
                  <c:v>119563.75</c:v>
                </c:pt>
                <c:pt idx="228">
                  <c:v>118579.35</c:v>
                </c:pt>
                <c:pt idx="229">
                  <c:v>125308.1</c:v>
                </c:pt>
                <c:pt idx="230">
                  <c:v>123316.25</c:v>
                </c:pt>
                <c:pt idx="231">
                  <c:v>123718.15</c:v>
                </c:pt>
                <c:pt idx="232">
                  <c:v>120468.75</c:v>
                </c:pt>
                <c:pt idx="233">
                  <c:v>118113.15</c:v>
                </c:pt>
                <c:pt idx="234">
                  <c:v>120131.25</c:v>
                </c:pt>
                <c:pt idx="235">
                  <c:v>118605</c:v>
                </c:pt>
                <c:pt idx="236">
                  <c:v>118725</c:v>
                </c:pt>
                <c:pt idx="237">
                  <c:v>120020</c:v>
                </c:pt>
                <c:pt idx="238">
                  <c:v>119306.85</c:v>
                </c:pt>
                <c:pt idx="239">
                  <c:v>122967.5</c:v>
                </c:pt>
                <c:pt idx="240">
                  <c:v>120813.1</c:v>
                </c:pt>
                <c:pt idx="241">
                  <c:v>123201.85</c:v>
                </c:pt>
                <c:pt idx="242">
                  <c:v>115633.15</c:v>
                </c:pt>
                <c:pt idx="243">
                  <c:v>116789.4</c:v>
                </c:pt>
                <c:pt idx="244">
                  <c:v>115338.75</c:v>
                </c:pt>
                <c:pt idx="245">
                  <c:v>117218.1</c:v>
                </c:pt>
                <c:pt idx="246">
                  <c:v>118585</c:v>
                </c:pt>
                <c:pt idx="247">
                  <c:v>115918.75</c:v>
                </c:pt>
                <c:pt idx="248">
                  <c:v>116655</c:v>
                </c:pt>
                <c:pt idx="249">
                  <c:v>117986.85</c:v>
                </c:pt>
                <c:pt idx="250">
                  <c:v>120277.5</c:v>
                </c:pt>
                <c:pt idx="251">
                  <c:v>122988.75</c:v>
                </c:pt>
                <c:pt idx="252">
                  <c:v>123408.75</c:v>
                </c:pt>
                <c:pt idx="253">
                  <c:v>122305</c:v>
                </c:pt>
                <c:pt idx="254">
                  <c:v>124515.65</c:v>
                </c:pt>
                <c:pt idx="255">
                  <c:v>124514.35</c:v>
                </c:pt>
                <c:pt idx="256">
                  <c:v>124130</c:v>
                </c:pt>
                <c:pt idx="257">
                  <c:v>124460.65</c:v>
                </c:pt>
                <c:pt idx="258">
                  <c:v>125415.65</c:v>
                </c:pt>
                <c:pt idx="259">
                  <c:v>126633.75</c:v>
                </c:pt>
                <c:pt idx="260">
                  <c:v>130384.35</c:v>
                </c:pt>
                <c:pt idx="261">
                  <c:v>133582.5</c:v>
                </c:pt>
                <c:pt idx="262">
                  <c:v>133635.65</c:v>
                </c:pt>
                <c:pt idx="263">
                  <c:v>133396.25</c:v>
                </c:pt>
                <c:pt idx="264">
                  <c:v>129753.15</c:v>
                </c:pt>
                <c:pt idx="265">
                  <c:v>128900</c:v>
                </c:pt>
                <c:pt idx="266">
                  <c:v>127118.1</c:v>
                </c:pt>
                <c:pt idx="267">
                  <c:v>126532.5</c:v>
                </c:pt>
                <c:pt idx="268">
                  <c:v>127586.25</c:v>
                </c:pt>
                <c:pt idx="269">
                  <c:v>133025.60000000001</c:v>
                </c:pt>
                <c:pt idx="270">
                  <c:v>133050</c:v>
                </c:pt>
                <c:pt idx="271">
                  <c:v>130068.75</c:v>
                </c:pt>
                <c:pt idx="272">
                  <c:v>131427.5</c:v>
                </c:pt>
                <c:pt idx="273">
                  <c:v>130230.6</c:v>
                </c:pt>
                <c:pt idx="274">
                  <c:v>129939.4</c:v>
                </c:pt>
                <c:pt idx="275">
                  <c:v>130246.85</c:v>
                </c:pt>
                <c:pt idx="276">
                  <c:v>130271.25</c:v>
                </c:pt>
                <c:pt idx="277">
                  <c:v>126726.9</c:v>
                </c:pt>
                <c:pt idx="278">
                  <c:v>123141.9</c:v>
                </c:pt>
                <c:pt idx="279">
                  <c:v>125274.4</c:v>
                </c:pt>
                <c:pt idx="280">
                  <c:v>123905</c:v>
                </c:pt>
                <c:pt idx="281">
                  <c:v>121447.5</c:v>
                </c:pt>
                <c:pt idx="282">
                  <c:v>124678.1</c:v>
                </c:pt>
                <c:pt idx="283">
                  <c:v>128590.65</c:v>
                </c:pt>
                <c:pt idx="284">
                  <c:v>131508.15</c:v>
                </c:pt>
                <c:pt idx="285">
                  <c:v>137400.65</c:v>
                </c:pt>
                <c:pt idx="286">
                  <c:v>135998.1</c:v>
                </c:pt>
                <c:pt idx="287">
                  <c:v>138454.35</c:v>
                </c:pt>
                <c:pt idx="288">
                  <c:v>140807.5</c:v>
                </c:pt>
                <c:pt idx="289">
                  <c:v>148566.9</c:v>
                </c:pt>
                <c:pt idx="290">
                  <c:v>150953.75</c:v>
                </c:pt>
                <c:pt idx="291">
                  <c:v>151571.25</c:v>
                </c:pt>
                <c:pt idx="292">
                  <c:v>152529.4</c:v>
                </c:pt>
                <c:pt idx="293">
                  <c:v>150202.5</c:v>
                </c:pt>
                <c:pt idx="294">
                  <c:v>146790.6</c:v>
                </c:pt>
                <c:pt idx="295">
                  <c:v>147925.6</c:v>
                </c:pt>
                <c:pt idx="296">
                  <c:v>147186.25</c:v>
                </c:pt>
                <c:pt idx="297">
                  <c:v>147148.75</c:v>
                </c:pt>
                <c:pt idx="298">
                  <c:v>147423.1</c:v>
                </c:pt>
                <c:pt idx="299">
                  <c:v>146383.15</c:v>
                </c:pt>
                <c:pt idx="300">
                  <c:v>147791.25</c:v>
                </c:pt>
                <c:pt idx="301">
                  <c:v>150125</c:v>
                </c:pt>
                <c:pt idx="302">
                  <c:v>150103.15</c:v>
                </c:pt>
                <c:pt idx="303">
                  <c:v>153558.1</c:v>
                </c:pt>
                <c:pt idx="304">
                  <c:v>153106.25</c:v>
                </c:pt>
                <c:pt idx="305">
                  <c:v>153614.39999999999</c:v>
                </c:pt>
                <c:pt idx="306">
                  <c:v>151504.4</c:v>
                </c:pt>
                <c:pt idx="307">
                  <c:v>153290</c:v>
                </c:pt>
                <c:pt idx="308">
                  <c:v>151697.5</c:v>
                </c:pt>
                <c:pt idx="309">
                  <c:v>151270</c:v>
                </c:pt>
                <c:pt idx="310">
                  <c:v>151351.25</c:v>
                </c:pt>
                <c:pt idx="311">
                  <c:v>151213.1</c:v>
                </c:pt>
                <c:pt idx="312">
                  <c:v>147065</c:v>
                </c:pt>
                <c:pt idx="313">
                  <c:v>148428.1</c:v>
                </c:pt>
                <c:pt idx="314">
                  <c:v>151389.35</c:v>
                </c:pt>
                <c:pt idx="315">
                  <c:v>150345</c:v>
                </c:pt>
                <c:pt idx="316">
                  <c:v>150471.25</c:v>
                </c:pt>
                <c:pt idx="317">
                  <c:v>147884.35</c:v>
                </c:pt>
                <c:pt idx="318">
                  <c:v>147937.5</c:v>
                </c:pt>
                <c:pt idx="319">
                  <c:v>145346.85</c:v>
                </c:pt>
                <c:pt idx="320">
                  <c:v>146466.25</c:v>
                </c:pt>
                <c:pt idx="321">
                  <c:v>147045</c:v>
                </c:pt>
                <c:pt idx="322">
                  <c:v>145928.15</c:v>
                </c:pt>
                <c:pt idx="323">
                  <c:v>147455</c:v>
                </c:pt>
                <c:pt idx="324">
                  <c:v>151472.5</c:v>
                </c:pt>
                <c:pt idx="325">
                  <c:v>150401.85</c:v>
                </c:pt>
                <c:pt idx="326">
                  <c:v>153021.85</c:v>
                </c:pt>
                <c:pt idx="327">
                  <c:v>153490.6</c:v>
                </c:pt>
                <c:pt idx="328">
                  <c:v>155533.75</c:v>
                </c:pt>
                <c:pt idx="329">
                  <c:v>157658.75</c:v>
                </c:pt>
                <c:pt idx="330">
                  <c:v>155719.35</c:v>
                </c:pt>
                <c:pt idx="331">
                  <c:v>155222.5</c:v>
                </c:pt>
                <c:pt idx="332">
                  <c:v>152413.15</c:v>
                </c:pt>
                <c:pt idx="333">
                  <c:v>150808.75</c:v>
                </c:pt>
                <c:pt idx="334">
                  <c:v>151374.35</c:v>
                </c:pt>
                <c:pt idx="335">
                  <c:v>150688.1</c:v>
                </c:pt>
                <c:pt idx="336">
                  <c:v>147086.25</c:v>
                </c:pt>
                <c:pt idx="337">
                  <c:v>144185</c:v>
                </c:pt>
                <c:pt idx="338">
                  <c:v>143644.4</c:v>
                </c:pt>
                <c:pt idx="339">
                  <c:v>144303.15</c:v>
                </c:pt>
                <c:pt idx="340">
                  <c:v>143833.75</c:v>
                </c:pt>
                <c:pt idx="341">
                  <c:v>139615.65</c:v>
                </c:pt>
                <c:pt idx="342">
                  <c:v>151865.60000000001</c:v>
                </c:pt>
                <c:pt idx="343">
                  <c:v>145255.6</c:v>
                </c:pt>
                <c:pt idx="344">
                  <c:v>141553.1</c:v>
                </c:pt>
                <c:pt idx="345">
                  <c:v>140642.5</c:v>
                </c:pt>
                <c:pt idx="346">
                  <c:v>141111.25</c:v>
                </c:pt>
                <c:pt idx="347">
                  <c:v>146203.1</c:v>
                </c:pt>
                <c:pt idx="348">
                  <c:v>145609.35</c:v>
                </c:pt>
                <c:pt idx="349">
                  <c:v>148883.15</c:v>
                </c:pt>
                <c:pt idx="350">
                  <c:v>150636.25</c:v>
                </c:pt>
                <c:pt idx="351">
                  <c:v>150909.4</c:v>
                </c:pt>
                <c:pt idx="352">
                  <c:v>151855.65</c:v>
                </c:pt>
                <c:pt idx="353">
                  <c:v>148564.4</c:v>
                </c:pt>
                <c:pt idx="354">
                  <c:v>150066.25</c:v>
                </c:pt>
                <c:pt idx="355">
                  <c:v>146188.15</c:v>
                </c:pt>
                <c:pt idx="356">
                  <c:v>144533.75</c:v>
                </c:pt>
                <c:pt idx="357">
                  <c:v>143630</c:v>
                </c:pt>
                <c:pt idx="358">
                  <c:v>142501.9</c:v>
                </c:pt>
                <c:pt idx="359">
                  <c:v>141919.35</c:v>
                </c:pt>
                <c:pt idx="360">
                  <c:v>141697.5</c:v>
                </c:pt>
                <c:pt idx="361">
                  <c:v>139034.35</c:v>
                </c:pt>
                <c:pt idx="362">
                  <c:v>139305.65</c:v>
                </c:pt>
                <c:pt idx="363">
                  <c:v>139436.25</c:v>
                </c:pt>
                <c:pt idx="364">
                  <c:v>139698.75</c:v>
                </c:pt>
                <c:pt idx="365">
                  <c:v>139416.25</c:v>
                </c:pt>
                <c:pt idx="366">
                  <c:v>136068.75</c:v>
                </c:pt>
                <c:pt idx="367">
                  <c:v>133183.75</c:v>
                </c:pt>
                <c:pt idx="368">
                  <c:v>134650</c:v>
                </c:pt>
                <c:pt idx="369">
                  <c:v>134593.75</c:v>
                </c:pt>
                <c:pt idx="370">
                  <c:v>135208.1</c:v>
                </c:pt>
                <c:pt idx="371">
                  <c:v>134206.25</c:v>
                </c:pt>
                <c:pt idx="372">
                  <c:v>132946.25</c:v>
                </c:pt>
                <c:pt idx="373">
                  <c:v>127231.25</c:v>
                </c:pt>
                <c:pt idx="374">
                  <c:v>127831.25</c:v>
                </c:pt>
                <c:pt idx="375">
                  <c:v>127856.25</c:v>
                </c:pt>
                <c:pt idx="376">
                  <c:v>127436.9</c:v>
                </c:pt>
                <c:pt idx="377">
                  <c:v>132388.75</c:v>
                </c:pt>
                <c:pt idx="378">
                  <c:v>131213.75</c:v>
                </c:pt>
                <c:pt idx="379">
                  <c:v>135266.9</c:v>
                </c:pt>
                <c:pt idx="380">
                  <c:v>134783.75</c:v>
                </c:pt>
                <c:pt idx="381">
                  <c:v>136138.75</c:v>
                </c:pt>
                <c:pt idx="382">
                  <c:v>136288.75</c:v>
                </c:pt>
                <c:pt idx="383">
                  <c:v>138526.85</c:v>
                </c:pt>
                <c:pt idx="384">
                  <c:v>138348.75</c:v>
                </c:pt>
                <c:pt idx="385">
                  <c:v>135911.85</c:v>
                </c:pt>
                <c:pt idx="386">
                  <c:v>137780</c:v>
                </c:pt>
                <c:pt idx="387">
                  <c:v>137695.6</c:v>
                </c:pt>
                <c:pt idx="388">
                  <c:v>137836.25</c:v>
                </c:pt>
                <c:pt idx="389">
                  <c:v>141598.75</c:v>
                </c:pt>
                <c:pt idx="390">
                  <c:v>136165</c:v>
                </c:pt>
                <c:pt idx="391">
                  <c:v>137756.9</c:v>
                </c:pt>
                <c:pt idx="392">
                  <c:v>139621.85</c:v>
                </c:pt>
                <c:pt idx="393">
                  <c:v>138918.15</c:v>
                </c:pt>
                <c:pt idx="394">
                  <c:v>139221.25</c:v>
                </c:pt>
                <c:pt idx="395">
                  <c:v>141621.85</c:v>
                </c:pt>
                <c:pt idx="396">
                  <c:v>140771.25</c:v>
                </c:pt>
                <c:pt idx="397">
                  <c:v>142191.25</c:v>
                </c:pt>
                <c:pt idx="398">
                  <c:v>140530.6</c:v>
                </c:pt>
                <c:pt idx="399">
                  <c:v>137433.1</c:v>
                </c:pt>
                <c:pt idx="400">
                  <c:v>137950.6</c:v>
                </c:pt>
                <c:pt idx="401">
                  <c:v>138890</c:v>
                </c:pt>
                <c:pt idx="402">
                  <c:v>141261.9</c:v>
                </c:pt>
                <c:pt idx="403">
                  <c:v>138831.25</c:v>
                </c:pt>
                <c:pt idx="404">
                  <c:v>139130.65</c:v>
                </c:pt>
                <c:pt idx="405">
                  <c:v>136364.35</c:v>
                </c:pt>
                <c:pt idx="406">
                  <c:v>136675</c:v>
                </c:pt>
                <c:pt idx="407">
                  <c:v>138155.6</c:v>
                </c:pt>
                <c:pt idx="408">
                  <c:v>139436.25</c:v>
                </c:pt>
                <c:pt idx="409">
                  <c:v>141575</c:v>
                </c:pt>
                <c:pt idx="410">
                  <c:v>141794.4</c:v>
                </c:pt>
                <c:pt idx="411">
                  <c:v>141478.75</c:v>
                </c:pt>
                <c:pt idx="412">
                  <c:v>141465</c:v>
                </c:pt>
                <c:pt idx="413">
                  <c:v>140618.75</c:v>
                </c:pt>
                <c:pt idx="414">
                  <c:v>137913.1</c:v>
                </c:pt>
                <c:pt idx="415">
                  <c:v>136748.75</c:v>
                </c:pt>
                <c:pt idx="416">
                  <c:v>140777.5</c:v>
                </c:pt>
                <c:pt idx="417">
                  <c:v>143120.65</c:v>
                </c:pt>
                <c:pt idx="418">
                  <c:v>143369.35</c:v>
                </c:pt>
                <c:pt idx="419">
                  <c:v>155375</c:v>
                </c:pt>
                <c:pt idx="420">
                  <c:v>157276.25</c:v>
                </c:pt>
                <c:pt idx="421">
                  <c:v>158621.25</c:v>
                </c:pt>
                <c:pt idx="422">
                  <c:v>161701.25</c:v>
                </c:pt>
                <c:pt idx="423">
                  <c:v>161114.35</c:v>
                </c:pt>
                <c:pt idx="424">
                  <c:v>161751.9</c:v>
                </c:pt>
                <c:pt idx="425">
                  <c:v>161212.5</c:v>
                </c:pt>
                <c:pt idx="426">
                  <c:v>160308.75</c:v>
                </c:pt>
                <c:pt idx="427">
                  <c:v>159077.5</c:v>
                </c:pt>
                <c:pt idx="428">
                  <c:v>157167.5</c:v>
                </c:pt>
                <c:pt idx="429">
                  <c:v>156063.75</c:v>
                </c:pt>
                <c:pt idx="430">
                  <c:v>156229.4</c:v>
                </c:pt>
                <c:pt idx="431">
                  <c:v>161245</c:v>
                </c:pt>
                <c:pt idx="432">
                  <c:v>164193.75</c:v>
                </c:pt>
                <c:pt idx="433">
                  <c:v>161037.5</c:v>
                </c:pt>
                <c:pt idx="434">
                  <c:v>161873.1</c:v>
                </c:pt>
                <c:pt idx="435">
                  <c:v>163297.5</c:v>
                </c:pt>
                <c:pt idx="436">
                  <c:v>164489.35</c:v>
                </c:pt>
                <c:pt idx="437">
                  <c:v>160550</c:v>
                </c:pt>
                <c:pt idx="438">
                  <c:v>164063.75</c:v>
                </c:pt>
                <c:pt idx="439">
                  <c:v>167826.25</c:v>
                </c:pt>
                <c:pt idx="440">
                  <c:v>169416.9</c:v>
                </c:pt>
                <c:pt idx="441">
                  <c:v>166160</c:v>
                </c:pt>
                <c:pt idx="442">
                  <c:v>165065.60000000001</c:v>
                </c:pt>
                <c:pt idx="443">
                  <c:v>162580</c:v>
                </c:pt>
                <c:pt idx="444">
                  <c:v>160740</c:v>
                </c:pt>
                <c:pt idx="445">
                  <c:v>161656.9</c:v>
                </c:pt>
                <c:pt idx="446">
                  <c:v>158228.15</c:v>
                </c:pt>
                <c:pt idx="447">
                  <c:v>154131.25</c:v>
                </c:pt>
                <c:pt idx="448">
                  <c:v>153854.35</c:v>
                </c:pt>
                <c:pt idx="449">
                  <c:v>150629.4</c:v>
                </c:pt>
                <c:pt idx="450">
                  <c:v>150146.25</c:v>
                </c:pt>
                <c:pt idx="451">
                  <c:v>148628.1</c:v>
                </c:pt>
                <c:pt idx="452">
                  <c:v>144723.75</c:v>
                </c:pt>
                <c:pt idx="453">
                  <c:v>144895</c:v>
                </c:pt>
                <c:pt idx="454">
                  <c:v>144570</c:v>
                </c:pt>
                <c:pt idx="455">
                  <c:v>147046.25</c:v>
                </c:pt>
                <c:pt idx="456">
                  <c:v>147893.1</c:v>
                </c:pt>
                <c:pt idx="457">
                  <c:v>146896.85</c:v>
                </c:pt>
                <c:pt idx="458">
                  <c:v>144322.5</c:v>
                </c:pt>
                <c:pt idx="459">
                  <c:v>143666.25</c:v>
                </c:pt>
                <c:pt idx="460">
                  <c:v>142831.25</c:v>
                </c:pt>
                <c:pt idx="461">
                  <c:v>140819.4</c:v>
                </c:pt>
                <c:pt idx="462">
                  <c:v>141140.65</c:v>
                </c:pt>
                <c:pt idx="463">
                  <c:v>142643.1</c:v>
                </c:pt>
                <c:pt idx="464">
                  <c:v>142866.9</c:v>
                </c:pt>
                <c:pt idx="465">
                  <c:v>144086.9</c:v>
                </c:pt>
                <c:pt idx="466">
                  <c:v>145669.4</c:v>
                </c:pt>
                <c:pt idx="467">
                  <c:v>151135</c:v>
                </c:pt>
                <c:pt idx="468">
                  <c:v>155780</c:v>
                </c:pt>
                <c:pt idx="469">
                  <c:v>153501.85</c:v>
                </c:pt>
                <c:pt idx="470">
                  <c:v>153858.15</c:v>
                </c:pt>
                <c:pt idx="471">
                  <c:v>155130</c:v>
                </c:pt>
                <c:pt idx="472">
                  <c:v>151094.39999999999</c:v>
                </c:pt>
                <c:pt idx="473">
                  <c:v>150113.75</c:v>
                </c:pt>
                <c:pt idx="474">
                  <c:v>152041.9</c:v>
                </c:pt>
                <c:pt idx="475">
                  <c:v>155776.25</c:v>
                </c:pt>
                <c:pt idx="476">
                  <c:v>153953.75</c:v>
                </c:pt>
                <c:pt idx="477">
                  <c:v>153737.5</c:v>
                </c:pt>
                <c:pt idx="478">
                  <c:v>150658.1</c:v>
                </c:pt>
                <c:pt idx="479">
                  <c:v>147292.5</c:v>
                </c:pt>
                <c:pt idx="480">
                  <c:v>147784.4</c:v>
                </c:pt>
                <c:pt idx="481">
                  <c:v>147378.75</c:v>
                </c:pt>
                <c:pt idx="482">
                  <c:v>147727.5</c:v>
                </c:pt>
                <c:pt idx="483">
                  <c:v>148905.65</c:v>
                </c:pt>
                <c:pt idx="484">
                  <c:v>146891.25</c:v>
                </c:pt>
                <c:pt idx="485">
                  <c:v>149097.5</c:v>
                </c:pt>
                <c:pt idx="486">
                  <c:v>145622.5</c:v>
                </c:pt>
                <c:pt idx="487">
                  <c:v>148566.25</c:v>
                </c:pt>
                <c:pt idx="488">
                  <c:v>148155.65</c:v>
                </c:pt>
                <c:pt idx="489">
                  <c:v>147721.25</c:v>
                </c:pt>
                <c:pt idx="490">
                  <c:v>149443.75</c:v>
                </c:pt>
                <c:pt idx="491">
                  <c:v>150433.1</c:v>
                </c:pt>
                <c:pt idx="492">
                  <c:v>152515</c:v>
                </c:pt>
                <c:pt idx="493">
                  <c:v>149711.25</c:v>
                </c:pt>
                <c:pt idx="494">
                  <c:v>151154.35</c:v>
                </c:pt>
                <c:pt idx="495">
                  <c:v>152777.5</c:v>
                </c:pt>
                <c:pt idx="496">
                  <c:v>153389.4</c:v>
                </c:pt>
                <c:pt idx="497">
                  <c:v>151478.15</c:v>
                </c:pt>
                <c:pt idx="498">
                  <c:v>152010</c:v>
                </c:pt>
                <c:pt idx="499">
                  <c:v>154706.9</c:v>
                </c:pt>
                <c:pt idx="500">
                  <c:v>155485</c:v>
                </c:pt>
                <c:pt idx="501">
                  <c:v>155920.6</c:v>
                </c:pt>
                <c:pt idx="502">
                  <c:v>161618.1</c:v>
                </c:pt>
                <c:pt idx="503">
                  <c:v>161471.25</c:v>
                </c:pt>
                <c:pt idx="504">
                  <c:v>157660.65</c:v>
                </c:pt>
                <c:pt idx="505">
                  <c:v>161522.5</c:v>
                </c:pt>
                <c:pt idx="506">
                  <c:v>162441.25</c:v>
                </c:pt>
                <c:pt idx="507">
                  <c:v>163551.25</c:v>
                </c:pt>
                <c:pt idx="508">
                  <c:v>158245.65</c:v>
                </c:pt>
                <c:pt idx="509">
                  <c:v>160367.5</c:v>
                </c:pt>
                <c:pt idx="510">
                  <c:v>169338.75</c:v>
                </c:pt>
                <c:pt idx="511">
                  <c:v>165910.6</c:v>
                </c:pt>
                <c:pt idx="512">
                  <c:v>166213.75</c:v>
                </c:pt>
                <c:pt idx="513">
                  <c:v>170136.25</c:v>
                </c:pt>
                <c:pt idx="514">
                  <c:v>170005.65</c:v>
                </c:pt>
                <c:pt idx="515">
                  <c:v>170093.15</c:v>
                </c:pt>
                <c:pt idx="516">
                  <c:v>169489.35</c:v>
                </c:pt>
                <c:pt idx="517">
                  <c:v>169005</c:v>
                </c:pt>
                <c:pt idx="518">
                  <c:v>168089.4</c:v>
                </c:pt>
                <c:pt idx="519">
                  <c:v>171280.6</c:v>
                </c:pt>
                <c:pt idx="520">
                  <c:v>169268.15</c:v>
                </c:pt>
                <c:pt idx="521">
                  <c:v>168253.75</c:v>
                </c:pt>
                <c:pt idx="522">
                  <c:v>169325</c:v>
                </c:pt>
                <c:pt idx="523">
                  <c:v>173799.35</c:v>
                </c:pt>
                <c:pt idx="524">
                  <c:v>173802.5</c:v>
                </c:pt>
                <c:pt idx="525">
                  <c:v>172879.4</c:v>
                </c:pt>
                <c:pt idx="526">
                  <c:v>171779.35</c:v>
                </c:pt>
                <c:pt idx="527">
                  <c:v>169033.15</c:v>
                </c:pt>
                <c:pt idx="528">
                  <c:v>172301.85</c:v>
                </c:pt>
                <c:pt idx="529">
                  <c:v>172742.5</c:v>
                </c:pt>
                <c:pt idx="530">
                  <c:v>171320.6</c:v>
                </c:pt>
                <c:pt idx="531">
                  <c:v>171008.1</c:v>
                </c:pt>
                <c:pt idx="532">
                  <c:v>168720.6</c:v>
                </c:pt>
                <c:pt idx="533">
                  <c:v>168056.25</c:v>
                </c:pt>
                <c:pt idx="534">
                  <c:v>165965</c:v>
                </c:pt>
                <c:pt idx="535">
                  <c:v>163040.65</c:v>
                </c:pt>
                <c:pt idx="536">
                  <c:v>162455</c:v>
                </c:pt>
                <c:pt idx="537">
                  <c:v>166888.15</c:v>
                </c:pt>
                <c:pt idx="538">
                  <c:v>168679.35</c:v>
                </c:pt>
                <c:pt idx="539">
                  <c:v>167213.75</c:v>
                </c:pt>
                <c:pt idx="540">
                  <c:v>169926.25</c:v>
                </c:pt>
                <c:pt idx="541">
                  <c:v>169225.60000000001</c:v>
                </c:pt>
                <c:pt idx="542">
                  <c:v>169672.5</c:v>
                </c:pt>
                <c:pt idx="543">
                  <c:v>170921.25</c:v>
                </c:pt>
                <c:pt idx="544">
                  <c:v>173696.9</c:v>
                </c:pt>
                <c:pt idx="545">
                  <c:v>174050.6</c:v>
                </c:pt>
                <c:pt idx="546">
                  <c:v>174351.85</c:v>
                </c:pt>
                <c:pt idx="547">
                  <c:v>171616.25</c:v>
                </c:pt>
                <c:pt idx="548">
                  <c:v>171030</c:v>
                </c:pt>
                <c:pt idx="549">
                  <c:v>170906.25</c:v>
                </c:pt>
                <c:pt idx="550">
                  <c:v>172344.35</c:v>
                </c:pt>
                <c:pt idx="551">
                  <c:v>169698.75</c:v>
                </c:pt>
                <c:pt idx="552">
                  <c:v>171276.25</c:v>
                </c:pt>
                <c:pt idx="553">
                  <c:v>171743.1</c:v>
                </c:pt>
                <c:pt idx="554">
                  <c:v>171245</c:v>
                </c:pt>
                <c:pt idx="555">
                  <c:v>173550.6</c:v>
                </c:pt>
                <c:pt idx="556">
                  <c:v>175888.1</c:v>
                </c:pt>
                <c:pt idx="557">
                  <c:v>172038.1</c:v>
                </c:pt>
                <c:pt idx="558">
                  <c:v>172708.75</c:v>
                </c:pt>
                <c:pt idx="559">
                  <c:v>169508.15</c:v>
                </c:pt>
                <c:pt idx="560">
                  <c:v>170835.6</c:v>
                </c:pt>
                <c:pt idx="561">
                  <c:v>168763.75</c:v>
                </c:pt>
                <c:pt idx="562">
                  <c:v>167411.25</c:v>
                </c:pt>
                <c:pt idx="563">
                  <c:v>164362.5</c:v>
                </c:pt>
                <c:pt idx="564">
                  <c:v>166262.5</c:v>
                </c:pt>
                <c:pt idx="565">
                  <c:v>165579.35</c:v>
                </c:pt>
                <c:pt idx="566">
                  <c:v>165763.75</c:v>
                </c:pt>
                <c:pt idx="567">
                  <c:v>167573.75</c:v>
                </c:pt>
                <c:pt idx="568">
                  <c:v>164808.1</c:v>
                </c:pt>
                <c:pt idx="569">
                  <c:v>162371.9</c:v>
                </c:pt>
                <c:pt idx="570">
                  <c:v>162257.5</c:v>
                </c:pt>
                <c:pt idx="571">
                  <c:v>164793.75</c:v>
                </c:pt>
                <c:pt idx="572">
                  <c:v>164176.25</c:v>
                </c:pt>
                <c:pt idx="573">
                  <c:v>166295.65</c:v>
                </c:pt>
                <c:pt idx="574">
                  <c:v>165773.75</c:v>
                </c:pt>
                <c:pt idx="575">
                  <c:v>168539.35</c:v>
                </c:pt>
                <c:pt idx="576">
                  <c:v>167888.75</c:v>
                </c:pt>
                <c:pt idx="577">
                  <c:v>170628.1</c:v>
                </c:pt>
                <c:pt idx="578">
                  <c:v>171504.35</c:v>
                </c:pt>
                <c:pt idx="579">
                  <c:v>167803.75</c:v>
                </c:pt>
                <c:pt idx="580">
                  <c:v>166293.75</c:v>
                </c:pt>
                <c:pt idx="581">
                  <c:v>160488.75</c:v>
                </c:pt>
                <c:pt idx="582">
                  <c:v>162789.35</c:v>
                </c:pt>
                <c:pt idx="583">
                  <c:v>162297.5</c:v>
                </c:pt>
                <c:pt idx="584">
                  <c:v>162098.75</c:v>
                </c:pt>
                <c:pt idx="585">
                  <c:v>161566.85</c:v>
                </c:pt>
                <c:pt idx="586">
                  <c:v>161726.85</c:v>
                </c:pt>
                <c:pt idx="587">
                  <c:v>160640</c:v>
                </c:pt>
                <c:pt idx="588">
                  <c:v>161590</c:v>
                </c:pt>
                <c:pt idx="589">
                  <c:v>158581.9</c:v>
                </c:pt>
                <c:pt idx="590">
                  <c:v>158086.9</c:v>
                </c:pt>
                <c:pt idx="591">
                  <c:v>158349.35</c:v>
                </c:pt>
                <c:pt idx="592">
                  <c:v>157742.5</c:v>
                </c:pt>
                <c:pt idx="593">
                  <c:v>157515</c:v>
                </c:pt>
                <c:pt idx="594">
                  <c:v>158836.9</c:v>
                </c:pt>
                <c:pt idx="595">
                  <c:v>162273.15</c:v>
                </c:pt>
                <c:pt idx="596">
                  <c:v>161735.65</c:v>
                </c:pt>
                <c:pt idx="597">
                  <c:v>160597.5</c:v>
                </c:pt>
                <c:pt idx="598">
                  <c:v>159803.15</c:v>
                </c:pt>
                <c:pt idx="599">
                  <c:v>161799.35</c:v>
                </c:pt>
                <c:pt idx="600">
                  <c:v>159991.25</c:v>
                </c:pt>
                <c:pt idx="601">
                  <c:v>162153.1</c:v>
                </c:pt>
                <c:pt idx="602">
                  <c:v>163399.4</c:v>
                </c:pt>
                <c:pt idx="603">
                  <c:v>164643.75</c:v>
                </c:pt>
                <c:pt idx="604">
                  <c:v>164101.9</c:v>
                </c:pt>
                <c:pt idx="605">
                  <c:v>162550</c:v>
                </c:pt>
                <c:pt idx="606">
                  <c:v>166716.25</c:v>
                </c:pt>
                <c:pt idx="607">
                  <c:v>165498.1</c:v>
                </c:pt>
                <c:pt idx="608">
                  <c:v>167500</c:v>
                </c:pt>
                <c:pt idx="609">
                  <c:v>166227.5</c:v>
                </c:pt>
                <c:pt idx="610">
                  <c:v>163816.25</c:v>
                </c:pt>
                <c:pt idx="611">
                  <c:v>161904.4</c:v>
                </c:pt>
                <c:pt idx="612">
                  <c:v>160737.5</c:v>
                </c:pt>
                <c:pt idx="613">
                  <c:v>161657.5</c:v>
                </c:pt>
                <c:pt idx="614">
                  <c:v>161171.9</c:v>
                </c:pt>
                <c:pt idx="615">
                  <c:v>160923.75</c:v>
                </c:pt>
                <c:pt idx="616">
                  <c:v>160001.25</c:v>
                </c:pt>
                <c:pt idx="617">
                  <c:v>158956.9</c:v>
                </c:pt>
                <c:pt idx="618">
                  <c:v>157444.4</c:v>
                </c:pt>
                <c:pt idx="619">
                  <c:v>155262.5</c:v>
                </c:pt>
                <c:pt idx="620">
                  <c:v>155503.15</c:v>
                </c:pt>
                <c:pt idx="621">
                  <c:v>156095</c:v>
                </c:pt>
                <c:pt idx="622">
                  <c:v>158999.4</c:v>
                </c:pt>
                <c:pt idx="623">
                  <c:v>158545.60000000001</c:v>
                </c:pt>
                <c:pt idx="624">
                  <c:v>158842.5</c:v>
                </c:pt>
                <c:pt idx="625">
                  <c:v>158640.65</c:v>
                </c:pt>
                <c:pt idx="626">
                  <c:v>158331.25</c:v>
                </c:pt>
                <c:pt idx="627">
                  <c:v>158534.35</c:v>
                </c:pt>
                <c:pt idx="628">
                  <c:v>155717.5</c:v>
                </c:pt>
                <c:pt idx="629">
                  <c:v>158645</c:v>
                </c:pt>
                <c:pt idx="630">
                  <c:v>157479.4</c:v>
                </c:pt>
                <c:pt idx="631">
                  <c:v>158074.4</c:v>
                </c:pt>
                <c:pt idx="632">
                  <c:v>157803.1</c:v>
                </c:pt>
                <c:pt idx="633">
                  <c:v>158648.15</c:v>
                </c:pt>
                <c:pt idx="634">
                  <c:v>157213.1</c:v>
                </c:pt>
                <c:pt idx="635">
                  <c:v>158314.35</c:v>
                </c:pt>
                <c:pt idx="636">
                  <c:v>155975.65</c:v>
                </c:pt>
                <c:pt idx="637">
                  <c:v>155018.1</c:v>
                </c:pt>
                <c:pt idx="638">
                  <c:v>153424.4</c:v>
                </c:pt>
                <c:pt idx="639">
                  <c:v>154589.35</c:v>
                </c:pt>
                <c:pt idx="640">
                  <c:v>152588.75</c:v>
                </c:pt>
                <c:pt idx="641">
                  <c:v>147500</c:v>
                </c:pt>
                <c:pt idx="642">
                  <c:v>148745</c:v>
                </c:pt>
                <c:pt idx="643">
                  <c:v>149615</c:v>
                </c:pt>
                <c:pt idx="644">
                  <c:v>150366.85</c:v>
                </c:pt>
                <c:pt idx="645">
                  <c:v>152355</c:v>
                </c:pt>
                <c:pt idx="646">
                  <c:v>152215</c:v>
                </c:pt>
                <c:pt idx="647">
                  <c:v>152055.65</c:v>
                </c:pt>
                <c:pt idx="648">
                  <c:v>149433.1</c:v>
                </c:pt>
                <c:pt idx="649">
                  <c:v>159389.4</c:v>
                </c:pt>
                <c:pt idx="650">
                  <c:v>156238.75</c:v>
                </c:pt>
                <c:pt idx="651">
                  <c:v>153827.5</c:v>
                </c:pt>
                <c:pt idx="652">
                  <c:v>155290</c:v>
                </c:pt>
                <c:pt idx="653">
                  <c:v>157900</c:v>
                </c:pt>
                <c:pt idx="654">
                  <c:v>156274.4</c:v>
                </c:pt>
                <c:pt idx="655">
                  <c:v>159363.75</c:v>
                </c:pt>
                <c:pt idx="656">
                  <c:v>160445</c:v>
                </c:pt>
                <c:pt idx="657">
                  <c:v>159641.25</c:v>
                </c:pt>
                <c:pt idx="658">
                  <c:v>158765.6</c:v>
                </c:pt>
                <c:pt idx="659">
                  <c:v>160260</c:v>
                </c:pt>
                <c:pt idx="660">
                  <c:v>159084.35</c:v>
                </c:pt>
                <c:pt idx="661">
                  <c:v>161426.25</c:v>
                </c:pt>
                <c:pt idx="662">
                  <c:v>161383.75</c:v>
                </c:pt>
                <c:pt idx="663">
                  <c:v>162686.25</c:v>
                </c:pt>
                <c:pt idx="664">
                  <c:v>161716.9</c:v>
                </c:pt>
                <c:pt idx="665">
                  <c:v>162188.15</c:v>
                </c:pt>
                <c:pt idx="666">
                  <c:v>159893.1</c:v>
                </c:pt>
                <c:pt idx="667">
                  <c:v>160316.25</c:v>
                </c:pt>
                <c:pt idx="668">
                  <c:v>160513.15</c:v>
                </c:pt>
                <c:pt idx="669">
                  <c:v>161235</c:v>
                </c:pt>
                <c:pt idx="670">
                  <c:v>160570.6</c:v>
                </c:pt>
                <c:pt idx="671">
                  <c:v>159773.75</c:v>
                </c:pt>
                <c:pt idx="672">
                  <c:v>159587.5</c:v>
                </c:pt>
                <c:pt idx="673">
                  <c:v>158923.15</c:v>
                </c:pt>
                <c:pt idx="674">
                  <c:v>158537.5</c:v>
                </c:pt>
                <c:pt idx="675">
                  <c:v>159088.75</c:v>
                </c:pt>
                <c:pt idx="676">
                  <c:v>160798.1</c:v>
                </c:pt>
                <c:pt idx="677">
                  <c:v>159483.75</c:v>
                </c:pt>
                <c:pt idx="678">
                  <c:v>157676.25</c:v>
                </c:pt>
                <c:pt idx="679">
                  <c:v>158363.75</c:v>
                </c:pt>
                <c:pt idx="680">
                  <c:v>157914.35</c:v>
                </c:pt>
                <c:pt idx="681">
                  <c:v>156849.35</c:v>
                </c:pt>
                <c:pt idx="682">
                  <c:v>157817.5</c:v>
                </c:pt>
                <c:pt idx="683">
                  <c:v>157857.5</c:v>
                </c:pt>
                <c:pt idx="684">
                  <c:v>162886.25</c:v>
                </c:pt>
                <c:pt idx="685">
                  <c:v>164730.6</c:v>
                </c:pt>
                <c:pt idx="686">
                  <c:v>165753.1</c:v>
                </c:pt>
                <c:pt idx="687">
                  <c:v>164448.1</c:v>
                </c:pt>
                <c:pt idx="688">
                  <c:v>166976.9</c:v>
                </c:pt>
                <c:pt idx="689">
                  <c:v>167963.75</c:v>
                </c:pt>
                <c:pt idx="690">
                  <c:v>169655.6</c:v>
                </c:pt>
                <c:pt idx="691">
                  <c:v>170186.25</c:v>
                </c:pt>
                <c:pt idx="692">
                  <c:v>168541.25</c:v>
                </c:pt>
                <c:pt idx="693">
                  <c:v>171481.85</c:v>
                </c:pt>
                <c:pt idx="694">
                  <c:v>171851.25</c:v>
                </c:pt>
                <c:pt idx="695">
                  <c:v>170055.65</c:v>
                </c:pt>
                <c:pt idx="696">
                  <c:v>172013.75</c:v>
                </c:pt>
                <c:pt idx="697">
                  <c:v>173701.85</c:v>
                </c:pt>
                <c:pt idx="698">
                  <c:v>172300.6</c:v>
                </c:pt>
                <c:pt idx="699">
                  <c:v>169533.75</c:v>
                </c:pt>
                <c:pt idx="700">
                  <c:v>171592.5</c:v>
                </c:pt>
                <c:pt idx="701">
                  <c:v>171098.1</c:v>
                </c:pt>
                <c:pt idx="702">
                  <c:v>172218.75</c:v>
                </c:pt>
                <c:pt idx="703">
                  <c:v>171167.5</c:v>
                </c:pt>
                <c:pt idx="704">
                  <c:v>172115.65</c:v>
                </c:pt>
                <c:pt idx="705">
                  <c:v>168986.25</c:v>
                </c:pt>
                <c:pt idx="706">
                  <c:v>166621.85</c:v>
                </c:pt>
                <c:pt idx="707">
                  <c:v>160418.75</c:v>
                </c:pt>
                <c:pt idx="708">
                  <c:v>162624.4</c:v>
                </c:pt>
                <c:pt idx="709">
                  <c:v>164492.5</c:v>
                </c:pt>
                <c:pt idx="710">
                  <c:v>164793.1</c:v>
                </c:pt>
                <c:pt idx="711">
                  <c:v>164131.25</c:v>
                </c:pt>
                <c:pt idx="712">
                  <c:v>164986.9</c:v>
                </c:pt>
                <c:pt idx="713">
                  <c:v>164922.5</c:v>
                </c:pt>
                <c:pt idx="714">
                  <c:v>163949.4</c:v>
                </c:pt>
                <c:pt idx="715">
                  <c:v>163403.75</c:v>
                </c:pt>
                <c:pt idx="716">
                  <c:v>163463.75</c:v>
                </c:pt>
                <c:pt idx="717">
                  <c:v>162245</c:v>
                </c:pt>
                <c:pt idx="718">
                  <c:v>162410.65</c:v>
                </c:pt>
                <c:pt idx="719">
                  <c:v>161135.65</c:v>
                </c:pt>
                <c:pt idx="720">
                  <c:v>160413.15</c:v>
                </c:pt>
                <c:pt idx="721">
                  <c:v>161099.4</c:v>
                </c:pt>
                <c:pt idx="722">
                  <c:v>160730</c:v>
                </c:pt>
                <c:pt idx="723">
                  <c:v>159448.15</c:v>
                </c:pt>
                <c:pt idx="724">
                  <c:v>159395</c:v>
                </c:pt>
                <c:pt idx="725">
                  <c:v>159971.25</c:v>
                </c:pt>
                <c:pt idx="726">
                  <c:v>161981.25</c:v>
                </c:pt>
                <c:pt idx="727">
                  <c:v>158912.5</c:v>
                </c:pt>
                <c:pt idx="728">
                  <c:v>157905</c:v>
                </c:pt>
                <c:pt idx="729">
                  <c:v>157790</c:v>
                </c:pt>
                <c:pt idx="730">
                  <c:v>156739.4</c:v>
                </c:pt>
                <c:pt idx="731">
                  <c:v>161225</c:v>
                </c:pt>
                <c:pt idx="732">
                  <c:v>162824.35</c:v>
                </c:pt>
                <c:pt idx="733">
                  <c:v>161732.5</c:v>
                </c:pt>
                <c:pt idx="734">
                  <c:v>163346.9</c:v>
                </c:pt>
                <c:pt idx="735">
                  <c:v>162715</c:v>
                </c:pt>
                <c:pt idx="736">
                  <c:v>163311.25</c:v>
                </c:pt>
                <c:pt idx="737">
                  <c:v>165899.35</c:v>
                </c:pt>
                <c:pt idx="738">
                  <c:v>163623.75</c:v>
                </c:pt>
                <c:pt idx="739">
                  <c:v>160829.4</c:v>
                </c:pt>
                <c:pt idx="740">
                  <c:v>161418.15</c:v>
                </c:pt>
                <c:pt idx="741">
                  <c:v>165959.4</c:v>
                </c:pt>
                <c:pt idx="742">
                  <c:v>165600.6</c:v>
                </c:pt>
                <c:pt idx="743">
                  <c:v>168927.5</c:v>
                </c:pt>
                <c:pt idx="744">
                  <c:v>173417.5</c:v>
                </c:pt>
                <c:pt idx="745">
                  <c:v>173327.5</c:v>
                </c:pt>
                <c:pt idx="746">
                  <c:v>173156.25</c:v>
                </c:pt>
                <c:pt idx="747">
                  <c:v>175575.6</c:v>
                </c:pt>
                <c:pt idx="748">
                  <c:v>167964.35</c:v>
                </c:pt>
                <c:pt idx="749">
                  <c:v>168446.85</c:v>
                </c:pt>
                <c:pt idx="750">
                  <c:v>165598.1</c:v>
                </c:pt>
                <c:pt idx="751">
                  <c:v>156490</c:v>
                </c:pt>
                <c:pt idx="752">
                  <c:v>156113.15</c:v>
                </c:pt>
                <c:pt idx="753">
                  <c:v>156607.5</c:v>
                </c:pt>
                <c:pt idx="754">
                  <c:v>156481.25</c:v>
                </c:pt>
                <c:pt idx="755">
                  <c:v>155455</c:v>
                </c:pt>
                <c:pt idx="756">
                  <c:v>154680</c:v>
                </c:pt>
                <c:pt idx="757">
                  <c:v>154040</c:v>
                </c:pt>
                <c:pt idx="758">
                  <c:v>154274.35</c:v>
                </c:pt>
                <c:pt idx="759">
                  <c:v>156381.25</c:v>
                </c:pt>
                <c:pt idx="760">
                  <c:v>157073.1</c:v>
                </c:pt>
                <c:pt idx="761">
                  <c:v>160577.5</c:v>
                </c:pt>
                <c:pt idx="762">
                  <c:v>162135</c:v>
                </c:pt>
                <c:pt idx="763">
                  <c:v>163039.35</c:v>
                </c:pt>
                <c:pt idx="764">
                  <c:v>163640</c:v>
                </c:pt>
                <c:pt idx="765">
                  <c:v>161858.75</c:v>
                </c:pt>
                <c:pt idx="766">
                  <c:v>162609.35</c:v>
                </c:pt>
                <c:pt idx="767">
                  <c:v>164148.1</c:v>
                </c:pt>
                <c:pt idx="768">
                  <c:v>165127.5</c:v>
                </c:pt>
                <c:pt idx="769">
                  <c:v>165421.25</c:v>
                </c:pt>
                <c:pt idx="770">
                  <c:v>165736.25</c:v>
                </c:pt>
                <c:pt idx="771">
                  <c:v>163264.35</c:v>
                </c:pt>
                <c:pt idx="772">
                  <c:v>163576.85</c:v>
                </c:pt>
                <c:pt idx="773">
                  <c:v>163189.35</c:v>
                </c:pt>
                <c:pt idx="774">
                  <c:v>162686.85</c:v>
                </c:pt>
                <c:pt idx="775">
                  <c:v>162040.65</c:v>
                </c:pt>
                <c:pt idx="776">
                  <c:v>165378.75</c:v>
                </c:pt>
                <c:pt idx="777">
                  <c:v>164269.4</c:v>
                </c:pt>
                <c:pt idx="778">
                  <c:v>167611.25</c:v>
                </c:pt>
                <c:pt idx="779">
                  <c:v>165137.5</c:v>
                </c:pt>
                <c:pt idx="780">
                  <c:v>165323.75</c:v>
                </c:pt>
                <c:pt idx="781">
                  <c:v>165903.75</c:v>
                </c:pt>
                <c:pt idx="782">
                  <c:v>162699.35</c:v>
                </c:pt>
                <c:pt idx="783">
                  <c:v>159366.25</c:v>
                </c:pt>
                <c:pt idx="784">
                  <c:v>160093.75</c:v>
                </c:pt>
                <c:pt idx="785">
                  <c:v>161678.75</c:v>
                </c:pt>
                <c:pt idx="786">
                  <c:v>163644.4</c:v>
                </c:pt>
                <c:pt idx="787">
                  <c:v>164083.75</c:v>
                </c:pt>
                <c:pt idx="788">
                  <c:v>164919.4</c:v>
                </c:pt>
                <c:pt idx="789">
                  <c:v>167595.65</c:v>
                </c:pt>
                <c:pt idx="790">
                  <c:v>167774.4</c:v>
                </c:pt>
                <c:pt idx="791">
                  <c:v>167986.85</c:v>
                </c:pt>
                <c:pt idx="792">
                  <c:v>161950.6</c:v>
                </c:pt>
                <c:pt idx="793">
                  <c:v>161619.4</c:v>
                </c:pt>
                <c:pt idx="794">
                  <c:v>161821.25</c:v>
                </c:pt>
                <c:pt idx="795">
                  <c:v>159135</c:v>
                </c:pt>
                <c:pt idx="796">
                  <c:v>155751.25</c:v>
                </c:pt>
                <c:pt idx="797">
                  <c:v>157243.75</c:v>
                </c:pt>
                <c:pt idx="798">
                  <c:v>158644.4</c:v>
                </c:pt>
                <c:pt idx="799">
                  <c:v>159038.15</c:v>
                </c:pt>
                <c:pt idx="800">
                  <c:v>159841.25</c:v>
                </c:pt>
                <c:pt idx="801">
                  <c:v>156953.75</c:v>
                </c:pt>
                <c:pt idx="802">
                  <c:v>152921.9</c:v>
                </c:pt>
                <c:pt idx="803">
                  <c:v>153011.25</c:v>
                </c:pt>
                <c:pt idx="804">
                  <c:v>151960</c:v>
                </c:pt>
                <c:pt idx="805">
                  <c:v>151634.4</c:v>
                </c:pt>
                <c:pt idx="806">
                  <c:v>150558.75</c:v>
                </c:pt>
                <c:pt idx="807">
                  <c:v>150309.35</c:v>
                </c:pt>
                <c:pt idx="808">
                  <c:v>151472.5</c:v>
                </c:pt>
                <c:pt idx="809">
                  <c:v>155203.1</c:v>
                </c:pt>
                <c:pt idx="810">
                  <c:v>151286.9</c:v>
                </c:pt>
                <c:pt idx="811">
                  <c:v>150220</c:v>
                </c:pt>
                <c:pt idx="812">
                  <c:v>153960.65</c:v>
                </c:pt>
                <c:pt idx="813">
                  <c:v>154329.35</c:v>
                </c:pt>
                <c:pt idx="814">
                  <c:v>154962.5</c:v>
                </c:pt>
                <c:pt idx="815">
                  <c:v>158514.4</c:v>
                </c:pt>
                <c:pt idx="816">
                  <c:v>162183.1</c:v>
                </c:pt>
                <c:pt idx="817">
                  <c:v>159753.15</c:v>
                </c:pt>
                <c:pt idx="818">
                  <c:v>163451.85</c:v>
                </c:pt>
                <c:pt idx="819">
                  <c:v>155777.5</c:v>
                </c:pt>
                <c:pt idx="820">
                  <c:v>160480</c:v>
                </c:pt>
                <c:pt idx="821">
                  <c:v>164591.9</c:v>
                </c:pt>
                <c:pt idx="822">
                  <c:v>162580</c:v>
                </c:pt>
                <c:pt idx="823">
                  <c:v>162457.5</c:v>
                </c:pt>
                <c:pt idx="824">
                  <c:v>164279.35</c:v>
                </c:pt>
                <c:pt idx="825">
                  <c:v>172152.5</c:v>
                </c:pt>
                <c:pt idx="826">
                  <c:v>175009.4</c:v>
                </c:pt>
                <c:pt idx="827">
                  <c:v>175663.15</c:v>
                </c:pt>
                <c:pt idx="828">
                  <c:v>187472.5</c:v>
                </c:pt>
                <c:pt idx="829">
                  <c:v>186542.5</c:v>
                </c:pt>
                <c:pt idx="830">
                  <c:v>187242.5</c:v>
                </c:pt>
                <c:pt idx="831">
                  <c:v>181973.75</c:v>
                </c:pt>
                <c:pt idx="832">
                  <c:v>194042.5</c:v>
                </c:pt>
                <c:pt idx="833">
                  <c:v>192919.35</c:v>
                </c:pt>
                <c:pt idx="834">
                  <c:v>195860.65</c:v>
                </c:pt>
                <c:pt idx="835">
                  <c:v>197590</c:v>
                </c:pt>
                <c:pt idx="836">
                  <c:v>205405</c:v>
                </c:pt>
                <c:pt idx="837">
                  <c:v>205906.85</c:v>
                </c:pt>
                <c:pt idx="838">
                  <c:v>203120</c:v>
                </c:pt>
                <c:pt idx="839">
                  <c:v>201268.15</c:v>
                </c:pt>
                <c:pt idx="840">
                  <c:v>201793.1</c:v>
                </c:pt>
                <c:pt idx="841">
                  <c:v>201896.25</c:v>
                </c:pt>
                <c:pt idx="842">
                  <c:v>207885.6</c:v>
                </c:pt>
                <c:pt idx="843">
                  <c:v>211730.6</c:v>
                </c:pt>
                <c:pt idx="844">
                  <c:v>210096.25</c:v>
                </c:pt>
                <c:pt idx="845">
                  <c:v>210812.5</c:v>
                </c:pt>
                <c:pt idx="846">
                  <c:v>213021.25</c:v>
                </c:pt>
                <c:pt idx="847">
                  <c:v>216930.65</c:v>
                </c:pt>
                <c:pt idx="848">
                  <c:v>214281.85</c:v>
                </c:pt>
                <c:pt idx="849">
                  <c:v>217277.5</c:v>
                </c:pt>
                <c:pt idx="850">
                  <c:v>210238.75</c:v>
                </c:pt>
                <c:pt idx="851">
                  <c:v>206331.25</c:v>
                </c:pt>
                <c:pt idx="852">
                  <c:v>204506.9</c:v>
                </c:pt>
                <c:pt idx="853">
                  <c:v>204702.5</c:v>
                </c:pt>
                <c:pt idx="854">
                  <c:v>200178.75</c:v>
                </c:pt>
                <c:pt idx="855">
                  <c:v>203509.4</c:v>
                </c:pt>
                <c:pt idx="856">
                  <c:v>201753.1</c:v>
                </c:pt>
                <c:pt idx="857">
                  <c:v>204031.85</c:v>
                </c:pt>
                <c:pt idx="858">
                  <c:v>206808.75</c:v>
                </c:pt>
                <c:pt idx="859">
                  <c:v>209682.5</c:v>
                </c:pt>
                <c:pt idx="860">
                  <c:v>213271.25</c:v>
                </c:pt>
                <c:pt idx="861">
                  <c:v>214243.75</c:v>
                </c:pt>
                <c:pt idx="862">
                  <c:v>219746.25</c:v>
                </c:pt>
                <c:pt idx="863">
                  <c:v>222047.5</c:v>
                </c:pt>
                <c:pt idx="864">
                  <c:v>223405.6</c:v>
                </c:pt>
                <c:pt idx="865">
                  <c:v>219102.5</c:v>
                </c:pt>
                <c:pt idx="866">
                  <c:v>221621.85</c:v>
                </c:pt>
                <c:pt idx="867">
                  <c:v>219518.75</c:v>
                </c:pt>
                <c:pt idx="868">
                  <c:v>224621.25</c:v>
                </c:pt>
                <c:pt idx="869">
                  <c:v>229786.25</c:v>
                </c:pt>
                <c:pt idx="870">
                  <c:v>232091.9</c:v>
                </c:pt>
                <c:pt idx="871">
                  <c:v>234336.25</c:v>
                </c:pt>
                <c:pt idx="872">
                  <c:v>236903.75</c:v>
                </c:pt>
                <c:pt idx="873">
                  <c:v>233343.1</c:v>
                </c:pt>
                <c:pt idx="874">
                  <c:v>234349.4</c:v>
                </c:pt>
                <c:pt idx="875">
                  <c:v>236252.5</c:v>
                </c:pt>
                <c:pt idx="876">
                  <c:v>235143.75</c:v>
                </c:pt>
                <c:pt idx="877">
                  <c:v>231793.75</c:v>
                </c:pt>
                <c:pt idx="878">
                  <c:v>229865.65</c:v>
                </c:pt>
                <c:pt idx="879">
                  <c:v>225930.65</c:v>
                </c:pt>
                <c:pt idx="880">
                  <c:v>226215</c:v>
                </c:pt>
                <c:pt idx="881">
                  <c:v>222160</c:v>
                </c:pt>
                <c:pt idx="882">
                  <c:v>221441.25</c:v>
                </c:pt>
                <c:pt idx="883">
                  <c:v>223754.35</c:v>
                </c:pt>
                <c:pt idx="884">
                  <c:v>226066.85</c:v>
                </c:pt>
                <c:pt idx="885">
                  <c:v>220778.15</c:v>
                </c:pt>
                <c:pt idx="886">
                  <c:v>216853.75</c:v>
                </c:pt>
                <c:pt idx="887">
                  <c:v>220076.25</c:v>
                </c:pt>
                <c:pt idx="888">
                  <c:v>217679.4</c:v>
                </c:pt>
                <c:pt idx="889">
                  <c:v>217508.75</c:v>
                </c:pt>
                <c:pt idx="890">
                  <c:v>217430.65</c:v>
                </c:pt>
                <c:pt idx="891">
                  <c:v>219576.25</c:v>
                </c:pt>
                <c:pt idx="892">
                  <c:v>224973.75</c:v>
                </c:pt>
                <c:pt idx="893">
                  <c:v>222747.5</c:v>
                </c:pt>
                <c:pt idx="894">
                  <c:v>222038.1</c:v>
                </c:pt>
                <c:pt idx="895">
                  <c:v>219006.85</c:v>
                </c:pt>
                <c:pt idx="896">
                  <c:v>216631.25</c:v>
                </c:pt>
                <c:pt idx="897">
                  <c:v>217425.6</c:v>
                </c:pt>
                <c:pt idx="898">
                  <c:v>215928.75</c:v>
                </c:pt>
                <c:pt idx="899">
                  <c:v>216048.1</c:v>
                </c:pt>
                <c:pt idx="900">
                  <c:v>214635</c:v>
                </c:pt>
                <c:pt idx="901">
                  <c:v>213253.75</c:v>
                </c:pt>
                <c:pt idx="902">
                  <c:v>215689.35</c:v>
                </c:pt>
                <c:pt idx="903">
                  <c:v>217026.85</c:v>
                </c:pt>
                <c:pt idx="904">
                  <c:v>217762.5</c:v>
                </c:pt>
                <c:pt idx="905">
                  <c:v>217898.15</c:v>
                </c:pt>
                <c:pt idx="906">
                  <c:v>216956.25</c:v>
                </c:pt>
                <c:pt idx="907">
                  <c:v>219780</c:v>
                </c:pt>
                <c:pt idx="908">
                  <c:v>219443.75</c:v>
                </c:pt>
                <c:pt idx="909">
                  <c:v>219807.5</c:v>
                </c:pt>
                <c:pt idx="910">
                  <c:v>222564.35</c:v>
                </c:pt>
                <c:pt idx="911">
                  <c:v>225031.85</c:v>
                </c:pt>
                <c:pt idx="912">
                  <c:v>227901.25</c:v>
                </c:pt>
                <c:pt idx="913">
                  <c:v>237074.4</c:v>
                </c:pt>
                <c:pt idx="914">
                  <c:v>241868.75</c:v>
                </c:pt>
                <c:pt idx="915">
                  <c:v>235783.15</c:v>
                </c:pt>
                <c:pt idx="916">
                  <c:v>221680</c:v>
                </c:pt>
                <c:pt idx="917">
                  <c:v>213966.9</c:v>
                </c:pt>
                <c:pt idx="918">
                  <c:v>214080</c:v>
                </c:pt>
                <c:pt idx="919">
                  <c:v>215345.6</c:v>
                </c:pt>
                <c:pt idx="920">
                  <c:v>216306.9</c:v>
                </c:pt>
                <c:pt idx="921">
                  <c:v>220211.85</c:v>
                </c:pt>
                <c:pt idx="922">
                  <c:v>224036.9</c:v>
                </c:pt>
                <c:pt idx="923">
                  <c:v>223915.65</c:v>
                </c:pt>
                <c:pt idx="924">
                  <c:v>225193.75</c:v>
                </c:pt>
                <c:pt idx="925">
                  <c:v>227057.5</c:v>
                </c:pt>
                <c:pt idx="926">
                  <c:v>226448.15</c:v>
                </c:pt>
                <c:pt idx="927">
                  <c:v>225166.85</c:v>
                </c:pt>
                <c:pt idx="928">
                  <c:v>222613.75</c:v>
                </c:pt>
                <c:pt idx="929">
                  <c:v>224353.75</c:v>
                </c:pt>
                <c:pt idx="930">
                  <c:v>223598.75</c:v>
                </c:pt>
                <c:pt idx="931">
                  <c:v>225813.15</c:v>
                </c:pt>
                <c:pt idx="932">
                  <c:v>225817.5</c:v>
                </c:pt>
                <c:pt idx="933">
                  <c:v>229388.75</c:v>
                </c:pt>
                <c:pt idx="934">
                  <c:v>233198.75</c:v>
                </c:pt>
                <c:pt idx="935">
                  <c:v>234829.4</c:v>
                </c:pt>
                <c:pt idx="936">
                  <c:v>234940</c:v>
                </c:pt>
                <c:pt idx="937">
                  <c:v>236263.75</c:v>
                </c:pt>
                <c:pt idx="938">
                  <c:v>234203.1</c:v>
                </c:pt>
                <c:pt idx="939">
                  <c:v>228710.6</c:v>
                </c:pt>
                <c:pt idx="940">
                  <c:v>227730.65</c:v>
                </c:pt>
                <c:pt idx="941">
                  <c:v>219171.9</c:v>
                </c:pt>
                <c:pt idx="942">
                  <c:v>219366.25</c:v>
                </c:pt>
                <c:pt idx="943">
                  <c:v>217221.25</c:v>
                </c:pt>
                <c:pt idx="944">
                  <c:v>219465.60000000001</c:v>
                </c:pt>
                <c:pt idx="945">
                  <c:v>214166.25</c:v>
                </c:pt>
                <c:pt idx="946">
                  <c:v>215655.65</c:v>
                </c:pt>
                <c:pt idx="947">
                  <c:v>223469.35</c:v>
                </c:pt>
                <c:pt idx="948">
                  <c:v>223675.65</c:v>
                </c:pt>
                <c:pt idx="949">
                  <c:v>220606.25</c:v>
                </c:pt>
                <c:pt idx="950">
                  <c:v>217520</c:v>
                </c:pt>
                <c:pt idx="951">
                  <c:v>221563.75</c:v>
                </c:pt>
                <c:pt idx="952">
                  <c:v>230378.1</c:v>
                </c:pt>
                <c:pt idx="953">
                  <c:v>223885.65</c:v>
                </c:pt>
                <c:pt idx="954">
                  <c:v>222888.75</c:v>
                </c:pt>
                <c:pt idx="955">
                  <c:v>225758.1</c:v>
                </c:pt>
                <c:pt idx="956">
                  <c:v>228928.1</c:v>
                </c:pt>
                <c:pt idx="957">
                  <c:v>230560</c:v>
                </c:pt>
                <c:pt idx="958">
                  <c:v>232249.35</c:v>
                </c:pt>
                <c:pt idx="959">
                  <c:v>240936.9</c:v>
                </c:pt>
                <c:pt idx="960">
                  <c:v>240542.5</c:v>
                </c:pt>
                <c:pt idx="961">
                  <c:v>237803.1</c:v>
                </c:pt>
                <c:pt idx="962">
                  <c:v>237279.35</c:v>
                </c:pt>
                <c:pt idx="963">
                  <c:v>232700.65</c:v>
                </c:pt>
                <c:pt idx="964">
                  <c:v>235213.75</c:v>
                </c:pt>
                <c:pt idx="965">
                  <c:v>235291.85</c:v>
                </c:pt>
                <c:pt idx="966">
                  <c:v>234383.75</c:v>
                </c:pt>
                <c:pt idx="967">
                  <c:v>236416.9</c:v>
                </c:pt>
                <c:pt idx="968">
                  <c:v>236211.25</c:v>
                </c:pt>
                <c:pt idx="969">
                  <c:v>238962.5</c:v>
                </c:pt>
                <c:pt idx="970">
                  <c:v>235066.25</c:v>
                </c:pt>
                <c:pt idx="971">
                  <c:v>233380.65</c:v>
                </c:pt>
                <c:pt idx="972">
                  <c:v>233801.25</c:v>
                </c:pt>
                <c:pt idx="973">
                  <c:v>235659.4</c:v>
                </c:pt>
                <c:pt idx="974">
                  <c:v>229790</c:v>
                </c:pt>
                <c:pt idx="975">
                  <c:v>228476.9</c:v>
                </c:pt>
                <c:pt idx="976">
                  <c:v>226131.85</c:v>
                </c:pt>
                <c:pt idx="977">
                  <c:v>224796.85</c:v>
                </c:pt>
                <c:pt idx="978">
                  <c:v>224132.5</c:v>
                </c:pt>
                <c:pt idx="979">
                  <c:v>225985.65</c:v>
                </c:pt>
                <c:pt idx="980">
                  <c:v>224545.6</c:v>
                </c:pt>
                <c:pt idx="981">
                  <c:v>231082.5</c:v>
                </c:pt>
                <c:pt idx="982">
                  <c:v>233004.4</c:v>
                </c:pt>
                <c:pt idx="983">
                  <c:v>234785.65</c:v>
                </c:pt>
                <c:pt idx="984">
                  <c:v>233856.85</c:v>
                </c:pt>
                <c:pt idx="985">
                  <c:v>230938.75</c:v>
                </c:pt>
                <c:pt idx="986">
                  <c:v>237830.6</c:v>
                </c:pt>
                <c:pt idx="987">
                  <c:v>239515</c:v>
                </c:pt>
                <c:pt idx="988">
                  <c:v>238504.35</c:v>
                </c:pt>
                <c:pt idx="989">
                  <c:v>238896.25</c:v>
                </c:pt>
                <c:pt idx="990">
                  <c:v>238900.65</c:v>
                </c:pt>
                <c:pt idx="991">
                  <c:v>237850</c:v>
                </c:pt>
                <c:pt idx="992">
                  <c:v>245595</c:v>
                </c:pt>
                <c:pt idx="993">
                  <c:v>238684.35</c:v>
                </c:pt>
                <c:pt idx="994">
                  <c:v>239599.4</c:v>
                </c:pt>
                <c:pt idx="995">
                  <c:v>239810</c:v>
                </c:pt>
                <c:pt idx="996">
                  <c:v>238727.5</c:v>
                </c:pt>
                <c:pt idx="997">
                  <c:v>236660</c:v>
                </c:pt>
                <c:pt idx="998">
                  <c:v>237754.4</c:v>
                </c:pt>
                <c:pt idx="999">
                  <c:v>230610</c:v>
                </c:pt>
                <c:pt idx="1000">
                  <c:v>234921.25</c:v>
                </c:pt>
                <c:pt idx="1001">
                  <c:v>238756.9</c:v>
                </c:pt>
                <c:pt idx="1002">
                  <c:v>242044.35</c:v>
                </c:pt>
                <c:pt idx="1003">
                  <c:v>242335.6</c:v>
                </c:pt>
                <c:pt idx="1004">
                  <c:v>239912.5</c:v>
                </c:pt>
                <c:pt idx="1005">
                  <c:v>240407.5</c:v>
                </c:pt>
                <c:pt idx="1006">
                  <c:v>237848.75</c:v>
                </c:pt>
                <c:pt idx="1007">
                  <c:v>238656.9</c:v>
                </c:pt>
                <c:pt idx="1008">
                  <c:v>239435</c:v>
                </c:pt>
                <c:pt idx="1009">
                  <c:v>249679.4</c:v>
                </c:pt>
                <c:pt idx="1010">
                  <c:v>250001.9</c:v>
                </c:pt>
                <c:pt idx="1011">
                  <c:v>252081.84999999998</c:v>
                </c:pt>
                <c:pt idx="1012">
                  <c:v>256310.59999999998</c:v>
                </c:pt>
                <c:pt idx="1013">
                  <c:v>261622.5</c:v>
                </c:pt>
                <c:pt idx="1014">
                  <c:v>261623.75</c:v>
                </c:pt>
                <c:pt idx="1015">
                  <c:v>268865.65000000002</c:v>
                </c:pt>
                <c:pt idx="1016">
                  <c:v>262980</c:v>
                </c:pt>
                <c:pt idx="1017">
                  <c:v>260840</c:v>
                </c:pt>
                <c:pt idx="1018">
                  <c:v>259251.25</c:v>
                </c:pt>
                <c:pt idx="1019">
                  <c:v>257508.1</c:v>
                </c:pt>
                <c:pt idx="1020">
                  <c:v>257020.65</c:v>
                </c:pt>
                <c:pt idx="1021">
                  <c:v>252478.75</c:v>
                </c:pt>
                <c:pt idx="1022">
                  <c:v>246323.15</c:v>
                </c:pt>
                <c:pt idx="1023">
                  <c:v>254913.75</c:v>
                </c:pt>
                <c:pt idx="1024">
                  <c:v>244468.15</c:v>
                </c:pt>
                <c:pt idx="1025">
                  <c:v>249477.5</c:v>
                </c:pt>
                <c:pt idx="1026">
                  <c:v>250471.9</c:v>
                </c:pt>
                <c:pt idx="1027">
                  <c:v>247535</c:v>
                </c:pt>
                <c:pt idx="1028">
                  <c:v>249510.6</c:v>
                </c:pt>
                <c:pt idx="1029">
                  <c:v>250888.15</c:v>
                </c:pt>
                <c:pt idx="1030">
                  <c:v>252841.25</c:v>
                </c:pt>
                <c:pt idx="1031">
                  <c:v>252726.25</c:v>
                </c:pt>
                <c:pt idx="1032">
                  <c:v>253329.35</c:v>
                </c:pt>
                <c:pt idx="1033">
                  <c:v>251943.1</c:v>
                </c:pt>
                <c:pt idx="1034">
                  <c:v>244263.75</c:v>
                </c:pt>
                <c:pt idx="1035">
                  <c:v>234883.75</c:v>
                </c:pt>
                <c:pt idx="1036">
                  <c:v>224944.4</c:v>
                </c:pt>
                <c:pt idx="1037">
                  <c:v>222308.75</c:v>
                </c:pt>
                <c:pt idx="1038">
                  <c:v>222391.85</c:v>
                </c:pt>
                <c:pt idx="1039">
                  <c:v>222879.35</c:v>
                </c:pt>
                <c:pt idx="1040">
                  <c:v>225710</c:v>
                </c:pt>
                <c:pt idx="1041">
                  <c:v>225613.75</c:v>
                </c:pt>
                <c:pt idx="1042">
                  <c:v>242024.4</c:v>
                </c:pt>
                <c:pt idx="1043">
                  <c:v>243225</c:v>
                </c:pt>
                <c:pt idx="1044">
                  <c:v>243084.35</c:v>
                </c:pt>
                <c:pt idx="1045">
                  <c:v>238575</c:v>
                </c:pt>
                <c:pt idx="1046">
                  <c:v>232171.9</c:v>
                </c:pt>
                <c:pt idx="1047">
                  <c:v>235576.25</c:v>
                </c:pt>
                <c:pt idx="1048">
                  <c:v>235441.25</c:v>
                </c:pt>
                <c:pt idx="1049">
                  <c:v>236026.9</c:v>
                </c:pt>
                <c:pt idx="1050">
                  <c:v>236446.9</c:v>
                </c:pt>
                <c:pt idx="1051">
                  <c:v>236235.65</c:v>
                </c:pt>
                <c:pt idx="1052">
                  <c:v>235966.25</c:v>
                </c:pt>
                <c:pt idx="1053">
                  <c:v>235462.5</c:v>
                </c:pt>
                <c:pt idx="1054">
                  <c:v>236652.5</c:v>
                </c:pt>
                <c:pt idx="1055">
                  <c:v>231086.9</c:v>
                </c:pt>
                <c:pt idx="1056">
                  <c:v>230278.1</c:v>
                </c:pt>
                <c:pt idx="1057">
                  <c:v>232306.85</c:v>
                </c:pt>
                <c:pt idx="1058">
                  <c:v>232610</c:v>
                </c:pt>
                <c:pt idx="1059">
                  <c:v>233958.75</c:v>
                </c:pt>
                <c:pt idx="1060">
                  <c:v>236567.5</c:v>
                </c:pt>
                <c:pt idx="1061">
                  <c:v>235711.25</c:v>
                </c:pt>
                <c:pt idx="1062">
                  <c:v>235480</c:v>
                </c:pt>
                <c:pt idx="1063">
                  <c:v>241360</c:v>
                </c:pt>
                <c:pt idx="1064">
                  <c:v>240787.5</c:v>
                </c:pt>
                <c:pt idx="1065">
                  <c:v>241130.6</c:v>
                </c:pt>
                <c:pt idx="1066">
                  <c:v>243276.25</c:v>
                </c:pt>
                <c:pt idx="1067">
                  <c:v>241472.5</c:v>
                </c:pt>
                <c:pt idx="1068">
                  <c:v>240105</c:v>
                </c:pt>
                <c:pt idx="1069">
                  <c:v>242683.75</c:v>
                </c:pt>
                <c:pt idx="1070">
                  <c:v>250018.15</c:v>
                </c:pt>
                <c:pt idx="1071">
                  <c:v>249680</c:v>
                </c:pt>
                <c:pt idx="1072">
                  <c:v>249835.65</c:v>
                </c:pt>
                <c:pt idx="1073">
                  <c:v>249223.1</c:v>
                </c:pt>
                <c:pt idx="1074">
                  <c:v>249803.75</c:v>
                </c:pt>
                <c:pt idx="1075">
                  <c:v>257823.75</c:v>
                </c:pt>
                <c:pt idx="1076">
                  <c:v>258570</c:v>
                </c:pt>
                <c:pt idx="1077">
                  <c:v>258585</c:v>
                </c:pt>
                <c:pt idx="1078">
                  <c:v>259443.75</c:v>
                </c:pt>
                <c:pt idx="1079">
                  <c:v>260141.25</c:v>
                </c:pt>
                <c:pt idx="1080">
                  <c:v>260761.25</c:v>
                </c:pt>
                <c:pt idx="1081">
                  <c:v>265141.25</c:v>
                </c:pt>
                <c:pt idx="1082">
                  <c:v>261860</c:v>
                </c:pt>
                <c:pt idx="1083">
                  <c:v>260603.75</c:v>
                </c:pt>
                <c:pt idx="1084">
                  <c:v>257455.6</c:v>
                </c:pt>
                <c:pt idx="1085">
                  <c:v>256608.15</c:v>
                </c:pt>
                <c:pt idx="1086">
                  <c:v>252325.6</c:v>
                </c:pt>
                <c:pt idx="1087">
                  <c:v>251498.15</c:v>
                </c:pt>
                <c:pt idx="1088">
                  <c:v>251920</c:v>
                </c:pt>
                <c:pt idx="1089">
                  <c:v>261866.9</c:v>
                </c:pt>
                <c:pt idx="1090">
                  <c:v>262729.40000000002</c:v>
                </c:pt>
                <c:pt idx="1091">
                  <c:v>263614.34999999998</c:v>
                </c:pt>
                <c:pt idx="1092">
                  <c:v>262670</c:v>
                </c:pt>
                <c:pt idx="1093">
                  <c:v>263305</c:v>
                </c:pt>
                <c:pt idx="1094">
                  <c:v>258813.75</c:v>
                </c:pt>
                <c:pt idx="1095">
                  <c:v>261635</c:v>
                </c:pt>
                <c:pt idx="1096">
                  <c:v>261841.25</c:v>
                </c:pt>
                <c:pt idx="1097">
                  <c:v>261406.9</c:v>
                </c:pt>
                <c:pt idx="1098">
                  <c:v>259290.65</c:v>
                </c:pt>
                <c:pt idx="1099">
                  <c:v>268449.40000000002</c:v>
                </c:pt>
                <c:pt idx="1100">
                  <c:v>268002.5</c:v>
                </c:pt>
                <c:pt idx="1101">
                  <c:v>271699.40000000002</c:v>
                </c:pt>
                <c:pt idx="1102">
                  <c:v>271324.34999999998</c:v>
                </c:pt>
                <c:pt idx="1103">
                  <c:v>273508.15000000002</c:v>
                </c:pt>
                <c:pt idx="1104">
                  <c:v>270868.75</c:v>
                </c:pt>
                <c:pt idx="1105">
                  <c:v>267450</c:v>
                </c:pt>
                <c:pt idx="1106">
                  <c:v>271561.84999999998</c:v>
                </c:pt>
                <c:pt idx="1107">
                  <c:v>269780</c:v>
                </c:pt>
                <c:pt idx="1108">
                  <c:v>269363.75</c:v>
                </c:pt>
                <c:pt idx="1109">
                  <c:v>270503.75</c:v>
                </c:pt>
                <c:pt idx="1110">
                  <c:v>267175.65000000002</c:v>
                </c:pt>
                <c:pt idx="1111">
                  <c:v>275196.90000000002</c:v>
                </c:pt>
                <c:pt idx="1112">
                  <c:v>281305.65000000002</c:v>
                </c:pt>
                <c:pt idx="1113">
                  <c:v>291409.34999999998</c:v>
                </c:pt>
                <c:pt idx="1114">
                  <c:v>290762.5</c:v>
                </c:pt>
                <c:pt idx="1115">
                  <c:v>292782.5</c:v>
                </c:pt>
                <c:pt idx="1116">
                  <c:v>290323.75</c:v>
                </c:pt>
                <c:pt idx="1117">
                  <c:v>289461.25</c:v>
                </c:pt>
                <c:pt idx="1118">
                  <c:v>281970</c:v>
                </c:pt>
                <c:pt idx="1119">
                  <c:v>281041.25</c:v>
                </c:pt>
                <c:pt idx="1120">
                  <c:v>281428.75</c:v>
                </c:pt>
                <c:pt idx="1121">
                  <c:v>283615.65000000002</c:v>
                </c:pt>
                <c:pt idx="1122">
                  <c:v>283097.5</c:v>
                </c:pt>
                <c:pt idx="1123">
                  <c:v>286440</c:v>
                </c:pt>
                <c:pt idx="1124">
                  <c:v>290568.75</c:v>
                </c:pt>
                <c:pt idx="1125">
                  <c:v>290794.34999999998</c:v>
                </c:pt>
                <c:pt idx="1126">
                  <c:v>290809.34999999998</c:v>
                </c:pt>
                <c:pt idx="1127">
                  <c:v>290736.84999999998</c:v>
                </c:pt>
                <c:pt idx="1128">
                  <c:v>295436.25</c:v>
                </c:pt>
                <c:pt idx="1129">
                  <c:v>290644.40000000002</c:v>
                </c:pt>
                <c:pt idx="1130">
                  <c:v>287919.34999999998</c:v>
                </c:pt>
                <c:pt idx="1131">
                  <c:v>290093.75</c:v>
                </c:pt>
                <c:pt idx="1132">
                  <c:v>290688.15000000002</c:v>
                </c:pt>
                <c:pt idx="1133">
                  <c:v>288953.75</c:v>
                </c:pt>
                <c:pt idx="1134">
                  <c:v>287295.59999999998</c:v>
                </c:pt>
                <c:pt idx="1135">
                  <c:v>291338.09999999998</c:v>
                </c:pt>
                <c:pt idx="1136">
                  <c:v>291307.5</c:v>
                </c:pt>
                <c:pt idx="1137">
                  <c:v>291348.09999999998</c:v>
                </c:pt>
                <c:pt idx="1138">
                  <c:v>292795</c:v>
                </c:pt>
                <c:pt idx="1139">
                  <c:v>291363.09999999998</c:v>
                </c:pt>
                <c:pt idx="1140">
                  <c:v>296243.75</c:v>
                </c:pt>
                <c:pt idx="1141">
                  <c:v>291590</c:v>
                </c:pt>
                <c:pt idx="1142">
                  <c:v>300259.40000000002</c:v>
                </c:pt>
                <c:pt idx="1143">
                  <c:v>301561.84999999998</c:v>
                </c:pt>
                <c:pt idx="1144">
                  <c:v>300663.09999999998</c:v>
                </c:pt>
                <c:pt idx="1145">
                  <c:v>306280</c:v>
                </c:pt>
                <c:pt idx="1146">
                  <c:v>304238.09999999998</c:v>
                </c:pt>
                <c:pt idx="1147">
                  <c:v>296908.75</c:v>
                </c:pt>
                <c:pt idx="1148">
                  <c:v>300762.5</c:v>
                </c:pt>
                <c:pt idx="1149">
                  <c:v>302928.75</c:v>
                </c:pt>
                <c:pt idx="1150">
                  <c:v>305788.15000000002</c:v>
                </c:pt>
                <c:pt idx="1151">
                  <c:v>304541.25</c:v>
                </c:pt>
                <c:pt idx="1152">
                  <c:v>307319.40000000002</c:v>
                </c:pt>
                <c:pt idx="1153">
                  <c:v>302441.25</c:v>
                </c:pt>
                <c:pt idx="1154">
                  <c:v>295895.65000000002</c:v>
                </c:pt>
                <c:pt idx="1155">
                  <c:v>294128.09999999998</c:v>
                </c:pt>
                <c:pt idx="1156">
                  <c:v>293713.09999999998</c:v>
                </c:pt>
                <c:pt idx="1157">
                  <c:v>298564.34999999998</c:v>
                </c:pt>
                <c:pt idx="1158">
                  <c:v>301288.75</c:v>
                </c:pt>
                <c:pt idx="1159">
                  <c:v>301931.90000000002</c:v>
                </c:pt>
                <c:pt idx="1160">
                  <c:v>302768.75</c:v>
                </c:pt>
                <c:pt idx="1161">
                  <c:v>298965.65000000002</c:v>
                </c:pt>
                <c:pt idx="1162">
                  <c:v>297675.59999999998</c:v>
                </c:pt>
                <c:pt idx="1163">
                  <c:v>305336.25</c:v>
                </c:pt>
                <c:pt idx="1164">
                  <c:v>308561.84999999998</c:v>
                </c:pt>
                <c:pt idx="1165">
                  <c:v>310228.15000000002</c:v>
                </c:pt>
                <c:pt idx="1166">
                  <c:v>308228.15000000002</c:v>
                </c:pt>
                <c:pt idx="1167">
                  <c:v>309408.75</c:v>
                </c:pt>
                <c:pt idx="1168">
                  <c:v>309636.84999999998</c:v>
                </c:pt>
                <c:pt idx="1169">
                  <c:v>307849.34999999998</c:v>
                </c:pt>
                <c:pt idx="1170">
                  <c:v>308425.65000000002</c:v>
                </c:pt>
                <c:pt idx="1171">
                  <c:v>307243.15000000002</c:v>
                </c:pt>
                <c:pt idx="1172">
                  <c:v>306284.40000000002</c:v>
                </c:pt>
                <c:pt idx="1173">
                  <c:v>312761.90000000002</c:v>
                </c:pt>
                <c:pt idx="1174">
                  <c:v>312295</c:v>
                </c:pt>
                <c:pt idx="1175">
                  <c:v>314660.65000000002</c:v>
                </c:pt>
                <c:pt idx="1176">
                  <c:v>312357.5</c:v>
                </c:pt>
                <c:pt idx="1177">
                  <c:v>308809.40000000002</c:v>
                </c:pt>
                <c:pt idx="1178">
                  <c:v>311158.15000000002</c:v>
                </c:pt>
                <c:pt idx="1179">
                  <c:v>308066.84999999998</c:v>
                </c:pt>
                <c:pt idx="1180">
                  <c:v>307826.25</c:v>
                </c:pt>
                <c:pt idx="1181">
                  <c:v>309891.90000000002</c:v>
                </c:pt>
                <c:pt idx="1182">
                  <c:v>312024.34999999998</c:v>
                </c:pt>
                <c:pt idx="1183">
                  <c:v>307816.90000000002</c:v>
                </c:pt>
                <c:pt idx="1184">
                  <c:v>309682.5</c:v>
                </c:pt>
                <c:pt idx="1185">
                  <c:v>309774.34999999998</c:v>
                </c:pt>
                <c:pt idx="1186">
                  <c:v>310074.34999999998</c:v>
                </c:pt>
                <c:pt idx="1187">
                  <c:v>310932.5</c:v>
                </c:pt>
                <c:pt idx="1188">
                  <c:v>315751.25</c:v>
                </c:pt>
                <c:pt idx="1189">
                  <c:v>317385.65000000002</c:v>
                </c:pt>
                <c:pt idx="1190">
                  <c:v>312170.65000000002</c:v>
                </c:pt>
                <c:pt idx="1191">
                  <c:v>316561.25</c:v>
                </c:pt>
                <c:pt idx="1192">
                  <c:v>314915</c:v>
                </c:pt>
                <c:pt idx="1193">
                  <c:v>316946.84999999998</c:v>
                </c:pt>
                <c:pt idx="1194">
                  <c:v>318436.25</c:v>
                </c:pt>
                <c:pt idx="1195">
                  <c:v>318453.75</c:v>
                </c:pt>
                <c:pt idx="1196">
                  <c:v>315982.5</c:v>
                </c:pt>
                <c:pt idx="1197">
                  <c:v>315940.59999999998</c:v>
                </c:pt>
                <c:pt idx="1198">
                  <c:v>316184.34999999998</c:v>
                </c:pt>
                <c:pt idx="1199">
                  <c:v>313586.25</c:v>
                </c:pt>
                <c:pt idx="1200">
                  <c:v>316226.25</c:v>
                </c:pt>
                <c:pt idx="1201">
                  <c:v>317856.90000000002</c:v>
                </c:pt>
                <c:pt idx="1202">
                  <c:v>324221.90000000002</c:v>
                </c:pt>
                <c:pt idx="1203">
                  <c:v>325713.75</c:v>
                </c:pt>
                <c:pt idx="1204">
                  <c:v>325138.75</c:v>
                </c:pt>
                <c:pt idx="1205">
                  <c:v>326848.75</c:v>
                </c:pt>
                <c:pt idx="1206">
                  <c:v>326608.09999999998</c:v>
                </c:pt>
                <c:pt idx="1207">
                  <c:v>324681.25</c:v>
                </c:pt>
                <c:pt idx="1208">
                  <c:v>326286.84999999998</c:v>
                </c:pt>
                <c:pt idx="1209">
                  <c:v>326311.90000000002</c:v>
                </c:pt>
                <c:pt idx="1210">
                  <c:v>326315</c:v>
                </c:pt>
                <c:pt idx="1211">
                  <c:v>322544.40000000002</c:v>
                </c:pt>
                <c:pt idx="1212">
                  <c:v>328770</c:v>
                </c:pt>
                <c:pt idx="1213">
                  <c:v>328657.5</c:v>
                </c:pt>
                <c:pt idx="1214">
                  <c:v>331603.75</c:v>
                </c:pt>
                <c:pt idx="1215">
                  <c:v>339817.5</c:v>
                </c:pt>
                <c:pt idx="1216">
                  <c:v>340526.85</c:v>
                </c:pt>
                <c:pt idx="1217">
                  <c:v>338968.15</c:v>
                </c:pt>
                <c:pt idx="1218">
                  <c:v>336467.5</c:v>
                </c:pt>
                <c:pt idx="1219">
                  <c:v>340531.25</c:v>
                </c:pt>
                <c:pt idx="1220">
                  <c:v>343917.5</c:v>
                </c:pt>
                <c:pt idx="1221">
                  <c:v>337797.5</c:v>
                </c:pt>
                <c:pt idx="1222">
                  <c:v>337624.35</c:v>
                </c:pt>
                <c:pt idx="1223">
                  <c:v>333445</c:v>
                </c:pt>
                <c:pt idx="1224">
                  <c:v>334965.59999999998</c:v>
                </c:pt>
                <c:pt idx="1225">
                  <c:v>330200.59999999998</c:v>
                </c:pt>
                <c:pt idx="1226">
                  <c:v>326472.5</c:v>
                </c:pt>
                <c:pt idx="1227">
                  <c:v>324366.25</c:v>
                </c:pt>
                <c:pt idx="1228">
                  <c:v>323725</c:v>
                </c:pt>
                <c:pt idx="1229">
                  <c:v>324818.09999999998</c:v>
                </c:pt>
                <c:pt idx="1230">
                  <c:v>324937.5</c:v>
                </c:pt>
                <c:pt idx="1231">
                  <c:v>322009.40000000002</c:v>
                </c:pt>
                <c:pt idx="1232">
                  <c:v>321914.40000000002</c:v>
                </c:pt>
                <c:pt idx="1233">
                  <c:v>319768.75</c:v>
                </c:pt>
                <c:pt idx="1234">
                  <c:v>319938.75</c:v>
                </c:pt>
                <c:pt idx="1235">
                  <c:v>318954.34999999998</c:v>
                </c:pt>
                <c:pt idx="1236">
                  <c:v>315286.90000000002</c:v>
                </c:pt>
                <c:pt idx="1237">
                  <c:v>312288.09999999998</c:v>
                </c:pt>
                <c:pt idx="1238">
                  <c:v>312692.5</c:v>
                </c:pt>
                <c:pt idx="1239">
                  <c:v>312491.25</c:v>
                </c:pt>
                <c:pt idx="1240">
                  <c:v>312271.25</c:v>
                </c:pt>
                <c:pt idx="1241">
                  <c:v>306755.59999999998</c:v>
                </c:pt>
                <c:pt idx="1242">
                  <c:v>307510.65000000002</c:v>
                </c:pt>
                <c:pt idx="1243">
                  <c:v>308719.34999999998</c:v>
                </c:pt>
                <c:pt idx="1244">
                  <c:v>310763.75</c:v>
                </c:pt>
                <c:pt idx="1245">
                  <c:v>305235.65000000002</c:v>
                </c:pt>
                <c:pt idx="1246">
                  <c:v>303855</c:v>
                </c:pt>
                <c:pt idx="1247">
                  <c:v>308063.15000000002</c:v>
                </c:pt>
                <c:pt idx="1248">
                  <c:v>306033.75</c:v>
                </c:pt>
                <c:pt idx="1249">
                  <c:v>310361.25</c:v>
                </c:pt>
                <c:pt idx="1250">
                  <c:v>312577.5</c:v>
                </c:pt>
                <c:pt idx="1251">
                  <c:v>311791.25</c:v>
                </c:pt>
                <c:pt idx="1252">
                  <c:v>311313.15000000002</c:v>
                </c:pt>
                <c:pt idx="1253">
                  <c:v>308960.65000000002</c:v>
                </c:pt>
                <c:pt idx="1254">
                  <c:v>307997.5</c:v>
                </c:pt>
                <c:pt idx="1255">
                  <c:v>305090.59999999998</c:v>
                </c:pt>
                <c:pt idx="1256">
                  <c:v>310090.65000000002</c:v>
                </c:pt>
                <c:pt idx="1257">
                  <c:v>310244.40000000002</c:v>
                </c:pt>
                <c:pt idx="1258">
                  <c:v>309938.15000000002</c:v>
                </c:pt>
                <c:pt idx="1259">
                  <c:v>307268.15000000002</c:v>
                </c:pt>
                <c:pt idx="1260">
                  <c:v>305111.25</c:v>
                </c:pt>
                <c:pt idx="1261">
                  <c:v>305139.40000000002</c:v>
                </c:pt>
                <c:pt idx="1262">
                  <c:v>310012.5</c:v>
                </c:pt>
                <c:pt idx="1263">
                  <c:v>308084.40000000002</c:v>
                </c:pt>
                <c:pt idx="1264">
                  <c:v>306407.5</c:v>
                </c:pt>
                <c:pt idx="1265">
                  <c:v>308071.90000000002</c:v>
                </c:pt>
                <c:pt idx="1266">
                  <c:v>308805</c:v>
                </c:pt>
                <c:pt idx="1267">
                  <c:v>310637.5</c:v>
                </c:pt>
                <c:pt idx="1268">
                  <c:v>312488.75</c:v>
                </c:pt>
                <c:pt idx="1269">
                  <c:v>309201.90000000002</c:v>
                </c:pt>
                <c:pt idx="1270">
                  <c:v>309139.34999999998</c:v>
                </c:pt>
                <c:pt idx="1271">
                  <c:v>310533.75</c:v>
                </c:pt>
                <c:pt idx="1272">
                  <c:v>309339.34999999998</c:v>
                </c:pt>
                <c:pt idx="1273">
                  <c:v>310306.84999999998</c:v>
                </c:pt>
                <c:pt idx="1274">
                  <c:v>308521.84999999998</c:v>
                </c:pt>
                <c:pt idx="1275">
                  <c:v>308965</c:v>
                </c:pt>
                <c:pt idx="1276">
                  <c:v>308696.25</c:v>
                </c:pt>
                <c:pt idx="1277">
                  <c:v>308570.65000000002</c:v>
                </c:pt>
                <c:pt idx="1278">
                  <c:v>307435.59999999998</c:v>
                </c:pt>
                <c:pt idx="1279">
                  <c:v>310771.84999999998</c:v>
                </c:pt>
                <c:pt idx="1280">
                  <c:v>308946.90000000002</c:v>
                </c:pt>
                <c:pt idx="1281">
                  <c:v>307937.5</c:v>
                </c:pt>
                <c:pt idx="1282">
                  <c:v>308189.40000000002</c:v>
                </c:pt>
                <c:pt idx="1283">
                  <c:v>308970.59999999998</c:v>
                </c:pt>
                <c:pt idx="1284">
                  <c:v>307385.59999999998</c:v>
                </c:pt>
                <c:pt idx="1285">
                  <c:v>309084.34999999998</c:v>
                </c:pt>
                <c:pt idx="1286">
                  <c:v>311960.65000000002</c:v>
                </c:pt>
                <c:pt idx="1287">
                  <c:v>307031.25</c:v>
                </c:pt>
                <c:pt idx="1288">
                  <c:v>306675.65000000002</c:v>
                </c:pt>
                <c:pt idx="1289">
                  <c:v>306193.15000000002</c:v>
                </c:pt>
                <c:pt idx="1290">
                  <c:v>305654.34999999998</c:v>
                </c:pt>
                <c:pt idx="1291">
                  <c:v>304576.25</c:v>
                </c:pt>
                <c:pt idx="1292">
                  <c:v>304518.75</c:v>
                </c:pt>
                <c:pt idx="1293">
                  <c:v>303773.75</c:v>
                </c:pt>
                <c:pt idx="1294">
                  <c:v>304367.5</c:v>
                </c:pt>
                <c:pt idx="1295">
                  <c:v>305803.75</c:v>
                </c:pt>
                <c:pt idx="1296">
                  <c:v>307983.09999999998</c:v>
                </c:pt>
                <c:pt idx="1297">
                  <c:v>309516.84999999998</c:v>
                </c:pt>
                <c:pt idx="1298">
                  <c:v>309970.59999999998</c:v>
                </c:pt>
                <c:pt idx="1299">
                  <c:v>308998.15000000002</c:v>
                </c:pt>
                <c:pt idx="1300">
                  <c:v>310196.25</c:v>
                </c:pt>
                <c:pt idx="1301">
                  <c:v>308131.25</c:v>
                </c:pt>
                <c:pt idx="1302">
                  <c:v>306854.34999999998</c:v>
                </c:pt>
                <c:pt idx="1303">
                  <c:v>305205.59999999998</c:v>
                </c:pt>
                <c:pt idx="1304">
                  <c:v>299336.84999999998</c:v>
                </c:pt>
                <c:pt idx="1305">
                  <c:v>300960.65000000002</c:v>
                </c:pt>
                <c:pt idx="1306">
                  <c:v>302197.5</c:v>
                </c:pt>
                <c:pt idx="1307">
                  <c:v>299519.34999999998</c:v>
                </c:pt>
                <c:pt idx="1308">
                  <c:v>299322.5</c:v>
                </c:pt>
                <c:pt idx="1309">
                  <c:v>295166.84999999998</c:v>
                </c:pt>
                <c:pt idx="1310">
                  <c:v>296290.65000000002</c:v>
                </c:pt>
                <c:pt idx="1311">
                  <c:v>294997.5</c:v>
                </c:pt>
                <c:pt idx="1312">
                  <c:v>294060</c:v>
                </c:pt>
                <c:pt idx="1313">
                  <c:v>294241.25</c:v>
                </c:pt>
                <c:pt idx="1314">
                  <c:v>293244.34999999998</c:v>
                </c:pt>
                <c:pt idx="1315">
                  <c:v>296836.84999999998</c:v>
                </c:pt>
                <c:pt idx="1316">
                  <c:v>296210.59999999998</c:v>
                </c:pt>
                <c:pt idx="1317">
                  <c:v>287834.40000000002</c:v>
                </c:pt>
                <c:pt idx="1318">
                  <c:v>287722.5</c:v>
                </c:pt>
                <c:pt idx="1319">
                  <c:v>290403.15000000002</c:v>
                </c:pt>
                <c:pt idx="1320">
                  <c:v>294351.90000000002</c:v>
                </c:pt>
                <c:pt idx="1321">
                  <c:v>296906.25</c:v>
                </c:pt>
                <c:pt idx="1322">
                  <c:v>291571.84999999998</c:v>
                </c:pt>
                <c:pt idx="1323">
                  <c:v>284819.34999999998</c:v>
                </c:pt>
                <c:pt idx="1324">
                  <c:v>286051.25</c:v>
                </c:pt>
                <c:pt idx="1325">
                  <c:v>288558.09999999998</c:v>
                </c:pt>
                <c:pt idx="1326">
                  <c:v>283492.5</c:v>
                </c:pt>
                <c:pt idx="1327">
                  <c:v>284403.15000000002</c:v>
                </c:pt>
                <c:pt idx="1328">
                  <c:v>287091.25</c:v>
                </c:pt>
                <c:pt idx="1329">
                  <c:v>287660.59999999998</c:v>
                </c:pt>
                <c:pt idx="1330">
                  <c:v>287402.5</c:v>
                </c:pt>
                <c:pt idx="1331">
                  <c:v>286583.75</c:v>
                </c:pt>
                <c:pt idx="1332">
                  <c:v>291253.75</c:v>
                </c:pt>
                <c:pt idx="1333">
                  <c:v>292886.25</c:v>
                </c:pt>
                <c:pt idx="1334">
                  <c:v>292943.75</c:v>
                </c:pt>
                <c:pt idx="1335">
                  <c:v>294025.59999999998</c:v>
                </c:pt>
                <c:pt idx="1336">
                  <c:v>293401.84999999998</c:v>
                </c:pt>
                <c:pt idx="1337">
                  <c:v>296403.09999999998</c:v>
                </c:pt>
                <c:pt idx="1338">
                  <c:v>294168.75</c:v>
                </c:pt>
                <c:pt idx="1339">
                  <c:v>301685</c:v>
                </c:pt>
                <c:pt idx="1340">
                  <c:v>303095</c:v>
                </c:pt>
                <c:pt idx="1341">
                  <c:v>301612.5</c:v>
                </c:pt>
                <c:pt idx="1342">
                  <c:v>301531.25</c:v>
                </c:pt>
                <c:pt idx="1343">
                  <c:v>299420.59999999998</c:v>
                </c:pt>
                <c:pt idx="1344">
                  <c:v>293274.40000000002</c:v>
                </c:pt>
                <c:pt idx="1345">
                  <c:v>301737.5</c:v>
                </c:pt>
                <c:pt idx="1346">
                  <c:v>304649.34999999998</c:v>
                </c:pt>
                <c:pt idx="1347">
                  <c:v>308636.90000000002</c:v>
                </c:pt>
                <c:pt idx="1348">
                  <c:v>308210</c:v>
                </c:pt>
                <c:pt idx="1349">
                  <c:v>309384.40000000002</c:v>
                </c:pt>
                <c:pt idx="1350">
                  <c:v>308498.75</c:v>
                </c:pt>
                <c:pt idx="1351">
                  <c:v>309881.84999999998</c:v>
                </c:pt>
                <c:pt idx="1352">
                  <c:v>312898.09999999998</c:v>
                </c:pt>
                <c:pt idx="1353">
                  <c:v>311376.90000000002</c:v>
                </c:pt>
                <c:pt idx="1354">
                  <c:v>311827.5</c:v>
                </c:pt>
                <c:pt idx="1355">
                  <c:v>309401.90000000002</c:v>
                </c:pt>
                <c:pt idx="1356">
                  <c:v>318960.65000000002</c:v>
                </c:pt>
                <c:pt idx="1357">
                  <c:v>315876.90000000002</c:v>
                </c:pt>
                <c:pt idx="1358">
                  <c:v>316505.65000000002</c:v>
                </c:pt>
                <c:pt idx="1359">
                  <c:v>315523.75</c:v>
                </c:pt>
                <c:pt idx="1360">
                  <c:v>316459.34999999998</c:v>
                </c:pt>
                <c:pt idx="1361">
                  <c:v>314041.25</c:v>
                </c:pt>
                <c:pt idx="1362">
                  <c:v>313947.5</c:v>
                </c:pt>
                <c:pt idx="1363">
                  <c:v>312343.15000000002</c:v>
                </c:pt>
                <c:pt idx="1364">
                  <c:v>314540.65000000002</c:v>
                </c:pt>
                <c:pt idx="1365">
                  <c:v>316148.15000000002</c:v>
                </c:pt>
                <c:pt idx="1366">
                  <c:v>317628.09999999998</c:v>
                </c:pt>
                <c:pt idx="1367">
                  <c:v>318341.84999999998</c:v>
                </c:pt>
                <c:pt idx="1368">
                  <c:v>323902.5</c:v>
                </c:pt>
                <c:pt idx="1369">
                  <c:v>321781.25</c:v>
                </c:pt>
                <c:pt idx="1370">
                  <c:v>319138.09999999998</c:v>
                </c:pt>
                <c:pt idx="1371">
                  <c:v>312269.40000000002</c:v>
                </c:pt>
                <c:pt idx="1372">
                  <c:v>313836.25</c:v>
                </c:pt>
                <c:pt idx="1373">
                  <c:v>316434.40000000002</c:v>
                </c:pt>
                <c:pt idx="1374">
                  <c:v>318156.25</c:v>
                </c:pt>
                <c:pt idx="1375">
                  <c:v>318553.15000000002</c:v>
                </c:pt>
                <c:pt idx="1376">
                  <c:v>316863.75</c:v>
                </c:pt>
                <c:pt idx="1377">
                  <c:v>322090.59999999998</c:v>
                </c:pt>
                <c:pt idx="1378">
                  <c:v>323776.25</c:v>
                </c:pt>
                <c:pt idx="1379">
                  <c:v>324371.25</c:v>
                </c:pt>
                <c:pt idx="1380">
                  <c:v>319224.40000000002</c:v>
                </c:pt>
                <c:pt idx="1381">
                  <c:v>331615</c:v>
                </c:pt>
                <c:pt idx="1382">
                  <c:v>329635</c:v>
                </c:pt>
                <c:pt idx="1383">
                  <c:v>328712.5</c:v>
                </c:pt>
                <c:pt idx="1384">
                  <c:v>327273.75</c:v>
                </c:pt>
                <c:pt idx="1385">
                  <c:v>328468.75</c:v>
                </c:pt>
                <c:pt idx="1386">
                  <c:v>329220</c:v>
                </c:pt>
                <c:pt idx="1387">
                  <c:v>331557.5</c:v>
                </c:pt>
                <c:pt idx="1388">
                  <c:v>330791.25</c:v>
                </c:pt>
                <c:pt idx="1389">
                  <c:v>330598.75</c:v>
                </c:pt>
                <c:pt idx="1390">
                  <c:v>330123.75</c:v>
                </c:pt>
                <c:pt idx="1391">
                  <c:v>329497.5</c:v>
                </c:pt>
                <c:pt idx="1392">
                  <c:v>331161.25</c:v>
                </c:pt>
                <c:pt idx="1393">
                  <c:v>330935</c:v>
                </c:pt>
                <c:pt idx="1394">
                  <c:v>333271.25</c:v>
                </c:pt>
                <c:pt idx="1395">
                  <c:v>333373.09999999998</c:v>
                </c:pt>
                <c:pt idx="1396">
                  <c:v>333453.75</c:v>
                </c:pt>
                <c:pt idx="1397">
                  <c:v>336834.35</c:v>
                </c:pt>
                <c:pt idx="1398">
                  <c:v>338383.1</c:v>
                </c:pt>
                <c:pt idx="1399">
                  <c:v>335319.40000000002</c:v>
                </c:pt>
                <c:pt idx="1400">
                  <c:v>335644.4</c:v>
                </c:pt>
                <c:pt idx="1401">
                  <c:v>338075.65</c:v>
                </c:pt>
                <c:pt idx="1402">
                  <c:v>333852.5</c:v>
                </c:pt>
                <c:pt idx="1403">
                  <c:v>335462.5</c:v>
                </c:pt>
                <c:pt idx="1404">
                  <c:v>331416.90000000002</c:v>
                </c:pt>
                <c:pt idx="1405">
                  <c:v>332036.84999999998</c:v>
                </c:pt>
                <c:pt idx="1406">
                  <c:v>332533.75</c:v>
                </c:pt>
                <c:pt idx="1407">
                  <c:v>332845.59999999998</c:v>
                </c:pt>
                <c:pt idx="1408">
                  <c:v>335646.85</c:v>
                </c:pt>
                <c:pt idx="1409">
                  <c:v>335835.6</c:v>
                </c:pt>
                <c:pt idx="1410">
                  <c:v>339040</c:v>
                </c:pt>
                <c:pt idx="1411">
                  <c:v>336327.5</c:v>
                </c:pt>
                <c:pt idx="1412">
                  <c:v>335221.84999999998</c:v>
                </c:pt>
                <c:pt idx="1413">
                  <c:v>333053.75</c:v>
                </c:pt>
                <c:pt idx="1414">
                  <c:v>330879.34999999998</c:v>
                </c:pt>
                <c:pt idx="1415">
                  <c:v>325898.75</c:v>
                </c:pt>
                <c:pt idx="1416">
                  <c:v>326511.25</c:v>
                </c:pt>
                <c:pt idx="1417">
                  <c:v>324852.5</c:v>
                </c:pt>
                <c:pt idx="1418">
                  <c:v>324842.5</c:v>
                </c:pt>
                <c:pt idx="1419">
                  <c:v>325555.65000000002</c:v>
                </c:pt>
                <c:pt idx="1420">
                  <c:v>321446.25</c:v>
                </c:pt>
                <c:pt idx="1421">
                  <c:v>322830</c:v>
                </c:pt>
                <c:pt idx="1422">
                  <c:v>323429.40000000002</c:v>
                </c:pt>
                <c:pt idx="1423">
                  <c:v>329933.09999999998</c:v>
                </c:pt>
                <c:pt idx="1424">
                  <c:v>331145</c:v>
                </c:pt>
                <c:pt idx="1425">
                  <c:v>333468.15000000002</c:v>
                </c:pt>
                <c:pt idx="1426">
                  <c:v>334623.75</c:v>
                </c:pt>
                <c:pt idx="1427">
                  <c:v>329900</c:v>
                </c:pt>
                <c:pt idx="1428">
                  <c:v>328670.59999999998</c:v>
                </c:pt>
                <c:pt idx="1429">
                  <c:v>325580</c:v>
                </c:pt>
                <c:pt idx="1430">
                  <c:v>325578.75</c:v>
                </c:pt>
                <c:pt idx="1431">
                  <c:v>322559.40000000002</c:v>
                </c:pt>
                <c:pt idx="1432">
                  <c:v>327701.25</c:v>
                </c:pt>
                <c:pt idx="1433">
                  <c:v>328438.09999999998</c:v>
                </c:pt>
                <c:pt idx="1434">
                  <c:v>328805.59999999998</c:v>
                </c:pt>
                <c:pt idx="1435">
                  <c:v>327844.34999999998</c:v>
                </c:pt>
                <c:pt idx="1436">
                  <c:v>327365</c:v>
                </c:pt>
                <c:pt idx="1437">
                  <c:v>328471.84999999998</c:v>
                </c:pt>
                <c:pt idx="1438">
                  <c:v>328486.90000000002</c:v>
                </c:pt>
                <c:pt idx="1439">
                  <c:v>326220</c:v>
                </c:pt>
                <c:pt idx="1440">
                  <c:v>326110.59999999998</c:v>
                </c:pt>
                <c:pt idx="1441">
                  <c:v>326890.59999999998</c:v>
                </c:pt>
                <c:pt idx="1442">
                  <c:v>327617.5</c:v>
                </c:pt>
                <c:pt idx="1443">
                  <c:v>327060.59999999998</c:v>
                </c:pt>
                <c:pt idx="1444">
                  <c:v>326181.25</c:v>
                </c:pt>
                <c:pt idx="1445">
                  <c:v>323686.25</c:v>
                </c:pt>
                <c:pt idx="1446">
                  <c:v>323021.25</c:v>
                </c:pt>
                <c:pt idx="1447">
                  <c:v>321761.25</c:v>
                </c:pt>
                <c:pt idx="1448">
                  <c:v>321389.34999999998</c:v>
                </c:pt>
                <c:pt idx="1449">
                  <c:v>322747.5</c:v>
                </c:pt>
                <c:pt idx="1450">
                  <c:v>324166.84999999998</c:v>
                </c:pt>
                <c:pt idx="1451">
                  <c:v>327153.75</c:v>
                </c:pt>
                <c:pt idx="1452">
                  <c:v>329775</c:v>
                </c:pt>
                <c:pt idx="1453">
                  <c:v>328341.84999999998</c:v>
                </c:pt>
                <c:pt idx="1454">
                  <c:v>328813.75</c:v>
                </c:pt>
                <c:pt idx="1455">
                  <c:v>328800.59999999998</c:v>
                </c:pt>
                <c:pt idx="1456">
                  <c:v>331401.84999999998</c:v>
                </c:pt>
                <c:pt idx="1457">
                  <c:v>333547.5</c:v>
                </c:pt>
                <c:pt idx="1458">
                  <c:v>334418.15000000002</c:v>
                </c:pt>
                <c:pt idx="1459">
                  <c:v>334580.59999999998</c:v>
                </c:pt>
                <c:pt idx="1460">
                  <c:v>335063.15000000002</c:v>
                </c:pt>
                <c:pt idx="1461">
                  <c:v>334028.09999999998</c:v>
                </c:pt>
                <c:pt idx="1462">
                  <c:v>332385</c:v>
                </c:pt>
                <c:pt idx="1463">
                  <c:v>330929.34999999998</c:v>
                </c:pt>
                <c:pt idx="1464">
                  <c:v>324759.34999999998</c:v>
                </c:pt>
                <c:pt idx="1465">
                  <c:v>324898.75</c:v>
                </c:pt>
                <c:pt idx="1466">
                  <c:v>324405</c:v>
                </c:pt>
                <c:pt idx="1467">
                  <c:v>323805</c:v>
                </c:pt>
                <c:pt idx="1468">
                  <c:v>324022.5</c:v>
                </c:pt>
                <c:pt idx="1469">
                  <c:v>324349.34999999998</c:v>
                </c:pt>
                <c:pt idx="1470">
                  <c:v>326564.40000000002</c:v>
                </c:pt>
                <c:pt idx="1471">
                  <c:v>329497.5</c:v>
                </c:pt>
                <c:pt idx="1472">
                  <c:v>331883.09999999998</c:v>
                </c:pt>
                <c:pt idx="1473">
                  <c:v>335861.25</c:v>
                </c:pt>
                <c:pt idx="1474">
                  <c:v>331706.84999999998</c:v>
                </c:pt>
                <c:pt idx="1475">
                  <c:v>335663.15</c:v>
                </c:pt>
                <c:pt idx="1476">
                  <c:v>337104.4</c:v>
                </c:pt>
                <c:pt idx="1477">
                  <c:v>341260</c:v>
                </c:pt>
                <c:pt idx="1478">
                  <c:v>340288.15</c:v>
                </c:pt>
                <c:pt idx="1479">
                  <c:v>338875.6</c:v>
                </c:pt>
                <c:pt idx="1480">
                  <c:v>336401.85</c:v>
                </c:pt>
                <c:pt idx="1481">
                  <c:v>330601.25</c:v>
                </c:pt>
                <c:pt idx="1482">
                  <c:v>321917.5</c:v>
                </c:pt>
                <c:pt idx="1483">
                  <c:v>321677.5</c:v>
                </c:pt>
                <c:pt idx="1484">
                  <c:v>319666.90000000002</c:v>
                </c:pt>
                <c:pt idx="1485">
                  <c:v>322551.25</c:v>
                </c:pt>
                <c:pt idx="1486">
                  <c:v>321349.34999999998</c:v>
                </c:pt>
                <c:pt idx="1487">
                  <c:v>320075</c:v>
                </c:pt>
                <c:pt idx="1488">
                  <c:v>321607.5</c:v>
                </c:pt>
                <c:pt idx="1489">
                  <c:v>323796.25</c:v>
                </c:pt>
                <c:pt idx="1490">
                  <c:v>328616.25</c:v>
                </c:pt>
                <c:pt idx="1491">
                  <c:v>327769.40000000002</c:v>
                </c:pt>
                <c:pt idx="1492">
                  <c:v>328133.15000000002</c:v>
                </c:pt>
                <c:pt idx="1493">
                  <c:v>329771.90000000002</c:v>
                </c:pt>
                <c:pt idx="1494">
                  <c:v>330946.25</c:v>
                </c:pt>
                <c:pt idx="1495">
                  <c:v>329298.75</c:v>
                </c:pt>
                <c:pt idx="1496">
                  <c:v>331670</c:v>
                </c:pt>
                <c:pt idx="1497">
                  <c:v>337966.25</c:v>
                </c:pt>
                <c:pt idx="1498">
                  <c:v>342714.4</c:v>
                </c:pt>
                <c:pt idx="1499">
                  <c:v>341308.75</c:v>
                </c:pt>
                <c:pt idx="1500">
                  <c:v>343091.85</c:v>
                </c:pt>
                <c:pt idx="1501">
                  <c:v>344186.25</c:v>
                </c:pt>
                <c:pt idx="1502">
                  <c:v>347386.9</c:v>
                </c:pt>
                <c:pt idx="1503">
                  <c:v>347847.5</c:v>
                </c:pt>
                <c:pt idx="1504">
                  <c:v>349081.9</c:v>
                </c:pt>
                <c:pt idx="1505">
                  <c:v>352398.1</c:v>
                </c:pt>
                <c:pt idx="1506">
                  <c:v>354423.75</c:v>
                </c:pt>
                <c:pt idx="1507">
                  <c:v>354067.5</c:v>
                </c:pt>
                <c:pt idx="1508">
                  <c:v>353812.5</c:v>
                </c:pt>
                <c:pt idx="1509">
                  <c:v>354956.25</c:v>
                </c:pt>
                <c:pt idx="1510">
                  <c:v>363775.6</c:v>
                </c:pt>
                <c:pt idx="1511">
                  <c:v>363777.5</c:v>
                </c:pt>
                <c:pt idx="1512">
                  <c:v>367181.25</c:v>
                </c:pt>
                <c:pt idx="1513">
                  <c:v>369168.15</c:v>
                </c:pt>
                <c:pt idx="1514">
                  <c:v>370426.25</c:v>
                </c:pt>
                <c:pt idx="1515">
                  <c:v>367722.5</c:v>
                </c:pt>
                <c:pt idx="1516">
                  <c:v>369188.75</c:v>
                </c:pt>
                <c:pt idx="1517">
                  <c:v>370278.75</c:v>
                </c:pt>
                <c:pt idx="1518">
                  <c:v>370126.25</c:v>
                </c:pt>
                <c:pt idx="1519">
                  <c:v>370574.35</c:v>
                </c:pt>
                <c:pt idx="1520">
                  <c:v>368578.1</c:v>
                </c:pt>
                <c:pt idx="1521">
                  <c:v>367854.35</c:v>
                </c:pt>
                <c:pt idx="1522">
                  <c:v>370579.4</c:v>
                </c:pt>
                <c:pt idx="1523">
                  <c:v>370102.5</c:v>
                </c:pt>
                <c:pt idx="1524">
                  <c:v>367185.65</c:v>
                </c:pt>
                <c:pt idx="1525">
                  <c:v>366745.65</c:v>
                </c:pt>
                <c:pt idx="1526">
                  <c:v>370824.35</c:v>
                </c:pt>
                <c:pt idx="1527">
                  <c:v>374233.15</c:v>
                </c:pt>
                <c:pt idx="1528">
                  <c:v>379690.65</c:v>
                </c:pt>
                <c:pt idx="1529">
                  <c:v>371509.4</c:v>
                </c:pt>
                <c:pt idx="1530">
                  <c:v>383920</c:v>
                </c:pt>
                <c:pt idx="1531">
                  <c:v>384251.25</c:v>
                </c:pt>
                <c:pt idx="1532">
                  <c:v>383852.5</c:v>
                </c:pt>
                <c:pt idx="1533">
                  <c:v>386525</c:v>
                </c:pt>
                <c:pt idx="1534">
                  <c:v>390405</c:v>
                </c:pt>
                <c:pt idx="1535">
                  <c:v>388780.6</c:v>
                </c:pt>
                <c:pt idx="1536">
                  <c:v>392051.25</c:v>
                </c:pt>
                <c:pt idx="1537">
                  <c:v>392223.15</c:v>
                </c:pt>
                <c:pt idx="1538">
                  <c:v>393741.85</c:v>
                </c:pt>
                <c:pt idx="1539">
                  <c:v>393402.5</c:v>
                </c:pt>
                <c:pt idx="1540">
                  <c:v>391294.4</c:v>
                </c:pt>
                <c:pt idx="1541">
                  <c:v>388839.4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0-4852-910F-DC891B4AE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97567"/>
        <c:axId val="87193295"/>
      </c:lineChart>
      <c:catAx>
        <c:axId val="151397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193295"/>
        <c:crosses val="autoZero"/>
        <c:auto val="1"/>
        <c:lblAlgn val="ctr"/>
        <c:lblOffset val="100"/>
        <c:tickMarkSkip val="1"/>
        <c:noMultiLvlLbl val="0"/>
      </c:catAx>
      <c:valAx>
        <c:axId val="8719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Portfolio!$M$24</c:f>
              <c:strCache>
                <c:ptCount val="1"/>
                <c:pt idx="0">
                  <c:v> DrawDown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Portfolio!$A$25:$A$1566</c:f>
              <c:numCache>
                <c:formatCode>General</c:formatCode>
                <c:ptCount val="1542"/>
                <c:pt idx="0">
                  <c:v>1190709</c:v>
                </c:pt>
                <c:pt idx="1">
                  <c:v>1190710</c:v>
                </c:pt>
                <c:pt idx="2">
                  <c:v>1190711</c:v>
                </c:pt>
                <c:pt idx="3">
                  <c:v>1190712</c:v>
                </c:pt>
                <c:pt idx="4">
                  <c:v>1190714</c:v>
                </c:pt>
                <c:pt idx="5">
                  <c:v>1190715</c:v>
                </c:pt>
                <c:pt idx="6">
                  <c:v>1190716</c:v>
                </c:pt>
                <c:pt idx="7">
                  <c:v>1190717</c:v>
                </c:pt>
                <c:pt idx="8">
                  <c:v>1190718</c:v>
                </c:pt>
                <c:pt idx="9">
                  <c:v>1190719</c:v>
                </c:pt>
                <c:pt idx="10">
                  <c:v>1190721</c:v>
                </c:pt>
                <c:pt idx="11">
                  <c:v>1190722</c:v>
                </c:pt>
                <c:pt idx="12">
                  <c:v>1190723</c:v>
                </c:pt>
                <c:pt idx="13">
                  <c:v>1190724</c:v>
                </c:pt>
                <c:pt idx="14">
                  <c:v>1190725</c:v>
                </c:pt>
                <c:pt idx="15">
                  <c:v>1190726</c:v>
                </c:pt>
                <c:pt idx="16">
                  <c:v>1190728</c:v>
                </c:pt>
                <c:pt idx="17">
                  <c:v>1190729</c:v>
                </c:pt>
                <c:pt idx="18">
                  <c:v>1190730</c:v>
                </c:pt>
                <c:pt idx="19">
                  <c:v>1190731</c:v>
                </c:pt>
                <c:pt idx="20">
                  <c:v>1190801</c:v>
                </c:pt>
                <c:pt idx="21">
                  <c:v>1190802</c:v>
                </c:pt>
                <c:pt idx="22">
                  <c:v>1190804</c:v>
                </c:pt>
                <c:pt idx="23">
                  <c:v>1190805</c:v>
                </c:pt>
                <c:pt idx="24">
                  <c:v>1190806</c:v>
                </c:pt>
                <c:pt idx="25">
                  <c:v>1190807</c:v>
                </c:pt>
                <c:pt idx="26">
                  <c:v>1190808</c:v>
                </c:pt>
                <c:pt idx="27">
                  <c:v>1190809</c:v>
                </c:pt>
                <c:pt idx="28">
                  <c:v>1190811</c:v>
                </c:pt>
                <c:pt idx="29">
                  <c:v>1190812</c:v>
                </c:pt>
                <c:pt idx="30">
                  <c:v>1190813</c:v>
                </c:pt>
                <c:pt idx="31">
                  <c:v>1190814</c:v>
                </c:pt>
                <c:pt idx="32">
                  <c:v>1190815</c:v>
                </c:pt>
                <c:pt idx="33">
                  <c:v>1190816</c:v>
                </c:pt>
                <c:pt idx="34">
                  <c:v>1190818</c:v>
                </c:pt>
                <c:pt idx="35">
                  <c:v>1190819</c:v>
                </c:pt>
                <c:pt idx="36">
                  <c:v>1190820</c:v>
                </c:pt>
                <c:pt idx="37">
                  <c:v>1190821</c:v>
                </c:pt>
                <c:pt idx="38">
                  <c:v>1190822</c:v>
                </c:pt>
                <c:pt idx="39">
                  <c:v>1190823</c:v>
                </c:pt>
                <c:pt idx="40">
                  <c:v>1190825</c:v>
                </c:pt>
                <c:pt idx="41">
                  <c:v>1190826</c:v>
                </c:pt>
                <c:pt idx="42">
                  <c:v>1190827</c:v>
                </c:pt>
                <c:pt idx="43">
                  <c:v>1190828</c:v>
                </c:pt>
                <c:pt idx="44">
                  <c:v>1190829</c:v>
                </c:pt>
                <c:pt idx="45">
                  <c:v>1190830</c:v>
                </c:pt>
                <c:pt idx="46">
                  <c:v>1190901</c:v>
                </c:pt>
                <c:pt idx="47">
                  <c:v>1190902</c:v>
                </c:pt>
                <c:pt idx="48">
                  <c:v>1190903</c:v>
                </c:pt>
                <c:pt idx="49">
                  <c:v>1190904</c:v>
                </c:pt>
                <c:pt idx="50">
                  <c:v>1190905</c:v>
                </c:pt>
                <c:pt idx="51">
                  <c:v>1190906</c:v>
                </c:pt>
                <c:pt idx="52">
                  <c:v>1190908</c:v>
                </c:pt>
                <c:pt idx="53">
                  <c:v>1190909</c:v>
                </c:pt>
                <c:pt idx="54">
                  <c:v>1190910</c:v>
                </c:pt>
                <c:pt idx="55">
                  <c:v>1190911</c:v>
                </c:pt>
                <c:pt idx="56">
                  <c:v>1190912</c:v>
                </c:pt>
                <c:pt idx="57">
                  <c:v>1190913</c:v>
                </c:pt>
                <c:pt idx="58">
                  <c:v>1190915</c:v>
                </c:pt>
                <c:pt idx="59">
                  <c:v>1190916</c:v>
                </c:pt>
                <c:pt idx="60">
                  <c:v>1190917</c:v>
                </c:pt>
                <c:pt idx="61">
                  <c:v>1190918</c:v>
                </c:pt>
                <c:pt idx="62">
                  <c:v>1190919</c:v>
                </c:pt>
                <c:pt idx="63">
                  <c:v>1190920</c:v>
                </c:pt>
                <c:pt idx="64">
                  <c:v>1190922</c:v>
                </c:pt>
                <c:pt idx="65">
                  <c:v>1190923</c:v>
                </c:pt>
                <c:pt idx="66">
                  <c:v>1190924</c:v>
                </c:pt>
                <c:pt idx="67">
                  <c:v>1190925</c:v>
                </c:pt>
                <c:pt idx="68">
                  <c:v>1190926</c:v>
                </c:pt>
                <c:pt idx="69">
                  <c:v>1190927</c:v>
                </c:pt>
                <c:pt idx="70">
                  <c:v>1190929</c:v>
                </c:pt>
                <c:pt idx="71">
                  <c:v>1190930</c:v>
                </c:pt>
                <c:pt idx="72">
                  <c:v>1191001</c:v>
                </c:pt>
                <c:pt idx="73">
                  <c:v>1191002</c:v>
                </c:pt>
                <c:pt idx="74">
                  <c:v>1191003</c:v>
                </c:pt>
                <c:pt idx="75">
                  <c:v>1191004</c:v>
                </c:pt>
                <c:pt idx="76">
                  <c:v>1191006</c:v>
                </c:pt>
                <c:pt idx="77">
                  <c:v>1191007</c:v>
                </c:pt>
                <c:pt idx="78">
                  <c:v>1191008</c:v>
                </c:pt>
                <c:pt idx="79">
                  <c:v>1191009</c:v>
                </c:pt>
                <c:pt idx="80">
                  <c:v>1191010</c:v>
                </c:pt>
                <c:pt idx="81">
                  <c:v>1191011</c:v>
                </c:pt>
                <c:pt idx="82">
                  <c:v>1191013</c:v>
                </c:pt>
                <c:pt idx="83">
                  <c:v>1191014</c:v>
                </c:pt>
                <c:pt idx="84">
                  <c:v>1191015</c:v>
                </c:pt>
                <c:pt idx="85">
                  <c:v>1191016</c:v>
                </c:pt>
                <c:pt idx="86">
                  <c:v>1191017</c:v>
                </c:pt>
                <c:pt idx="87">
                  <c:v>1191018</c:v>
                </c:pt>
                <c:pt idx="88">
                  <c:v>1191020</c:v>
                </c:pt>
                <c:pt idx="89">
                  <c:v>1191021</c:v>
                </c:pt>
                <c:pt idx="90">
                  <c:v>1191022</c:v>
                </c:pt>
                <c:pt idx="91">
                  <c:v>1191023</c:v>
                </c:pt>
                <c:pt idx="92">
                  <c:v>1191024</c:v>
                </c:pt>
                <c:pt idx="93">
                  <c:v>1191025</c:v>
                </c:pt>
                <c:pt idx="94">
                  <c:v>1191027</c:v>
                </c:pt>
                <c:pt idx="95">
                  <c:v>1191028</c:v>
                </c:pt>
                <c:pt idx="96">
                  <c:v>1191029</c:v>
                </c:pt>
                <c:pt idx="97">
                  <c:v>1191030</c:v>
                </c:pt>
                <c:pt idx="98">
                  <c:v>1191031</c:v>
                </c:pt>
                <c:pt idx="99">
                  <c:v>1191101</c:v>
                </c:pt>
                <c:pt idx="100">
                  <c:v>1191103</c:v>
                </c:pt>
                <c:pt idx="101">
                  <c:v>1191104</c:v>
                </c:pt>
                <c:pt idx="102">
                  <c:v>1191105</c:v>
                </c:pt>
                <c:pt idx="103">
                  <c:v>1191106</c:v>
                </c:pt>
                <c:pt idx="104">
                  <c:v>1191107</c:v>
                </c:pt>
                <c:pt idx="105">
                  <c:v>1191108</c:v>
                </c:pt>
                <c:pt idx="106">
                  <c:v>1191110</c:v>
                </c:pt>
                <c:pt idx="107">
                  <c:v>1191111</c:v>
                </c:pt>
                <c:pt idx="108">
                  <c:v>1191112</c:v>
                </c:pt>
                <c:pt idx="109">
                  <c:v>1191113</c:v>
                </c:pt>
                <c:pt idx="110">
                  <c:v>1191114</c:v>
                </c:pt>
                <c:pt idx="111">
                  <c:v>1191115</c:v>
                </c:pt>
                <c:pt idx="112">
                  <c:v>1191117</c:v>
                </c:pt>
                <c:pt idx="113">
                  <c:v>1191118</c:v>
                </c:pt>
                <c:pt idx="114">
                  <c:v>1191119</c:v>
                </c:pt>
                <c:pt idx="115">
                  <c:v>1191120</c:v>
                </c:pt>
                <c:pt idx="116">
                  <c:v>1191121</c:v>
                </c:pt>
                <c:pt idx="117">
                  <c:v>1191122</c:v>
                </c:pt>
                <c:pt idx="118">
                  <c:v>1191124</c:v>
                </c:pt>
                <c:pt idx="119">
                  <c:v>1191125</c:v>
                </c:pt>
                <c:pt idx="120">
                  <c:v>1191126</c:v>
                </c:pt>
                <c:pt idx="121">
                  <c:v>1191127</c:v>
                </c:pt>
                <c:pt idx="122">
                  <c:v>1191128</c:v>
                </c:pt>
                <c:pt idx="123">
                  <c:v>1191129</c:v>
                </c:pt>
                <c:pt idx="124">
                  <c:v>1191201</c:v>
                </c:pt>
                <c:pt idx="125">
                  <c:v>1191202</c:v>
                </c:pt>
                <c:pt idx="126">
                  <c:v>1191203</c:v>
                </c:pt>
                <c:pt idx="127">
                  <c:v>1191204</c:v>
                </c:pt>
                <c:pt idx="128">
                  <c:v>1191205</c:v>
                </c:pt>
                <c:pt idx="129">
                  <c:v>1191206</c:v>
                </c:pt>
                <c:pt idx="130">
                  <c:v>1191208</c:v>
                </c:pt>
                <c:pt idx="131">
                  <c:v>1191209</c:v>
                </c:pt>
                <c:pt idx="132">
                  <c:v>1191210</c:v>
                </c:pt>
                <c:pt idx="133">
                  <c:v>1191211</c:v>
                </c:pt>
                <c:pt idx="134">
                  <c:v>1191212</c:v>
                </c:pt>
                <c:pt idx="135">
                  <c:v>1191213</c:v>
                </c:pt>
                <c:pt idx="136">
                  <c:v>1191215</c:v>
                </c:pt>
                <c:pt idx="137">
                  <c:v>1191216</c:v>
                </c:pt>
                <c:pt idx="138">
                  <c:v>1191217</c:v>
                </c:pt>
                <c:pt idx="139">
                  <c:v>1191218</c:v>
                </c:pt>
                <c:pt idx="140">
                  <c:v>1191219</c:v>
                </c:pt>
                <c:pt idx="141">
                  <c:v>1191220</c:v>
                </c:pt>
                <c:pt idx="142">
                  <c:v>1191222</c:v>
                </c:pt>
                <c:pt idx="143">
                  <c:v>1191223</c:v>
                </c:pt>
                <c:pt idx="144">
                  <c:v>1191224</c:v>
                </c:pt>
                <c:pt idx="145">
                  <c:v>1191225</c:v>
                </c:pt>
                <c:pt idx="146">
                  <c:v>1191226</c:v>
                </c:pt>
                <c:pt idx="147">
                  <c:v>1191227</c:v>
                </c:pt>
                <c:pt idx="148">
                  <c:v>1191229</c:v>
                </c:pt>
                <c:pt idx="149">
                  <c:v>1191230</c:v>
                </c:pt>
                <c:pt idx="150">
                  <c:v>1191231</c:v>
                </c:pt>
                <c:pt idx="151">
                  <c:v>1200101</c:v>
                </c:pt>
                <c:pt idx="152">
                  <c:v>1200102</c:v>
                </c:pt>
                <c:pt idx="153">
                  <c:v>1200103</c:v>
                </c:pt>
                <c:pt idx="154">
                  <c:v>1200105</c:v>
                </c:pt>
                <c:pt idx="155">
                  <c:v>1200106</c:v>
                </c:pt>
                <c:pt idx="156">
                  <c:v>1200107</c:v>
                </c:pt>
                <c:pt idx="157">
                  <c:v>1200108</c:v>
                </c:pt>
                <c:pt idx="158">
                  <c:v>1200109</c:v>
                </c:pt>
                <c:pt idx="159">
                  <c:v>1200110</c:v>
                </c:pt>
                <c:pt idx="160">
                  <c:v>1200112</c:v>
                </c:pt>
                <c:pt idx="161">
                  <c:v>1200113</c:v>
                </c:pt>
                <c:pt idx="162">
                  <c:v>1200114</c:v>
                </c:pt>
                <c:pt idx="163">
                  <c:v>1200115</c:v>
                </c:pt>
                <c:pt idx="164">
                  <c:v>1200116</c:v>
                </c:pt>
                <c:pt idx="165">
                  <c:v>1200117</c:v>
                </c:pt>
                <c:pt idx="166">
                  <c:v>1200119</c:v>
                </c:pt>
                <c:pt idx="167">
                  <c:v>1200120</c:v>
                </c:pt>
                <c:pt idx="168">
                  <c:v>1200121</c:v>
                </c:pt>
                <c:pt idx="169">
                  <c:v>1200122</c:v>
                </c:pt>
                <c:pt idx="170">
                  <c:v>1200123</c:v>
                </c:pt>
                <c:pt idx="171">
                  <c:v>1200124</c:v>
                </c:pt>
                <c:pt idx="172">
                  <c:v>1200126</c:v>
                </c:pt>
                <c:pt idx="173">
                  <c:v>1200127</c:v>
                </c:pt>
                <c:pt idx="174">
                  <c:v>1200128</c:v>
                </c:pt>
                <c:pt idx="175">
                  <c:v>1200129</c:v>
                </c:pt>
                <c:pt idx="176">
                  <c:v>1200130</c:v>
                </c:pt>
                <c:pt idx="177">
                  <c:v>1200131</c:v>
                </c:pt>
                <c:pt idx="178">
                  <c:v>1200202</c:v>
                </c:pt>
                <c:pt idx="179">
                  <c:v>1200203</c:v>
                </c:pt>
                <c:pt idx="180">
                  <c:v>1200204</c:v>
                </c:pt>
                <c:pt idx="181">
                  <c:v>1200205</c:v>
                </c:pt>
                <c:pt idx="182">
                  <c:v>1200206</c:v>
                </c:pt>
                <c:pt idx="183">
                  <c:v>1200207</c:v>
                </c:pt>
                <c:pt idx="184">
                  <c:v>1200209</c:v>
                </c:pt>
                <c:pt idx="185">
                  <c:v>1200210</c:v>
                </c:pt>
                <c:pt idx="186">
                  <c:v>1200211</c:v>
                </c:pt>
                <c:pt idx="187">
                  <c:v>1200212</c:v>
                </c:pt>
                <c:pt idx="188">
                  <c:v>1200213</c:v>
                </c:pt>
                <c:pt idx="189">
                  <c:v>1200214</c:v>
                </c:pt>
                <c:pt idx="190">
                  <c:v>1200216</c:v>
                </c:pt>
                <c:pt idx="191">
                  <c:v>1200217</c:v>
                </c:pt>
                <c:pt idx="192">
                  <c:v>1200218</c:v>
                </c:pt>
                <c:pt idx="193">
                  <c:v>1200219</c:v>
                </c:pt>
                <c:pt idx="194">
                  <c:v>1200220</c:v>
                </c:pt>
                <c:pt idx="195">
                  <c:v>1200221</c:v>
                </c:pt>
                <c:pt idx="196">
                  <c:v>1200223</c:v>
                </c:pt>
                <c:pt idx="197">
                  <c:v>1200224</c:v>
                </c:pt>
                <c:pt idx="198">
                  <c:v>1200225</c:v>
                </c:pt>
                <c:pt idx="199">
                  <c:v>1200226</c:v>
                </c:pt>
                <c:pt idx="200">
                  <c:v>1200227</c:v>
                </c:pt>
                <c:pt idx="201">
                  <c:v>1200228</c:v>
                </c:pt>
                <c:pt idx="202">
                  <c:v>1200301</c:v>
                </c:pt>
                <c:pt idx="203">
                  <c:v>1200302</c:v>
                </c:pt>
                <c:pt idx="204">
                  <c:v>1200303</c:v>
                </c:pt>
                <c:pt idx="205">
                  <c:v>1200304</c:v>
                </c:pt>
                <c:pt idx="206">
                  <c:v>1200305</c:v>
                </c:pt>
                <c:pt idx="207">
                  <c:v>1200306</c:v>
                </c:pt>
                <c:pt idx="208">
                  <c:v>1200308</c:v>
                </c:pt>
                <c:pt idx="209">
                  <c:v>1200309</c:v>
                </c:pt>
                <c:pt idx="210">
                  <c:v>1200310</c:v>
                </c:pt>
                <c:pt idx="211">
                  <c:v>1200311</c:v>
                </c:pt>
                <c:pt idx="212">
                  <c:v>1200312</c:v>
                </c:pt>
                <c:pt idx="213">
                  <c:v>1200313</c:v>
                </c:pt>
                <c:pt idx="214">
                  <c:v>1200315</c:v>
                </c:pt>
                <c:pt idx="215">
                  <c:v>1200316</c:v>
                </c:pt>
                <c:pt idx="216">
                  <c:v>1200317</c:v>
                </c:pt>
                <c:pt idx="217">
                  <c:v>1200318</c:v>
                </c:pt>
                <c:pt idx="218">
                  <c:v>1200319</c:v>
                </c:pt>
                <c:pt idx="219">
                  <c:v>1200320</c:v>
                </c:pt>
                <c:pt idx="220">
                  <c:v>1200322</c:v>
                </c:pt>
                <c:pt idx="221">
                  <c:v>1200323</c:v>
                </c:pt>
                <c:pt idx="222">
                  <c:v>1200324</c:v>
                </c:pt>
                <c:pt idx="223">
                  <c:v>1200325</c:v>
                </c:pt>
                <c:pt idx="224">
                  <c:v>1200326</c:v>
                </c:pt>
                <c:pt idx="225">
                  <c:v>1200327</c:v>
                </c:pt>
                <c:pt idx="226">
                  <c:v>1200329</c:v>
                </c:pt>
                <c:pt idx="227">
                  <c:v>1200330</c:v>
                </c:pt>
                <c:pt idx="228">
                  <c:v>1200331</c:v>
                </c:pt>
                <c:pt idx="229">
                  <c:v>1200401</c:v>
                </c:pt>
                <c:pt idx="230">
                  <c:v>1200402</c:v>
                </c:pt>
                <c:pt idx="231">
                  <c:v>1200403</c:v>
                </c:pt>
                <c:pt idx="232">
                  <c:v>1200405</c:v>
                </c:pt>
                <c:pt idx="233">
                  <c:v>1200406</c:v>
                </c:pt>
                <c:pt idx="234">
                  <c:v>1200407</c:v>
                </c:pt>
                <c:pt idx="235">
                  <c:v>1200408</c:v>
                </c:pt>
                <c:pt idx="236">
                  <c:v>1200409</c:v>
                </c:pt>
                <c:pt idx="237">
                  <c:v>1200412</c:v>
                </c:pt>
                <c:pt idx="238">
                  <c:v>1200413</c:v>
                </c:pt>
                <c:pt idx="239">
                  <c:v>1200414</c:v>
                </c:pt>
                <c:pt idx="240">
                  <c:v>1200415</c:v>
                </c:pt>
                <c:pt idx="241">
                  <c:v>1200416</c:v>
                </c:pt>
                <c:pt idx="242">
                  <c:v>1200417</c:v>
                </c:pt>
                <c:pt idx="243">
                  <c:v>1200419</c:v>
                </c:pt>
                <c:pt idx="244">
                  <c:v>1200420</c:v>
                </c:pt>
                <c:pt idx="245">
                  <c:v>1200421</c:v>
                </c:pt>
                <c:pt idx="246">
                  <c:v>1200422</c:v>
                </c:pt>
                <c:pt idx="247">
                  <c:v>1200423</c:v>
                </c:pt>
                <c:pt idx="248">
                  <c:v>1200424</c:v>
                </c:pt>
                <c:pt idx="249">
                  <c:v>1200426</c:v>
                </c:pt>
                <c:pt idx="250">
                  <c:v>1200427</c:v>
                </c:pt>
                <c:pt idx="251">
                  <c:v>1200428</c:v>
                </c:pt>
                <c:pt idx="252">
                  <c:v>1200429</c:v>
                </c:pt>
                <c:pt idx="253">
                  <c:v>1200430</c:v>
                </c:pt>
                <c:pt idx="254">
                  <c:v>1200501</c:v>
                </c:pt>
                <c:pt idx="255">
                  <c:v>1200503</c:v>
                </c:pt>
                <c:pt idx="256">
                  <c:v>1200504</c:v>
                </c:pt>
                <c:pt idx="257">
                  <c:v>1200505</c:v>
                </c:pt>
                <c:pt idx="258">
                  <c:v>1200506</c:v>
                </c:pt>
                <c:pt idx="259">
                  <c:v>1200507</c:v>
                </c:pt>
                <c:pt idx="260">
                  <c:v>1200508</c:v>
                </c:pt>
                <c:pt idx="261">
                  <c:v>1200510</c:v>
                </c:pt>
                <c:pt idx="262">
                  <c:v>1200511</c:v>
                </c:pt>
                <c:pt idx="263">
                  <c:v>1200512</c:v>
                </c:pt>
                <c:pt idx="264">
                  <c:v>1200513</c:v>
                </c:pt>
                <c:pt idx="265">
                  <c:v>1200514</c:v>
                </c:pt>
                <c:pt idx="266">
                  <c:v>1200515</c:v>
                </c:pt>
                <c:pt idx="267">
                  <c:v>1200517</c:v>
                </c:pt>
                <c:pt idx="268">
                  <c:v>1200518</c:v>
                </c:pt>
                <c:pt idx="269">
                  <c:v>1200519</c:v>
                </c:pt>
                <c:pt idx="270">
                  <c:v>1200520</c:v>
                </c:pt>
                <c:pt idx="271">
                  <c:v>1200521</c:v>
                </c:pt>
                <c:pt idx="272">
                  <c:v>1200522</c:v>
                </c:pt>
                <c:pt idx="273">
                  <c:v>1200524</c:v>
                </c:pt>
                <c:pt idx="274">
                  <c:v>1200525</c:v>
                </c:pt>
                <c:pt idx="275">
                  <c:v>1200526</c:v>
                </c:pt>
                <c:pt idx="276">
                  <c:v>1200527</c:v>
                </c:pt>
                <c:pt idx="277">
                  <c:v>1200528</c:v>
                </c:pt>
                <c:pt idx="278">
                  <c:v>1200529</c:v>
                </c:pt>
                <c:pt idx="279">
                  <c:v>1200531</c:v>
                </c:pt>
                <c:pt idx="280">
                  <c:v>1200601</c:v>
                </c:pt>
                <c:pt idx="281">
                  <c:v>1200602</c:v>
                </c:pt>
                <c:pt idx="282">
                  <c:v>1200603</c:v>
                </c:pt>
                <c:pt idx="283">
                  <c:v>1200604</c:v>
                </c:pt>
                <c:pt idx="284">
                  <c:v>1200605</c:v>
                </c:pt>
                <c:pt idx="285">
                  <c:v>1200607</c:v>
                </c:pt>
                <c:pt idx="286">
                  <c:v>1200608</c:v>
                </c:pt>
                <c:pt idx="287">
                  <c:v>1200609</c:v>
                </c:pt>
                <c:pt idx="288">
                  <c:v>1200610</c:v>
                </c:pt>
                <c:pt idx="289">
                  <c:v>1200611</c:v>
                </c:pt>
                <c:pt idx="290">
                  <c:v>1200612</c:v>
                </c:pt>
                <c:pt idx="291">
                  <c:v>1200614</c:v>
                </c:pt>
                <c:pt idx="292">
                  <c:v>1200615</c:v>
                </c:pt>
                <c:pt idx="293">
                  <c:v>1200616</c:v>
                </c:pt>
                <c:pt idx="294">
                  <c:v>1200617</c:v>
                </c:pt>
                <c:pt idx="295">
                  <c:v>1200618</c:v>
                </c:pt>
                <c:pt idx="296">
                  <c:v>1200619</c:v>
                </c:pt>
                <c:pt idx="297">
                  <c:v>1200621</c:v>
                </c:pt>
                <c:pt idx="298">
                  <c:v>1200622</c:v>
                </c:pt>
                <c:pt idx="299">
                  <c:v>1200623</c:v>
                </c:pt>
                <c:pt idx="300">
                  <c:v>1200624</c:v>
                </c:pt>
                <c:pt idx="301">
                  <c:v>1200625</c:v>
                </c:pt>
                <c:pt idx="302">
                  <c:v>1200626</c:v>
                </c:pt>
                <c:pt idx="303">
                  <c:v>1200628</c:v>
                </c:pt>
                <c:pt idx="304">
                  <c:v>1200629</c:v>
                </c:pt>
                <c:pt idx="305">
                  <c:v>1200630</c:v>
                </c:pt>
                <c:pt idx="306">
                  <c:v>1200701</c:v>
                </c:pt>
                <c:pt idx="307">
                  <c:v>1200702</c:v>
                </c:pt>
                <c:pt idx="308">
                  <c:v>1200703</c:v>
                </c:pt>
                <c:pt idx="309">
                  <c:v>1200705</c:v>
                </c:pt>
                <c:pt idx="310">
                  <c:v>1200706</c:v>
                </c:pt>
                <c:pt idx="311">
                  <c:v>1200707</c:v>
                </c:pt>
                <c:pt idx="312">
                  <c:v>1200708</c:v>
                </c:pt>
                <c:pt idx="313">
                  <c:v>1200709</c:v>
                </c:pt>
                <c:pt idx="314">
                  <c:v>1200710</c:v>
                </c:pt>
                <c:pt idx="315">
                  <c:v>1200712</c:v>
                </c:pt>
                <c:pt idx="316">
                  <c:v>1200713</c:v>
                </c:pt>
                <c:pt idx="317">
                  <c:v>1200714</c:v>
                </c:pt>
                <c:pt idx="318">
                  <c:v>1200715</c:v>
                </c:pt>
                <c:pt idx="319">
                  <c:v>1200716</c:v>
                </c:pt>
                <c:pt idx="320">
                  <c:v>1200717</c:v>
                </c:pt>
                <c:pt idx="321">
                  <c:v>1200719</c:v>
                </c:pt>
                <c:pt idx="322">
                  <c:v>1200720</c:v>
                </c:pt>
                <c:pt idx="323">
                  <c:v>1200721</c:v>
                </c:pt>
                <c:pt idx="324">
                  <c:v>1200722</c:v>
                </c:pt>
                <c:pt idx="325">
                  <c:v>1200723</c:v>
                </c:pt>
                <c:pt idx="326">
                  <c:v>1200724</c:v>
                </c:pt>
                <c:pt idx="327">
                  <c:v>1200726</c:v>
                </c:pt>
                <c:pt idx="328">
                  <c:v>1200727</c:v>
                </c:pt>
                <c:pt idx="329">
                  <c:v>1200728</c:v>
                </c:pt>
                <c:pt idx="330">
                  <c:v>1200729</c:v>
                </c:pt>
                <c:pt idx="331">
                  <c:v>1200730</c:v>
                </c:pt>
                <c:pt idx="332">
                  <c:v>1200731</c:v>
                </c:pt>
                <c:pt idx="333">
                  <c:v>1200802</c:v>
                </c:pt>
                <c:pt idx="334">
                  <c:v>1200803</c:v>
                </c:pt>
                <c:pt idx="335">
                  <c:v>1200804</c:v>
                </c:pt>
                <c:pt idx="336">
                  <c:v>1200805</c:v>
                </c:pt>
                <c:pt idx="337">
                  <c:v>1200806</c:v>
                </c:pt>
                <c:pt idx="338">
                  <c:v>1200807</c:v>
                </c:pt>
                <c:pt idx="339">
                  <c:v>1200809</c:v>
                </c:pt>
                <c:pt idx="340">
                  <c:v>1200810</c:v>
                </c:pt>
                <c:pt idx="341">
                  <c:v>1200811</c:v>
                </c:pt>
                <c:pt idx="342">
                  <c:v>1200812</c:v>
                </c:pt>
                <c:pt idx="343">
                  <c:v>1200813</c:v>
                </c:pt>
                <c:pt idx="344">
                  <c:v>1200814</c:v>
                </c:pt>
                <c:pt idx="345">
                  <c:v>1200816</c:v>
                </c:pt>
                <c:pt idx="346">
                  <c:v>1200817</c:v>
                </c:pt>
                <c:pt idx="347">
                  <c:v>1200818</c:v>
                </c:pt>
                <c:pt idx="348">
                  <c:v>1200819</c:v>
                </c:pt>
                <c:pt idx="349">
                  <c:v>1200820</c:v>
                </c:pt>
                <c:pt idx="350">
                  <c:v>1200821</c:v>
                </c:pt>
                <c:pt idx="351">
                  <c:v>1200823</c:v>
                </c:pt>
                <c:pt idx="352">
                  <c:v>1200824</c:v>
                </c:pt>
                <c:pt idx="353">
                  <c:v>1200825</c:v>
                </c:pt>
                <c:pt idx="354">
                  <c:v>1200826</c:v>
                </c:pt>
                <c:pt idx="355">
                  <c:v>1200827</c:v>
                </c:pt>
                <c:pt idx="356">
                  <c:v>1200828</c:v>
                </c:pt>
                <c:pt idx="357">
                  <c:v>1200830</c:v>
                </c:pt>
                <c:pt idx="358">
                  <c:v>1200831</c:v>
                </c:pt>
                <c:pt idx="359">
                  <c:v>1200901</c:v>
                </c:pt>
                <c:pt idx="360">
                  <c:v>1200902</c:v>
                </c:pt>
                <c:pt idx="361">
                  <c:v>1200903</c:v>
                </c:pt>
                <c:pt idx="362">
                  <c:v>1200904</c:v>
                </c:pt>
                <c:pt idx="363">
                  <c:v>1200906</c:v>
                </c:pt>
                <c:pt idx="364">
                  <c:v>1200907</c:v>
                </c:pt>
                <c:pt idx="365">
                  <c:v>1200908</c:v>
                </c:pt>
                <c:pt idx="366">
                  <c:v>1200909</c:v>
                </c:pt>
                <c:pt idx="367">
                  <c:v>1200910</c:v>
                </c:pt>
                <c:pt idx="368">
                  <c:v>1200911</c:v>
                </c:pt>
                <c:pt idx="369">
                  <c:v>1200913</c:v>
                </c:pt>
                <c:pt idx="370">
                  <c:v>1200914</c:v>
                </c:pt>
                <c:pt idx="371">
                  <c:v>1200915</c:v>
                </c:pt>
                <c:pt idx="372">
                  <c:v>1200916</c:v>
                </c:pt>
                <c:pt idx="373">
                  <c:v>1200917</c:v>
                </c:pt>
                <c:pt idx="374">
                  <c:v>1200918</c:v>
                </c:pt>
                <c:pt idx="375">
                  <c:v>1200920</c:v>
                </c:pt>
                <c:pt idx="376">
                  <c:v>1200921</c:v>
                </c:pt>
                <c:pt idx="377">
                  <c:v>1200922</c:v>
                </c:pt>
                <c:pt idx="378">
                  <c:v>1200923</c:v>
                </c:pt>
                <c:pt idx="379">
                  <c:v>1200924</c:v>
                </c:pt>
                <c:pt idx="380">
                  <c:v>1200925</c:v>
                </c:pt>
                <c:pt idx="381">
                  <c:v>1200927</c:v>
                </c:pt>
                <c:pt idx="382">
                  <c:v>1200928</c:v>
                </c:pt>
                <c:pt idx="383">
                  <c:v>1200929</c:v>
                </c:pt>
                <c:pt idx="384">
                  <c:v>1200930</c:v>
                </c:pt>
                <c:pt idx="385">
                  <c:v>1201001</c:v>
                </c:pt>
                <c:pt idx="386">
                  <c:v>1201002</c:v>
                </c:pt>
                <c:pt idx="387">
                  <c:v>1201004</c:v>
                </c:pt>
                <c:pt idx="388">
                  <c:v>1201005</c:v>
                </c:pt>
                <c:pt idx="389">
                  <c:v>1201006</c:v>
                </c:pt>
                <c:pt idx="390">
                  <c:v>1201007</c:v>
                </c:pt>
                <c:pt idx="391">
                  <c:v>1201008</c:v>
                </c:pt>
                <c:pt idx="392">
                  <c:v>1201009</c:v>
                </c:pt>
                <c:pt idx="393">
                  <c:v>1201011</c:v>
                </c:pt>
                <c:pt idx="394">
                  <c:v>1201012</c:v>
                </c:pt>
                <c:pt idx="395">
                  <c:v>1201013</c:v>
                </c:pt>
                <c:pt idx="396">
                  <c:v>1201014</c:v>
                </c:pt>
                <c:pt idx="397">
                  <c:v>1201015</c:v>
                </c:pt>
                <c:pt idx="398">
                  <c:v>1201016</c:v>
                </c:pt>
                <c:pt idx="399">
                  <c:v>1201018</c:v>
                </c:pt>
                <c:pt idx="400">
                  <c:v>1201019</c:v>
                </c:pt>
                <c:pt idx="401">
                  <c:v>1201020</c:v>
                </c:pt>
                <c:pt idx="402">
                  <c:v>1201021</c:v>
                </c:pt>
                <c:pt idx="403">
                  <c:v>1201022</c:v>
                </c:pt>
                <c:pt idx="404">
                  <c:v>1201023</c:v>
                </c:pt>
                <c:pt idx="405">
                  <c:v>1201025</c:v>
                </c:pt>
                <c:pt idx="406">
                  <c:v>1201026</c:v>
                </c:pt>
                <c:pt idx="407">
                  <c:v>1201027</c:v>
                </c:pt>
                <c:pt idx="408">
                  <c:v>1201028</c:v>
                </c:pt>
                <c:pt idx="409">
                  <c:v>1201029</c:v>
                </c:pt>
                <c:pt idx="410">
                  <c:v>1201030</c:v>
                </c:pt>
                <c:pt idx="411">
                  <c:v>1201101</c:v>
                </c:pt>
                <c:pt idx="412">
                  <c:v>1201102</c:v>
                </c:pt>
                <c:pt idx="413">
                  <c:v>1201103</c:v>
                </c:pt>
                <c:pt idx="414">
                  <c:v>1201104</c:v>
                </c:pt>
                <c:pt idx="415">
                  <c:v>1201105</c:v>
                </c:pt>
                <c:pt idx="416">
                  <c:v>1201106</c:v>
                </c:pt>
                <c:pt idx="417">
                  <c:v>1201108</c:v>
                </c:pt>
                <c:pt idx="418">
                  <c:v>1201109</c:v>
                </c:pt>
                <c:pt idx="419">
                  <c:v>1201110</c:v>
                </c:pt>
                <c:pt idx="420">
                  <c:v>1201111</c:v>
                </c:pt>
                <c:pt idx="421">
                  <c:v>1201112</c:v>
                </c:pt>
                <c:pt idx="422">
                  <c:v>1201113</c:v>
                </c:pt>
                <c:pt idx="423">
                  <c:v>1201115</c:v>
                </c:pt>
                <c:pt idx="424">
                  <c:v>1201116</c:v>
                </c:pt>
                <c:pt idx="425">
                  <c:v>1201117</c:v>
                </c:pt>
                <c:pt idx="426">
                  <c:v>1201118</c:v>
                </c:pt>
                <c:pt idx="427">
                  <c:v>1201119</c:v>
                </c:pt>
                <c:pt idx="428">
                  <c:v>1201120</c:v>
                </c:pt>
                <c:pt idx="429">
                  <c:v>1201122</c:v>
                </c:pt>
                <c:pt idx="430">
                  <c:v>1201123</c:v>
                </c:pt>
                <c:pt idx="431">
                  <c:v>1201124</c:v>
                </c:pt>
                <c:pt idx="432">
                  <c:v>1201125</c:v>
                </c:pt>
                <c:pt idx="433">
                  <c:v>1201126</c:v>
                </c:pt>
                <c:pt idx="434">
                  <c:v>1201127</c:v>
                </c:pt>
                <c:pt idx="435">
                  <c:v>1201129</c:v>
                </c:pt>
                <c:pt idx="436">
                  <c:v>1201130</c:v>
                </c:pt>
                <c:pt idx="437">
                  <c:v>1201201</c:v>
                </c:pt>
                <c:pt idx="438">
                  <c:v>1201202</c:v>
                </c:pt>
                <c:pt idx="439">
                  <c:v>1201203</c:v>
                </c:pt>
                <c:pt idx="440">
                  <c:v>1201204</c:v>
                </c:pt>
                <c:pt idx="441">
                  <c:v>1201206</c:v>
                </c:pt>
                <c:pt idx="442">
                  <c:v>1201207</c:v>
                </c:pt>
                <c:pt idx="443">
                  <c:v>1201208</c:v>
                </c:pt>
                <c:pt idx="444">
                  <c:v>1201209</c:v>
                </c:pt>
                <c:pt idx="445">
                  <c:v>1201210</c:v>
                </c:pt>
                <c:pt idx="446">
                  <c:v>1201211</c:v>
                </c:pt>
                <c:pt idx="447">
                  <c:v>1201213</c:v>
                </c:pt>
                <c:pt idx="448">
                  <c:v>1201214</c:v>
                </c:pt>
                <c:pt idx="449">
                  <c:v>1201215</c:v>
                </c:pt>
                <c:pt idx="450">
                  <c:v>1201216</c:v>
                </c:pt>
                <c:pt idx="451">
                  <c:v>1201217</c:v>
                </c:pt>
                <c:pt idx="452">
                  <c:v>1201218</c:v>
                </c:pt>
                <c:pt idx="453">
                  <c:v>1201220</c:v>
                </c:pt>
                <c:pt idx="454">
                  <c:v>1201221</c:v>
                </c:pt>
                <c:pt idx="455">
                  <c:v>1201222</c:v>
                </c:pt>
                <c:pt idx="456">
                  <c:v>1201223</c:v>
                </c:pt>
                <c:pt idx="457">
                  <c:v>1201224</c:v>
                </c:pt>
                <c:pt idx="458">
                  <c:v>1201227</c:v>
                </c:pt>
                <c:pt idx="459">
                  <c:v>1201228</c:v>
                </c:pt>
                <c:pt idx="460">
                  <c:v>1201229</c:v>
                </c:pt>
                <c:pt idx="461">
                  <c:v>1201230</c:v>
                </c:pt>
                <c:pt idx="462">
                  <c:v>1201231</c:v>
                </c:pt>
                <c:pt idx="463">
                  <c:v>1210103</c:v>
                </c:pt>
                <c:pt idx="464">
                  <c:v>1210104</c:v>
                </c:pt>
                <c:pt idx="465">
                  <c:v>1210105</c:v>
                </c:pt>
                <c:pt idx="466">
                  <c:v>1210106</c:v>
                </c:pt>
                <c:pt idx="467">
                  <c:v>1210107</c:v>
                </c:pt>
                <c:pt idx="468">
                  <c:v>1210108</c:v>
                </c:pt>
                <c:pt idx="469">
                  <c:v>1210110</c:v>
                </c:pt>
                <c:pt idx="470">
                  <c:v>1210111</c:v>
                </c:pt>
                <c:pt idx="471">
                  <c:v>1210112</c:v>
                </c:pt>
                <c:pt idx="472">
                  <c:v>1210113</c:v>
                </c:pt>
                <c:pt idx="473">
                  <c:v>1210114</c:v>
                </c:pt>
                <c:pt idx="474">
                  <c:v>1210115</c:v>
                </c:pt>
                <c:pt idx="475">
                  <c:v>1210117</c:v>
                </c:pt>
                <c:pt idx="476">
                  <c:v>1210118</c:v>
                </c:pt>
                <c:pt idx="477">
                  <c:v>1210119</c:v>
                </c:pt>
                <c:pt idx="478">
                  <c:v>1210120</c:v>
                </c:pt>
                <c:pt idx="479">
                  <c:v>1210121</c:v>
                </c:pt>
                <c:pt idx="480">
                  <c:v>1210122</c:v>
                </c:pt>
                <c:pt idx="481">
                  <c:v>1210124</c:v>
                </c:pt>
                <c:pt idx="482">
                  <c:v>1210125</c:v>
                </c:pt>
                <c:pt idx="483">
                  <c:v>1210126</c:v>
                </c:pt>
                <c:pt idx="484">
                  <c:v>1210127</c:v>
                </c:pt>
                <c:pt idx="485">
                  <c:v>1210128</c:v>
                </c:pt>
                <c:pt idx="486">
                  <c:v>1210129</c:v>
                </c:pt>
                <c:pt idx="487">
                  <c:v>1210131</c:v>
                </c:pt>
                <c:pt idx="488">
                  <c:v>1210201</c:v>
                </c:pt>
                <c:pt idx="489">
                  <c:v>1210202</c:v>
                </c:pt>
                <c:pt idx="490">
                  <c:v>1210203</c:v>
                </c:pt>
                <c:pt idx="491">
                  <c:v>1210204</c:v>
                </c:pt>
                <c:pt idx="492">
                  <c:v>1210205</c:v>
                </c:pt>
                <c:pt idx="493">
                  <c:v>1210207</c:v>
                </c:pt>
                <c:pt idx="494">
                  <c:v>1210208</c:v>
                </c:pt>
                <c:pt idx="495">
                  <c:v>1210209</c:v>
                </c:pt>
                <c:pt idx="496">
                  <c:v>1210210</c:v>
                </c:pt>
                <c:pt idx="497">
                  <c:v>1210211</c:v>
                </c:pt>
                <c:pt idx="498">
                  <c:v>1210212</c:v>
                </c:pt>
                <c:pt idx="499">
                  <c:v>1210214</c:v>
                </c:pt>
                <c:pt idx="500">
                  <c:v>1210215</c:v>
                </c:pt>
                <c:pt idx="501">
                  <c:v>1210216</c:v>
                </c:pt>
                <c:pt idx="502">
                  <c:v>1210217</c:v>
                </c:pt>
                <c:pt idx="503">
                  <c:v>1210218</c:v>
                </c:pt>
                <c:pt idx="504">
                  <c:v>1210219</c:v>
                </c:pt>
                <c:pt idx="505">
                  <c:v>1210221</c:v>
                </c:pt>
                <c:pt idx="506">
                  <c:v>1210222</c:v>
                </c:pt>
                <c:pt idx="507">
                  <c:v>1210223</c:v>
                </c:pt>
                <c:pt idx="508">
                  <c:v>1210224</c:v>
                </c:pt>
                <c:pt idx="509">
                  <c:v>1210225</c:v>
                </c:pt>
                <c:pt idx="510">
                  <c:v>1210226</c:v>
                </c:pt>
                <c:pt idx="511">
                  <c:v>1210228</c:v>
                </c:pt>
                <c:pt idx="512">
                  <c:v>1210301</c:v>
                </c:pt>
                <c:pt idx="513">
                  <c:v>1210302</c:v>
                </c:pt>
                <c:pt idx="514">
                  <c:v>1210303</c:v>
                </c:pt>
                <c:pt idx="515">
                  <c:v>1210304</c:v>
                </c:pt>
                <c:pt idx="516">
                  <c:v>1210305</c:v>
                </c:pt>
                <c:pt idx="517">
                  <c:v>1210307</c:v>
                </c:pt>
                <c:pt idx="518">
                  <c:v>1210308</c:v>
                </c:pt>
                <c:pt idx="519">
                  <c:v>1210309</c:v>
                </c:pt>
                <c:pt idx="520">
                  <c:v>1210310</c:v>
                </c:pt>
                <c:pt idx="521">
                  <c:v>1210311</c:v>
                </c:pt>
                <c:pt idx="522">
                  <c:v>1210312</c:v>
                </c:pt>
                <c:pt idx="523">
                  <c:v>1210314</c:v>
                </c:pt>
                <c:pt idx="524">
                  <c:v>1210315</c:v>
                </c:pt>
                <c:pt idx="525">
                  <c:v>1210316</c:v>
                </c:pt>
                <c:pt idx="526">
                  <c:v>1210317</c:v>
                </c:pt>
                <c:pt idx="527">
                  <c:v>1210318</c:v>
                </c:pt>
                <c:pt idx="528">
                  <c:v>1210319</c:v>
                </c:pt>
                <c:pt idx="529">
                  <c:v>1210321</c:v>
                </c:pt>
                <c:pt idx="530">
                  <c:v>1210322</c:v>
                </c:pt>
                <c:pt idx="531">
                  <c:v>1210323</c:v>
                </c:pt>
                <c:pt idx="532">
                  <c:v>1210324</c:v>
                </c:pt>
                <c:pt idx="533">
                  <c:v>1210325</c:v>
                </c:pt>
                <c:pt idx="534">
                  <c:v>1210326</c:v>
                </c:pt>
                <c:pt idx="535">
                  <c:v>1210328</c:v>
                </c:pt>
                <c:pt idx="536">
                  <c:v>1210329</c:v>
                </c:pt>
                <c:pt idx="537">
                  <c:v>1210330</c:v>
                </c:pt>
                <c:pt idx="538">
                  <c:v>1210331</c:v>
                </c:pt>
                <c:pt idx="539">
                  <c:v>1210401</c:v>
                </c:pt>
                <c:pt idx="540">
                  <c:v>1210402</c:v>
                </c:pt>
                <c:pt idx="541">
                  <c:v>1210404</c:v>
                </c:pt>
                <c:pt idx="542">
                  <c:v>1210405</c:v>
                </c:pt>
                <c:pt idx="543">
                  <c:v>1210406</c:v>
                </c:pt>
                <c:pt idx="544">
                  <c:v>1210407</c:v>
                </c:pt>
                <c:pt idx="545">
                  <c:v>1210408</c:v>
                </c:pt>
                <c:pt idx="546">
                  <c:v>1210409</c:v>
                </c:pt>
                <c:pt idx="547">
                  <c:v>1210411</c:v>
                </c:pt>
                <c:pt idx="548">
                  <c:v>1210412</c:v>
                </c:pt>
                <c:pt idx="549">
                  <c:v>1210413</c:v>
                </c:pt>
                <c:pt idx="550">
                  <c:v>1210414</c:v>
                </c:pt>
                <c:pt idx="551">
                  <c:v>1210415</c:v>
                </c:pt>
                <c:pt idx="552">
                  <c:v>1210416</c:v>
                </c:pt>
                <c:pt idx="553">
                  <c:v>1210418</c:v>
                </c:pt>
                <c:pt idx="554">
                  <c:v>1210419</c:v>
                </c:pt>
                <c:pt idx="555">
                  <c:v>1210420</c:v>
                </c:pt>
                <c:pt idx="556">
                  <c:v>1210421</c:v>
                </c:pt>
                <c:pt idx="557">
                  <c:v>1210422</c:v>
                </c:pt>
                <c:pt idx="558">
                  <c:v>1210423</c:v>
                </c:pt>
                <c:pt idx="559">
                  <c:v>1210425</c:v>
                </c:pt>
                <c:pt idx="560">
                  <c:v>1210426</c:v>
                </c:pt>
                <c:pt idx="561">
                  <c:v>1210427</c:v>
                </c:pt>
                <c:pt idx="562">
                  <c:v>1210428</c:v>
                </c:pt>
                <c:pt idx="563">
                  <c:v>1210429</c:v>
                </c:pt>
                <c:pt idx="564">
                  <c:v>1210430</c:v>
                </c:pt>
                <c:pt idx="565">
                  <c:v>1210502</c:v>
                </c:pt>
                <c:pt idx="566">
                  <c:v>1210503</c:v>
                </c:pt>
                <c:pt idx="567">
                  <c:v>1210504</c:v>
                </c:pt>
                <c:pt idx="568">
                  <c:v>1210505</c:v>
                </c:pt>
                <c:pt idx="569">
                  <c:v>1210506</c:v>
                </c:pt>
                <c:pt idx="570">
                  <c:v>1210507</c:v>
                </c:pt>
                <c:pt idx="571">
                  <c:v>1210509</c:v>
                </c:pt>
                <c:pt idx="572">
                  <c:v>1210510</c:v>
                </c:pt>
                <c:pt idx="573">
                  <c:v>1210511</c:v>
                </c:pt>
                <c:pt idx="574">
                  <c:v>1210512</c:v>
                </c:pt>
                <c:pt idx="575">
                  <c:v>1210513</c:v>
                </c:pt>
                <c:pt idx="576">
                  <c:v>1210514</c:v>
                </c:pt>
                <c:pt idx="577">
                  <c:v>1210516</c:v>
                </c:pt>
                <c:pt idx="578">
                  <c:v>1210517</c:v>
                </c:pt>
                <c:pt idx="579">
                  <c:v>1210518</c:v>
                </c:pt>
                <c:pt idx="580">
                  <c:v>1210519</c:v>
                </c:pt>
                <c:pt idx="581">
                  <c:v>1210520</c:v>
                </c:pt>
                <c:pt idx="582">
                  <c:v>1210521</c:v>
                </c:pt>
                <c:pt idx="583">
                  <c:v>1210523</c:v>
                </c:pt>
                <c:pt idx="584">
                  <c:v>1210524</c:v>
                </c:pt>
                <c:pt idx="585">
                  <c:v>1210525</c:v>
                </c:pt>
                <c:pt idx="586">
                  <c:v>1210526</c:v>
                </c:pt>
                <c:pt idx="587">
                  <c:v>1210527</c:v>
                </c:pt>
                <c:pt idx="588">
                  <c:v>1210528</c:v>
                </c:pt>
                <c:pt idx="589">
                  <c:v>1210530</c:v>
                </c:pt>
                <c:pt idx="590">
                  <c:v>1210531</c:v>
                </c:pt>
                <c:pt idx="591">
                  <c:v>1210601</c:v>
                </c:pt>
                <c:pt idx="592">
                  <c:v>1210602</c:v>
                </c:pt>
                <c:pt idx="593">
                  <c:v>1210603</c:v>
                </c:pt>
                <c:pt idx="594">
                  <c:v>1210604</c:v>
                </c:pt>
                <c:pt idx="595">
                  <c:v>1210606</c:v>
                </c:pt>
                <c:pt idx="596">
                  <c:v>1210607</c:v>
                </c:pt>
                <c:pt idx="597">
                  <c:v>1210608</c:v>
                </c:pt>
                <c:pt idx="598">
                  <c:v>1210609</c:v>
                </c:pt>
                <c:pt idx="599">
                  <c:v>1210610</c:v>
                </c:pt>
                <c:pt idx="600">
                  <c:v>1210611</c:v>
                </c:pt>
                <c:pt idx="601">
                  <c:v>1210613</c:v>
                </c:pt>
                <c:pt idx="602">
                  <c:v>1210614</c:v>
                </c:pt>
                <c:pt idx="603">
                  <c:v>1210615</c:v>
                </c:pt>
                <c:pt idx="604">
                  <c:v>1210616</c:v>
                </c:pt>
                <c:pt idx="605">
                  <c:v>1210617</c:v>
                </c:pt>
                <c:pt idx="606">
                  <c:v>1210618</c:v>
                </c:pt>
                <c:pt idx="607">
                  <c:v>1210620</c:v>
                </c:pt>
                <c:pt idx="608">
                  <c:v>1210621</c:v>
                </c:pt>
                <c:pt idx="609">
                  <c:v>1210622</c:v>
                </c:pt>
                <c:pt idx="610">
                  <c:v>1210623</c:v>
                </c:pt>
                <c:pt idx="611">
                  <c:v>1210624</c:v>
                </c:pt>
                <c:pt idx="612">
                  <c:v>1210625</c:v>
                </c:pt>
                <c:pt idx="613">
                  <c:v>1210627</c:v>
                </c:pt>
                <c:pt idx="614">
                  <c:v>1210628</c:v>
                </c:pt>
                <c:pt idx="615">
                  <c:v>1210629</c:v>
                </c:pt>
                <c:pt idx="616">
                  <c:v>1210630</c:v>
                </c:pt>
                <c:pt idx="617">
                  <c:v>1210701</c:v>
                </c:pt>
                <c:pt idx="618">
                  <c:v>1210702</c:v>
                </c:pt>
                <c:pt idx="619">
                  <c:v>1210704</c:v>
                </c:pt>
                <c:pt idx="620">
                  <c:v>1210705</c:v>
                </c:pt>
                <c:pt idx="621">
                  <c:v>1210706</c:v>
                </c:pt>
                <c:pt idx="622">
                  <c:v>1210707</c:v>
                </c:pt>
                <c:pt idx="623">
                  <c:v>1210708</c:v>
                </c:pt>
                <c:pt idx="624">
                  <c:v>1210709</c:v>
                </c:pt>
                <c:pt idx="625">
                  <c:v>1210711</c:v>
                </c:pt>
                <c:pt idx="626">
                  <c:v>1210712</c:v>
                </c:pt>
                <c:pt idx="627">
                  <c:v>1210713</c:v>
                </c:pt>
                <c:pt idx="628">
                  <c:v>1210714</c:v>
                </c:pt>
                <c:pt idx="629">
                  <c:v>1210715</c:v>
                </c:pt>
                <c:pt idx="630">
                  <c:v>1210716</c:v>
                </c:pt>
                <c:pt idx="631">
                  <c:v>1210718</c:v>
                </c:pt>
                <c:pt idx="632">
                  <c:v>1210719</c:v>
                </c:pt>
                <c:pt idx="633">
                  <c:v>1210720</c:v>
                </c:pt>
                <c:pt idx="634">
                  <c:v>1210721</c:v>
                </c:pt>
                <c:pt idx="635">
                  <c:v>1210722</c:v>
                </c:pt>
                <c:pt idx="636">
                  <c:v>1210723</c:v>
                </c:pt>
                <c:pt idx="637">
                  <c:v>1210725</c:v>
                </c:pt>
                <c:pt idx="638">
                  <c:v>1210726</c:v>
                </c:pt>
                <c:pt idx="639">
                  <c:v>1210727</c:v>
                </c:pt>
                <c:pt idx="640">
                  <c:v>1210728</c:v>
                </c:pt>
                <c:pt idx="641">
                  <c:v>1210729</c:v>
                </c:pt>
                <c:pt idx="642">
                  <c:v>1210730</c:v>
                </c:pt>
                <c:pt idx="643">
                  <c:v>1210801</c:v>
                </c:pt>
                <c:pt idx="644">
                  <c:v>1210802</c:v>
                </c:pt>
                <c:pt idx="645">
                  <c:v>1210803</c:v>
                </c:pt>
                <c:pt idx="646">
                  <c:v>1210804</c:v>
                </c:pt>
                <c:pt idx="647">
                  <c:v>1210805</c:v>
                </c:pt>
                <c:pt idx="648">
                  <c:v>1210806</c:v>
                </c:pt>
                <c:pt idx="649">
                  <c:v>1210808</c:v>
                </c:pt>
                <c:pt idx="650">
                  <c:v>1210809</c:v>
                </c:pt>
                <c:pt idx="651">
                  <c:v>1210810</c:v>
                </c:pt>
                <c:pt idx="652">
                  <c:v>1210811</c:v>
                </c:pt>
                <c:pt idx="653">
                  <c:v>1210812</c:v>
                </c:pt>
                <c:pt idx="654">
                  <c:v>1210813</c:v>
                </c:pt>
                <c:pt idx="655">
                  <c:v>1210815</c:v>
                </c:pt>
                <c:pt idx="656">
                  <c:v>1210816</c:v>
                </c:pt>
                <c:pt idx="657">
                  <c:v>1210817</c:v>
                </c:pt>
                <c:pt idx="658">
                  <c:v>1210818</c:v>
                </c:pt>
                <c:pt idx="659">
                  <c:v>1210819</c:v>
                </c:pt>
                <c:pt idx="660">
                  <c:v>1210820</c:v>
                </c:pt>
                <c:pt idx="661">
                  <c:v>1210822</c:v>
                </c:pt>
                <c:pt idx="662">
                  <c:v>1210823</c:v>
                </c:pt>
                <c:pt idx="663">
                  <c:v>1210824</c:v>
                </c:pt>
                <c:pt idx="664">
                  <c:v>1210825</c:v>
                </c:pt>
                <c:pt idx="665">
                  <c:v>1210826</c:v>
                </c:pt>
                <c:pt idx="666">
                  <c:v>1210827</c:v>
                </c:pt>
                <c:pt idx="667">
                  <c:v>1210829</c:v>
                </c:pt>
                <c:pt idx="668">
                  <c:v>1210830</c:v>
                </c:pt>
                <c:pt idx="669">
                  <c:v>1210831</c:v>
                </c:pt>
                <c:pt idx="670">
                  <c:v>1210901</c:v>
                </c:pt>
                <c:pt idx="671">
                  <c:v>1210902</c:v>
                </c:pt>
                <c:pt idx="672">
                  <c:v>1210903</c:v>
                </c:pt>
                <c:pt idx="673">
                  <c:v>1210905</c:v>
                </c:pt>
                <c:pt idx="674">
                  <c:v>1210906</c:v>
                </c:pt>
                <c:pt idx="675">
                  <c:v>1210907</c:v>
                </c:pt>
                <c:pt idx="676">
                  <c:v>1210908</c:v>
                </c:pt>
                <c:pt idx="677">
                  <c:v>1210909</c:v>
                </c:pt>
                <c:pt idx="678">
                  <c:v>1210910</c:v>
                </c:pt>
                <c:pt idx="679">
                  <c:v>1210912</c:v>
                </c:pt>
                <c:pt idx="680">
                  <c:v>1210913</c:v>
                </c:pt>
                <c:pt idx="681">
                  <c:v>1210914</c:v>
                </c:pt>
                <c:pt idx="682">
                  <c:v>1210915</c:v>
                </c:pt>
                <c:pt idx="683">
                  <c:v>1210916</c:v>
                </c:pt>
                <c:pt idx="684">
                  <c:v>1210917</c:v>
                </c:pt>
                <c:pt idx="685">
                  <c:v>1210919</c:v>
                </c:pt>
                <c:pt idx="686">
                  <c:v>1210920</c:v>
                </c:pt>
                <c:pt idx="687">
                  <c:v>1210921</c:v>
                </c:pt>
                <c:pt idx="688">
                  <c:v>1210922</c:v>
                </c:pt>
                <c:pt idx="689">
                  <c:v>1210923</c:v>
                </c:pt>
                <c:pt idx="690">
                  <c:v>1210924</c:v>
                </c:pt>
                <c:pt idx="691">
                  <c:v>1210926</c:v>
                </c:pt>
                <c:pt idx="692">
                  <c:v>1210927</c:v>
                </c:pt>
                <c:pt idx="693">
                  <c:v>1210928</c:v>
                </c:pt>
                <c:pt idx="694">
                  <c:v>1210929</c:v>
                </c:pt>
                <c:pt idx="695">
                  <c:v>1210930</c:v>
                </c:pt>
                <c:pt idx="696">
                  <c:v>1211001</c:v>
                </c:pt>
                <c:pt idx="697">
                  <c:v>1211003</c:v>
                </c:pt>
                <c:pt idx="698">
                  <c:v>1211004</c:v>
                </c:pt>
                <c:pt idx="699">
                  <c:v>1211005</c:v>
                </c:pt>
                <c:pt idx="700">
                  <c:v>1211006</c:v>
                </c:pt>
                <c:pt idx="701">
                  <c:v>1211007</c:v>
                </c:pt>
                <c:pt idx="702">
                  <c:v>1211008</c:v>
                </c:pt>
                <c:pt idx="703">
                  <c:v>1211010</c:v>
                </c:pt>
                <c:pt idx="704">
                  <c:v>1211011</c:v>
                </c:pt>
                <c:pt idx="705">
                  <c:v>1211012</c:v>
                </c:pt>
                <c:pt idx="706">
                  <c:v>1211013</c:v>
                </c:pt>
                <c:pt idx="707">
                  <c:v>1211014</c:v>
                </c:pt>
                <c:pt idx="708">
                  <c:v>1211015</c:v>
                </c:pt>
                <c:pt idx="709">
                  <c:v>1211017</c:v>
                </c:pt>
                <c:pt idx="710">
                  <c:v>1211018</c:v>
                </c:pt>
                <c:pt idx="711">
                  <c:v>1211019</c:v>
                </c:pt>
                <c:pt idx="712">
                  <c:v>1211020</c:v>
                </c:pt>
                <c:pt idx="713">
                  <c:v>1211021</c:v>
                </c:pt>
                <c:pt idx="714">
                  <c:v>1211022</c:v>
                </c:pt>
                <c:pt idx="715">
                  <c:v>1211024</c:v>
                </c:pt>
                <c:pt idx="716">
                  <c:v>1211025</c:v>
                </c:pt>
                <c:pt idx="717">
                  <c:v>1211026</c:v>
                </c:pt>
                <c:pt idx="718">
                  <c:v>1211027</c:v>
                </c:pt>
                <c:pt idx="719">
                  <c:v>1211028</c:v>
                </c:pt>
                <c:pt idx="720">
                  <c:v>1211029</c:v>
                </c:pt>
                <c:pt idx="721">
                  <c:v>1211031</c:v>
                </c:pt>
                <c:pt idx="722">
                  <c:v>1211101</c:v>
                </c:pt>
                <c:pt idx="723">
                  <c:v>1211102</c:v>
                </c:pt>
                <c:pt idx="724">
                  <c:v>1211103</c:v>
                </c:pt>
                <c:pt idx="725">
                  <c:v>1211104</c:v>
                </c:pt>
                <c:pt idx="726">
                  <c:v>1211105</c:v>
                </c:pt>
                <c:pt idx="727">
                  <c:v>1211107</c:v>
                </c:pt>
                <c:pt idx="728">
                  <c:v>1211108</c:v>
                </c:pt>
                <c:pt idx="729">
                  <c:v>1211109</c:v>
                </c:pt>
                <c:pt idx="730">
                  <c:v>1211110</c:v>
                </c:pt>
                <c:pt idx="731">
                  <c:v>1211111</c:v>
                </c:pt>
                <c:pt idx="732">
                  <c:v>1211112</c:v>
                </c:pt>
                <c:pt idx="733">
                  <c:v>1211114</c:v>
                </c:pt>
                <c:pt idx="734">
                  <c:v>1211115</c:v>
                </c:pt>
                <c:pt idx="735">
                  <c:v>1211116</c:v>
                </c:pt>
                <c:pt idx="736">
                  <c:v>1211117</c:v>
                </c:pt>
                <c:pt idx="737">
                  <c:v>1211118</c:v>
                </c:pt>
                <c:pt idx="738">
                  <c:v>1211119</c:v>
                </c:pt>
                <c:pt idx="739">
                  <c:v>1211121</c:v>
                </c:pt>
                <c:pt idx="740">
                  <c:v>1211122</c:v>
                </c:pt>
                <c:pt idx="741">
                  <c:v>1211123</c:v>
                </c:pt>
                <c:pt idx="742">
                  <c:v>1211124</c:v>
                </c:pt>
                <c:pt idx="743">
                  <c:v>1211125</c:v>
                </c:pt>
                <c:pt idx="744">
                  <c:v>1211126</c:v>
                </c:pt>
                <c:pt idx="745">
                  <c:v>1211128</c:v>
                </c:pt>
                <c:pt idx="746">
                  <c:v>1211129</c:v>
                </c:pt>
                <c:pt idx="747">
                  <c:v>1211130</c:v>
                </c:pt>
                <c:pt idx="748">
                  <c:v>1211201</c:v>
                </c:pt>
                <c:pt idx="749">
                  <c:v>1211202</c:v>
                </c:pt>
                <c:pt idx="750">
                  <c:v>1211203</c:v>
                </c:pt>
                <c:pt idx="751">
                  <c:v>1211205</c:v>
                </c:pt>
                <c:pt idx="752">
                  <c:v>1211206</c:v>
                </c:pt>
                <c:pt idx="753">
                  <c:v>1211207</c:v>
                </c:pt>
                <c:pt idx="754">
                  <c:v>1211208</c:v>
                </c:pt>
                <c:pt idx="755">
                  <c:v>1211209</c:v>
                </c:pt>
                <c:pt idx="756">
                  <c:v>1211210</c:v>
                </c:pt>
                <c:pt idx="757">
                  <c:v>1211212</c:v>
                </c:pt>
                <c:pt idx="758">
                  <c:v>1211213</c:v>
                </c:pt>
                <c:pt idx="759">
                  <c:v>1211214</c:v>
                </c:pt>
                <c:pt idx="760">
                  <c:v>1211215</c:v>
                </c:pt>
                <c:pt idx="761">
                  <c:v>1211216</c:v>
                </c:pt>
                <c:pt idx="762">
                  <c:v>1211217</c:v>
                </c:pt>
                <c:pt idx="763">
                  <c:v>1211219</c:v>
                </c:pt>
                <c:pt idx="764">
                  <c:v>1211220</c:v>
                </c:pt>
                <c:pt idx="765">
                  <c:v>1211221</c:v>
                </c:pt>
                <c:pt idx="766">
                  <c:v>1211222</c:v>
                </c:pt>
                <c:pt idx="767">
                  <c:v>1211223</c:v>
                </c:pt>
                <c:pt idx="768">
                  <c:v>1211226</c:v>
                </c:pt>
                <c:pt idx="769">
                  <c:v>1211227</c:v>
                </c:pt>
                <c:pt idx="770">
                  <c:v>1211228</c:v>
                </c:pt>
                <c:pt idx="771">
                  <c:v>1211229</c:v>
                </c:pt>
                <c:pt idx="772">
                  <c:v>1211230</c:v>
                </c:pt>
                <c:pt idx="773">
                  <c:v>1211231</c:v>
                </c:pt>
                <c:pt idx="774">
                  <c:v>1220102</c:v>
                </c:pt>
                <c:pt idx="775">
                  <c:v>1220103</c:v>
                </c:pt>
                <c:pt idx="776">
                  <c:v>1220104</c:v>
                </c:pt>
                <c:pt idx="777">
                  <c:v>1220105</c:v>
                </c:pt>
                <c:pt idx="778">
                  <c:v>1220106</c:v>
                </c:pt>
                <c:pt idx="779">
                  <c:v>1220107</c:v>
                </c:pt>
                <c:pt idx="780">
                  <c:v>1220109</c:v>
                </c:pt>
                <c:pt idx="781">
                  <c:v>1220110</c:v>
                </c:pt>
                <c:pt idx="782">
                  <c:v>1220111</c:v>
                </c:pt>
                <c:pt idx="783">
                  <c:v>1220112</c:v>
                </c:pt>
                <c:pt idx="784">
                  <c:v>1220113</c:v>
                </c:pt>
                <c:pt idx="785">
                  <c:v>1220114</c:v>
                </c:pt>
                <c:pt idx="786">
                  <c:v>1220116</c:v>
                </c:pt>
                <c:pt idx="787">
                  <c:v>1220117</c:v>
                </c:pt>
                <c:pt idx="788">
                  <c:v>1220118</c:v>
                </c:pt>
                <c:pt idx="789">
                  <c:v>1220119</c:v>
                </c:pt>
                <c:pt idx="790">
                  <c:v>1220120</c:v>
                </c:pt>
                <c:pt idx="791">
                  <c:v>1220121</c:v>
                </c:pt>
                <c:pt idx="792">
                  <c:v>1220123</c:v>
                </c:pt>
                <c:pt idx="793">
                  <c:v>1220124</c:v>
                </c:pt>
                <c:pt idx="794">
                  <c:v>1220125</c:v>
                </c:pt>
                <c:pt idx="795">
                  <c:v>1220126</c:v>
                </c:pt>
                <c:pt idx="796">
                  <c:v>1220127</c:v>
                </c:pt>
                <c:pt idx="797">
                  <c:v>1220128</c:v>
                </c:pt>
                <c:pt idx="798">
                  <c:v>1220130</c:v>
                </c:pt>
                <c:pt idx="799">
                  <c:v>1220131</c:v>
                </c:pt>
                <c:pt idx="800">
                  <c:v>1220201</c:v>
                </c:pt>
                <c:pt idx="801">
                  <c:v>1220202</c:v>
                </c:pt>
                <c:pt idx="802">
                  <c:v>1220203</c:v>
                </c:pt>
                <c:pt idx="803">
                  <c:v>1220204</c:v>
                </c:pt>
                <c:pt idx="804">
                  <c:v>1220206</c:v>
                </c:pt>
                <c:pt idx="805">
                  <c:v>1220207</c:v>
                </c:pt>
                <c:pt idx="806">
                  <c:v>1220208</c:v>
                </c:pt>
                <c:pt idx="807">
                  <c:v>1220209</c:v>
                </c:pt>
                <c:pt idx="808">
                  <c:v>1220210</c:v>
                </c:pt>
                <c:pt idx="809">
                  <c:v>1220211</c:v>
                </c:pt>
                <c:pt idx="810">
                  <c:v>1220213</c:v>
                </c:pt>
                <c:pt idx="811">
                  <c:v>1220214</c:v>
                </c:pt>
                <c:pt idx="812">
                  <c:v>1220215</c:v>
                </c:pt>
                <c:pt idx="813">
                  <c:v>1220216</c:v>
                </c:pt>
                <c:pt idx="814">
                  <c:v>1220217</c:v>
                </c:pt>
                <c:pt idx="815">
                  <c:v>1220218</c:v>
                </c:pt>
                <c:pt idx="816">
                  <c:v>1220220</c:v>
                </c:pt>
                <c:pt idx="817">
                  <c:v>1220221</c:v>
                </c:pt>
                <c:pt idx="818">
                  <c:v>1220222</c:v>
                </c:pt>
                <c:pt idx="819">
                  <c:v>1220223</c:v>
                </c:pt>
                <c:pt idx="820">
                  <c:v>1220224</c:v>
                </c:pt>
                <c:pt idx="821">
                  <c:v>1220225</c:v>
                </c:pt>
                <c:pt idx="822">
                  <c:v>1220227</c:v>
                </c:pt>
                <c:pt idx="823">
                  <c:v>1220228</c:v>
                </c:pt>
                <c:pt idx="824">
                  <c:v>1220301</c:v>
                </c:pt>
                <c:pt idx="825">
                  <c:v>1220302</c:v>
                </c:pt>
                <c:pt idx="826">
                  <c:v>1220303</c:v>
                </c:pt>
                <c:pt idx="827">
                  <c:v>1220304</c:v>
                </c:pt>
                <c:pt idx="828">
                  <c:v>1220306</c:v>
                </c:pt>
                <c:pt idx="829">
                  <c:v>1220307</c:v>
                </c:pt>
                <c:pt idx="830">
                  <c:v>1220308</c:v>
                </c:pt>
                <c:pt idx="831">
                  <c:v>1220309</c:v>
                </c:pt>
                <c:pt idx="832">
                  <c:v>1220310</c:v>
                </c:pt>
                <c:pt idx="833">
                  <c:v>1220311</c:v>
                </c:pt>
                <c:pt idx="834">
                  <c:v>1220313</c:v>
                </c:pt>
                <c:pt idx="835">
                  <c:v>1220314</c:v>
                </c:pt>
                <c:pt idx="836">
                  <c:v>1220315</c:v>
                </c:pt>
                <c:pt idx="837">
                  <c:v>1220316</c:v>
                </c:pt>
                <c:pt idx="838">
                  <c:v>1220317</c:v>
                </c:pt>
                <c:pt idx="839">
                  <c:v>1220318</c:v>
                </c:pt>
                <c:pt idx="840">
                  <c:v>1220320</c:v>
                </c:pt>
                <c:pt idx="841">
                  <c:v>1220321</c:v>
                </c:pt>
                <c:pt idx="842">
                  <c:v>1220322</c:v>
                </c:pt>
                <c:pt idx="843">
                  <c:v>1220323</c:v>
                </c:pt>
                <c:pt idx="844">
                  <c:v>1220324</c:v>
                </c:pt>
                <c:pt idx="845">
                  <c:v>1220325</c:v>
                </c:pt>
                <c:pt idx="846">
                  <c:v>1220327</c:v>
                </c:pt>
                <c:pt idx="847">
                  <c:v>1220328</c:v>
                </c:pt>
                <c:pt idx="848">
                  <c:v>1220329</c:v>
                </c:pt>
                <c:pt idx="849">
                  <c:v>1220330</c:v>
                </c:pt>
                <c:pt idx="850">
                  <c:v>1220331</c:v>
                </c:pt>
                <c:pt idx="851">
                  <c:v>1220401</c:v>
                </c:pt>
                <c:pt idx="852">
                  <c:v>1220403</c:v>
                </c:pt>
                <c:pt idx="853">
                  <c:v>1220404</c:v>
                </c:pt>
                <c:pt idx="854">
                  <c:v>1220405</c:v>
                </c:pt>
                <c:pt idx="855">
                  <c:v>1220406</c:v>
                </c:pt>
                <c:pt idx="856">
                  <c:v>1220407</c:v>
                </c:pt>
                <c:pt idx="857">
                  <c:v>1220408</c:v>
                </c:pt>
                <c:pt idx="858">
                  <c:v>1220410</c:v>
                </c:pt>
                <c:pt idx="859">
                  <c:v>1220411</c:v>
                </c:pt>
                <c:pt idx="860">
                  <c:v>1220412</c:v>
                </c:pt>
                <c:pt idx="861">
                  <c:v>1220413</c:v>
                </c:pt>
                <c:pt idx="862">
                  <c:v>1220414</c:v>
                </c:pt>
                <c:pt idx="863">
                  <c:v>1220417</c:v>
                </c:pt>
                <c:pt idx="864">
                  <c:v>1220418</c:v>
                </c:pt>
                <c:pt idx="865">
                  <c:v>1220419</c:v>
                </c:pt>
                <c:pt idx="866">
                  <c:v>1220420</c:v>
                </c:pt>
                <c:pt idx="867">
                  <c:v>1220421</c:v>
                </c:pt>
                <c:pt idx="868">
                  <c:v>1220422</c:v>
                </c:pt>
                <c:pt idx="869">
                  <c:v>1220424</c:v>
                </c:pt>
                <c:pt idx="870">
                  <c:v>1220425</c:v>
                </c:pt>
                <c:pt idx="871">
                  <c:v>1220426</c:v>
                </c:pt>
                <c:pt idx="872">
                  <c:v>1220427</c:v>
                </c:pt>
                <c:pt idx="873">
                  <c:v>1220428</c:v>
                </c:pt>
                <c:pt idx="874">
                  <c:v>1220429</c:v>
                </c:pt>
                <c:pt idx="875">
                  <c:v>1220501</c:v>
                </c:pt>
                <c:pt idx="876">
                  <c:v>1220502</c:v>
                </c:pt>
                <c:pt idx="877">
                  <c:v>1220503</c:v>
                </c:pt>
                <c:pt idx="878">
                  <c:v>1220504</c:v>
                </c:pt>
                <c:pt idx="879">
                  <c:v>1220505</c:v>
                </c:pt>
                <c:pt idx="880">
                  <c:v>1220506</c:v>
                </c:pt>
                <c:pt idx="881">
                  <c:v>1220508</c:v>
                </c:pt>
                <c:pt idx="882">
                  <c:v>1220509</c:v>
                </c:pt>
                <c:pt idx="883">
                  <c:v>1220510</c:v>
                </c:pt>
                <c:pt idx="884">
                  <c:v>1220511</c:v>
                </c:pt>
                <c:pt idx="885">
                  <c:v>1220512</c:v>
                </c:pt>
                <c:pt idx="886">
                  <c:v>1220513</c:v>
                </c:pt>
                <c:pt idx="887">
                  <c:v>1220515</c:v>
                </c:pt>
                <c:pt idx="888">
                  <c:v>1220516</c:v>
                </c:pt>
                <c:pt idx="889">
                  <c:v>1220517</c:v>
                </c:pt>
                <c:pt idx="890">
                  <c:v>1220518</c:v>
                </c:pt>
                <c:pt idx="891">
                  <c:v>1220519</c:v>
                </c:pt>
                <c:pt idx="892">
                  <c:v>1220520</c:v>
                </c:pt>
                <c:pt idx="893">
                  <c:v>1220522</c:v>
                </c:pt>
                <c:pt idx="894">
                  <c:v>1220523</c:v>
                </c:pt>
                <c:pt idx="895">
                  <c:v>1220524</c:v>
                </c:pt>
                <c:pt idx="896">
                  <c:v>1220525</c:v>
                </c:pt>
                <c:pt idx="897">
                  <c:v>1220526</c:v>
                </c:pt>
                <c:pt idx="898">
                  <c:v>1220527</c:v>
                </c:pt>
                <c:pt idx="899">
                  <c:v>1220529</c:v>
                </c:pt>
                <c:pt idx="900">
                  <c:v>1220530</c:v>
                </c:pt>
                <c:pt idx="901">
                  <c:v>1220531</c:v>
                </c:pt>
                <c:pt idx="902">
                  <c:v>1220601</c:v>
                </c:pt>
                <c:pt idx="903">
                  <c:v>1220602</c:v>
                </c:pt>
                <c:pt idx="904">
                  <c:v>1220603</c:v>
                </c:pt>
                <c:pt idx="905">
                  <c:v>1220605</c:v>
                </c:pt>
                <c:pt idx="906">
                  <c:v>1220606</c:v>
                </c:pt>
                <c:pt idx="907">
                  <c:v>1220607</c:v>
                </c:pt>
                <c:pt idx="908">
                  <c:v>1220608</c:v>
                </c:pt>
                <c:pt idx="909">
                  <c:v>1220609</c:v>
                </c:pt>
                <c:pt idx="910">
                  <c:v>1220610</c:v>
                </c:pt>
                <c:pt idx="911">
                  <c:v>1220612</c:v>
                </c:pt>
                <c:pt idx="912">
                  <c:v>1220613</c:v>
                </c:pt>
                <c:pt idx="913">
                  <c:v>1220614</c:v>
                </c:pt>
                <c:pt idx="914">
                  <c:v>1220615</c:v>
                </c:pt>
                <c:pt idx="915">
                  <c:v>1220616</c:v>
                </c:pt>
                <c:pt idx="916">
                  <c:v>1220617</c:v>
                </c:pt>
                <c:pt idx="917">
                  <c:v>1220619</c:v>
                </c:pt>
                <c:pt idx="918">
                  <c:v>1220620</c:v>
                </c:pt>
                <c:pt idx="919">
                  <c:v>1220621</c:v>
                </c:pt>
                <c:pt idx="920">
                  <c:v>1220622</c:v>
                </c:pt>
                <c:pt idx="921">
                  <c:v>1220623</c:v>
                </c:pt>
                <c:pt idx="922">
                  <c:v>1220624</c:v>
                </c:pt>
                <c:pt idx="923">
                  <c:v>1220626</c:v>
                </c:pt>
                <c:pt idx="924">
                  <c:v>1220627</c:v>
                </c:pt>
                <c:pt idx="925">
                  <c:v>1220628</c:v>
                </c:pt>
                <c:pt idx="926">
                  <c:v>1220629</c:v>
                </c:pt>
                <c:pt idx="927">
                  <c:v>1220630</c:v>
                </c:pt>
                <c:pt idx="928">
                  <c:v>1220701</c:v>
                </c:pt>
                <c:pt idx="929">
                  <c:v>1220703</c:v>
                </c:pt>
                <c:pt idx="930">
                  <c:v>1220704</c:v>
                </c:pt>
                <c:pt idx="931">
                  <c:v>1220705</c:v>
                </c:pt>
                <c:pt idx="932">
                  <c:v>1220706</c:v>
                </c:pt>
                <c:pt idx="933">
                  <c:v>1220707</c:v>
                </c:pt>
                <c:pt idx="934">
                  <c:v>1220708</c:v>
                </c:pt>
                <c:pt idx="935">
                  <c:v>1220710</c:v>
                </c:pt>
                <c:pt idx="936">
                  <c:v>1220711</c:v>
                </c:pt>
                <c:pt idx="937">
                  <c:v>1220712</c:v>
                </c:pt>
                <c:pt idx="938">
                  <c:v>1220713</c:v>
                </c:pt>
                <c:pt idx="939">
                  <c:v>1220714</c:v>
                </c:pt>
                <c:pt idx="940">
                  <c:v>1220715</c:v>
                </c:pt>
                <c:pt idx="941">
                  <c:v>1220717</c:v>
                </c:pt>
                <c:pt idx="942">
                  <c:v>1220718</c:v>
                </c:pt>
                <c:pt idx="943">
                  <c:v>1220719</c:v>
                </c:pt>
                <c:pt idx="944">
                  <c:v>1220720</c:v>
                </c:pt>
                <c:pt idx="945">
                  <c:v>1220721</c:v>
                </c:pt>
                <c:pt idx="946">
                  <c:v>1220722</c:v>
                </c:pt>
                <c:pt idx="947">
                  <c:v>1220724</c:v>
                </c:pt>
                <c:pt idx="948">
                  <c:v>1220725</c:v>
                </c:pt>
                <c:pt idx="949">
                  <c:v>1220726</c:v>
                </c:pt>
                <c:pt idx="950">
                  <c:v>1220727</c:v>
                </c:pt>
                <c:pt idx="951">
                  <c:v>1220728</c:v>
                </c:pt>
                <c:pt idx="952">
                  <c:v>1220729</c:v>
                </c:pt>
                <c:pt idx="953">
                  <c:v>1220731</c:v>
                </c:pt>
                <c:pt idx="954">
                  <c:v>1220801</c:v>
                </c:pt>
                <c:pt idx="955">
                  <c:v>1220802</c:v>
                </c:pt>
                <c:pt idx="956">
                  <c:v>1220803</c:v>
                </c:pt>
                <c:pt idx="957">
                  <c:v>1220804</c:v>
                </c:pt>
                <c:pt idx="958">
                  <c:v>1220805</c:v>
                </c:pt>
                <c:pt idx="959">
                  <c:v>1220807</c:v>
                </c:pt>
                <c:pt idx="960">
                  <c:v>1220808</c:v>
                </c:pt>
                <c:pt idx="961">
                  <c:v>1220809</c:v>
                </c:pt>
                <c:pt idx="962">
                  <c:v>1220810</c:v>
                </c:pt>
                <c:pt idx="963">
                  <c:v>1220811</c:v>
                </c:pt>
                <c:pt idx="964">
                  <c:v>1220812</c:v>
                </c:pt>
                <c:pt idx="965">
                  <c:v>1220814</c:v>
                </c:pt>
                <c:pt idx="966">
                  <c:v>1220815</c:v>
                </c:pt>
                <c:pt idx="967">
                  <c:v>1220816</c:v>
                </c:pt>
                <c:pt idx="968">
                  <c:v>1220817</c:v>
                </c:pt>
                <c:pt idx="969">
                  <c:v>1220818</c:v>
                </c:pt>
                <c:pt idx="970">
                  <c:v>1220819</c:v>
                </c:pt>
                <c:pt idx="971">
                  <c:v>1220821</c:v>
                </c:pt>
                <c:pt idx="972">
                  <c:v>1220822</c:v>
                </c:pt>
                <c:pt idx="973">
                  <c:v>1220823</c:v>
                </c:pt>
                <c:pt idx="974">
                  <c:v>1220824</c:v>
                </c:pt>
                <c:pt idx="975">
                  <c:v>1220825</c:v>
                </c:pt>
                <c:pt idx="976">
                  <c:v>1220826</c:v>
                </c:pt>
                <c:pt idx="977">
                  <c:v>1220828</c:v>
                </c:pt>
                <c:pt idx="978">
                  <c:v>1220829</c:v>
                </c:pt>
                <c:pt idx="979">
                  <c:v>1220830</c:v>
                </c:pt>
                <c:pt idx="980">
                  <c:v>1220831</c:v>
                </c:pt>
                <c:pt idx="981">
                  <c:v>1220901</c:v>
                </c:pt>
                <c:pt idx="982">
                  <c:v>1220902</c:v>
                </c:pt>
                <c:pt idx="983">
                  <c:v>1220904</c:v>
                </c:pt>
                <c:pt idx="984">
                  <c:v>1220905</c:v>
                </c:pt>
                <c:pt idx="985">
                  <c:v>1220906</c:v>
                </c:pt>
                <c:pt idx="986">
                  <c:v>1220907</c:v>
                </c:pt>
                <c:pt idx="987">
                  <c:v>1220908</c:v>
                </c:pt>
                <c:pt idx="988">
                  <c:v>1220909</c:v>
                </c:pt>
                <c:pt idx="989">
                  <c:v>1220911</c:v>
                </c:pt>
                <c:pt idx="990">
                  <c:v>1220912</c:v>
                </c:pt>
                <c:pt idx="991">
                  <c:v>1220913</c:v>
                </c:pt>
                <c:pt idx="992">
                  <c:v>1220914</c:v>
                </c:pt>
                <c:pt idx="993">
                  <c:v>1220915</c:v>
                </c:pt>
                <c:pt idx="994">
                  <c:v>1220916</c:v>
                </c:pt>
                <c:pt idx="995">
                  <c:v>1220918</c:v>
                </c:pt>
                <c:pt idx="996">
                  <c:v>1220919</c:v>
                </c:pt>
                <c:pt idx="997">
                  <c:v>1220920</c:v>
                </c:pt>
                <c:pt idx="998">
                  <c:v>1220921</c:v>
                </c:pt>
                <c:pt idx="999">
                  <c:v>1220922</c:v>
                </c:pt>
                <c:pt idx="1000">
                  <c:v>1220923</c:v>
                </c:pt>
                <c:pt idx="1001">
                  <c:v>1220925</c:v>
                </c:pt>
                <c:pt idx="1002">
                  <c:v>1220926</c:v>
                </c:pt>
                <c:pt idx="1003">
                  <c:v>1220927</c:v>
                </c:pt>
                <c:pt idx="1004">
                  <c:v>1220928</c:v>
                </c:pt>
                <c:pt idx="1005">
                  <c:v>1220929</c:v>
                </c:pt>
                <c:pt idx="1006">
                  <c:v>1220930</c:v>
                </c:pt>
                <c:pt idx="1007">
                  <c:v>1221002</c:v>
                </c:pt>
                <c:pt idx="1008">
                  <c:v>1221003</c:v>
                </c:pt>
                <c:pt idx="1009">
                  <c:v>1221004</c:v>
                </c:pt>
                <c:pt idx="1010">
                  <c:v>1221005</c:v>
                </c:pt>
                <c:pt idx="1011">
                  <c:v>1221006</c:v>
                </c:pt>
                <c:pt idx="1012">
                  <c:v>1221007</c:v>
                </c:pt>
                <c:pt idx="1013">
                  <c:v>1221009</c:v>
                </c:pt>
                <c:pt idx="1014">
                  <c:v>1221010</c:v>
                </c:pt>
                <c:pt idx="1015">
                  <c:v>1221011</c:v>
                </c:pt>
                <c:pt idx="1016">
                  <c:v>1221012</c:v>
                </c:pt>
                <c:pt idx="1017">
                  <c:v>1221013</c:v>
                </c:pt>
                <c:pt idx="1018">
                  <c:v>1221014</c:v>
                </c:pt>
                <c:pt idx="1019">
                  <c:v>1221016</c:v>
                </c:pt>
                <c:pt idx="1020">
                  <c:v>1221017</c:v>
                </c:pt>
                <c:pt idx="1021">
                  <c:v>1221018</c:v>
                </c:pt>
                <c:pt idx="1022">
                  <c:v>1221019</c:v>
                </c:pt>
                <c:pt idx="1023">
                  <c:v>1221020</c:v>
                </c:pt>
                <c:pt idx="1024">
                  <c:v>1221021</c:v>
                </c:pt>
                <c:pt idx="1025">
                  <c:v>1221023</c:v>
                </c:pt>
                <c:pt idx="1026">
                  <c:v>1221024</c:v>
                </c:pt>
                <c:pt idx="1027">
                  <c:v>1221025</c:v>
                </c:pt>
                <c:pt idx="1028">
                  <c:v>1221026</c:v>
                </c:pt>
                <c:pt idx="1029">
                  <c:v>1221027</c:v>
                </c:pt>
                <c:pt idx="1030">
                  <c:v>1221028</c:v>
                </c:pt>
                <c:pt idx="1031">
                  <c:v>1221030</c:v>
                </c:pt>
                <c:pt idx="1032">
                  <c:v>1221031</c:v>
                </c:pt>
                <c:pt idx="1033">
                  <c:v>1221101</c:v>
                </c:pt>
                <c:pt idx="1034">
                  <c:v>1221102</c:v>
                </c:pt>
                <c:pt idx="1035">
                  <c:v>1221103</c:v>
                </c:pt>
                <c:pt idx="1036">
                  <c:v>1221104</c:v>
                </c:pt>
                <c:pt idx="1037">
                  <c:v>1221106</c:v>
                </c:pt>
                <c:pt idx="1038">
                  <c:v>1221107</c:v>
                </c:pt>
                <c:pt idx="1039">
                  <c:v>1221108</c:v>
                </c:pt>
                <c:pt idx="1040">
                  <c:v>1221109</c:v>
                </c:pt>
                <c:pt idx="1041">
                  <c:v>1221110</c:v>
                </c:pt>
                <c:pt idx="1042">
                  <c:v>1221111</c:v>
                </c:pt>
                <c:pt idx="1043">
                  <c:v>1221113</c:v>
                </c:pt>
                <c:pt idx="1044">
                  <c:v>1221114</c:v>
                </c:pt>
                <c:pt idx="1045">
                  <c:v>1221115</c:v>
                </c:pt>
                <c:pt idx="1046">
                  <c:v>1221116</c:v>
                </c:pt>
                <c:pt idx="1047">
                  <c:v>1221117</c:v>
                </c:pt>
                <c:pt idx="1048">
                  <c:v>1221118</c:v>
                </c:pt>
                <c:pt idx="1049">
                  <c:v>1221120</c:v>
                </c:pt>
                <c:pt idx="1050">
                  <c:v>1221121</c:v>
                </c:pt>
                <c:pt idx="1051">
                  <c:v>1221122</c:v>
                </c:pt>
                <c:pt idx="1052">
                  <c:v>1221123</c:v>
                </c:pt>
                <c:pt idx="1053">
                  <c:v>1221124</c:v>
                </c:pt>
                <c:pt idx="1054">
                  <c:v>1221125</c:v>
                </c:pt>
                <c:pt idx="1055">
                  <c:v>1221127</c:v>
                </c:pt>
                <c:pt idx="1056">
                  <c:v>1221128</c:v>
                </c:pt>
                <c:pt idx="1057">
                  <c:v>1221129</c:v>
                </c:pt>
                <c:pt idx="1058">
                  <c:v>1221130</c:v>
                </c:pt>
                <c:pt idx="1059">
                  <c:v>1221201</c:v>
                </c:pt>
                <c:pt idx="1060">
                  <c:v>1221202</c:v>
                </c:pt>
                <c:pt idx="1061">
                  <c:v>1221204</c:v>
                </c:pt>
                <c:pt idx="1062">
                  <c:v>1221205</c:v>
                </c:pt>
                <c:pt idx="1063">
                  <c:v>1221206</c:v>
                </c:pt>
                <c:pt idx="1064">
                  <c:v>1221207</c:v>
                </c:pt>
                <c:pt idx="1065">
                  <c:v>1221208</c:v>
                </c:pt>
                <c:pt idx="1066">
                  <c:v>1221209</c:v>
                </c:pt>
                <c:pt idx="1067">
                  <c:v>1221211</c:v>
                </c:pt>
                <c:pt idx="1068">
                  <c:v>1221212</c:v>
                </c:pt>
                <c:pt idx="1069">
                  <c:v>1221213</c:v>
                </c:pt>
                <c:pt idx="1070">
                  <c:v>1221214</c:v>
                </c:pt>
                <c:pt idx="1071">
                  <c:v>1221215</c:v>
                </c:pt>
                <c:pt idx="1072">
                  <c:v>1221216</c:v>
                </c:pt>
                <c:pt idx="1073">
                  <c:v>1221218</c:v>
                </c:pt>
                <c:pt idx="1074">
                  <c:v>1221219</c:v>
                </c:pt>
                <c:pt idx="1075">
                  <c:v>1221220</c:v>
                </c:pt>
                <c:pt idx="1076">
                  <c:v>1221221</c:v>
                </c:pt>
                <c:pt idx="1077">
                  <c:v>1221222</c:v>
                </c:pt>
                <c:pt idx="1078">
                  <c:v>1221223</c:v>
                </c:pt>
                <c:pt idx="1079">
                  <c:v>1221226</c:v>
                </c:pt>
                <c:pt idx="1080">
                  <c:v>1221227</c:v>
                </c:pt>
                <c:pt idx="1081">
                  <c:v>1221228</c:v>
                </c:pt>
                <c:pt idx="1082">
                  <c:v>1221229</c:v>
                </c:pt>
                <c:pt idx="1083">
                  <c:v>1221230</c:v>
                </c:pt>
                <c:pt idx="1084">
                  <c:v>1230102</c:v>
                </c:pt>
                <c:pt idx="1085">
                  <c:v>1230103</c:v>
                </c:pt>
                <c:pt idx="1086">
                  <c:v>1230104</c:v>
                </c:pt>
                <c:pt idx="1087">
                  <c:v>1230105</c:v>
                </c:pt>
                <c:pt idx="1088">
                  <c:v>1230106</c:v>
                </c:pt>
                <c:pt idx="1089">
                  <c:v>1230108</c:v>
                </c:pt>
                <c:pt idx="1090">
                  <c:v>1230109</c:v>
                </c:pt>
                <c:pt idx="1091">
                  <c:v>1230110</c:v>
                </c:pt>
                <c:pt idx="1092">
                  <c:v>1230111</c:v>
                </c:pt>
                <c:pt idx="1093">
                  <c:v>1230112</c:v>
                </c:pt>
                <c:pt idx="1094">
                  <c:v>1230113</c:v>
                </c:pt>
                <c:pt idx="1095">
                  <c:v>1230115</c:v>
                </c:pt>
                <c:pt idx="1096">
                  <c:v>1230116</c:v>
                </c:pt>
                <c:pt idx="1097">
                  <c:v>1230117</c:v>
                </c:pt>
                <c:pt idx="1098">
                  <c:v>1230118</c:v>
                </c:pt>
                <c:pt idx="1099">
                  <c:v>1230119</c:v>
                </c:pt>
                <c:pt idx="1100">
                  <c:v>1230120</c:v>
                </c:pt>
                <c:pt idx="1101">
                  <c:v>1230122</c:v>
                </c:pt>
                <c:pt idx="1102">
                  <c:v>1230123</c:v>
                </c:pt>
                <c:pt idx="1103">
                  <c:v>1230124</c:v>
                </c:pt>
                <c:pt idx="1104">
                  <c:v>1230125</c:v>
                </c:pt>
                <c:pt idx="1105">
                  <c:v>1230126</c:v>
                </c:pt>
                <c:pt idx="1106">
                  <c:v>1230127</c:v>
                </c:pt>
                <c:pt idx="1107">
                  <c:v>1230129</c:v>
                </c:pt>
                <c:pt idx="1108">
                  <c:v>1230130</c:v>
                </c:pt>
                <c:pt idx="1109">
                  <c:v>1230131</c:v>
                </c:pt>
                <c:pt idx="1110">
                  <c:v>1230201</c:v>
                </c:pt>
                <c:pt idx="1111">
                  <c:v>1230202</c:v>
                </c:pt>
                <c:pt idx="1112">
                  <c:v>1230203</c:v>
                </c:pt>
                <c:pt idx="1113">
                  <c:v>1230205</c:v>
                </c:pt>
                <c:pt idx="1114">
                  <c:v>1230206</c:v>
                </c:pt>
                <c:pt idx="1115">
                  <c:v>1230207</c:v>
                </c:pt>
                <c:pt idx="1116">
                  <c:v>1230208</c:v>
                </c:pt>
                <c:pt idx="1117">
                  <c:v>1230209</c:v>
                </c:pt>
                <c:pt idx="1118">
                  <c:v>1230210</c:v>
                </c:pt>
                <c:pt idx="1119">
                  <c:v>1230212</c:v>
                </c:pt>
                <c:pt idx="1120">
                  <c:v>1230213</c:v>
                </c:pt>
                <c:pt idx="1121">
                  <c:v>1230214</c:v>
                </c:pt>
                <c:pt idx="1122">
                  <c:v>1230215</c:v>
                </c:pt>
                <c:pt idx="1123">
                  <c:v>1230216</c:v>
                </c:pt>
                <c:pt idx="1124">
                  <c:v>1230217</c:v>
                </c:pt>
                <c:pt idx="1125">
                  <c:v>1230219</c:v>
                </c:pt>
                <c:pt idx="1126">
                  <c:v>1230220</c:v>
                </c:pt>
                <c:pt idx="1127">
                  <c:v>1230221</c:v>
                </c:pt>
                <c:pt idx="1128">
                  <c:v>1230222</c:v>
                </c:pt>
                <c:pt idx="1129">
                  <c:v>1230223</c:v>
                </c:pt>
                <c:pt idx="1130">
                  <c:v>1230224</c:v>
                </c:pt>
                <c:pt idx="1131">
                  <c:v>1230226</c:v>
                </c:pt>
                <c:pt idx="1132">
                  <c:v>1230227</c:v>
                </c:pt>
                <c:pt idx="1133">
                  <c:v>1230228</c:v>
                </c:pt>
                <c:pt idx="1134">
                  <c:v>1230301</c:v>
                </c:pt>
                <c:pt idx="1135">
                  <c:v>1230302</c:v>
                </c:pt>
                <c:pt idx="1136">
                  <c:v>1230303</c:v>
                </c:pt>
                <c:pt idx="1137">
                  <c:v>1230305</c:v>
                </c:pt>
                <c:pt idx="1138">
                  <c:v>1230306</c:v>
                </c:pt>
                <c:pt idx="1139">
                  <c:v>1230307</c:v>
                </c:pt>
                <c:pt idx="1140">
                  <c:v>1230308</c:v>
                </c:pt>
                <c:pt idx="1141">
                  <c:v>1230309</c:v>
                </c:pt>
                <c:pt idx="1142">
                  <c:v>1230310</c:v>
                </c:pt>
                <c:pt idx="1143">
                  <c:v>1230312</c:v>
                </c:pt>
                <c:pt idx="1144">
                  <c:v>1230313</c:v>
                </c:pt>
                <c:pt idx="1145">
                  <c:v>1230314</c:v>
                </c:pt>
                <c:pt idx="1146">
                  <c:v>1230315</c:v>
                </c:pt>
                <c:pt idx="1147">
                  <c:v>1230316</c:v>
                </c:pt>
                <c:pt idx="1148">
                  <c:v>1230317</c:v>
                </c:pt>
                <c:pt idx="1149">
                  <c:v>1230319</c:v>
                </c:pt>
                <c:pt idx="1150">
                  <c:v>1230320</c:v>
                </c:pt>
                <c:pt idx="1151">
                  <c:v>1230321</c:v>
                </c:pt>
                <c:pt idx="1152">
                  <c:v>1230322</c:v>
                </c:pt>
                <c:pt idx="1153">
                  <c:v>1230323</c:v>
                </c:pt>
                <c:pt idx="1154">
                  <c:v>1230324</c:v>
                </c:pt>
                <c:pt idx="1155">
                  <c:v>1230326</c:v>
                </c:pt>
                <c:pt idx="1156">
                  <c:v>1230327</c:v>
                </c:pt>
                <c:pt idx="1157">
                  <c:v>1230328</c:v>
                </c:pt>
                <c:pt idx="1158">
                  <c:v>1230329</c:v>
                </c:pt>
                <c:pt idx="1159">
                  <c:v>1230330</c:v>
                </c:pt>
                <c:pt idx="1160">
                  <c:v>1230331</c:v>
                </c:pt>
                <c:pt idx="1161">
                  <c:v>1230402</c:v>
                </c:pt>
                <c:pt idx="1162">
                  <c:v>1230403</c:v>
                </c:pt>
                <c:pt idx="1163">
                  <c:v>1230404</c:v>
                </c:pt>
                <c:pt idx="1164">
                  <c:v>1230405</c:v>
                </c:pt>
                <c:pt idx="1165">
                  <c:v>1230406</c:v>
                </c:pt>
                <c:pt idx="1166">
                  <c:v>1230407</c:v>
                </c:pt>
                <c:pt idx="1167">
                  <c:v>1230409</c:v>
                </c:pt>
                <c:pt idx="1168">
                  <c:v>1230410</c:v>
                </c:pt>
                <c:pt idx="1169">
                  <c:v>1230411</c:v>
                </c:pt>
                <c:pt idx="1170">
                  <c:v>1230412</c:v>
                </c:pt>
                <c:pt idx="1171">
                  <c:v>1230413</c:v>
                </c:pt>
                <c:pt idx="1172">
                  <c:v>1230414</c:v>
                </c:pt>
                <c:pt idx="1173">
                  <c:v>1230416</c:v>
                </c:pt>
                <c:pt idx="1174">
                  <c:v>1230417</c:v>
                </c:pt>
                <c:pt idx="1175">
                  <c:v>1230418</c:v>
                </c:pt>
                <c:pt idx="1176">
                  <c:v>1230419</c:v>
                </c:pt>
                <c:pt idx="1177">
                  <c:v>1230420</c:v>
                </c:pt>
                <c:pt idx="1178">
                  <c:v>1230421</c:v>
                </c:pt>
                <c:pt idx="1179">
                  <c:v>1230423</c:v>
                </c:pt>
                <c:pt idx="1180">
                  <c:v>1230424</c:v>
                </c:pt>
                <c:pt idx="1181">
                  <c:v>1230425</c:v>
                </c:pt>
                <c:pt idx="1182">
                  <c:v>1230426</c:v>
                </c:pt>
                <c:pt idx="1183">
                  <c:v>1230427</c:v>
                </c:pt>
                <c:pt idx="1184">
                  <c:v>1230428</c:v>
                </c:pt>
                <c:pt idx="1185">
                  <c:v>1230430</c:v>
                </c:pt>
                <c:pt idx="1186">
                  <c:v>1230501</c:v>
                </c:pt>
                <c:pt idx="1187">
                  <c:v>1230502</c:v>
                </c:pt>
                <c:pt idx="1188">
                  <c:v>1230503</c:v>
                </c:pt>
                <c:pt idx="1189">
                  <c:v>1230504</c:v>
                </c:pt>
                <c:pt idx="1190">
                  <c:v>1230505</c:v>
                </c:pt>
                <c:pt idx="1191">
                  <c:v>1230507</c:v>
                </c:pt>
                <c:pt idx="1192">
                  <c:v>1230508</c:v>
                </c:pt>
                <c:pt idx="1193">
                  <c:v>1230509</c:v>
                </c:pt>
                <c:pt idx="1194">
                  <c:v>1230510</c:v>
                </c:pt>
                <c:pt idx="1195">
                  <c:v>1230511</c:v>
                </c:pt>
                <c:pt idx="1196">
                  <c:v>1230512</c:v>
                </c:pt>
                <c:pt idx="1197">
                  <c:v>1230514</c:v>
                </c:pt>
                <c:pt idx="1198">
                  <c:v>1230515</c:v>
                </c:pt>
                <c:pt idx="1199">
                  <c:v>1230516</c:v>
                </c:pt>
                <c:pt idx="1200">
                  <c:v>1230517</c:v>
                </c:pt>
                <c:pt idx="1201">
                  <c:v>1230518</c:v>
                </c:pt>
                <c:pt idx="1202">
                  <c:v>1230519</c:v>
                </c:pt>
                <c:pt idx="1203">
                  <c:v>1230521</c:v>
                </c:pt>
                <c:pt idx="1204">
                  <c:v>1230522</c:v>
                </c:pt>
                <c:pt idx="1205">
                  <c:v>1230523</c:v>
                </c:pt>
                <c:pt idx="1206">
                  <c:v>1230524</c:v>
                </c:pt>
                <c:pt idx="1207">
                  <c:v>1230525</c:v>
                </c:pt>
                <c:pt idx="1208">
                  <c:v>1230526</c:v>
                </c:pt>
                <c:pt idx="1209">
                  <c:v>1230528</c:v>
                </c:pt>
                <c:pt idx="1210">
                  <c:v>1230529</c:v>
                </c:pt>
                <c:pt idx="1211">
                  <c:v>1230530</c:v>
                </c:pt>
                <c:pt idx="1212">
                  <c:v>1230531</c:v>
                </c:pt>
                <c:pt idx="1213">
                  <c:v>1230601</c:v>
                </c:pt>
                <c:pt idx="1214">
                  <c:v>1230602</c:v>
                </c:pt>
                <c:pt idx="1215">
                  <c:v>1230604</c:v>
                </c:pt>
                <c:pt idx="1216">
                  <c:v>1230605</c:v>
                </c:pt>
                <c:pt idx="1217">
                  <c:v>1230606</c:v>
                </c:pt>
                <c:pt idx="1218">
                  <c:v>1230607</c:v>
                </c:pt>
                <c:pt idx="1219">
                  <c:v>1230608</c:v>
                </c:pt>
                <c:pt idx="1220">
                  <c:v>1230609</c:v>
                </c:pt>
                <c:pt idx="1221">
                  <c:v>1230611</c:v>
                </c:pt>
                <c:pt idx="1222">
                  <c:v>1230612</c:v>
                </c:pt>
                <c:pt idx="1223">
                  <c:v>1230613</c:v>
                </c:pt>
                <c:pt idx="1224">
                  <c:v>1230614</c:v>
                </c:pt>
                <c:pt idx="1225">
                  <c:v>1230615</c:v>
                </c:pt>
                <c:pt idx="1226">
                  <c:v>1230616</c:v>
                </c:pt>
                <c:pt idx="1227">
                  <c:v>1230618</c:v>
                </c:pt>
                <c:pt idx="1228">
                  <c:v>1230619</c:v>
                </c:pt>
                <c:pt idx="1229">
                  <c:v>1230620</c:v>
                </c:pt>
                <c:pt idx="1230">
                  <c:v>1230621</c:v>
                </c:pt>
                <c:pt idx="1231">
                  <c:v>1230622</c:v>
                </c:pt>
                <c:pt idx="1232">
                  <c:v>1230623</c:v>
                </c:pt>
                <c:pt idx="1233">
                  <c:v>1230625</c:v>
                </c:pt>
                <c:pt idx="1234">
                  <c:v>1230626</c:v>
                </c:pt>
                <c:pt idx="1235">
                  <c:v>1230627</c:v>
                </c:pt>
                <c:pt idx="1236">
                  <c:v>1230628</c:v>
                </c:pt>
                <c:pt idx="1237">
                  <c:v>1230629</c:v>
                </c:pt>
                <c:pt idx="1238">
                  <c:v>1230630</c:v>
                </c:pt>
                <c:pt idx="1239">
                  <c:v>1230702</c:v>
                </c:pt>
                <c:pt idx="1240">
                  <c:v>1230703</c:v>
                </c:pt>
                <c:pt idx="1241">
                  <c:v>1230704</c:v>
                </c:pt>
                <c:pt idx="1242">
                  <c:v>1230705</c:v>
                </c:pt>
                <c:pt idx="1243">
                  <c:v>1230706</c:v>
                </c:pt>
                <c:pt idx="1244">
                  <c:v>1230707</c:v>
                </c:pt>
                <c:pt idx="1245">
                  <c:v>1230709</c:v>
                </c:pt>
                <c:pt idx="1246">
                  <c:v>1230710</c:v>
                </c:pt>
                <c:pt idx="1247">
                  <c:v>1230711</c:v>
                </c:pt>
                <c:pt idx="1248">
                  <c:v>1230712</c:v>
                </c:pt>
                <c:pt idx="1249">
                  <c:v>1230713</c:v>
                </c:pt>
                <c:pt idx="1250">
                  <c:v>1230714</c:v>
                </c:pt>
                <c:pt idx="1251">
                  <c:v>1230716</c:v>
                </c:pt>
                <c:pt idx="1252">
                  <c:v>1230717</c:v>
                </c:pt>
                <c:pt idx="1253">
                  <c:v>1230718</c:v>
                </c:pt>
                <c:pt idx="1254">
                  <c:v>1230719</c:v>
                </c:pt>
                <c:pt idx="1255">
                  <c:v>1230720</c:v>
                </c:pt>
                <c:pt idx="1256">
                  <c:v>1230721</c:v>
                </c:pt>
                <c:pt idx="1257">
                  <c:v>1230723</c:v>
                </c:pt>
                <c:pt idx="1258">
                  <c:v>1230724</c:v>
                </c:pt>
                <c:pt idx="1259">
                  <c:v>1230725</c:v>
                </c:pt>
                <c:pt idx="1260">
                  <c:v>1230726</c:v>
                </c:pt>
                <c:pt idx="1261">
                  <c:v>1230727</c:v>
                </c:pt>
                <c:pt idx="1262">
                  <c:v>1230728</c:v>
                </c:pt>
                <c:pt idx="1263">
                  <c:v>1230730</c:v>
                </c:pt>
                <c:pt idx="1264">
                  <c:v>1230731</c:v>
                </c:pt>
                <c:pt idx="1265">
                  <c:v>1230801</c:v>
                </c:pt>
                <c:pt idx="1266">
                  <c:v>1230802</c:v>
                </c:pt>
                <c:pt idx="1267">
                  <c:v>1230803</c:v>
                </c:pt>
                <c:pt idx="1268">
                  <c:v>1230804</c:v>
                </c:pt>
                <c:pt idx="1269">
                  <c:v>1230806</c:v>
                </c:pt>
                <c:pt idx="1270">
                  <c:v>1230807</c:v>
                </c:pt>
                <c:pt idx="1271">
                  <c:v>1230808</c:v>
                </c:pt>
                <c:pt idx="1272">
                  <c:v>1230809</c:v>
                </c:pt>
                <c:pt idx="1273">
                  <c:v>1230810</c:v>
                </c:pt>
                <c:pt idx="1274">
                  <c:v>1230811</c:v>
                </c:pt>
                <c:pt idx="1275">
                  <c:v>1230813</c:v>
                </c:pt>
                <c:pt idx="1276">
                  <c:v>1230814</c:v>
                </c:pt>
                <c:pt idx="1277">
                  <c:v>1230815</c:v>
                </c:pt>
                <c:pt idx="1278">
                  <c:v>1230816</c:v>
                </c:pt>
                <c:pt idx="1279">
                  <c:v>1230817</c:v>
                </c:pt>
                <c:pt idx="1280">
                  <c:v>1230818</c:v>
                </c:pt>
                <c:pt idx="1281">
                  <c:v>1230820</c:v>
                </c:pt>
                <c:pt idx="1282">
                  <c:v>1230821</c:v>
                </c:pt>
                <c:pt idx="1283">
                  <c:v>1230822</c:v>
                </c:pt>
                <c:pt idx="1284">
                  <c:v>1230823</c:v>
                </c:pt>
                <c:pt idx="1285">
                  <c:v>1230824</c:v>
                </c:pt>
                <c:pt idx="1286">
                  <c:v>1230825</c:v>
                </c:pt>
                <c:pt idx="1287">
                  <c:v>1230827</c:v>
                </c:pt>
                <c:pt idx="1288">
                  <c:v>1230828</c:v>
                </c:pt>
                <c:pt idx="1289">
                  <c:v>1230829</c:v>
                </c:pt>
                <c:pt idx="1290">
                  <c:v>1230830</c:v>
                </c:pt>
                <c:pt idx="1291">
                  <c:v>1230831</c:v>
                </c:pt>
                <c:pt idx="1292">
                  <c:v>1230901</c:v>
                </c:pt>
                <c:pt idx="1293">
                  <c:v>1230903</c:v>
                </c:pt>
                <c:pt idx="1294">
                  <c:v>1230904</c:v>
                </c:pt>
                <c:pt idx="1295">
                  <c:v>1230905</c:v>
                </c:pt>
                <c:pt idx="1296">
                  <c:v>1230906</c:v>
                </c:pt>
                <c:pt idx="1297">
                  <c:v>1230907</c:v>
                </c:pt>
                <c:pt idx="1298">
                  <c:v>1230908</c:v>
                </c:pt>
                <c:pt idx="1299">
                  <c:v>1230910</c:v>
                </c:pt>
                <c:pt idx="1300">
                  <c:v>1230911</c:v>
                </c:pt>
                <c:pt idx="1301">
                  <c:v>1230912</c:v>
                </c:pt>
                <c:pt idx="1302">
                  <c:v>1230913</c:v>
                </c:pt>
                <c:pt idx="1303">
                  <c:v>1230914</c:v>
                </c:pt>
                <c:pt idx="1304">
                  <c:v>1230915</c:v>
                </c:pt>
                <c:pt idx="1305">
                  <c:v>1230917</c:v>
                </c:pt>
                <c:pt idx="1306">
                  <c:v>1230918</c:v>
                </c:pt>
                <c:pt idx="1307">
                  <c:v>1230919</c:v>
                </c:pt>
                <c:pt idx="1308">
                  <c:v>1230920</c:v>
                </c:pt>
                <c:pt idx="1309">
                  <c:v>1230921</c:v>
                </c:pt>
                <c:pt idx="1310">
                  <c:v>1230922</c:v>
                </c:pt>
                <c:pt idx="1311">
                  <c:v>1230924</c:v>
                </c:pt>
                <c:pt idx="1312">
                  <c:v>1230925</c:v>
                </c:pt>
                <c:pt idx="1313">
                  <c:v>1230926</c:v>
                </c:pt>
                <c:pt idx="1314">
                  <c:v>1230927</c:v>
                </c:pt>
                <c:pt idx="1315">
                  <c:v>1230928</c:v>
                </c:pt>
                <c:pt idx="1316">
                  <c:v>1230929</c:v>
                </c:pt>
                <c:pt idx="1317">
                  <c:v>1231001</c:v>
                </c:pt>
                <c:pt idx="1318">
                  <c:v>1231002</c:v>
                </c:pt>
                <c:pt idx="1319">
                  <c:v>1231003</c:v>
                </c:pt>
                <c:pt idx="1320">
                  <c:v>1231004</c:v>
                </c:pt>
                <c:pt idx="1321">
                  <c:v>1231005</c:v>
                </c:pt>
                <c:pt idx="1322">
                  <c:v>1231006</c:v>
                </c:pt>
                <c:pt idx="1323">
                  <c:v>1231008</c:v>
                </c:pt>
                <c:pt idx="1324">
                  <c:v>1231009</c:v>
                </c:pt>
                <c:pt idx="1325">
                  <c:v>1231010</c:v>
                </c:pt>
                <c:pt idx="1326">
                  <c:v>1231011</c:v>
                </c:pt>
                <c:pt idx="1327">
                  <c:v>1231012</c:v>
                </c:pt>
                <c:pt idx="1328">
                  <c:v>1231013</c:v>
                </c:pt>
                <c:pt idx="1329">
                  <c:v>1231015</c:v>
                </c:pt>
                <c:pt idx="1330">
                  <c:v>1231016</c:v>
                </c:pt>
                <c:pt idx="1331">
                  <c:v>1231017</c:v>
                </c:pt>
                <c:pt idx="1332">
                  <c:v>1231018</c:v>
                </c:pt>
                <c:pt idx="1333">
                  <c:v>1231019</c:v>
                </c:pt>
                <c:pt idx="1334">
                  <c:v>1231020</c:v>
                </c:pt>
                <c:pt idx="1335">
                  <c:v>1231022</c:v>
                </c:pt>
                <c:pt idx="1336">
                  <c:v>1231023</c:v>
                </c:pt>
                <c:pt idx="1337">
                  <c:v>1231024</c:v>
                </c:pt>
                <c:pt idx="1338">
                  <c:v>1231025</c:v>
                </c:pt>
                <c:pt idx="1339">
                  <c:v>1231026</c:v>
                </c:pt>
                <c:pt idx="1340">
                  <c:v>1231027</c:v>
                </c:pt>
                <c:pt idx="1341">
                  <c:v>1231029</c:v>
                </c:pt>
                <c:pt idx="1342">
                  <c:v>1231030</c:v>
                </c:pt>
                <c:pt idx="1343">
                  <c:v>1231031</c:v>
                </c:pt>
                <c:pt idx="1344">
                  <c:v>1231101</c:v>
                </c:pt>
                <c:pt idx="1345">
                  <c:v>1231102</c:v>
                </c:pt>
                <c:pt idx="1346">
                  <c:v>1231103</c:v>
                </c:pt>
                <c:pt idx="1347">
                  <c:v>1231105</c:v>
                </c:pt>
                <c:pt idx="1348">
                  <c:v>1231106</c:v>
                </c:pt>
                <c:pt idx="1349">
                  <c:v>1231107</c:v>
                </c:pt>
                <c:pt idx="1350">
                  <c:v>1231108</c:v>
                </c:pt>
                <c:pt idx="1351">
                  <c:v>1231109</c:v>
                </c:pt>
                <c:pt idx="1352">
                  <c:v>1231110</c:v>
                </c:pt>
                <c:pt idx="1353">
                  <c:v>1231112</c:v>
                </c:pt>
                <c:pt idx="1354">
                  <c:v>1231113</c:v>
                </c:pt>
                <c:pt idx="1355">
                  <c:v>1231114</c:v>
                </c:pt>
                <c:pt idx="1356">
                  <c:v>1231115</c:v>
                </c:pt>
                <c:pt idx="1357">
                  <c:v>1231116</c:v>
                </c:pt>
                <c:pt idx="1358">
                  <c:v>1231117</c:v>
                </c:pt>
                <c:pt idx="1359">
                  <c:v>1231119</c:v>
                </c:pt>
                <c:pt idx="1360">
                  <c:v>1231120</c:v>
                </c:pt>
                <c:pt idx="1361">
                  <c:v>1231121</c:v>
                </c:pt>
                <c:pt idx="1362">
                  <c:v>1231122</c:v>
                </c:pt>
                <c:pt idx="1363">
                  <c:v>1231123</c:v>
                </c:pt>
                <c:pt idx="1364">
                  <c:v>1231124</c:v>
                </c:pt>
                <c:pt idx="1365">
                  <c:v>1231126</c:v>
                </c:pt>
                <c:pt idx="1366">
                  <c:v>1231127</c:v>
                </c:pt>
                <c:pt idx="1367">
                  <c:v>1231128</c:v>
                </c:pt>
                <c:pt idx="1368">
                  <c:v>1231129</c:v>
                </c:pt>
                <c:pt idx="1369">
                  <c:v>1231130</c:v>
                </c:pt>
                <c:pt idx="1370">
                  <c:v>1231201</c:v>
                </c:pt>
                <c:pt idx="1371">
                  <c:v>1231203</c:v>
                </c:pt>
                <c:pt idx="1372">
                  <c:v>1231204</c:v>
                </c:pt>
                <c:pt idx="1373">
                  <c:v>1231205</c:v>
                </c:pt>
                <c:pt idx="1374">
                  <c:v>1231206</c:v>
                </c:pt>
                <c:pt idx="1375">
                  <c:v>1231207</c:v>
                </c:pt>
                <c:pt idx="1376">
                  <c:v>1231208</c:v>
                </c:pt>
                <c:pt idx="1377">
                  <c:v>1231210</c:v>
                </c:pt>
                <c:pt idx="1378">
                  <c:v>1231211</c:v>
                </c:pt>
                <c:pt idx="1379">
                  <c:v>1231212</c:v>
                </c:pt>
                <c:pt idx="1380">
                  <c:v>1231213</c:v>
                </c:pt>
                <c:pt idx="1381">
                  <c:v>1231214</c:v>
                </c:pt>
                <c:pt idx="1382">
                  <c:v>1231215</c:v>
                </c:pt>
                <c:pt idx="1383">
                  <c:v>1231217</c:v>
                </c:pt>
                <c:pt idx="1384">
                  <c:v>1231218</c:v>
                </c:pt>
                <c:pt idx="1385">
                  <c:v>1231219</c:v>
                </c:pt>
                <c:pt idx="1386">
                  <c:v>1231220</c:v>
                </c:pt>
                <c:pt idx="1387">
                  <c:v>1231221</c:v>
                </c:pt>
                <c:pt idx="1388">
                  <c:v>1231222</c:v>
                </c:pt>
                <c:pt idx="1389">
                  <c:v>1231225</c:v>
                </c:pt>
                <c:pt idx="1390">
                  <c:v>1231226</c:v>
                </c:pt>
                <c:pt idx="1391">
                  <c:v>1231227</c:v>
                </c:pt>
                <c:pt idx="1392">
                  <c:v>1231228</c:v>
                </c:pt>
                <c:pt idx="1393">
                  <c:v>1231229</c:v>
                </c:pt>
                <c:pt idx="1394">
                  <c:v>1240101</c:v>
                </c:pt>
                <c:pt idx="1395">
                  <c:v>1240102</c:v>
                </c:pt>
                <c:pt idx="1396">
                  <c:v>1240103</c:v>
                </c:pt>
                <c:pt idx="1397">
                  <c:v>1240104</c:v>
                </c:pt>
                <c:pt idx="1398">
                  <c:v>1240105</c:v>
                </c:pt>
                <c:pt idx="1399">
                  <c:v>1240107</c:v>
                </c:pt>
                <c:pt idx="1400">
                  <c:v>1240108</c:v>
                </c:pt>
                <c:pt idx="1401">
                  <c:v>1240109</c:v>
                </c:pt>
                <c:pt idx="1402">
                  <c:v>1240110</c:v>
                </c:pt>
                <c:pt idx="1403">
                  <c:v>1240111</c:v>
                </c:pt>
                <c:pt idx="1404">
                  <c:v>1240112</c:v>
                </c:pt>
                <c:pt idx="1405">
                  <c:v>1240114</c:v>
                </c:pt>
                <c:pt idx="1406">
                  <c:v>1240115</c:v>
                </c:pt>
                <c:pt idx="1407">
                  <c:v>1240116</c:v>
                </c:pt>
                <c:pt idx="1408">
                  <c:v>1240117</c:v>
                </c:pt>
                <c:pt idx="1409">
                  <c:v>1240118</c:v>
                </c:pt>
                <c:pt idx="1410">
                  <c:v>1240119</c:v>
                </c:pt>
                <c:pt idx="1411">
                  <c:v>1240121</c:v>
                </c:pt>
                <c:pt idx="1412">
                  <c:v>1240122</c:v>
                </c:pt>
                <c:pt idx="1413">
                  <c:v>1240123</c:v>
                </c:pt>
                <c:pt idx="1414">
                  <c:v>1240124</c:v>
                </c:pt>
                <c:pt idx="1415">
                  <c:v>1240125</c:v>
                </c:pt>
                <c:pt idx="1416">
                  <c:v>1240126</c:v>
                </c:pt>
                <c:pt idx="1417">
                  <c:v>1240128</c:v>
                </c:pt>
                <c:pt idx="1418">
                  <c:v>1240129</c:v>
                </c:pt>
                <c:pt idx="1419">
                  <c:v>1240130</c:v>
                </c:pt>
                <c:pt idx="1420">
                  <c:v>1240131</c:v>
                </c:pt>
                <c:pt idx="1421">
                  <c:v>1240201</c:v>
                </c:pt>
                <c:pt idx="1422">
                  <c:v>1240202</c:v>
                </c:pt>
                <c:pt idx="1423">
                  <c:v>1240204</c:v>
                </c:pt>
                <c:pt idx="1424">
                  <c:v>1240205</c:v>
                </c:pt>
                <c:pt idx="1425">
                  <c:v>1240206</c:v>
                </c:pt>
                <c:pt idx="1426">
                  <c:v>1240207</c:v>
                </c:pt>
                <c:pt idx="1427">
                  <c:v>1240208</c:v>
                </c:pt>
                <c:pt idx="1428">
                  <c:v>1240209</c:v>
                </c:pt>
                <c:pt idx="1429">
                  <c:v>1240211</c:v>
                </c:pt>
                <c:pt idx="1430">
                  <c:v>1240212</c:v>
                </c:pt>
                <c:pt idx="1431">
                  <c:v>1240213</c:v>
                </c:pt>
                <c:pt idx="1432">
                  <c:v>1240214</c:v>
                </c:pt>
                <c:pt idx="1433">
                  <c:v>1240215</c:v>
                </c:pt>
                <c:pt idx="1434">
                  <c:v>1240216</c:v>
                </c:pt>
                <c:pt idx="1435">
                  <c:v>1240218</c:v>
                </c:pt>
                <c:pt idx="1436">
                  <c:v>1240219</c:v>
                </c:pt>
                <c:pt idx="1437">
                  <c:v>1240220</c:v>
                </c:pt>
                <c:pt idx="1438">
                  <c:v>1240221</c:v>
                </c:pt>
                <c:pt idx="1439">
                  <c:v>1240222</c:v>
                </c:pt>
                <c:pt idx="1440">
                  <c:v>1240223</c:v>
                </c:pt>
                <c:pt idx="1441">
                  <c:v>1240225</c:v>
                </c:pt>
                <c:pt idx="1442">
                  <c:v>1240226</c:v>
                </c:pt>
                <c:pt idx="1443">
                  <c:v>1240227</c:v>
                </c:pt>
                <c:pt idx="1444">
                  <c:v>1240228</c:v>
                </c:pt>
                <c:pt idx="1445">
                  <c:v>1240229</c:v>
                </c:pt>
                <c:pt idx="1446">
                  <c:v>1240301</c:v>
                </c:pt>
                <c:pt idx="1447">
                  <c:v>1240303</c:v>
                </c:pt>
                <c:pt idx="1448">
                  <c:v>1240304</c:v>
                </c:pt>
                <c:pt idx="1449">
                  <c:v>1240305</c:v>
                </c:pt>
                <c:pt idx="1450">
                  <c:v>1240306</c:v>
                </c:pt>
                <c:pt idx="1451">
                  <c:v>1240307</c:v>
                </c:pt>
                <c:pt idx="1452">
                  <c:v>1240308</c:v>
                </c:pt>
                <c:pt idx="1453">
                  <c:v>1240310</c:v>
                </c:pt>
                <c:pt idx="1454">
                  <c:v>1240311</c:v>
                </c:pt>
                <c:pt idx="1455">
                  <c:v>1240312</c:v>
                </c:pt>
                <c:pt idx="1456">
                  <c:v>1240313</c:v>
                </c:pt>
                <c:pt idx="1457">
                  <c:v>1240314</c:v>
                </c:pt>
                <c:pt idx="1458">
                  <c:v>1240315</c:v>
                </c:pt>
                <c:pt idx="1459">
                  <c:v>1240317</c:v>
                </c:pt>
                <c:pt idx="1460">
                  <c:v>1240318</c:v>
                </c:pt>
                <c:pt idx="1461">
                  <c:v>1240319</c:v>
                </c:pt>
                <c:pt idx="1462">
                  <c:v>1240320</c:v>
                </c:pt>
                <c:pt idx="1463">
                  <c:v>1240321</c:v>
                </c:pt>
                <c:pt idx="1464">
                  <c:v>1240322</c:v>
                </c:pt>
                <c:pt idx="1465">
                  <c:v>1240324</c:v>
                </c:pt>
                <c:pt idx="1466">
                  <c:v>1240325</c:v>
                </c:pt>
                <c:pt idx="1467">
                  <c:v>1240326</c:v>
                </c:pt>
                <c:pt idx="1468">
                  <c:v>1240327</c:v>
                </c:pt>
                <c:pt idx="1469">
                  <c:v>1240328</c:v>
                </c:pt>
                <c:pt idx="1470">
                  <c:v>1240331</c:v>
                </c:pt>
                <c:pt idx="1471">
                  <c:v>1240401</c:v>
                </c:pt>
                <c:pt idx="1472">
                  <c:v>1240402</c:v>
                </c:pt>
                <c:pt idx="1473">
                  <c:v>1240403</c:v>
                </c:pt>
                <c:pt idx="1474">
                  <c:v>1240404</c:v>
                </c:pt>
                <c:pt idx="1475">
                  <c:v>1240405</c:v>
                </c:pt>
                <c:pt idx="1476">
                  <c:v>1240407</c:v>
                </c:pt>
                <c:pt idx="1477">
                  <c:v>1240408</c:v>
                </c:pt>
                <c:pt idx="1478">
                  <c:v>1240409</c:v>
                </c:pt>
                <c:pt idx="1479">
                  <c:v>1240410</c:v>
                </c:pt>
                <c:pt idx="1480">
                  <c:v>1240411</c:v>
                </c:pt>
                <c:pt idx="1481">
                  <c:v>1240412</c:v>
                </c:pt>
                <c:pt idx="1482">
                  <c:v>1240414</c:v>
                </c:pt>
                <c:pt idx="1483">
                  <c:v>1240415</c:v>
                </c:pt>
                <c:pt idx="1484">
                  <c:v>1240416</c:v>
                </c:pt>
                <c:pt idx="1485">
                  <c:v>1240417</c:v>
                </c:pt>
                <c:pt idx="1486">
                  <c:v>1240418</c:v>
                </c:pt>
                <c:pt idx="1487">
                  <c:v>1240419</c:v>
                </c:pt>
                <c:pt idx="1488">
                  <c:v>1240421</c:v>
                </c:pt>
                <c:pt idx="1489">
                  <c:v>1240422</c:v>
                </c:pt>
                <c:pt idx="1490">
                  <c:v>1240423</c:v>
                </c:pt>
                <c:pt idx="1491">
                  <c:v>1240424</c:v>
                </c:pt>
                <c:pt idx="1492">
                  <c:v>1240425</c:v>
                </c:pt>
                <c:pt idx="1493">
                  <c:v>1240426</c:v>
                </c:pt>
                <c:pt idx="1494">
                  <c:v>1240428</c:v>
                </c:pt>
                <c:pt idx="1495">
                  <c:v>1240429</c:v>
                </c:pt>
                <c:pt idx="1496">
                  <c:v>1240430</c:v>
                </c:pt>
                <c:pt idx="1497">
                  <c:v>1240501</c:v>
                </c:pt>
                <c:pt idx="1498">
                  <c:v>1240502</c:v>
                </c:pt>
                <c:pt idx="1499">
                  <c:v>1240503</c:v>
                </c:pt>
                <c:pt idx="1500">
                  <c:v>1240505</c:v>
                </c:pt>
                <c:pt idx="1501">
                  <c:v>1240506</c:v>
                </c:pt>
                <c:pt idx="1502">
                  <c:v>1240507</c:v>
                </c:pt>
                <c:pt idx="1503">
                  <c:v>1240508</c:v>
                </c:pt>
                <c:pt idx="1504">
                  <c:v>1240509</c:v>
                </c:pt>
                <c:pt idx="1505">
                  <c:v>1240510</c:v>
                </c:pt>
                <c:pt idx="1506">
                  <c:v>1240512</c:v>
                </c:pt>
                <c:pt idx="1507">
                  <c:v>1240513</c:v>
                </c:pt>
                <c:pt idx="1508">
                  <c:v>1240514</c:v>
                </c:pt>
                <c:pt idx="1509">
                  <c:v>1240515</c:v>
                </c:pt>
                <c:pt idx="1510">
                  <c:v>1240516</c:v>
                </c:pt>
                <c:pt idx="1511">
                  <c:v>1240517</c:v>
                </c:pt>
                <c:pt idx="1512">
                  <c:v>1240519</c:v>
                </c:pt>
                <c:pt idx="1513">
                  <c:v>1240520</c:v>
                </c:pt>
                <c:pt idx="1514">
                  <c:v>1240521</c:v>
                </c:pt>
                <c:pt idx="1515">
                  <c:v>1240522</c:v>
                </c:pt>
                <c:pt idx="1516">
                  <c:v>1240523</c:v>
                </c:pt>
                <c:pt idx="1517">
                  <c:v>1240524</c:v>
                </c:pt>
                <c:pt idx="1518">
                  <c:v>1240526</c:v>
                </c:pt>
                <c:pt idx="1519">
                  <c:v>1240527</c:v>
                </c:pt>
                <c:pt idx="1520">
                  <c:v>1240528</c:v>
                </c:pt>
                <c:pt idx="1521">
                  <c:v>1240529</c:v>
                </c:pt>
                <c:pt idx="1522">
                  <c:v>1240530</c:v>
                </c:pt>
                <c:pt idx="1523">
                  <c:v>1240531</c:v>
                </c:pt>
                <c:pt idx="1524">
                  <c:v>1240602</c:v>
                </c:pt>
                <c:pt idx="1525">
                  <c:v>1240603</c:v>
                </c:pt>
                <c:pt idx="1526">
                  <c:v>1240604</c:v>
                </c:pt>
                <c:pt idx="1527">
                  <c:v>1240605</c:v>
                </c:pt>
                <c:pt idx="1528">
                  <c:v>1240606</c:v>
                </c:pt>
                <c:pt idx="1529">
                  <c:v>1240607</c:v>
                </c:pt>
                <c:pt idx="1530">
                  <c:v>1240609</c:v>
                </c:pt>
                <c:pt idx="1531">
                  <c:v>1240610</c:v>
                </c:pt>
                <c:pt idx="1532">
                  <c:v>1240611</c:v>
                </c:pt>
                <c:pt idx="1533">
                  <c:v>1240612</c:v>
                </c:pt>
                <c:pt idx="1534">
                  <c:v>1240613</c:v>
                </c:pt>
                <c:pt idx="1535">
                  <c:v>1240614</c:v>
                </c:pt>
                <c:pt idx="1536">
                  <c:v>1240616</c:v>
                </c:pt>
                <c:pt idx="1537">
                  <c:v>1240617</c:v>
                </c:pt>
                <c:pt idx="1538">
                  <c:v>1240618</c:v>
                </c:pt>
                <c:pt idx="1539">
                  <c:v>1240619</c:v>
                </c:pt>
                <c:pt idx="1540">
                  <c:v>1240620</c:v>
                </c:pt>
                <c:pt idx="1541">
                  <c:v>1240621</c:v>
                </c:pt>
              </c:numCache>
            </c:numRef>
          </c:cat>
          <c:val>
            <c:numRef>
              <c:f>Portfolio!$M$25:$M$1566</c:f>
              <c:numCache>
                <c:formatCode>_-* #,##0_-;\-* #,##0_-;_-* "-"??_-;_-@_-</c:formatCode>
                <c:ptCount val="1542"/>
                <c:pt idx="1">
                  <c:v>-1895.6</c:v>
                </c:pt>
                <c:pt idx="2">
                  <c:v>0</c:v>
                </c:pt>
                <c:pt idx="3">
                  <c:v>0</c:v>
                </c:pt>
                <c:pt idx="4">
                  <c:v>-12.5</c:v>
                </c:pt>
                <c:pt idx="5">
                  <c:v>0</c:v>
                </c:pt>
                <c:pt idx="6">
                  <c:v>-343.79999999999927</c:v>
                </c:pt>
                <c:pt idx="7">
                  <c:v>0</c:v>
                </c:pt>
                <c:pt idx="8">
                  <c:v>0</c:v>
                </c:pt>
                <c:pt idx="9">
                  <c:v>-4534.3500000000004</c:v>
                </c:pt>
                <c:pt idx="10">
                  <c:v>0</c:v>
                </c:pt>
                <c:pt idx="11">
                  <c:v>-213.75</c:v>
                </c:pt>
                <c:pt idx="12">
                  <c:v>-1428.75</c:v>
                </c:pt>
                <c:pt idx="13">
                  <c:v>-2478.75</c:v>
                </c:pt>
                <c:pt idx="14">
                  <c:v>0</c:v>
                </c:pt>
                <c:pt idx="15">
                  <c:v>0</c:v>
                </c:pt>
                <c:pt idx="16">
                  <c:v>-1138.75</c:v>
                </c:pt>
                <c:pt idx="17">
                  <c:v>-300.64999999999964</c:v>
                </c:pt>
                <c:pt idx="18">
                  <c:v>-1113.75</c:v>
                </c:pt>
                <c:pt idx="19">
                  <c:v>-226.25</c:v>
                </c:pt>
                <c:pt idx="20">
                  <c:v>-611.25</c:v>
                </c:pt>
                <c:pt idx="21">
                  <c:v>0</c:v>
                </c:pt>
                <c:pt idx="22">
                  <c:v>-3321.25</c:v>
                </c:pt>
                <c:pt idx="23">
                  <c:v>-788.10000000000036</c:v>
                </c:pt>
                <c:pt idx="24">
                  <c:v>0</c:v>
                </c:pt>
                <c:pt idx="25">
                  <c:v>-3721.8999999999996</c:v>
                </c:pt>
                <c:pt idx="26">
                  <c:v>-2877.5</c:v>
                </c:pt>
                <c:pt idx="27">
                  <c:v>-5001.8499999999985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-253.09999999999854</c:v>
                </c:pt>
                <c:pt idx="32">
                  <c:v>0</c:v>
                </c:pt>
                <c:pt idx="33">
                  <c:v>-7144.3499999999985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-3193.8000000000029</c:v>
                </c:pt>
                <c:pt idx="38">
                  <c:v>-1718.6999999999971</c:v>
                </c:pt>
                <c:pt idx="39">
                  <c:v>0</c:v>
                </c:pt>
                <c:pt idx="40">
                  <c:v>0</c:v>
                </c:pt>
                <c:pt idx="41">
                  <c:v>-869.34999999999854</c:v>
                </c:pt>
                <c:pt idx="42">
                  <c:v>-6819.3499999999985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-1008.1500000000015</c:v>
                </c:pt>
                <c:pt idx="47">
                  <c:v>0</c:v>
                </c:pt>
                <c:pt idx="48">
                  <c:v>0</c:v>
                </c:pt>
                <c:pt idx="49">
                  <c:v>-1045.0500000000029</c:v>
                </c:pt>
                <c:pt idx="50">
                  <c:v>-2573.0999999999985</c:v>
                </c:pt>
                <c:pt idx="51">
                  <c:v>0</c:v>
                </c:pt>
                <c:pt idx="52">
                  <c:v>-1025</c:v>
                </c:pt>
                <c:pt idx="53">
                  <c:v>-504.34999999999854</c:v>
                </c:pt>
                <c:pt idx="54">
                  <c:v>-2167.5</c:v>
                </c:pt>
                <c:pt idx="55">
                  <c:v>0</c:v>
                </c:pt>
                <c:pt idx="56">
                  <c:v>-1103.8000000000029</c:v>
                </c:pt>
                <c:pt idx="57">
                  <c:v>-4821.8499999999985</c:v>
                </c:pt>
                <c:pt idx="58">
                  <c:v>0</c:v>
                </c:pt>
                <c:pt idx="59">
                  <c:v>-728.75</c:v>
                </c:pt>
                <c:pt idx="60">
                  <c:v>-660</c:v>
                </c:pt>
                <c:pt idx="61">
                  <c:v>-3880.5999999999985</c:v>
                </c:pt>
                <c:pt idx="62">
                  <c:v>-1206.25</c:v>
                </c:pt>
                <c:pt idx="63">
                  <c:v>0</c:v>
                </c:pt>
                <c:pt idx="64">
                  <c:v>-3725</c:v>
                </c:pt>
                <c:pt idx="65">
                  <c:v>-801.90000000000146</c:v>
                </c:pt>
                <c:pt idx="66">
                  <c:v>-3458.0999999999985</c:v>
                </c:pt>
                <c:pt idx="67">
                  <c:v>0</c:v>
                </c:pt>
                <c:pt idx="68">
                  <c:v>0</c:v>
                </c:pt>
                <c:pt idx="69">
                  <c:v>-864.40000000000146</c:v>
                </c:pt>
                <c:pt idx="70">
                  <c:v>-2180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-1889.4000000000015</c:v>
                </c:pt>
                <c:pt idx="77">
                  <c:v>0</c:v>
                </c:pt>
                <c:pt idx="78">
                  <c:v>0</c:v>
                </c:pt>
                <c:pt idx="79">
                  <c:v>-2451.25</c:v>
                </c:pt>
                <c:pt idx="80">
                  <c:v>-2998.75</c:v>
                </c:pt>
                <c:pt idx="81">
                  <c:v>0</c:v>
                </c:pt>
                <c:pt idx="82">
                  <c:v>0</c:v>
                </c:pt>
                <c:pt idx="83">
                  <c:v>-1078.75</c:v>
                </c:pt>
                <c:pt idx="84">
                  <c:v>-1313.0999999999985</c:v>
                </c:pt>
                <c:pt idx="85">
                  <c:v>0</c:v>
                </c:pt>
                <c:pt idx="86">
                  <c:v>-1526.9000000000015</c:v>
                </c:pt>
                <c:pt idx="87">
                  <c:v>-265</c:v>
                </c:pt>
                <c:pt idx="88">
                  <c:v>-1994.4000000000015</c:v>
                </c:pt>
                <c:pt idx="89">
                  <c:v>-1014.9499999999971</c:v>
                </c:pt>
                <c:pt idx="90">
                  <c:v>-1026.3000000000029</c:v>
                </c:pt>
                <c:pt idx="91">
                  <c:v>-1145.5999999999985</c:v>
                </c:pt>
                <c:pt idx="92">
                  <c:v>-6.25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-1521.25</c:v>
                </c:pt>
                <c:pt idx="98">
                  <c:v>0</c:v>
                </c:pt>
                <c:pt idx="99">
                  <c:v>0</c:v>
                </c:pt>
                <c:pt idx="100">
                  <c:v>-1847.5500000000029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-633.09999999999854</c:v>
                </c:pt>
                <c:pt idx="105">
                  <c:v>-2257.5</c:v>
                </c:pt>
                <c:pt idx="106">
                  <c:v>-1474.4000000000015</c:v>
                </c:pt>
                <c:pt idx="107">
                  <c:v>0</c:v>
                </c:pt>
                <c:pt idx="108">
                  <c:v>-699.40000000000146</c:v>
                </c:pt>
                <c:pt idx="109">
                  <c:v>-272.44999999999709</c:v>
                </c:pt>
                <c:pt idx="110">
                  <c:v>-1468.75</c:v>
                </c:pt>
                <c:pt idx="111">
                  <c:v>0</c:v>
                </c:pt>
                <c:pt idx="112">
                  <c:v>0</c:v>
                </c:pt>
                <c:pt idx="113">
                  <c:v>-205.05000000000291</c:v>
                </c:pt>
                <c:pt idx="114">
                  <c:v>-4235</c:v>
                </c:pt>
                <c:pt idx="115">
                  <c:v>0</c:v>
                </c:pt>
                <c:pt idx="116">
                  <c:v>0</c:v>
                </c:pt>
                <c:pt idx="117">
                  <c:v>-232.5</c:v>
                </c:pt>
                <c:pt idx="118">
                  <c:v>-834.40000000000146</c:v>
                </c:pt>
                <c:pt idx="119">
                  <c:v>0</c:v>
                </c:pt>
                <c:pt idx="120">
                  <c:v>-353.75</c:v>
                </c:pt>
                <c:pt idx="121">
                  <c:v>-59.349999999998545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-735.59999999999854</c:v>
                </c:pt>
                <c:pt idx="129">
                  <c:v>0</c:v>
                </c:pt>
                <c:pt idx="130">
                  <c:v>0</c:v>
                </c:pt>
                <c:pt idx="131">
                  <c:v>-333.09999999999854</c:v>
                </c:pt>
                <c:pt idx="132">
                  <c:v>-910.65000000000146</c:v>
                </c:pt>
                <c:pt idx="133">
                  <c:v>-154.34999999999854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-90.650000000001455</c:v>
                </c:pt>
                <c:pt idx="138">
                  <c:v>-464.34999999999854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-153.75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-35</c:v>
                </c:pt>
                <c:pt idx="148">
                  <c:v>-668.80000000000291</c:v>
                </c:pt>
                <c:pt idx="149">
                  <c:v>0</c:v>
                </c:pt>
                <c:pt idx="150">
                  <c:v>-3471.9000000000015</c:v>
                </c:pt>
                <c:pt idx="151">
                  <c:v>0</c:v>
                </c:pt>
                <c:pt idx="152">
                  <c:v>-624.40000000000146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-50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-719.34999999999854</c:v>
                </c:pt>
                <c:pt idx="162">
                  <c:v>0</c:v>
                </c:pt>
                <c:pt idx="163">
                  <c:v>-588.80000000000291</c:v>
                </c:pt>
                <c:pt idx="164">
                  <c:v>0</c:v>
                </c:pt>
                <c:pt idx="165">
                  <c:v>0</c:v>
                </c:pt>
                <c:pt idx="166">
                  <c:v>-1578.0999999999985</c:v>
                </c:pt>
                <c:pt idx="167">
                  <c:v>0</c:v>
                </c:pt>
                <c:pt idx="168">
                  <c:v>0</c:v>
                </c:pt>
                <c:pt idx="169">
                  <c:v>-246.25</c:v>
                </c:pt>
                <c:pt idx="170">
                  <c:v>0</c:v>
                </c:pt>
                <c:pt idx="171">
                  <c:v>-1043.0999999999985</c:v>
                </c:pt>
                <c:pt idx="172">
                  <c:v>0</c:v>
                </c:pt>
                <c:pt idx="173">
                  <c:v>-951.25</c:v>
                </c:pt>
                <c:pt idx="174">
                  <c:v>0</c:v>
                </c:pt>
                <c:pt idx="175">
                  <c:v>0</c:v>
                </c:pt>
                <c:pt idx="176">
                  <c:v>-917.55000000000291</c:v>
                </c:pt>
                <c:pt idx="177">
                  <c:v>0</c:v>
                </c:pt>
                <c:pt idx="178">
                  <c:v>0</c:v>
                </c:pt>
                <c:pt idx="179">
                  <c:v>-1940.5999999999985</c:v>
                </c:pt>
                <c:pt idx="180">
                  <c:v>-688.15000000000146</c:v>
                </c:pt>
                <c:pt idx="181">
                  <c:v>0</c:v>
                </c:pt>
                <c:pt idx="182">
                  <c:v>0</c:v>
                </c:pt>
                <c:pt idx="183">
                  <c:v>-1753.75</c:v>
                </c:pt>
                <c:pt idx="184">
                  <c:v>0</c:v>
                </c:pt>
                <c:pt idx="185">
                  <c:v>-2103.75</c:v>
                </c:pt>
                <c:pt idx="186">
                  <c:v>0</c:v>
                </c:pt>
                <c:pt idx="187">
                  <c:v>-2178.1500000000015</c:v>
                </c:pt>
                <c:pt idx="188">
                  <c:v>-2076.25</c:v>
                </c:pt>
                <c:pt idx="189">
                  <c:v>0</c:v>
                </c:pt>
                <c:pt idx="190">
                  <c:v>-857.55000000000291</c:v>
                </c:pt>
                <c:pt idx="191">
                  <c:v>-234.34999999999854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-11095.599999999999</c:v>
                </c:pt>
                <c:pt idx="201">
                  <c:v>0</c:v>
                </c:pt>
                <c:pt idx="202">
                  <c:v>0</c:v>
                </c:pt>
                <c:pt idx="203">
                  <c:v>-1458.1500000000015</c:v>
                </c:pt>
                <c:pt idx="204">
                  <c:v>-4549.3499999999985</c:v>
                </c:pt>
                <c:pt idx="205">
                  <c:v>0</c:v>
                </c:pt>
                <c:pt idx="206">
                  <c:v>-2331.8500000000058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-6293.7000000000116</c:v>
                </c:pt>
                <c:pt idx="212">
                  <c:v>0</c:v>
                </c:pt>
                <c:pt idx="213">
                  <c:v>-62.5</c:v>
                </c:pt>
                <c:pt idx="214">
                  <c:v>-23161.899999999994</c:v>
                </c:pt>
                <c:pt idx="215">
                  <c:v>-2183.75</c:v>
                </c:pt>
                <c:pt idx="216">
                  <c:v>0</c:v>
                </c:pt>
                <c:pt idx="217">
                  <c:v>-5.6499999999941792</c:v>
                </c:pt>
                <c:pt idx="218">
                  <c:v>0</c:v>
                </c:pt>
                <c:pt idx="219">
                  <c:v>-4140.6499999999942</c:v>
                </c:pt>
                <c:pt idx="220">
                  <c:v>0</c:v>
                </c:pt>
                <c:pt idx="221">
                  <c:v>-3153.1499999999942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-984.39999999999418</c:v>
                </c:pt>
                <c:pt idx="229">
                  <c:v>0</c:v>
                </c:pt>
                <c:pt idx="230">
                  <c:v>-1991.8500000000058</c:v>
                </c:pt>
                <c:pt idx="231">
                  <c:v>0</c:v>
                </c:pt>
                <c:pt idx="232">
                  <c:v>-3249.3999999999942</c:v>
                </c:pt>
                <c:pt idx="233">
                  <c:v>-2355.6000000000058</c:v>
                </c:pt>
                <c:pt idx="234">
                  <c:v>0</c:v>
                </c:pt>
                <c:pt idx="235">
                  <c:v>-1526.25</c:v>
                </c:pt>
                <c:pt idx="236">
                  <c:v>0</c:v>
                </c:pt>
                <c:pt idx="237">
                  <c:v>0</c:v>
                </c:pt>
                <c:pt idx="238">
                  <c:v>-713.14999999999418</c:v>
                </c:pt>
                <c:pt idx="239">
                  <c:v>0</c:v>
                </c:pt>
                <c:pt idx="240">
                  <c:v>-2154.3999999999942</c:v>
                </c:pt>
                <c:pt idx="241">
                  <c:v>0</c:v>
                </c:pt>
                <c:pt idx="242">
                  <c:v>-7568.7000000000116</c:v>
                </c:pt>
                <c:pt idx="243">
                  <c:v>0</c:v>
                </c:pt>
                <c:pt idx="244">
                  <c:v>-1450.6499999999942</c:v>
                </c:pt>
                <c:pt idx="245">
                  <c:v>0</c:v>
                </c:pt>
                <c:pt idx="246">
                  <c:v>0</c:v>
                </c:pt>
                <c:pt idx="247">
                  <c:v>-2666.25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-1103.75</c:v>
                </c:pt>
                <c:pt idx="254">
                  <c:v>0</c:v>
                </c:pt>
                <c:pt idx="255">
                  <c:v>-1.2999999999883585</c:v>
                </c:pt>
                <c:pt idx="256">
                  <c:v>-384.35000000000582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-239.39999999999418</c:v>
                </c:pt>
                <c:pt idx="264">
                  <c:v>-3643.1000000000058</c:v>
                </c:pt>
                <c:pt idx="265">
                  <c:v>-853.14999999999418</c:v>
                </c:pt>
                <c:pt idx="266">
                  <c:v>-1781.8999999999942</c:v>
                </c:pt>
                <c:pt idx="267">
                  <c:v>-585.60000000000582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-2981.25</c:v>
                </c:pt>
                <c:pt idx="272">
                  <c:v>0</c:v>
                </c:pt>
                <c:pt idx="273">
                  <c:v>-1196.8999999999942</c:v>
                </c:pt>
                <c:pt idx="274">
                  <c:v>-291.20000000001164</c:v>
                </c:pt>
                <c:pt idx="275">
                  <c:v>0</c:v>
                </c:pt>
                <c:pt idx="276">
                  <c:v>0</c:v>
                </c:pt>
                <c:pt idx="277">
                  <c:v>-3544.3500000000058</c:v>
                </c:pt>
                <c:pt idx="278">
                  <c:v>-3585</c:v>
                </c:pt>
                <c:pt idx="279">
                  <c:v>0</c:v>
                </c:pt>
                <c:pt idx="280">
                  <c:v>-1369.3999999999942</c:v>
                </c:pt>
                <c:pt idx="281">
                  <c:v>-2457.5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-1402.5499999999884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-2326.8999999999942</c:v>
                </c:pt>
                <c:pt idx="294">
                  <c:v>-3411.8999999999942</c:v>
                </c:pt>
                <c:pt idx="295">
                  <c:v>0</c:v>
                </c:pt>
                <c:pt idx="296">
                  <c:v>-739.35000000000582</c:v>
                </c:pt>
                <c:pt idx="297">
                  <c:v>-37.5</c:v>
                </c:pt>
                <c:pt idx="298">
                  <c:v>0</c:v>
                </c:pt>
                <c:pt idx="299">
                  <c:v>-1039.9500000000116</c:v>
                </c:pt>
                <c:pt idx="300">
                  <c:v>0</c:v>
                </c:pt>
                <c:pt idx="301">
                  <c:v>0</c:v>
                </c:pt>
                <c:pt idx="302">
                  <c:v>-21.850000000005821</c:v>
                </c:pt>
                <c:pt idx="303">
                  <c:v>0</c:v>
                </c:pt>
                <c:pt idx="304">
                  <c:v>-451.85000000000582</c:v>
                </c:pt>
                <c:pt idx="305">
                  <c:v>0</c:v>
                </c:pt>
                <c:pt idx="306">
                  <c:v>-2110</c:v>
                </c:pt>
                <c:pt idx="307">
                  <c:v>0</c:v>
                </c:pt>
                <c:pt idx="308">
                  <c:v>-1592.5</c:v>
                </c:pt>
                <c:pt idx="309">
                  <c:v>-427.5</c:v>
                </c:pt>
                <c:pt idx="310">
                  <c:v>0</c:v>
                </c:pt>
                <c:pt idx="311">
                  <c:v>-138.14999999999418</c:v>
                </c:pt>
                <c:pt idx="312">
                  <c:v>-4148.1000000000058</c:v>
                </c:pt>
                <c:pt idx="313">
                  <c:v>0</c:v>
                </c:pt>
                <c:pt idx="314">
                  <c:v>0</c:v>
                </c:pt>
                <c:pt idx="315">
                  <c:v>-1044.3500000000058</c:v>
                </c:pt>
                <c:pt idx="316">
                  <c:v>0</c:v>
                </c:pt>
                <c:pt idx="317">
                  <c:v>-2586.8999999999942</c:v>
                </c:pt>
                <c:pt idx="318">
                  <c:v>0</c:v>
                </c:pt>
                <c:pt idx="319">
                  <c:v>-2590.6499999999942</c:v>
                </c:pt>
                <c:pt idx="320">
                  <c:v>0</c:v>
                </c:pt>
                <c:pt idx="321">
                  <c:v>0</c:v>
                </c:pt>
                <c:pt idx="322">
                  <c:v>-1116.8500000000058</c:v>
                </c:pt>
                <c:pt idx="323">
                  <c:v>0</c:v>
                </c:pt>
                <c:pt idx="324">
                  <c:v>0</c:v>
                </c:pt>
                <c:pt idx="325">
                  <c:v>-1070.6499999999942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-1939.3999999999942</c:v>
                </c:pt>
                <c:pt idx="331">
                  <c:v>-496.85000000000582</c:v>
                </c:pt>
                <c:pt idx="332">
                  <c:v>-2809.3500000000058</c:v>
                </c:pt>
                <c:pt idx="333">
                  <c:v>-1604.3999999999942</c:v>
                </c:pt>
                <c:pt idx="334">
                  <c:v>0</c:v>
                </c:pt>
                <c:pt idx="335">
                  <c:v>-686.25</c:v>
                </c:pt>
                <c:pt idx="336">
                  <c:v>-3601.8500000000058</c:v>
                </c:pt>
                <c:pt idx="337">
                  <c:v>-2901.25</c:v>
                </c:pt>
                <c:pt idx="338">
                  <c:v>-540.60000000000582</c:v>
                </c:pt>
                <c:pt idx="339">
                  <c:v>0</c:v>
                </c:pt>
                <c:pt idx="340">
                  <c:v>-469.39999999999418</c:v>
                </c:pt>
                <c:pt idx="341">
                  <c:v>-4218.1000000000058</c:v>
                </c:pt>
                <c:pt idx="342">
                  <c:v>0</c:v>
                </c:pt>
                <c:pt idx="343">
                  <c:v>-6610</c:v>
                </c:pt>
                <c:pt idx="344">
                  <c:v>-3702.5</c:v>
                </c:pt>
                <c:pt idx="345">
                  <c:v>-910.60000000000582</c:v>
                </c:pt>
                <c:pt idx="346">
                  <c:v>0</c:v>
                </c:pt>
                <c:pt idx="347">
                  <c:v>0</c:v>
                </c:pt>
                <c:pt idx="348">
                  <c:v>-593.75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-3291.25</c:v>
                </c:pt>
                <c:pt idx="354">
                  <c:v>0</c:v>
                </c:pt>
                <c:pt idx="355">
                  <c:v>-3878.1000000000058</c:v>
                </c:pt>
                <c:pt idx="356">
                  <c:v>-1654.3999999999942</c:v>
                </c:pt>
                <c:pt idx="357">
                  <c:v>-903.75</c:v>
                </c:pt>
                <c:pt idx="358">
                  <c:v>-1128.1000000000058</c:v>
                </c:pt>
                <c:pt idx="359">
                  <c:v>-582.54999999998836</c:v>
                </c:pt>
                <c:pt idx="360">
                  <c:v>-221.85000000000582</c:v>
                </c:pt>
                <c:pt idx="361">
                  <c:v>-2663.1499999999942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-282.5</c:v>
                </c:pt>
                <c:pt idx="366">
                  <c:v>-3347.5</c:v>
                </c:pt>
                <c:pt idx="367">
                  <c:v>-2885</c:v>
                </c:pt>
                <c:pt idx="368">
                  <c:v>0</c:v>
                </c:pt>
                <c:pt idx="369">
                  <c:v>-56.25</c:v>
                </c:pt>
                <c:pt idx="370">
                  <c:v>0</c:v>
                </c:pt>
                <c:pt idx="371">
                  <c:v>-1001.8500000000058</c:v>
                </c:pt>
                <c:pt idx="372">
                  <c:v>-1260</c:v>
                </c:pt>
                <c:pt idx="373">
                  <c:v>-5715</c:v>
                </c:pt>
                <c:pt idx="374">
                  <c:v>0</c:v>
                </c:pt>
                <c:pt idx="375">
                  <c:v>0</c:v>
                </c:pt>
                <c:pt idx="376">
                  <c:v>-419.35000000000582</c:v>
                </c:pt>
                <c:pt idx="377">
                  <c:v>0</c:v>
                </c:pt>
                <c:pt idx="378">
                  <c:v>-1175</c:v>
                </c:pt>
                <c:pt idx="379">
                  <c:v>0</c:v>
                </c:pt>
                <c:pt idx="380">
                  <c:v>-483.14999999999418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-178.10000000000582</c:v>
                </c:pt>
                <c:pt idx="385">
                  <c:v>-2436.8999999999942</c:v>
                </c:pt>
                <c:pt idx="386">
                  <c:v>0</c:v>
                </c:pt>
                <c:pt idx="387">
                  <c:v>-84.399999999994179</c:v>
                </c:pt>
                <c:pt idx="388">
                  <c:v>0</c:v>
                </c:pt>
                <c:pt idx="389">
                  <c:v>0</c:v>
                </c:pt>
                <c:pt idx="390">
                  <c:v>-5433.75</c:v>
                </c:pt>
                <c:pt idx="391">
                  <c:v>0</c:v>
                </c:pt>
                <c:pt idx="392">
                  <c:v>0</c:v>
                </c:pt>
                <c:pt idx="393">
                  <c:v>-703.70000000001164</c:v>
                </c:pt>
                <c:pt idx="394">
                  <c:v>0</c:v>
                </c:pt>
                <c:pt idx="395">
                  <c:v>0</c:v>
                </c:pt>
                <c:pt idx="396">
                  <c:v>-850.60000000000582</c:v>
                </c:pt>
                <c:pt idx="397">
                  <c:v>0</c:v>
                </c:pt>
                <c:pt idx="398">
                  <c:v>-1660.6499999999942</c:v>
                </c:pt>
                <c:pt idx="399">
                  <c:v>-3097.5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-2430.6499999999942</c:v>
                </c:pt>
                <c:pt idx="404">
                  <c:v>0</c:v>
                </c:pt>
                <c:pt idx="405">
                  <c:v>-2766.2999999999884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-315.64999999999418</c:v>
                </c:pt>
                <c:pt idx="412">
                  <c:v>-13.75</c:v>
                </c:pt>
                <c:pt idx="413">
                  <c:v>-846.25</c:v>
                </c:pt>
                <c:pt idx="414">
                  <c:v>-2705.6499999999942</c:v>
                </c:pt>
                <c:pt idx="415">
                  <c:v>-1164.3500000000058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-586.89999999999418</c:v>
                </c:pt>
                <c:pt idx="424">
                  <c:v>0</c:v>
                </c:pt>
                <c:pt idx="425">
                  <c:v>-539.39999999999418</c:v>
                </c:pt>
                <c:pt idx="426">
                  <c:v>-903.75</c:v>
                </c:pt>
                <c:pt idx="427">
                  <c:v>-1231.25</c:v>
                </c:pt>
                <c:pt idx="428">
                  <c:v>-1910</c:v>
                </c:pt>
                <c:pt idx="429">
                  <c:v>-1103.75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-3156.25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-3939.3500000000058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-3256.8999999999942</c:v>
                </c:pt>
                <c:pt idx="442">
                  <c:v>-1094.3999999999942</c:v>
                </c:pt>
                <c:pt idx="443">
                  <c:v>-2485.6000000000058</c:v>
                </c:pt>
                <c:pt idx="444">
                  <c:v>-1840</c:v>
                </c:pt>
                <c:pt idx="445">
                  <c:v>0</c:v>
                </c:pt>
                <c:pt idx="446">
                  <c:v>-3428.75</c:v>
                </c:pt>
                <c:pt idx="447">
                  <c:v>-4096.8999999999942</c:v>
                </c:pt>
                <c:pt idx="448">
                  <c:v>-276.89999999999418</c:v>
                </c:pt>
                <c:pt idx="449">
                  <c:v>-3224.9500000000116</c:v>
                </c:pt>
                <c:pt idx="450">
                  <c:v>-483.14999999999418</c:v>
                </c:pt>
                <c:pt idx="451">
                  <c:v>-1518.1499999999942</c:v>
                </c:pt>
                <c:pt idx="452">
                  <c:v>-3904.3500000000058</c:v>
                </c:pt>
                <c:pt idx="453">
                  <c:v>0</c:v>
                </c:pt>
                <c:pt idx="454">
                  <c:v>-325</c:v>
                </c:pt>
                <c:pt idx="455">
                  <c:v>0</c:v>
                </c:pt>
                <c:pt idx="456">
                  <c:v>0</c:v>
                </c:pt>
                <c:pt idx="457">
                  <c:v>-996.25</c:v>
                </c:pt>
                <c:pt idx="458">
                  <c:v>-2574.3500000000058</c:v>
                </c:pt>
                <c:pt idx="459">
                  <c:v>-656.25</c:v>
                </c:pt>
                <c:pt idx="460">
                  <c:v>-835</c:v>
                </c:pt>
                <c:pt idx="461">
                  <c:v>-2011.8500000000058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-2278.1499999999942</c:v>
                </c:pt>
                <c:pt idx="470">
                  <c:v>0</c:v>
                </c:pt>
                <c:pt idx="471">
                  <c:v>0</c:v>
                </c:pt>
                <c:pt idx="472">
                  <c:v>-4035.6000000000058</c:v>
                </c:pt>
                <c:pt idx="473">
                  <c:v>-980.64999999999418</c:v>
                </c:pt>
                <c:pt idx="474">
                  <c:v>0</c:v>
                </c:pt>
                <c:pt idx="475">
                  <c:v>0</c:v>
                </c:pt>
                <c:pt idx="476">
                  <c:v>-1822.5</c:v>
                </c:pt>
                <c:pt idx="477">
                  <c:v>-216.25</c:v>
                </c:pt>
                <c:pt idx="478">
                  <c:v>-3079.3999999999942</c:v>
                </c:pt>
                <c:pt idx="479">
                  <c:v>-3365.6000000000058</c:v>
                </c:pt>
                <c:pt idx="480">
                  <c:v>0</c:v>
                </c:pt>
                <c:pt idx="481">
                  <c:v>-405.64999999999418</c:v>
                </c:pt>
                <c:pt idx="482">
                  <c:v>0</c:v>
                </c:pt>
                <c:pt idx="483">
                  <c:v>0</c:v>
                </c:pt>
                <c:pt idx="484">
                  <c:v>-2014.3999999999942</c:v>
                </c:pt>
                <c:pt idx="485">
                  <c:v>0</c:v>
                </c:pt>
                <c:pt idx="486">
                  <c:v>-3475</c:v>
                </c:pt>
                <c:pt idx="487">
                  <c:v>0</c:v>
                </c:pt>
                <c:pt idx="488">
                  <c:v>-410.60000000000582</c:v>
                </c:pt>
                <c:pt idx="489">
                  <c:v>-434.39999999999418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-2803.75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-1911.25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-146.85000000000582</c:v>
                </c:pt>
                <c:pt idx="504">
                  <c:v>-3810.6000000000058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-5305.6000000000058</c:v>
                </c:pt>
                <c:pt idx="509">
                  <c:v>0</c:v>
                </c:pt>
                <c:pt idx="510">
                  <c:v>0</c:v>
                </c:pt>
                <c:pt idx="511">
                  <c:v>-3428.1499999999942</c:v>
                </c:pt>
                <c:pt idx="512">
                  <c:v>0</c:v>
                </c:pt>
                <c:pt idx="513">
                  <c:v>0</c:v>
                </c:pt>
                <c:pt idx="514">
                  <c:v>-130.60000000000582</c:v>
                </c:pt>
                <c:pt idx="515">
                  <c:v>0</c:v>
                </c:pt>
                <c:pt idx="516">
                  <c:v>-603.79999999998836</c:v>
                </c:pt>
                <c:pt idx="517">
                  <c:v>-484.35000000000582</c:v>
                </c:pt>
                <c:pt idx="518">
                  <c:v>-915.60000000000582</c:v>
                </c:pt>
                <c:pt idx="519">
                  <c:v>0</c:v>
                </c:pt>
                <c:pt idx="520">
                  <c:v>-2012.4500000000116</c:v>
                </c:pt>
                <c:pt idx="521">
                  <c:v>-1014.3999999999942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-923.10000000000582</c:v>
                </c:pt>
                <c:pt idx="526">
                  <c:v>-1100.0499999999884</c:v>
                </c:pt>
                <c:pt idx="527">
                  <c:v>-2746.2000000000116</c:v>
                </c:pt>
                <c:pt idx="528">
                  <c:v>0</c:v>
                </c:pt>
                <c:pt idx="529">
                  <c:v>0</c:v>
                </c:pt>
                <c:pt idx="530">
                  <c:v>-1421.8999999999942</c:v>
                </c:pt>
                <c:pt idx="531">
                  <c:v>-312.5</c:v>
                </c:pt>
                <c:pt idx="532">
                  <c:v>-2287.5</c:v>
                </c:pt>
                <c:pt idx="533">
                  <c:v>-664.35000000000582</c:v>
                </c:pt>
                <c:pt idx="534">
                  <c:v>-2091.25</c:v>
                </c:pt>
                <c:pt idx="535">
                  <c:v>-2924.3500000000058</c:v>
                </c:pt>
                <c:pt idx="536">
                  <c:v>-585.64999999999418</c:v>
                </c:pt>
                <c:pt idx="537">
                  <c:v>0</c:v>
                </c:pt>
                <c:pt idx="538">
                  <c:v>0</c:v>
                </c:pt>
                <c:pt idx="539">
                  <c:v>-1465.6000000000058</c:v>
                </c:pt>
                <c:pt idx="540">
                  <c:v>0</c:v>
                </c:pt>
                <c:pt idx="541">
                  <c:v>-700.64999999999418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-2735.6000000000058</c:v>
                </c:pt>
                <c:pt idx="548">
                  <c:v>-586.25</c:v>
                </c:pt>
                <c:pt idx="549">
                  <c:v>-123.75</c:v>
                </c:pt>
                <c:pt idx="550">
                  <c:v>0</c:v>
                </c:pt>
                <c:pt idx="551">
                  <c:v>-2645.6000000000058</c:v>
                </c:pt>
                <c:pt idx="552">
                  <c:v>0</c:v>
                </c:pt>
                <c:pt idx="553">
                  <c:v>0</c:v>
                </c:pt>
                <c:pt idx="554">
                  <c:v>-498.10000000000582</c:v>
                </c:pt>
                <c:pt idx="555">
                  <c:v>0</c:v>
                </c:pt>
                <c:pt idx="556">
                  <c:v>0</c:v>
                </c:pt>
                <c:pt idx="557">
                  <c:v>-3850</c:v>
                </c:pt>
                <c:pt idx="558">
                  <c:v>0</c:v>
                </c:pt>
                <c:pt idx="559">
                  <c:v>-3200.6000000000058</c:v>
                </c:pt>
                <c:pt idx="560">
                  <c:v>0</c:v>
                </c:pt>
                <c:pt idx="561">
                  <c:v>-2071.8500000000058</c:v>
                </c:pt>
                <c:pt idx="562">
                  <c:v>-1352.5</c:v>
                </c:pt>
                <c:pt idx="563">
                  <c:v>-3048.75</c:v>
                </c:pt>
                <c:pt idx="564">
                  <c:v>0</c:v>
                </c:pt>
                <c:pt idx="565">
                  <c:v>-683.14999999999418</c:v>
                </c:pt>
                <c:pt idx="566">
                  <c:v>0</c:v>
                </c:pt>
                <c:pt idx="567">
                  <c:v>0</c:v>
                </c:pt>
                <c:pt idx="568">
                  <c:v>-2765.6499999999942</c:v>
                </c:pt>
                <c:pt idx="569">
                  <c:v>-2436.2000000000116</c:v>
                </c:pt>
                <c:pt idx="570">
                  <c:v>-114.39999999999418</c:v>
                </c:pt>
                <c:pt idx="571">
                  <c:v>0</c:v>
                </c:pt>
                <c:pt idx="572">
                  <c:v>-617.5</c:v>
                </c:pt>
                <c:pt idx="573">
                  <c:v>0</c:v>
                </c:pt>
                <c:pt idx="574">
                  <c:v>-521.89999999999418</c:v>
                </c:pt>
                <c:pt idx="575">
                  <c:v>0</c:v>
                </c:pt>
                <c:pt idx="576">
                  <c:v>-650.60000000000582</c:v>
                </c:pt>
                <c:pt idx="577">
                  <c:v>0</c:v>
                </c:pt>
                <c:pt idx="578">
                  <c:v>0</c:v>
                </c:pt>
                <c:pt idx="579">
                  <c:v>-3700.6000000000058</c:v>
                </c:pt>
                <c:pt idx="580">
                  <c:v>-1510</c:v>
                </c:pt>
                <c:pt idx="581">
                  <c:v>-5805</c:v>
                </c:pt>
                <c:pt idx="582">
                  <c:v>0</c:v>
                </c:pt>
                <c:pt idx="583">
                  <c:v>-491.85000000000582</c:v>
                </c:pt>
                <c:pt idx="584">
                  <c:v>-198.75</c:v>
                </c:pt>
                <c:pt idx="585">
                  <c:v>-531.89999999999418</c:v>
                </c:pt>
                <c:pt idx="586">
                  <c:v>0</c:v>
                </c:pt>
                <c:pt idx="587">
                  <c:v>-1086.8500000000058</c:v>
                </c:pt>
                <c:pt idx="588">
                  <c:v>0</c:v>
                </c:pt>
                <c:pt idx="589">
                  <c:v>-3008.1000000000058</c:v>
                </c:pt>
                <c:pt idx="590">
                  <c:v>-495</c:v>
                </c:pt>
                <c:pt idx="591">
                  <c:v>0</c:v>
                </c:pt>
                <c:pt idx="592">
                  <c:v>-606.85000000000582</c:v>
                </c:pt>
                <c:pt idx="593">
                  <c:v>-227.5</c:v>
                </c:pt>
                <c:pt idx="594">
                  <c:v>0</c:v>
                </c:pt>
                <c:pt idx="595">
                  <c:v>0</c:v>
                </c:pt>
                <c:pt idx="596">
                  <c:v>-537.5</c:v>
                </c:pt>
                <c:pt idx="597">
                  <c:v>-1138.1499999999942</c:v>
                </c:pt>
                <c:pt idx="598">
                  <c:v>-794.35000000000582</c:v>
                </c:pt>
                <c:pt idx="599">
                  <c:v>0</c:v>
                </c:pt>
                <c:pt idx="600">
                  <c:v>-1808.1000000000058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-541.85000000000582</c:v>
                </c:pt>
                <c:pt idx="605">
                  <c:v>-1551.8999999999942</c:v>
                </c:pt>
                <c:pt idx="606">
                  <c:v>0</c:v>
                </c:pt>
                <c:pt idx="607">
                  <c:v>-1218.1499999999942</c:v>
                </c:pt>
                <c:pt idx="608">
                  <c:v>0</c:v>
                </c:pt>
                <c:pt idx="609">
                  <c:v>-1272.5</c:v>
                </c:pt>
                <c:pt idx="610">
                  <c:v>-2411.25</c:v>
                </c:pt>
                <c:pt idx="611">
                  <c:v>-1911.8500000000058</c:v>
                </c:pt>
                <c:pt idx="612">
                  <c:v>-1166.8999999999942</c:v>
                </c:pt>
                <c:pt idx="613">
                  <c:v>0</c:v>
                </c:pt>
                <c:pt idx="614">
                  <c:v>-485.60000000000582</c:v>
                </c:pt>
                <c:pt idx="615">
                  <c:v>-248.14999999999418</c:v>
                </c:pt>
                <c:pt idx="616">
                  <c:v>-922.5</c:v>
                </c:pt>
                <c:pt idx="617">
                  <c:v>-1044.3500000000058</c:v>
                </c:pt>
                <c:pt idx="618">
                  <c:v>-1512.5</c:v>
                </c:pt>
                <c:pt idx="619">
                  <c:v>-2181.8999999999942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-453.79999999998836</c:v>
                </c:pt>
                <c:pt idx="624">
                  <c:v>0</c:v>
                </c:pt>
                <c:pt idx="625">
                  <c:v>-201.85000000000582</c:v>
                </c:pt>
                <c:pt idx="626">
                  <c:v>-309.39999999999418</c:v>
                </c:pt>
                <c:pt idx="627">
                  <c:v>0</c:v>
                </c:pt>
                <c:pt idx="628">
                  <c:v>-2816.8500000000058</c:v>
                </c:pt>
                <c:pt idx="629">
                  <c:v>0</c:v>
                </c:pt>
                <c:pt idx="630">
                  <c:v>-1165.6000000000058</c:v>
                </c:pt>
                <c:pt idx="631">
                  <c:v>0</c:v>
                </c:pt>
                <c:pt idx="632">
                  <c:v>-271.29999999998836</c:v>
                </c:pt>
                <c:pt idx="633">
                  <c:v>0</c:v>
                </c:pt>
                <c:pt idx="634">
                  <c:v>-1435.0499999999884</c:v>
                </c:pt>
                <c:pt idx="635">
                  <c:v>0</c:v>
                </c:pt>
                <c:pt idx="636">
                  <c:v>-2338.7000000000116</c:v>
                </c:pt>
                <c:pt idx="637">
                  <c:v>-957.54999999998836</c:v>
                </c:pt>
                <c:pt idx="638">
                  <c:v>-1593.7000000000116</c:v>
                </c:pt>
                <c:pt idx="639">
                  <c:v>0</c:v>
                </c:pt>
                <c:pt idx="640">
                  <c:v>-2000.6000000000058</c:v>
                </c:pt>
                <c:pt idx="641">
                  <c:v>-5088.75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-140</c:v>
                </c:pt>
                <c:pt idx="647">
                  <c:v>-159.35000000000582</c:v>
                </c:pt>
                <c:pt idx="648">
                  <c:v>-2622.5499999999884</c:v>
                </c:pt>
                <c:pt idx="649">
                  <c:v>0</c:v>
                </c:pt>
                <c:pt idx="650">
                  <c:v>-3150.6499999999942</c:v>
                </c:pt>
                <c:pt idx="651">
                  <c:v>-2411.25</c:v>
                </c:pt>
                <c:pt idx="652">
                  <c:v>0</c:v>
                </c:pt>
                <c:pt idx="653">
                  <c:v>0</c:v>
                </c:pt>
                <c:pt idx="654">
                  <c:v>-1625.6000000000058</c:v>
                </c:pt>
                <c:pt idx="655">
                  <c:v>0</c:v>
                </c:pt>
                <c:pt idx="656">
                  <c:v>0</c:v>
                </c:pt>
                <c:pt idx="657">
                  <c:v>-803.75</c:v>
                </c:pt>
                <c:pt idx="658">
                  <c:v>-875.64999999999418</c:v>
                </c:pt>
                <c:pt idx="659">
                  <c:v>0</c:v>
                </c:pt>
                <c:pt idx="660">
                  <c:v>-1175.6499999999942</c:v>
                </c:pt>
                <c:pt idx="661">
                  <c:v>0</c:v>
                </c:pt>
                <c:pt idx="662">
                  <c:v>-42.5</c:v>
                </c:pt>
                <c:pt idx="663">
                  <c:v>0</c:v>
                </c:pt>
                <c:pt idx="664">
                  <c:v>-969.35000000000582</c:v>
                </c:pt>
                <c:pt idx="665">
                  <c:v>0</c:v>
                </c:pt>
                <c:pt idx="666">
                  <c:v>-2295.0499999999884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-664.39999999999418</c:v>
                </c:pt>
                <c:pt idx="671">
                  <c:v>-796.85000000000582</c:v>
                </c:pt>
                <c:pt idx="672">
                  <c:v>-186.25</c:v>
                </c:pt>
                <c:pt idx="673">
                  <c:v>-664.35000000000582</c:v>
                </c:pt>
                <c:pt idx="674">
                  <c:v>-385.64999999999418</c:v>
                </c:pt>
                <c:pt idx="675">
                  <c:v>0</c:v>
                </c:pt>
                <c:pt idx="676">
                  <c:v>0</c:v>
                </c:pt>
                <c:pt idx="677">
                  <c:v>-1314.3500000000058</c:v>
                </c:pt>
                <c:pt idx="678">
                  <c:v>-1807.5</c:v>
                </c:pt>
                <c:pt idx="679">
                  <c:v>0</c:v>
                </c:pt>
                <c:pt idx="680">
                  <c:v>-449.39999999999418</c:v>
                </c:pt>
                <c:pt idx="681">
                  <c:v>-1065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-1305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-1645</c:v>
                </c:pt>
                <c:pt idx="693">
                  <c:v>0</c:v>
                </c:pt>
                <c:pt idx="694">
                  <c:v>0</c:v>
                </c:pt>
                <c:pt idx="695">
                  <c:v>-1795.6000000000058</c:v>
                </c:pt>
                <c:pt idx="696">
                  <c:v>0</c:v>
                </c:pt>
                <c:pt idx="697">
                  <c:v>0</c:v>
                </c:pt>
                <c:pt idx="698">
                  <c:v>-1401.25</c:v>
                </c:pt>
                <c:pt idx="699">
                  <c:v>-2766.8500000000058</c:v>
                </c:pt>
                <c:pt idx="700">
                  <c:v>0</c:v>
                </c:pt>
                <c:pt idx="701">
                  <c:v>-494.39999999999418</c:v>
                </c:pt>
                <c:pt idx="702">
                  <c:v>0</c:v>
                </c:pt>
                <c:pt idx="703">
                  <c:v>-1051.25</c:v>
                </c:pt>
                <c:pt idx="704">
                  <c:v>0</c:v>
                </c:pt>
                <c:pt idx="705">
                  <c:v>-3129.3999999999942</c:v>
                </c:pt>
                <c:pt idx="706">
                  <c:v>-2364.3999999999942</c:v>
                </c:pt>
                <c:pt idx="707">
                  <c:v>-6203.1000000000058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-661.85000000000582</c:v>
                </c:pt>
                <c:pt idx="712">
                  <c:v>0</c:v>
                </c:pt>
                <c:pt idx="713">
                  <c:v>-64.399999999994179</c:v>
                </c:pt>
                <c:pt idx="714">
                  <c:v>-973.10000000000582</c:v>
                </c:pt>
                <c:pt idx="715">
                  <c:v>-545.64999999999418</c:v>
                </c:pt>
                <c:pt idx="716">
                  <c:v>0</c:v>
                </c:pt>
                <c:pt idx="717">
                  <c:v>-1218.75</c:v>
                </c:pt>
                <c:pt idx="718">
                  <c:v>0</c:v>
                </c:pt>
                <c:pt idx="719">
                  <c:v>-1275</c:v>
                </c:pt>
                <c:pt idx="720">
                  <c:v>-722.5</c:v>
                </c:pt>
                <c:pt idx="721">
                  <c:v>0</c:v>
                </c:pt>
                <c:pt idx="722">
                  <c:v>-369.39999999999418</c:v>
                </c:pt>
                <c:pt idx="723">
                  <c:v>-1281.8500000000058</c:v>
                </c:pt>
                <c:pt idx="724">
                  <c:v>-53.149999999994179</c:v>
                </c:pt>
                <c:pt idx="725">
                  <c:v>0</c:v>
                </c:pt>
                <c:pt idx="726">
                  <c:v>0</c:v>
                </c:pt>
                <c:pt idx="727">
                  <c:v>-3068.75</c:v>
                </c:pt>
                <c:pt idx="728">
                  <c:v>-1007.5</c:v>
                </c:pt>
                <c:pt idx="729">
                  <c:v>-115</c:v>
                </c:pt>
                <c:pt idx="730">
                  <c:v>-1050.6000000000058</c:v>
                </c:pt>
                <c:pt idx="731">
                  <c:v>0</c:v>
                </c:pt>
                <c:pt idx="732">
                  <c:v>0</c:v>
                </c:pt>
                <c:pt idx="733">
                  <c:v>-1091.8500000000058</c:v>
                </c:pt>
                <c:pt idx="734">
                  <c:v>0</c:v>
                </c:pt>
                <c:pt idx="735">
                  <c:v>-631.89999999999418</c:v>
                </c:pt>
                <c:pt idx="736">
                  <c:v>0</c:v>
                </c:pt>
                <c:pt idx="737">
                  <c:v>0</c:v>
                </c:pt>
                <c:pt idx="738">
                  <c:v>-2275.6000000000058</c:v>
                </c:pt>
                <c:pt idx="739">
                  <c:v>-2794.3500000000058</c:v>
                </c:pt>
                <c:pt idx="740">
                  <c:v>0</c:v>
                </c:pt>
                <c:pt idx="741">
                  <c:v>0</c:v>
                </c:pt>
                <c:pt idx="742">
                  <c:v>-358.79999999998836</c:v>
                </c:pt>
                <c:pt idx="743">
                  <c:v>0</c:v>
                </c:pt>
                <c:pt idx="744">
                  <c:v>0</c:v>
                </c:pt>
                <c:pt idx="745">
                  <c:v>-90</c:v>
                </c:pt>
                <c:pt idx="746">
                  <c:v>-171.25</c:v>
                </c:pt>
                <c:pt idx="747">
                  <c:v>0</c:v>
                </c:pt>
                <c:pt idx="748">
                  <c:v>-7611.25</c:v>
                </c:pt>
                <c:pt idx="749">
                  <c:v>0</c:v>
                </c:pt>
                <c:pt idx="750">
                  <c:v>-2848.75</c:v>
                </c:pt>
                <c:pt idx="751">
                  <c:v>-9108.1000000000058</c:v>
                </c:pt>
                <c:pt idx="752">
                  <c:v>-376.85000000000582</c:v>
                </c:pt>
                <c:pt idx="753">
                  <c:v>0</c:v>
                </c:pt>
                <c:pt idx="754">
                  <c:v>-126.25</c:v>
                </c:pt>
                <c:pt idx="755">
                  <c:v>-1026.25</c:v>
                </c:pt>
                <c:pt idx="756">
                  <c:v>-775</c:v>
                </c:pt>
                <c:pt idx="757">
                  <c:v>-640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-1781.25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-2471.8999999999942</c:v>
                </c:pt>
                <c:pt idx="772">
                  <c:v>0</c:v>
                </c:pt>
                <c:pt idx="773">
                  <c:v>-387.5</c:v>
                </c:pt>
                <c:pt idx="774">
                  <c:v>-502.5</c:v>
                </c:pt>
                <c:pt idx="775">
                  <c:v>-646.20000000001164</c:v>
                </c:pt>
                <c:pt idx="776">
                  <c:v>0</c:v>
                </c:pt>
                <c:pt idx="777">
                  <c:v>-1109.3500000000058</c:v>
                </c:pt>
                <c:pt idx="778">
                  <c:v>0</c:v>
                </c:pt>
                <c:pt idx="779">
                  <c:v>-2473.75</c:v>
                </c:pt>
                <c:pt idx="780">
                  <c:v>0</c:v>
                </c:pt>
                <c:pt idx="781">
                  <c:v>0</c:v>
                </c:pt>
                <c:pt idx="782">
                  <c:v>-3204.3999999999942</c:v>
                </c:pt>
                <c:pt idx="783">
                  <c:v>-3333.1000000000058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-6036.25</c:v>
                </c:pt>
                <c:pt idx="793">
                  <c:v>-331.20000000001164</c:v>
                </c:pt>
                <c:pt idx="794">
                  <c:v>0</c:v>
                </c:pt>
                <c:pt idx="795">
                  <c:v>-2686.25</c:v>
                </c:pt>
                <c:pt idx="796">
                  <c:v>-3383.75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-2887.5</c:v>
                </c:pt>
                <c:pt idx="802">
                  <c:v>-4031.8500000000058</c:v>
                </c:pt>
                <c:pt idx="803">
                  <c:v>0</c:v>
                </c:pt>
                <c:pt idx="804">
                  <c:v>-1051.25</c:v>
                </c:pt>
                <c:pt idx="805">
                  <c:v>-325.60000000000582</c:v>
                </c:pt>
                <c:pt idx="806">
                  <c:v>-1075.6499999999942</c:v>
                </c:pt>
                <c:pt idx="807">
                  <c:v>-249.39999999999418</c:v>
                </c:pt>
                <c:pt idx="808">
                  <c:v>0</c:v>
                </c:pt>
                <c:pt idx="809">
                  <c:v>0</c:v>
                </c:pt>
                <c:pt idx="810">
                  <c:v>-3916.2000000000116</c:v>
                </c:pt>
                <c:pt idx="811">
                  <c:v>-1066.8999999999942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-2429.9500000000116</c:v>
                </c:pt>
                <c:pt idx="818">
                  <c:v>0</c:v>
                </c:pt>
                <c:pt idx="819">
                  <c:v>-7674.3500000000058</c:v>
                </c:pt>
                <c:pt idx="820">
                  <c:v>0</c:v>
                </c:pt>
                <c:pt idx="821">
                  <c:v>0</c:v>
                </c:pt>
                <c:pt idx="822">
                  <c:v>-2011.8999999999942</c:v>
                </c:pt>
                <c:pt idx="823">
                  <c:v>-122.5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-930</c:v>
                </c:pt>
                <c:pt idx="830">
                  <c:v>0</c:v>
                </c:pt>
                <c:pt idx="831">
                  <c:v>-5268.75</c:v>
                </c:pt>
                <c:pt idx="832">
                  <c:v>0</c:v>
                </c:pt>
                <c:pt idx="833">
                  <c:v>-1123.1499999999942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-2786.8500000000058</c:v>
                </c:pt>
                <c:pt idx="839">
                  <c:v>-1851.8500000000058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-1634.3500000000058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-2648.7999999999884</c:v>
                </c:pt>
                <c:pt idx="849">
                  <c:v>0</c:v>
                </c:pt>
                <c:pt idx="850">
                  <c:v>-7038.75</c:v>
                </c:pt>
                <c:pt idx="851">
                  <c:v>-3907.5</c:v>
                </c:pt>
                <c:pt idx="852">
                  <c:v>-1824.3500000000058</c:v>
                </c:pt>
                <c:pt idx="853">
                  <c:v>0</c:v>
                </c:pt>
                <c:pt idx="854">
                  <c:v>-4523.75</c:v>
                </c:pt>
                <c:pt idx="855">
                  <c:v>0</c:v>
                </c:pt>
                <c:pt idx="856">
                  <c:v>-1756.2999999999884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-4303.1000000000058</c:v>
                </c:pt>
                <c:pt idx="866">
                  <c:v>0</c:v>
                </c:pt>
                <c:pt idx="867">
                  <c:v>-2103.1000000000058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-3560.6499999999942</c:v>
                </c:pt>
                <c:pt idx="874">
                  <c:v>0</c:v>
                </c:pt>
                <c:pt idx="875">
                  <c:v>0</c:v>
                </c:pt>
                <c:pt idx="876">
                  <c:v>-1108.75</c:v>
                </c:pt>
                <c:pt idx="877">
                  <c:v>-3350</c:v>
                </c:pt>
                <c:pt idx="878">
                  <c:v>-1928.1000000000058</c:v>
                </c:pt>
                <c:pt idx="879">
                  <c:v>-3935</c:v>
                </c:pt>
                <c:pt idx="880">
                  <c:v>0</c:v>
                </c:pt>
                <c:pt idx="881">
                  <c:v>-4055</c:v>
                </c:pt>
                <c:pt idx="882">
                  <c:v>-718.75</c:v>
                </c:pt>
                <c:pt idx="883">
                  <c:v>0</c:v>
                </c:pt>
                <c:pt idx="884">
                  <c:v>0</c:v>
                </c:pt>
                <c:pt idx="885">
                  <c:v>-5288.7000000000116</c:v>
                </c:pt>
                <c:pt idx="886">
                  <c:v>-3924.3999999999942</c:v>
                </c:pt>
                <c:pt idx="887">
                  <c:v>0</c:v>
                </c:pt>
                <c:pt idx="888">
                  <c:v>-2396.8500000000058</c:v>
                </c:pt>
                <c:pt idx="889">
                  <c:v>-170.64999999999418</c:v>
                </c:pt>
                <c:pt idx="890">
                  <c:v>-78.100000000005821</c:v>
                </c:pt>
                <c:pt idx="891">
                  <c:v>0</c:v>
                </c:pt>
                <c:pt idx="892">
                  <c:v>0</c:v>
                </c:pt>
                <c:pt idx="893">
                  <c:v>-2226.25</c:v>
                </c:pt>
                <c:pt idx="894">
                  <c:v>-709.39999999999418</c:v>
                </c:pt>
                <c:pt idx="895">
                  <c:v>-3031.25</c:v>
                </c:pt>
                <c:pt idx="896">
                  <c:v>-2375.6000000000058</c:v>
                </c:pt>
                <c:pt idx="897">
                  <c:v>0</c:v>
                </c:pt>
                <c:pt idx="898">
                  <c:v>-1496.8500000000058</c:v>
                </c:pt>
                <c:pt idx="899">
                  <c:v>0</c:v>
                </c:pt>
                <c:pt idx="900">
                  <c:v>-1413.1000000000058</c:v>
                </c:pt>
                <c:pt idx="901">
                  <c:v>-1381.25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-941.89999999999418</c:v>
                </c:pt>
                <c:pt idx="907">
                  <c:v>0</c:v>
                </c:pt>
                <c:pt idx="908">
                  <c:v>-336.25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-6085.6000000000058</c:v>
                </c:pt>
                <c:pt idx="916">
                  <c:v>-14103.149999999994</c:v>
                </c:pt>
                <c:pt idx="917">
                  <c:v>-7713.1000000000058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-121.25</c:v>
                </c:pt>
                <c:pt idx="924">
                  <c:v>0</c:v>
                </c:pt>
                <c:pt idx="925">
                  <c:v>0</c:v>
                </c:pt>
                <c:pt idx="926">
                  <c:v>-609.35000000000582</c:v>
                </c:pt>
                <c:pt idx="927">
                  <c:v>-1281.2999999999884</c:v>
                </c:pt>
                <c:pt idx="928">
                  <c:v>-2553.1000000000058</c:v>
                </c:pt>
                <c:pt idx="929">
                  <c:v>0</c:v>
                </c:pt>
                <c:pt idx="930">
                  <c:v>-755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-2060.6499999999942</c:v>
                </c:pt>
                <c:pt idx="939">
                  <c:v>-5492.5</c:v>
                </c:pt>
                <c:pt idx="940">
                  <c:v>-979.95000000001164</c:v>
                </c:pt>
                <c:pt idx="941">
                  <c:v>-8558.75</c:v>
                </c:pt>
                <c:pt idx="942">
                  <c:v>0</c:v>
                </c:pt>
                <c:pt idx="943">
                  <c:v>-2145</c:v>
                </c:pt>
                <c:pt idx="944">
                  <c:v>0</c:v>
                </c:pt>
                <c:pt idx="945">
                  <c:v>-5299.3500000000058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-3069.3999999999942</c:v>
                </c:pt>
                <c:pt idx="950">
                  <c:v>-3086.25</c:v>
                </c:pt>
                <c:pt idx="951">
                  <c:v>0</c:v>
                </c:pt>
                <c:pt idx="952">
                  <c:v>0</c:v>
                </c:pt>
                <c:pt idx="953">
                  <c:v>-6492.4500000000116</c:v>
                </c:pt>
                <c:pt idx="954">
                  <c:v>-996.89999999999418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-394.39999999999418</c:v>
                </c:pt>
                <c:pt idx="961">
                  <c:v>-2739.3999999999942</c:v>
                </c:pt>
                <c:pt idx="962">
                  <c:v>-523.75</c:v>
                </c:pt>
                <c:pt idx="963">
                  <c:v>-4578.7000000000116</c:v>
                </c:pt>
                <c:pt idx="964">
                  <c:v>0</c:v>
                </c:pt>
                <c:pt idx="965">
                  <c:v>0</c:v>
                </c:pt>
                <c:pt idx="966">
                  <c:v>-908.10000000000582</c:v>
                </c:pt>
                <c:pt idx="967">
                  <c:v>0</c:v>
                </c:pt>
                <c:pt idx="968">
                  <c:v>-205.64999999999418</c:v>
                </c:pt>
                <c:pt idx="969">
                  <c:v>0</c:v>
                </c:pt>
                <c:pt idx="970">
                  <c:v>-3896.25</c:v>
                </c:pt>
                <c:pt idx="971">
                  <c:v>-1685.6000000000058</c:v>
                </c:pt>
                <c:pt idx="972">
                  <c:v>0</c:v>
                </c:pt>
                <c:pt idx="973">
                  <c:v>0</c:v>
                </c:pt>
                <c:pt idx="974">
                  <c:v>-5869.3999999999942</c:v>
                </c:pt>
                <c:pt idx="975">
                  <c:v>-1313.1000000000058</c:v>
                </c:pt>
                <c:pt idx="976">
                  <c:v>-2345.0499999999884</c:v>
                </c:pt>
                <c:pt idx="977">
                  <c:v>-1335</c:v>
                </c:pt>
                <c:pt idx="978">
                  <c:v>-664.35000000000582</c:v>
                </c:pt>
                <c:pt idx="979">
                  <c:v>0</c:v>
                </c:pt>
                <c:pt idx="980">
                  <c:v>-1440.0499999999884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-928.79999999998836</c:v>
                </c:pt>
                <c:pt idx="985">
                  <c:v>-2918.1000000000058</c:v>
                </c:pt>
                <c:pt idx="986">
                  <c:v>0</c:v>
                </c:pt>
                <c:pt idx="987">
                  <c:v>0</c:v>
                </c:pt>
                <c:pt idx="988">
                  <c:v>-1010.6499999999942</c:v>
                </c:pt>
                <c:pt idx="989">
                  <c:v>0</c:v>
                </c:pt>
                <c:pt idx="990">
                  <c:v>0</c:v>
                </c:pt>
                <c:pt idx="991">
                  <c:v>-1050.6499999999942</c:v>
                </c:pt>
                <c:pt idx="992">
                  <c:v>0</c:v>
                </c:pt>
                <c:pt idx="993">
                  <c:v>-6910.6499999999942</c:v>
                </c:pt>
                <c:pt idx="994">
                  <c:v>0</c:v>
                </c:pt>
                <c:pt idx="995">
                  <c:v>0</c:v>
                </c:pt>
                <c:pt idx="996">
                  <c:v>-1082.5</c:v>
                </c:pt>
                <c:pt idx="997">
                  <c:v>-2067.5</c:v>
                </c:pt>
                <c:pt idx="998">
                  <c:v>0</c:v>
                </c:pt>
                <c:pt idx="999">
                  <c:v>-7144.3999999999942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-2423.1000000000058</c:v>
                </c:pt>
                <c:pt idx="1005">
                  <c:v>0</c:v>
                </c:pt>
                <c:pt idx="1006">
                  <c:v>-2558.75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-5885.6500000000233</c:v>
                </c:pt>
                <c:pt idx="1017">
                  <c:v>-2140</c:v>
                </c:pt>
                <c:pt idx="1018">
                  <c:v>-1588.75</c:v>
                </c:pt>
                <c:pt idx="1019">
                  <c:v>-1743.1499999999942</c:v>
                </c:pt>
                <c:pt idx="1020">
                  <c:v>-487.45000000001164</c:v>
                </c:pt>
                <c:pt idx="1021">
                  <c:v>-4541.8999999999942</c:v>
                </c:pt>
                <c:pt idx="1022">
                  <c:v>-6155.6000000000058</c:v>
                </c:pt>
                <c:pt idx="1023">
                  <c:v>0</c:v>
                </c:pt>
                <c:pt idx="1024">
                  <c:v>-10445.600000000006</c:v>
                </c:pt>
                <c:pt idx="1025">
                  <c:v>0</c:v>
                </c:pt>
                <c:pt idx="1026">
                  <c:v>0</c:v>
                </c:pt>
                <c:pt idx="1027">
                  <c:v>-2936.8999999999942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-115</c:v>
                </c:pt>
                <c:pt idx="1032">
                  <c:v>0</c:v>
                </c:pt>
                <c:pt idx="1033">
                  <c:v>-1386.25</c:v>
                </c:pt>
                <c:pt idx="1034">
                  <c:v>-7679.3500000000058</c:v>
                </c:pt>
                <c:pt idx="1035">
                  <c:v>-9380</c:v>
                </c:pt>
                <c:pt idx="1036">
                  <c:v>-9939.3500000000058</c:v>
                </c:pt>
                <c:pt idx="1037">
                  <c:v>-2635.6499999999942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-96.25</c:v>
                </c:pt>
                <c:pt idx="1042">
                  <c:v>0</c:v>
                </c:pt>
                <c:pt idx="1043">
                  <c:v>0</c:v>
                </c:pt>
                <c:pt idx="1044">
                  <c:v>-140.64999999999418</c:v>
                </c:pt>
                <c:pt idx="1045">
                  <c:v>-4509.3500000000058</c:v>
                </c:pt>
                <c:pt idx="1046">
                  <c:v>-6403.1000000000058</c:v>
                </c:pt>
                <c:pt idx="1047">
                  <c:v>0</c:v>
                </c:pt>
                <c:pt idx="1048">
                  <c:v>-135</c:v>
                </c:pt>
                <c:pt idx="1049">
                  <c:v>0</c:v>
                </c:pt>
                <c:pt idx="1050">
                  <c:v>0</c:v>
                </c:pt>
                <c:pt idx="1051">
                  <c:v>-211.25</c:v>
                </c:pt>
                <c:pt idx="1052">
                  <c:v>-269.39999999999418</c:v>
                </c:pt>
                <c:pt idx="1053">
                  <c:v>-503.75</c:v>
                </c:pt>
                <c:pt idx="1054">
                  <c:v>0</c:v>
                </c:pt>
                <c:pt idx="1055">
                  <c:v>-5565.6000000000058</c:v>
                </c:pt>
                <c:pt idx="1056">
                  <c:v>-808.79999999998836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-856.25</c:v>
                </c:pt>
                <c:pt idx="1062">
                  <c:v>-231.25</c:v>
                </c:pt>
                <c:pt idx="1063">
                  <c:v>0</c:v>
                </c:pt>
                <c:pt idx="1064">
                  <c:v>-572.5</c:v>
                </c:pt>
                <c:pt idx="1065">
                  <c:v>0</c:v>
                </c:pt>
                <c:pt idx="1066">
                  <c:v>0</c:v>
                </c:pt>
                <c:pt idx="1067">
                  <c:v>-1803.75</c:v>
                </c:pt>
                <c:pt idx="1068">
                  <c:v>-1367.5</c:v>
                </c:pt>
                <c:pt idx="1069">
                  <c:v>0</c:v>
                </c:pt>
                <c:pt idx="1070">
                  <c:v>0</c:v>
                </c:pt>
                <c:pt idx="1071">
                  <c:v>-338.14999999999418</c:v>
                </c:pt>
                <c:pt idx="1072">
                  <c:v>0</c:v>
                </c:pt>
                <c:pt idx="1073">
                  <c:v>-612.54999999998836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-3281.25</c:v>
                </c:pt>
                <c:pt idx="1083">
                  <c:v>-1256.25</c:v>
                </c:pt>
                <c:pt idx="1084">
                  <c:v>-3148.1499999999942</c:v>
                </c:pt>
                <c:pt idx="1085">
                  <c:v>-847.45000000001164</c:v>
                </c:pt>
                <c:pt idx="1086">
                  <c:v>-4282.5499999999884</c:v>
                </c:pt>
                <c:pt idx="1087">
                  <c:v>-827.45000000001164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-944.34999999997672</c:v>
                </c:pt>
                <c:pt idx="1093">
                  <c:v>0</c:v>
                </c:pt>
                <c:pt idx="1094">
                  <c:v>-4491.25</c:v>
                </c:pt>
                <c:pt idx="1095">
                  <c:v>0</c:v>
                </c:pt>
                <c:pt idx="1096">
                  <c:v>0</c:v>
                </c:pt>
                <c:pt idx="1097">
                  <c:v>-434.35000000000582</c:v>
                </c:pt>
                <c:pt idx="1098">
                  <c:v>-2116.25</c:v>
                </c:pt>
                <c:pt idx="1099">
                  <c:v>0</c:v>
                </c:pt>
                <c:pt idx="1100">
                  <c:v>-446.90000000002328</c:v>
                </c:pt>
                <c:pt idx="1101">
                  <c:v>0</c:v>
                </c:pt>
                <c:pt idx="1102">
                  <c:v>-375.05000000004657</c:v>
                </c:pt>
                <c:pt idx="1103">
                  <c:v>0</c:v>
                </c:pt>
                <c:pt idx="1104">
                  <c:v>-2639.4000000000233</c:v>
                </c:pt>
                <c:pt idx="1105">
                  <c:v>-3418.75</c:v>
                </c:pt>
                <c:pt idx="1106">
                  <c:v>0</c:v>
                </c:pt>
                <c:pt idx="1107">
                  <c:v>-1781.8499999999767</c:v>
                </c:pt>
                <c:pt idx="1108">
                  <c:v>-416.25</c:v>
                </c:pt>
                <c:pt idx="1109">
                  <c:v>0</c:v>
                </c:pt>
                <c:pt idx="1110">
                  <c:v>-3328.0999999999767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-646.84999999997672</c:v>
                </c:pt>
                <c:pt idx="1115">
                  <c:v>0</c:v>
                </c:pt>
                <c:pt idx="1116">
                  <c:v>-2458.75</c:v>
                </c:pt>
                <c:pt idx="1117">
                  <c:v>-862.5</c:v>
                </c:pt>
                <c:pt idx="1118">
                  <c:v>-7491.25</c:v>
                </c:pt>
                <c:pt idx="1119">
                  <c:v>-928.75</c:v>
                </c:pt>
                <c:pt idx="1120">
                  <c:v>0</c:v>
                </c:pt>
                <c:pt idx="1121">
                  <c:v>0</c:v>
                </c:pt>
                <c:pt idx="1122">
                  <c:v>-518.15000000002328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-72.5</c:v>
                </c:pt>
                <c:pt idx="1128">
                  <c:v>0</c:v>
                </c:pt>
                <c:pt idx="1129">
                  <c:v>-4791.8499999999767</c:v>
                </c:pt>
                <c:pt idx="1130">
                  <c:v>-2725.0500000000466</c:v>
                </c:pt>
                <c:pt idx="1131">
                  <c:v>0</c:v>
                </c:pt>
                <c:pt idx="1132">
                  <c:v>0</c:v>
                </c:pt>
                <c:pt idx="1133">
                  <c:v>-1734.4000000000233</c:v>
                </c:pt>
                <c:pt idx="1134">
                  <c:v>-1658.1500000000233</c:v>
                </c:pt>
                <c:pt idx="1135">
                  <c:v>0</c:v>
                </c:pt>
                <c:pt idx="1136">
                  <c:v>-30.599999999976717</c:v>
                </c:pt>
                <c:pt idx="1137">
                  <c:v>0</c:v>
                </c:pt>
                <c:pt idx="1138">
                  <c:v>0</c:v>
                </c:pt>
                <c:pt idx="1139">
                  <c:v>-1431.9000000000233</c:v>
                </c:pt>
                <c:pt idx="1140">
                  <c:v>0</c:v>
                </c:pt>
                <c:pt idx="1141">
                  <c:v>-4653.75</c:v>
                </c:pt>
                <c:pt idx="1142">
                  <c:v>0</c:v>
                </c:pt>
                <c:pt idx="1143">
                  <c:v>0</c:v>
                </c:pt>
                <c:pt idx="1144">
                  <c:v>-898.75</c:v>
                </c:pt>
                <c:pt idx="1145">
                  <c:v>0</c:v>
                </c:pt>
                <c:pt idx="1146">
                  <c:v>-2041.9000000000233</c:v>
                </c:pt>
                <c:pt idx="1147">
                  <c:v>-7329.3499999999767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-1246.9000000000233</c:v>
                </c:pt>
                <c:pt idx="1152">
                  <c:v>0</c:v>
                </c:pt>
                <c:pt idx="1153">
                  <c:v>-4878.1500000000233</c:v>
                </c:pt>
                <c:pt idx="1154">
                  <c:v>-6545.5999999999767</c:v>
                </c:pt>
                <c:pt idx="1155">
                  <c:v>-1767.5500000000466</c:v>
                </c:pt>
                <c:pt idx="1156">
                  <c:v>-415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-3803.0999999999767</c:v>
                </c:pt>
                <c:pt idx="1162">
                  <c:v>-1290.0500000000466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-2000</c:v>
                </c:pt>
                <c:pt idx="1167">
                  <c:v>0</c:v>
                </c:pt>
                <c:pt idx="1168">
                  <c:v>0</c:v>
                </c:pt>
                <c:pt idx="1169">
                  <c:v>-1787.5</c:v>
                </c:pt>
                <c:pt idx="1170">
                  <c:v>0</c:v>
                </c:pt>
                <c:pt idx="1171">
                  <c:v>-1182.5</c:v>
                </c:pt>
                <c:pt idx="1172">
                  <c:v>-958.75</c:v>
                </c:pt>
                <c:pt idx="1173">
                  <c:v>0</c:v>
                </c:pt>
                <c:pt idx="1174">
                  <c:v>-466.90000000002328</c:v>
                </c:pt>
                <c:pt idx="1175">
                  <c:v>0</c:v>
                </c:pt>
                <c:pt idx="1176">
                  <c:v>-2303.1500000000233</c:v>
                </c:pt>
                <c:pt idx="1177">
                  <c:v>-3548.0999999999767</c:v>
                </c:pt>
                <c:pt idx="1178">
                  <c:v>0</c:v>
                </c:pt>
                <c:pt idx="1179">
                  <c:v>-3091.3000000000466</c:v>
                </c:pt>
                <c:pt idx="1180">
                  <c:v>-240.59999999997672</c:v>
                </c:pt>
                <c:pt idx="1181">
                  <c:v>0</c:v>
                </c:pt>
                <c:pt idx="1182">
                  <c:v>0</c:v>
                </c:pt>
                <c:pt idx="1183">
                  <c:v>-4207.4499999999534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-5215</c:v>
                </c:pt>
                <c:pt idx="1191">
                  <c:v>0</c:v>
                </c:pt>
                <c:pt idx="1192">
                  <c:v>-1646.25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-2471.25</c:v>
                </c:pt>
                <c:pt idx="1197">
                  <c:v>-41.900000000023283</c:v>
                </c:pt>
                <c:pt idx="1198">
                  <c:v>0</c:v>
                </c:pt>
                <c:pt idx="1199">
                  <c:v>-2598.0999999999767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-575</c:v>
                </c:pt>
                <c:pt idx="1205">
                  <c:v>0</c:v>
                </c:pt>
                <c:pt idx="1206">
                  <c:v>-240.65000000002328</c:v>
                </c:pt>
                <c:pt idx="1207">
                  <c:v>-1926.8499999999767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-3770.5999999999767</c:v>
                </c:pt>
                <c:pt idx="1212">
                  <c:v>0</c:v>
                </c:pt>
                <c:pt idx="1213">
                  <c:v>-112.5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-1558.6999999999534</c:v>
                </c:pt>
                <c:pt idx="1218">
                  <c:v>-2500.6500000000233</c:v>
                </c:pt>
                <c:pt idx="1219">
                  <c:v>0</c:v>
                </c:pt>
                <c:pt idx="1220">
                  <c:v>0</c:v>
                </c:pt>
                <c:pt idx="1221">
                  <c:v>-6120</c:v>
                </c:pt>
                <c:pt idx="1222">
                  <c:v>-173.15000000002328</c:v>
                </c:pt>
                <c:pt idx="1223">
                  <c:v>-4179.3499999999767</c:v>
                </c:pt>
                <c:pt idx="1224">
                  <c:v>0</c:v>
                </c:pt>
                <c:pt idx="1225">
                  <c:v>-4765</c:v>
                </c:pt>
                <c:pt idx="1226">
                  <c:v>-3728.0999999999767</c:v>
                </c:pt>
                <c:pt idx="1227">
                  <c:v>-2106.25</c:v>
                </c:pt>
                <c:pt idx="1228">
                  <c:v>-641.25</c:v>
                </c:pt>
                <c:pt idx="1229">
                  <c:v>0</c:v>
                </c:pt>
                <c:pt idx="1230">
                  <c:v>0</c:v>
                </c:pt>
                <c:pt idx="1231">
                  <c:v>-2928.0999999999767</c:v>
                </c:pt>
                <c:pt idx="1232">
                  <c:v>-95</c:v>
                </c:pt>
                <c:pt idx="1233">
                  <c:v>-2145.6500000000233</c:v>
                </c:pt>
                <c:pt idx="1234">
                  <c:v>0</c:v>
                </c:pt>
                <c:pt idx="1235">
                  <c:v>-984.40000000002328</c:v>
                </c:pt>
                <c:pt idx="1236">
                  <c:v>-3667.4499999999534</c:v>
                </c:pt>
                <c:pt idx="1237">
                  <c:v>-2998.8000000000466</c:v>
                </c:pt>
                <c:pt idx="1238">
                  <c:v>0</c:v>
                </c:pt>
                <c:pt idx="1239">
                  <c:v>-201.25</c:v>
                </c:pt>
                <c:pt idx="1240">
                  <c:v>-220</c:v>
                </c:pt>
                <c:pt idx="1241">
                  <c:v>-5515.6500000000233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-5528.0999999999767</c:v>
                </c:pt>
                <c:pt idx="1246">
                  <c:v>-1380.6500000000233</c:v>
                </c:pt>
                <c:pt idx="1247">
                  <c:v>0</c:v>
                </c:pt>
                <c:pt idx="1248">
                  <c:v>-2029.4000000000233</c:v>
                </c:pt>
                <c:pt idx="1249">
                  <c:v>0</c:v>
                </c:pt>
                <c:pt idx="1250">
                  <c:v>0</c:v>
                </c:pt>
                <c:pt idx="1251">
                  <c:v>-786.25</c:v>
                </c:pt>
                <c:pt idx="1252">
                  <c:v>-478.09999999997672</c:v>
                </c:pt>
                <c:pt idx="1253">
                  <c:v>-2352.5</c:v>
                </c:pt>
                <c:pt idx="1254">
                  <c:v>-963.15000000002328</c:v>
                </c:pt>
                <c:pt idx="1255">
                  <c:v>-2906.9000000000233</c:v>
                </c:pt>
                <c:pt idx="1256">
                  <c:v>0</c:v>
                </c:pt>
                <c:pt idx="1257">
                  <c:v>0</c:v>
                </c:pt>
                <c:pt idx="1258">
                  <c:v>-306.25</c:v>
                </c:pt>
                <c:pt idx="1259">
                  <c:v>-2670</c:v>
                </c:pt>
                <c:pt idx="1260">
                  <c:v>-2156.9000000000233</c:v>
                </c:pt>
                <c:pt idx="1261">
                  <c:v>0</c:v>
                </c:pt>
                <c:pt idx="1262">
                  <c:v>0</c:v>
                </c:pt>
                <c:pt idx="1263">
                  <c:v>-1928.0999999999767</c:v>
                </c:pt>
                <c:pt idx="1264">
                  <c:v>-1676.9000000000233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-3286.8499999999767</c:v>
                </c:pt>
                <c:pt idx="1270">
                  <c:v>-62.550000000046566</c:v>
                </c:pt>
                <c:pt idx="1271">
                  <c:v>0</c:v>
                </c:pt>
                <c:pt idx="1272">
                  <c:v>-1194.4000000000233</c:v>
                </c:pt>
                <c:pt idx="1273">
                  <c:v>0</c:v>
                </c:pt>
                <c:pt idx="1274">
                  <c:v>-1785</c:v>
                </c:pt>
                <c:pt idx="1275">
                  <c:v>0</c:v>
                </c:pt>
                <c:pt idx="1276">
                  <c:v>-268.75</c:v>
                </c:pt>
                <c:pt idx="1277">
                  <c:v>-125.59999999997672</c:v>
                </c:pt>
                <c:pt idx="1278">
                  <c:v>-1135.0500000000466</c:v>
                </c:pt>
                <c:pt idx="1279">
                  <c:v>0</c:v>
                </c:pt>
                <c:pt idx="1280">
                  <c:v>-1824.9499999999534</c:v>
                </c:pt>
                <c:pt idx="1281">
                  <c:v>-1009.4000000000233</c:v>
                </c:pt>
                <c:pt idx="1282">
                  <c:v>0</c:v>
                </c:pt>
                <c:pt idx="1283">
                  <c:v>0</c:v>
                </c:pt>
                <c:pt idx="1284">
                  <c:v>-1585</c:v>
                </c:pt>
                <c:pt idx="1285">
                  <c:v>0</c:v>
                </c:pt>
                <c:pt idx="1286">
                  <c:v>0</c:v>
                </c:pt>
                <c:pt idx="1287">
                  <c:v>-4929.4000000000233</c:v>
                </c:pt>
                <c:pt idx="1288">
                  <c:v>-355.59999999997672</c:v>
                </c:pt>
                <c:pt idx="1289">
                  <c:v>-482.5</c:v>
                </c:pt>
                <c:pt idx="1290">
                  <c:v>-538.80000000004657</c:v>
                </c:pt>
                <c:pt idx="1291">
                  <c:v>-1078.0999999999767</c:v>
                </c:pt>
                <c:pt idx="1292">
                  <c:v>-57.5</c:v>
                </c:pt>
                <c:pt idx="1293">
                  <c:v>-745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-972.44999999995343</c:v>
                </c:pt>
                <c:pt idx="1300">
                  <c:v>0</c:v>
                </c:pt>
                <c:pt idx="1301">
                  <c:v>-2065</c:v>
                </c:pt>
                <c:pt idx="1302">
                  <c:v>-1276.9000000000233</c:v>
                </c:pt>
                <c:pt idx="1303">
                  <c:v>-1648.75</c:v>
                </c:pt>
                <c:pt idx="1304">
                  <c:v>-5868.75</c:v>
                </c:pt>
                <c:pt idx="1305">
                  <c:v>0</c:v>
                </c:pt>
                <c:pt idx="1306">
                  <c:v>0</c:v>
                </c:pt>
                <c:pt idx="1307">
                  <c:v>-2678.1500000000233</c:v>
                </c:pt>
                <c:pt idx="1308">
                  <c:v>-196.84999999997672</c:v>
                </c:pt>
                <c:pt idx="1309">
                  <c:v>-4155.6500000000233</c:v>
                </c:pt>
                <c:pt idx="1310">
                  <c:v>0</c:v>
                </c:pt>
                <c:pt idx="1311">
                  <c:v>-1293.1500000000233</c:v>
                </c:pt>
                <c:pt idx="1312">
                  <c:v>-937.5</c:v>
                </c:pt>
                <c:pt idx="1313">
                  <c:v>0</c:v>
                </c:pt>
                <c:pt idx="1314">
                  <c:v>-996.90000000002328</c:v>
                </c:pt>
                <c:pt idx="1315">
                  <c:v>0</c:v>
                </c:pt>
                <c:pt idx="1316">
                  <c:v>-626.25</c:v>
                </c:pt>
                <c:pt idx="1317">
                  <c:v>-8376.1999999999534</c:v>
                </c:pt>
                <c:pt idx="1318">
                  <c:v>-111.90000000002328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-5334.4000000000233</c:v>
                </c:pt>
                <c:pt idx="1323">
                  <c:v>-6752.5</c:v>
                </c:pt>
                <c:pt idx="1324">
                  <c:v>0</c:v>
                </c:pt>
                <c:pt idx="1325">
                  <c:v>0</c:v>
                </c:pt>
                <c:pt idx="1326">
                  <c:v>-5065.5999999999767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-258.09999999997672</c:v>
                </c:pt>
                <c:pt idx="1331">
                  <c:v>-818.75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-623.75</c:v>
                </c:pt>
                <c:pt idx="1337">
                  <c:v>0</c:v>
                </c:pt>
                <c:pt idx="1338">
                  <c:v>-2234.3499999999767</c:v>
                </c:pt>
                <c:pt idx="1339">
                  <c:v>0</c:v>
                </c:pt>
                <c:pt idx="1340">
                  <c:v>0</c:v>
                </c:pt>
                <c:pt idx="1341">
                  <c:v>-1482.5</c:v>
                </c:pt>
                <c:pt idx="1342">
                  <c:v>-81.25</c:v>
                </c:pt>
                <c:pt idx="1343">
                  <c:v>-2110.6500000000233</c:v>
                </c:pt>
                <c:pt idx="1344">
                  <c:v>-6146.1999999999534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-426.90000000002328</c:v>
                </c:pt>
                <c:pt idx="1349">
                  <c:v>0</c:v>
                </c:pt>
                <c:pt idx="1350">
                  <c:v>-885.65000000002328</c:v>
                </c:pt>
                <c:pt idx="1351">
                  <c:v>0</c:v>
                </c:pt>
                <c:pt idx="1352">
                  <c:v>0</c:v>
                </c:pt>
                <c:pt idx="1353">
                  <c:v>-1521.1999999999534</c:v>
                </c:pt>
                <c:pt idx="1354">
                  <c:v>0</c:v>
                </c:pt>
                <c:pt idx="1355">
                  <c:v>-2425.5999999999767</c:v>
                </c:pt>
                <c:pt idx="1356">
                  <c:v>0</c:v>
                </c:pt>
                <c:pt idx="1357">
                  <c:v>-3083.75</c:v>
                </c:pt>
                <c:pt idx="1358">
                  <c:v>0</c:v>
                </c:pt>
                <c:pt idx="1359">
                  <c:v>-981.90000000002328</c:v>
                </c:pt>
                <c:pt idx="1360">
                  <c:v>0</c:v>
                </c:pt>
                <c:pt idx="1361">
                  <c:v>-2418.0999999999767</c:v>
                </c:pt>
                <c:pt idx="1362">
                  <c:v>-93.75</c:v>
                </c:pt>
                <c:pt idx="1363">
                  <c:v>-1604.3499999999767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-2121.25</c:v>
                </c:pt>
                <c:pt idx="1370">
                  <c:v>-2643.1500000000233</c:v>
                </c:pt>
                <c:pt idx="1371">
                  <c:v>-6868.6999999999534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-1689.4000000000233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-5146.8499999999767</c:v>
                </c:pt>
                <c:pt idx="1381">
                  <c:v>0</c:v>
                </c:pt>
                <c:pt idx="1382">
                  <c:v>-1980</c:v>
                </c:pt>
                <c:pt idx="1383">
                  <c:v>-922.5</c:v>
                </c:pt>
                <c:pt idx="1384">
                  <c:v>-1438.75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-766.25</c:v>
                </c:pt>
                <c:pt idx="1389">
                  <c:v>-192.5</c:v>
                </c:pt>
                <c:pt idx="1390">
                  <c:v>-475</c:v>
                </c:pt>
                <c:pt idx="1391">
                  <c:v>-626.25</c:v>
                </c:pt>
                <c:pt idx="1392">
                  <c:v>0</c:v>
                </c:pt>
                <c:pt idx="1393">
                  <c:v>-226.25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-3063.6999999999534</c:v>
                </c:pt>
                <c:pt idx="1400">
                  <c:v>0</c:v>
                </c:pt>
                <c:pt idx="1401">
                  <c:v>0</c:v>
                </c:pt>
                <c:pt idx="1402">
                  <c:v>-4223.1500000000233</c:v>
                </c:pt>
                <c:pt idx="1403">
                  <c:v>0</c:v>
                </c:pt>
                <c:pt idx="1404">
                  <c:v>-4045.5999999999767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-2712.5</c:v>
                </c:pt>
                <c:pt idx="1412">
                  <c:v>-1105.6500000000233</c:v>
                </c:pt>
                <c:pt idx="1413">
                  <c:v>-2168.0999999999767</c:v>
                </c:pt>
                <c:pt idx="1414">
                  <c:v>-2174.4000000000233</c:v>
                </c:pt>
                <c:pt idx="1415">
                  <c:v>-4980.5999999999767</c:v>
                </c:pt>
                <c:pt idx="1416">
                  <c:v>0</c:v>
                </c:pt>
                <c:pt idx="1417">
                  <c:v>-1658.75</c:v>
                </c:pt>
                <c:pt idx="1418">
                  <c:v>-10</c:v>
                </c:pt>
                <c:pt idx="1419">
                  <c:v>0</c:v>
                </c:pt>
                <c:pt idx="1420">
                  <c:v>-4109.4000000000233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-4723.75</c:v>
                </c:pt>
                <c:pt idx="1428">
                  <c:v>-1229.4000000000233</c:v>
                </c:pt>
                <c:pt idx="1429">
                  <c:v>-3090.5999999999767</c:v>
                </c:pt>
                <c:pt idx="1430">
                  <c:v>-1.25</c:v>
                </c:pt>
                <c:pt idx="1431">
                  <c:v>-3019.3499999999767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-961.25</c:v>
                </c:pt>
                <c:pt idx="1436">
                  <c:v>-479.34999999997672</c:v>
                </c:pt>
                <c:pt idx="1437">
                  <c:v>0</c:v>
                </c:pt>
                <c:pt idx="1438">
                  <c:v>0</c:v>
                </c:pt>
                <c:pt idx="1439">
                  <c:v>-2266.9000000000233</c:v>
                </c:pt>
                <c:pt idx="1440">
                  <c:v>-109.40000000002328</c:v>
                </c:pt>
                <c:pt idx="1441">
                  <c:v>0</c:v>
                </c:pt>
                <c:pt idx="1442">
                  <c:v>0</c:v>
                </c:pt>
                <c:pt idx="1443">
                  <c:v>-556.90000000002328</c:v>
                </c:pt>
                <c:pt idx="1444">
                  <c:v>-879.34999999997672</c:v>
                </c:pt>
                <c:pt idx="1445">
                  <c:v>-2495</c:v>
                </c:pt>
                <c:pt idx="1446">
                  <c:v>-665</c:v>
                </c:pt>
                <c:pt idx="1447">
                  <c:v>-1260</c:v>
                </c:pt>
                <c:pt idx="1448">
                  <c:v>-371.90000000002328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-1433.1500000000233</c:v>
                </c:pt>
                <c:pt idx="1454">
                  <c:v>0</c:v>
                </c:pt>
                <c:pt idx="1455">
                  <c:v>-13.150000000023283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-1035.0500000000466</c:v>
                </c:pt>
                <c:pt idx="1462">
                  <c:v>-1643.0999999999767</c:v>
                </c:pt>
                <c:pt idx="1463">
                  <c:v>-1455.6500000000233</c:v>
                </c:pt>
                <c:pt idx="1464">
                  <c:v>-6170</c:v>
                </c:pt>
                <c:pt idx="1465">
                  <c:v>0</c:v>
                </c:pt>
                <c:pt idx="1466">
                  <c:v>-493.75</c:v>
                </c:pt>
                <c:pt idx="1467">
                  <c:v>-600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-4154.4000000000233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-971.84999999997672</c:v>
                </c:pt>
                <c:pt idx="1479">
                  <c:v>-1412.5500000000466</c:v>
                </c:pt>
                <c:pt idx="1480">
                  <c:v>-2473.75</c:v>
                </c:pt>
                <c:pt idx="1481">
                  <c:v>-5800.5999999999767</c:v>
                </c:pt>
                <c:pt idx="1482">
                  <c:v>-8683.75</c:v>
                </c:pt>
                <c:pt idx="1483">
                  <c:v>-240</c:v>
                </c:pt>
                <c:pt idx="1484">
                  <c:v>-2010.5999999999767</c:v>
                </c:pt>
                <c:pt idx="1485">
                  <c:v>0</c:v>
                </c:pt>
                <c:pt idx="1486">
                  <c:v>-1201.9000000000233</c:v>
                </c:pt>
                <c:pt idx="1487">
                  <c:v>-1274.3499999999767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-846.84999999997672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-1647.5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-1405.6500000000233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-356.25</c:v>
                </c:pt>
                <c:pt idx="1508">
                  <c:v>-255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-2703.75</c:v>
                </c:pt>
                <c:pt idx="1516">
                  <c:v>0</c:v>
                </c:pt>
                <c:pt idx="1517">
                  <c:v>0</c:v>
                </c:pt>
                <c:pt idx="1518">
                  <c:v>-152.5</c:v>
                </c:pt>
                <c:pt idx="1519">
                  <c:v>0</c:v>
                </c:pt>
                <c:pt idx="1520">
                  <c:v>-1996.25</c:v>
                </c:pt>
                <c:pt idx="1521">
                  <c:v>-723.75</c:v>
                </c:pt>
                <c:pt idx="1522">
                  <c:v>0</c:v>
                </c:pt>
                <c:pt idx="1523">
                  <c:v>-476.90000000002328</c:v>
                </c:pt>
                <c:pt idx="1524">
                  <c:v>-2916.8499999999767</c:v>
                </c:pt>
                <c:pt idx="1525">
                  <c:v>-440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-8181.25</c:v>
                </c:pt>
                <c:pt idx="1530">
                  <c:v>0</c:v>
                </c:pt>
                <c:pt idx="1531">
                  <c:v>0</c:v>
                </c:pt>
                <c:pt idx="1532">
                  <c:v>-398.75</c:v>
                </c:pt>
                <c:pt idx="1533">
                  <c:v>0</c:v>
                </c:pt>
                <c:pt idx="1534">
                  <c:v>0</c:v>
                </c:pt>
                <c:pt idx="1535">
                  <c:v>-1624.4000000000233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-339.34999999997672</c:v>
                </c:pt>
                <c:pt idx="1540">
                  <c:v>-2108.0999999999767</c:v>
                </c:pt>
                <c:pt idx="1541">
                  <c:v>-2455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D-4EE2-91A4-5D1D6FCC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97567"/>
        <c:axId val="87193295"/>
      </c:lineChart>
      <c:catAx>
        <c:axId val="1513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3295"/>
        <c:crosses val="autoZero"/>
        <c:auto val="1"/>
        <c:lblAlgn val="ctr"/>
        <c:lblOffset val="100"/>
        <c:tickMarkSkip val="1"/>
        <c:noMultiLvlLbl val="0"/>
      </c:catAx>
      <c:valAx>
        <c:axId val="8719329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9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Equity Lines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Portfolio!$G$24</c:f>
              <c:strCache>
                <c:ptCount val="1"/>
                <c:pt idx="0">
                  <c:v>@ESU24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Portfolio!$F$25:$F$1566</c:f>
              <c:numCache>
                <c:formatCode>General</c:formatCode>
                <c:ptCount val="1542"/>
                <c:pt idx="0">
                  <c:v>1190709</c:v>
                </c:pt>
                <c:pt idx="1">
                  <c:v>1190710</c:v>
                </c:pt>
                <c:pt idx="2">
                  <c:v>1190711</c:v>
                </c:pt>
                <c:pt idx="3">
                  <c:v>1190712</c:v>
                </c:pt>
                <c:pt idx="4">
                  <c:v>1190714</c:v>
                </c:pt>
                <c:pt idx="5">
                  <c:v>1190715</c:v>
                </c:pt>
                <c:pt idx="6">
                  <c:v>1190716</c:v>
                </c:pt>
                <c:pt idx="7">
                  <c:v>1190717</c:v>
                </c:pt>
                <c:pt idx="8">
                  <c:v>1190718</c:v>
                </c:pt>
                <c:pt idx="9">
                  <c:v>1190719</c:v>
                </c:pt>
                <c:pt idx="10">
                  <c:v>1190721</c:v>
                </c:pt>
                <c:pt idx="11">
                  <c:v>1190722</c:v>
                </c:pt>
                <c:pt idx="12">
                  <c:v>1190723</c:v>
                </c:pt>
                <c:pt idx="13">
                  <c:v>1190724</c:v>
                </c:pt>
                <c:pt idx="14">
                  <c:v>1190725</c:v>
                </c:pt>
                <c:pt idx="15">
                  <c:v>1190726</c:v>
                </c:pt>
                <c:pt idx="16">
                  <c:v>1190728</c:v>
                </c:pt>
                <c:pt idx="17">
                  <c:v>1190729</c:v>
                </c:pt>
                <c:pt idx="18">
                  <c:v>1190730</c:v>
                </c:pt>
                <c:pt idx="19">
                  <c:v>1190731</c:v>
                </c:pt>
                <c:pt idx="20">
                  <c:v>1190801</c:v>
                </c:pt>
                <c:pt idx="21">
                  <c:v>1190802</c:v>
                </c:pt>
                <c:pt idx="22">
                  <c:v>1190804</c:v>
                </c:pt>
                <c:pt idx="23">
                  <c:v>1190805</c:v>
                </c:pt>
                <c:pt idx="24">
                  <c:v>1190806</c:v>
                </c:pt>
                <c:pt idx="25">
                  <c:v>1190807</c:v>
                </c:pt>
                <c:pt idx="26">
                  <c:v>1190808</c:v>
                </c:pt>
                <c:pt idx="27">
                  <c:v>1190809</c:v>
                </c:pt>
                <c:pt idx="28">
                  <c:v>1190811</c:v>
                </c:pt>
                <c:pt idx="29">
                  <c:v>1190812</c:v>
                </c:pt>
                <c:pt idx="30">
                  <c:v>1190813</c:v>
                </c:pt>
                <c:pt idx="31">
                  <c:v>1190814</c:v>
                </c:pt>
                <c:pt idx="32">
                  <c:v>1190815</c:v>
                </c:pt>
                <c:pt idx="33">
                  <c:v>1190816</c:v>
                </c:pt>
                <c:pt idx="34">
                  <c:v>1190818</c:v>
                </c:pt>
                <c:pt idx="35">
                  <c:v>1190819</c:v>
                </c:pt>
                <c:pt idx="36">
                  <c:v>1190820</c:v>
                </c:pt>
                <c:pt idx="37">
                  <c:v>1190821</c:v>
                </c:pt>
                <c:pt idx="38">
                  <c:v>1190822</c:v>
                </c:pt>
                <c:pt idx="39">
                  <c:v>1190823</c:v>
                </c:pt>
                <c:pt idx="40">
                  <c:v>1190825</c:v>
                </c:pt>
                <c:pt idx="41">
                  <c:v>1190826</c:v>
                </c:pt>
                <c:pt idx="42">
                  <c:v>1190827</c:v>
                </c:pt>
                <c:pt idx="43">
                  <c:v>1190828</c:v>
                </c:pt>
                <c:pt idx="44">
                  <c:v>1190829</c:v>
                </c:pt>
                <c:pt idx="45">
                  <c:v>1190830</c:v>
                </c:pt>
                <c:pt idx="46">
                  <c:v>1190901</c:v>
                </c:pt>
                <c:pt idx="47">
                  <c:v>1190902</c:v>
                </c:pt>
                <c:pt idx="48">
                  <c:v>1190903</c:v>
                </c:pt>
                <c:pt idx="49">
                  <c:v>1190904</c:v>
                </c:pt>
                <c:pt idx="50">
                  <c:v>1190905</c:v>
                </c:pt>
                <c:pt idx="51">
                  <c:v>1190906</c:v>
                </c:pt>
                <c:pt idx="52">
                  <c:v>1190908</c:v>
                </c:pt>
                <c:pt idx="53">
                  <c:v>1190909</c:v>
                </c:pt>
                <c:pt idx="54">
                  <c:v>1190910</c:v>
                </c:pt>
                <c:pt idx="55">
                  <c:v>1190911</c:v>
                </c:pt>
                <c:pt idx="56">
                  <c:v>1190912</c:v>
                </c:pt>
                <c:pt idx="57">
                  <c:v>1190913</c:v>
                </c:pt>
                <c:pt idx="58">
                  <c:v>1190915</c:v>
                </c:pt>
                <c:pt idx="59">
                  <c:v>1190916</c:v>
                </c:pt>
                <c:pt idx="60">
                  <c:v>1190917</c:v>
                </c:pt>
                <c:pt idx="61">
                  <c:v>1190918</c:v>
                </c:pt>
                <c:pt idx="62">
                  <c:v>1190919</c:v>
                </c:pt>
                <c:pt idx="63">
                  <c:v>1190920</c:v>
                </c:pt>
                <c:pt idx="64">
                  <c:v>1190922</c:v>
                </c:pt>
                <c:pt idx="65">
                  <c:v>1190923</c:v>
                </c:pt>
                <c:pt idx="66">
                  <c:v>1190924</c:v>
                </c:pt>
                <c:pt idx="67">
                  <c:v>1190925</c:v>
                </c:pt>
                <c:pt idx="68">
                  <c:v>1190926</c:v>
                </c:pt>
                <c:pt idx="69">
                  <c:v>1190927</c:v>
                </c:pt>
                <c:pt idx="70">
                  <c:v>1190929</c:v>
                </c:pt>
                <c:pt idx="71">
                  <c:v>1190930</c:v>
                </c:pt>
                <c:pt idx="72">
                  <c:v>1191001</c:v>
                </c:pt>
                <c:pt idx="73">
                  <c:v>1191002</c:v>
                </c:pt>
                <c:pt idx="74">
                  <c:v>1191003</c:v>
                </c:pt>
                <c:pt idx="75">
                  <c:v>1191004</c:v>
                </c:pt>
                <c:pt idx="76">
                  <c:v>1191006</c:v>
                </c:pt>
                <c:pt idx="77">
                  <c:v>1191007</c:v>
                </c:pt>
                <c:pt idx="78">
                  <c:v>1191008</c:v>
                </c:pt>
                <c:pt idx="79">
                  <c:v>1191009</c:v>
                </c:pt>
                <c:pt idx="80">
                  <c:v>1191010</c:v>
                </c:pt>
                <c:pt idx="81">
                  <c:v>1191011</c:v>
                </c:pt>
                <c:pt idx="82">
                  <c:v>1191013</c:v>
                </c:pt>
                <c:pt idx="83">
                  <c:v>1191014</c:v>
                </c:pt>
                <c:pt idx="84">
                  <c:v>1191015</c:v>
                </c:pt>
                <c:pt idx="85">
                  <c:v>1191016</c:v>
                </c:pt>
                <c:pt idx="86">
                  <c:v>1191017</c:v>
                </c:pt>
                <c:pt idx="87">
                  <c:v>1191018</c:v>
                </c:pt>
                <c:pt idx="88">
                  <c:v>1191020</c:v>
                </c:pt>
                <c:pt idx="89">
                  <c:v>1191021</c:v>
                </c:pt>
                <c:pt idx="90">
                  <c:v>1191022</c:v>
                </c:pt>
                <c:pt idx="91">
                  <c:v>1191023</c:v>
                </c:pt>
                <c:pt idx="92">
                  <c:v>1191024</c:v>
                </c:pt>
                <c:pt idx="93">
                  <c:v>1191025</c:v>
                </c:pt>
                <c:pt idx="94">
                  <c:v>1191027</c:v>
                </c:pt>
                <c:pt idx="95">
                  <c:v>1191028</c:v>
                </c:pt>
                <c:pt idx="96">
                  <c:v>1191029</c:v>
                </c:pt>
                <c:pt idx="97">
                  <c:v>1191030</c:v>
                </c:pt>
                <c:pt idx="98">
                  <c:v>1191031</c:v>
                </c:pt>
                <c:pt idx="99">
                  <c:v>1191101</c:v>
                </c:pt>
                <c:pt idx="100">
                  <c:v>1191103</c:v>
                </c:pt>
                <c:pt idx="101">
                  <c:v>1191104</c:v>
                </c:pt>
                <c:pt idx="102">
                  <c:v>1191105</c:v>
                </c:pt>
                <c:pt idx="103">
                  <c:v>1191106</c:v>
                </c:pt>
                <c:pt idx="104">
                  <c:v>1191107</c:v>
                </c:pt>
                <c:pt idx="105">
                  <c:v>1191108</c:v>
                </c:pt>
                <c:pt idx="106">
                  <c:v>1191110</c:v>
                </c:pt>
                <c:pt idx="107">
                  <c:v>1191111</c:v>
                </c:pt>
                <c:pt idx="108">
                  <c:v>1191112</c:v>
                </c:pt>
                <c:pt idx="109">
                  <c:v>1191113</c:v>
                </c:pt>
                <c:pt idx="110">
                  <c:v>1191114</c:v>
                </c:pt>
                <c:pt idx="111">
                  <c:v>1191115</c:v>
                </c:pt>
                <c:pt idx="112">
                  <c:v>1191117</c:v>
                </c:pt>
                <c:pt idx="113">
                  <c:v>1191118</c:v>
                </c:pt>
                <c:pt idx="114">
                  <c:v>1191119</c:v>
                </c:pt>
                <c:pt idx="115">
                  <c:v>1191120</c:v>
                </c:pt>
                <c:pt idx="116">
                  <c:v>1191121</c:v>
                </c:pt>
                <c:pt idx="117">
                  <c:v>1191122</c:v>
                </c:pt>
                <c:pt idx="118">
                  <c:v>1191124</c:v>
                </c:pt>
                <c:pt idx="119">
                  <c:v>1191125</c:v>
                </c:pt>
                <c:pt idx="120">
                  <c:v>1191126</c:v>
                </c:pt>
                <c:pt idx="121">
                  <c:v>1191127</c:v>
                </c:pt>
                <c:pt idx="122">
                  <c:v>1191128</c:v>
                </c:pt>
                <c:pt idx="123">
                  <c:v>1191129</c:v>
                </c:pt>
                <c:pt idx="124">
                  <c:v>1191201</c:v>
                </c:pt>
                <c:pt idx="125">
                  <c:v>1191202</c:v>
                </c:pt>
                <c:pt idx="126">
                  <c:v>1191203</c:v>
                </c:pt>
                <c:pt idx="127">
                  <c:v>1191204</c:v>
                </c:pt>
                <c:pt idx="128">
                  <c:v>1191205</c:v>
                </c:pt>
                <c:pt idx="129">
                  <c:v>1191206</c:v>
                </c:pt>
                <c:pt idx="130">
                  <c:v>1191208</c:v>
                </c:pt>
                <c:pt idx="131">
                  <c:v>1191209</c:v>
                </c:pt>
                <c:pt idx="132">
                  <c:v>1191210</c:v>
                </c:pt>
                <c:pt idx="133">
                  <c:v>1191211</c:v>
                </c:pt>
                <c:pt idx="134">
                  <c:v>1191212</c:v>
                </c:pt>
                <c:pt idx="135">
                  <c:v>1191213</c:v>
                </c:pt>
                <c:pt idx="136">
                  <c:v>1191215</c:v>
                </c:pt>
                <c:pt idx="137">
                  <c:v>1191216</c:v>
                </c:pt>
                <c:pt idx="138">
                  <c:v>1191217</c:v>
                </c:pt>
                <c:pt idx="139">
                  <c:v>1191218</c:v>
                </c:pt>
                <c:pt idx="140">
                  <c:v>1191219</c:v>
                </c:pt>
                <c:pt idx="141">
                  <c:v>1191220</c:v>
                </c:pt>
                <c:pt idx="142">
                  <c:v>1191222</c:v>
                </c:pt>
                <c:pt idx="143">
                  <c:v>1191223</c:v>
                </c:pt>
                <c:pt idx="144">
                  <c:v>1191224</c:v>
                </c:pt>
                <c:pt idx="145">
                  <c:v>1191225</c:v>
                </c:pt>
                <c:pt idx="146">
                  <c:v>1191226</c:v>
                </c:pt>
                <c:pt idx="147">
                  <c:v>1191227</c:v>
                </c:pt>
                <c:pt idx="148">
                  <c:v>1191229</c:v>
                </c:pt>
                <c:pt idx="149">
                  <c:v>1191230</c:v>
                </c:pt>
                <c:pt idx="150">
                  <c:v>1191231</c:v>
                </c:pt>
                <c:pt idx="151">
                  <c:v>1200101</c:v>
                </c:pt>
                <c:pt idx="152">
                  <c:v>1200102</c:v>
                </c:pt>
                <c:pt idx="153">
                  <c:v>1200103</c:v>
                </c:pt>
                <c:pt idx="154">
                  <c:v>1200105</c:v>
                </c:pt>
                <c:pt idx="155">
                  <c:v>1200106</c:v>
                </c:pt>
                <c:pt idx="156">
                  <c:v>1200107</c:v>
                </c:pt>
                <c:pt idx="157">
                  <c:v>1200108</c:v>
                </c:pt>
                <c:pt idx="158">
                  <c:v>1200109</c:v>
                </c:pt>
                <c:pt idx="159">
                  <c:v>1200110</c:v>
                </c:pt>
                <c:pt idx="160">
                  <c:v>1200112</c:v>
                </c:pt>
                <c:pt idx="161">
                  <c:v>1200113</c:v>
                </c:pt>
                <c:pt idx="162">
                  <c:v>1200114</c:v>
                </c:pt>
                <c:pt idx="163">
                  <c:v>1200115</c:v>
                </c:pt>
                <c:pt idx="164">
                  <c:v>1200116</c:v>
                </c:pt>
                <c:pt idx="165">
                  <c:v>1200117</c:v>
                </c:pt>
                <c:pt idx="166">
                  <c:v>1200119</c:v>
                </c:pt>
                <c:pt idx="167">
                  <c:v>1200120</c:v>
                </c:pt>
                <c:pt idx="168">
                  <c:v>1200121</c:v>
                </c:pt>
                <c:pt idx="169">
                  <c:v>1200122</c:v>
                </c:pt>
                <c:pt idx="170">
                  <c:v>1200123</c:v>
                </c:pt>
                <c:pt idx="171">
                  <c:v>1200124</c:v>
                </c:pt>
                <c:pt idx="172">
                  <c:v>1200126</c:v>
                </c:pt>
                <c:pt idx="173">
                  <c:v>1200127</c:v>
                </c:pt>
                <c:pt idx="174">
                  <c:v>1200128</c:v>
                </c:pt>
                <c:pt idx="175">
                  <c:v>1200129</c:v>
                </c:pt>
                <c:pt idx="176">
                  <c:v>1200130</c:v>
                </c:pt>
                <c:pt idx="177">
                  <c:v>1200131</c:v>
                </c:pt>
                <c:pt idx="178">
                  <c:v>1200202</c:v>
                </c:pt>
                <c:pt idx="179">
                  <c:v>1200203</c:v>
                </c:pt>
                <c:pt idx="180">
                  <c:v>1200204</c:v>
                </c:pt>
                <c:pt idx="181">
                  <c:v>1200205</c:v>
                </c:pt>
                <c:pt idx="182">
                  <c:v>1200206</c:v>
                </c:pt>
                <c:pt idx="183">
                  <c:v>1200207</c:v>
                </c:pt>
                <c:pt idx="184">
                  <c:v>1200209</c:v>
                </c:pt>
                <c:pt idx="185">
                  <c:v>1200210</c:v>
                </c:pt>
                <c:pt idx="186">
                  <c:v>1200211</c:v>
                </c:pt>
                <c:pt idx="187">
                  <c:v>1200212</c:v>
                </c:pt>
                <c:pt idx="188">
                  <c:v>1200213</c:v>
                </c:pt>
                <c:pt idx="189">
                  <c:v>1200214</c:v>
                </c:pt>
                <c:pt idx="190">
                  <c:v>1200216</c:v>
                </c:pt>
                <c:pt idx="191">
                  <c:v>1200217</c:v>
                </c:pt>
                <c:pt idx="192">
                  <c:v>1200218</c:v>
                </c:pt>
                <c:pt idx="193">
                  <c:v>1200219</c:v>
                </c:pt>
                <c:pt idx="194">
                  <c:v>1200220</c:v>
                </c:pt>
                <c:pt idx="195">
                  <c:v>1200221</c:v>
                </c:pt>
                <c:pt idx="196">
                  <c:v>1200223</c:v>
                </c:pt>
                <c:pt idx="197">
                  <c:v>1200224</c:v>
                </c:pt>
                <c:pt idx="198">
                  <c:v>1200225</c:v>
                </c:pt>
                <c:pt idx="199">
                  <c:v>1200226</c:v>
                </c:pt>
                <c:pt idx="200">
                  <c:v>1200227</c:v>
                </c:pt>
                <c:pt idx="201">
                  <c:v>1200228</c:v>
                </c:pt>
                <c:pt idx="202">
                  <c:v>1200301</c:v>
                </c:pt>
                <c:pt idx="203">
                  <c:v>1200302</c:v>
                </c:pt>
                <c:pt idx="204">
                  <c:v>1200303</c:v>
                </c:pt>
                <c:pt idx="205">
                  <c:v>1200304</c:v>
                </c:pt>
                <c:pt idx="206">
                  <c:v>1200305</c:v>
                </c:pt>
                <c:pt idx="207">
                  <c:v>1200306</c:v>
                </c:pt>
                <c:pt idx="208">
                  <c:v>1200308</c:v>
                </c:pt>
                <c:pt idx="209">
                  <c:v>1200309</c:v>
                </c:pt>
                <c:pt idx="210">
                  <c:v>1200310</c:v>
                </c:pt>
                <c:pt idx="211">
                  <c:v>1200311</c:v>
                </c:pt>
                <c:pt idx="212">
                  <c:v>1200312</c:v>
                </c:pt>
                <c:pt idx="213">
                  <c:v>1200313</c:v>
                </c:pt>
                <c:pt idx="214">
                  <c:v>1200315</c:v>
                </c:pt>
                <c:pt idx="215">
                  <c:v>1200316</c:v>
                </c:pt>
                <c:pt idx="216">
                  <c:v>1200317</c:v>
                </c:pt>
                <c:pt idx="217">
                  <c:v>1200318</c:v>
                </c:pt>
                <c:pt idx="218">
                  <c:v>1200319</c:v>
                </c:pt>
                <c:pt idx="219">
                  <c:v>1200320</c:v>
                </c:pt>
                <c:pt idx="220">
                  <c:v>1200322</c:v>
                </c:pt>
                <c:pt idx="221">
                  <c:v>1200323</c:v>
                </c:pt>
                <c:pt idx="222">
                  <c:v>1200324</c:v>
                </c:pt>
                <c:pt idx="223">
                  <c:v>1200325</c:v>
                </c:pt>
                <c:pt idx="224">
                  <c:v>1200326</c:v>
                </c:pt>
                <c:pt idx="225">
                  <c:v>1200327</c:v>
                </c:pt>
                <c:pt idx="226">
                  <c:v>1200329</c:v>
                </c:pt>
                <c:pt idx="227">
                  <c:v>1200330</c:v>
                </c:pt>
                <c:pt idx="228">
                  <c:v>1200331</c:v>
                </c:pt>
                <c:pt idx="229">
                  <c:v>1200401</c:v>
                </c:pt>
                <c:pt idx="230">
                  <c:v>1200402</c:v>
                </c:pt>
                <c:pt idx="231">
                  <c:v>1200403</c:v>
                </c:pt>
                <c:pt idx="232">
                  <c:v>1200405</c:v>
                </c:pt>
                <c:pt idx="233">
                  <c:v>1200406</c:v>
                </c:pt>
                <c:pt idx="234">
                  <c:v>1200407</c:v>
                </c:pt>
                <c:pt idx="235">
                  <c:v>1200408</c:v>
                </c:pt>
                <c:pt idx="236">
                  <c:v>1200409</c:v>
                </c:pt>
                <c:pt idx="237">
                  <c:v>1200412</c:v>
                </c:pt>
                <c:pt idx="238">
                  <c:v>1200413</c:v>
                </c:pt>
                <c:pt idx="239">
                  <c:v>1200414</c:v>
                </c:pt>
                <c:pt idx="240">
                  <c:v>1200415</c:v>
                </c:pt>
                <c:pt idx="241">
                  <c:v>1200416</c:v>
                </c:pt>
                <c:pt idx="242">
                  <c:v>1200417</c:v>
                </c:pt>
                <c:pt idx="243">
                  <c:v>1200419</c:v>
                </c:pt>
                <c:pt idx="244">
                  <c:v>1200420</c:v>
                </c:pt>
                <c:pt idx="245">
                  <c:v>1200421</c:v>
                </c:pt>
                <c:pt idx="246">
                  <c:v>1200422</c:v>
                </c:pt>
                <c:pt idx="247">
                  <c:v>1200423</c:v>
                </c:pt>
                <c:pt idx="248">
                  <c:v>1200424</c:v>
                </c:pt>
                <c:pt idx="249">
                  <c:v>1200426</c:v>
                </c:pt>
                <c:pt idx="250">
                  <c:v>1200427</c:v>
                </c:pt>
                <c:pt idx="251">
                  <c:v>1200428</c:v>
                </c:pt>
                <c:pt idx="252">
                  <c:v>1200429</c:v>
                </c:pt>
                <c:pt idx="253">
                  <c:v>1200430</c:v>
                </c:pt>
                <c:pt idx="254">
                  <c:v>1200501</c:v>
                </c:pt>
                <c:pt idx="255">
                  <c:v>1200503</c:v>
                </c:pt>
                <c:pt idx="256">
                  <c:v>1200504</c:v>
                </c:pt>
                <c:pt idx="257">
                  <c:v>1200505</c:v>
                </c:pt>
                <c:pt idx="258">
                  <c:v>1200506</c:v>
                </c:pt>
                <c:pt idx="259">
                  <c:v>1200507</c:v>
                </c:pt>
                <c:pt idx="260">
                  <c:v>1200508</c:v>
                </c:pt>
                <c:pt idx="261">
                  <c:v>1200510</c:v>
                </c:pt>
                <c:pt idx="262">
                  <c:v>1200511</c:v>
                </c:pt>
                <c:pt idx="263">
                  <c:v>1200512</c:v>
                </c:pt>
                <c:pt idx="264">
                  <c:v>1200513</c:v>
                </c:pt>
                <c:pt idx="265">
                  <c:v>1200514</c:v>
                </c:pt>
                <c:pt idx="266">
                  <c:v>1200515</c:v>
                </c:pt>
                <c:pt idx="267">
                  <c:v>1200517</c:v>
                </c:pt>
                <c:pt idx="268">
                  <c:v>1200518</c:v>
                </c:pt>
                <c:pt idx="269">
                  <c:v>1200519</c:v>
                </c:pt>
                <c:pt idx="270">
                  <c:v>1200520</c:v>
                </c:pt>
                <c:pt idx="271">
                  <c:v>1200521</c:v>
                </c:pt>
                <c:pt idx="272">
                  <c:v>1200522</c:v>
                </c:pt>
                <c:pt idx="273">
                  <c:v>1200524</c:v>
                </c:pt>
                <c:pt idx="274">
                  <c:v>1200525</c:v>
                </c:pt>
                <c:pt idx="275">
                  <c:v>1200526</c:v>
                </c:pt>
                <c:pt idx="276">
                  <c:v>1200527</c:v>
                </c:pt>
                <c:pt idx="277">
                  <c:v>1200528</c:v>
                </c:pt>
                <c:pt idx="278">
                  <c:v>1200529</c:v>
                </c:pt>
                <c:pt idx="279">
                  <c:v>1200531</c:v>
                </c:pt>
                <c:pt idx="280">
                  <c:v>1200601</c:v>
                </c:pt>
                <c:pt idx="281">
                  <c:v>1200602</c:v>
                </c:pt>
                <c:pt idx="282">
                  <c:v>1200603</c:v>
                </c:pt>
                <c:pt idx="283">
                  <c:v>1200604</c:v>
                </c:pt>
                <c:pt idx="284">
                  <c:v>1200605</c:v>
                </c:pt>
                <c:pt idx="285">
                  <c:v>1200607</c:v>
                </c:pt>
                <c:pt idx="286">
                  <c:v>1200608</c:v>
                </c:pt>
                <c:pt idx="287">
                  <c:v>1200609</c:v>
                </c:pt>
                <c:pt idx="288">
                  <c:v>1200610</c:v>
                </c:pt>
                <c:pt idx="289">
                  <c:v>1200611</c:v>
                </c:pt>
                <c:pt idx="290">
                  <c:v>1200612</c:v>
                </c:pt>
                <c:pt idx="291">
                  <c:v>1200614</c:v>
                </c:pt>
                <c:pt idx="292">
                  <c:v>1200615</c:v>
                </c:pt>
                <c:pt idx="293">
                  <c:v>1200616</c:v>
                </c:pt>
                <c:pt idx="294">
                  <c:v>1200617</c:v>
                </c:pt>
                <c:pt idx="295">
                  <c:v>1200618</c:v>
                </c:pt>
                <c:pt idx="296">
                  <c:v>1200619</c:v>
                </c:pt>
                <c:pt idx="297">
                  <c:v>1200621</c:v>
                </c:pt>
                <c:pt idx="298">
                  <c:v>1200622</c:v>
                </c:pt>
                <c:pt idx="299">
                  <c:v>1200623</c:v>
                </c:pt>
                <c:pt idx="300">
                  <c:v>1200624</c:v>
                </c:pt>
                <c:pt idx="301">
                  <c:v>1200625</c:v>
                </c:pt>
                <c:pt idx="302">
                  <c:v>1200626</c:v>
                </c:pt>
                <c:pt idx="303">
                  <c:v>1200628</c:v>
                </c:pt>
                <c:pt idx="304">
                  <c:v>1200629</c:v>
                </c:pt>
                <c:pt idx="305">
                  <c:v>1200630</c:v>
                </c:pt>
                <c:pt idx="306">
                  <c:v>1200701</c:v>
                </c:pt>
                <c:pt idx="307">
                  <c:v>1200702</c:v>
                </c:pt>
                <c:pt idx="308">
                  <c:v>1200703</c:v>
                </c:pt>
                <c:pt idx="309">
                  <c:v>1200705</c:v>
                </c:pt>
                <c:pt idx="310">
                  <c:v>1200706</c:v>
                </c:pt>
                <c:pt idx="311">
                  <c:v>1200707</c:v>
                </c:pt>
                <c:pt idx="312">
                  <c:v>1200708</c:v>
                </c:pt>
                <c:pt idx="313">
                  <c:v>1200709</c:v>
                </c:pt>
                <c:pt idx="314">
                  <c:v>1200710</c:v>
                </c:pt>
                <c:pt idx="315">
                  <c:v>1200712</c:v>
                </c:pt>
                <c:pt idx="316">
                  <c:v>1200713</c:v>
                </c:pt>
                <c:pt idx="317">
                  <c:v>1200714</c:v>
                </c:pt>
                <c:pt idx="318">
                  <c:v>1200715</c:v>
                </c:pt>
                <c:pt idx="319">
                  <c:v>1200716</c:v>
                </c:pt>
                <c:pt idx="320">
                  <c:v>1200717</c:v>
                </c:pt>
                <c:pt idx="321">
                  <c:v>1200719</c:v>
                </c:pt>
                <c:pt idx="322">
                  <c:v>1200720</c:v>
                </c:pt>
                <c:pt idx="323">
                  <c:v>1200721</c:v>
                </c:pt>
                <c:pt idx="324">
                  <c:v>1200722</c:v>
                </c:pt>
                <c:pt idx="325">
                  <c:v>1200723</c:v>
                </c:pt>
                <c:pt idx="326">
                  <c:v>1200724</c:v>
                </c:pt>
                <c:pt idx="327">
                  <c:v>1200726</c:v>
                </c:pt>
                <c:pt idx="328">
                  <c:v>1200727</c:v>
                </c:pt>
                <c:pt idx="329">
                  <c:v>1200728</c:v>
                </c:pt>
                <c:pt idx="330">
                  <c:v>1200729</c:v>
                </c:pt>
                <c:pt idx="331">
                  <c:v>1200730</c:v>
                </c:pt>
                <c:pt idx="332">
                  <c:v>1200731</c:v>
                </c:pt>
                <c:pt idx="333">
                  <c:v>1200802</c:v>
                </c:pt>
                <c:pt idx="334">
                  <c:v>1200803</c:v>
                </c:pt>
                <c:pt idx="335">
                  <c:v>1200804</c:v>
                </c:pt>
                <c:pt idx="336">
                  <c:v>1200805</c:v>
                </c:pt>
                <c:pt idx="337">
                  <c:v>1200806</c:v>
                </c:pt>
                <c:pt idx="338">
                  <c:v>1200807</c:v>
                </c:pt>
                <c:pt idx="339">
                  <c:v>1200809</c:v>
                </c:pt>
                <c:pt idx="340">
                  <c:v>1200810</c:v>
                </c:pt>
                <c:pt idx="341">
                  <c:v>1200811</c:v>
                </c:pt>
                <c:pt idx="342">
                  <c:v>1200812</c:v>
                </c:pt>
                <c:pt idx="343">
                  <c:v>1200813</c:v>
                </c:pt>
                <c:pt idx="344">
                  <c:v>1200814</c:v>
                </c:pt>
                <c:pt idx="345">
                  <c:v>1200816</c:v>
                </c:pt>
                <c:pt idx="346">
                  <c:v>1200817</c:v>
                </c:pt>
                <c:pt idx="347">
                  <c:v>1200818</c:v>
                </c:pt>
                <c:pt idx="348">
                  <c:v>1200819</c:v>
                </c:pt>
                <c:pt idx="349">
                  <c:v>1200820</c:v>
                </c:pt>
                <c:pt idx="350">
                  <c:v>1200821</c:v>
                </c:pt>
                <c:pt idx="351">
                  <c:v>1200823</c:v>
                </c:pt>
                <c:pt idx="352">
                  <c:v>1200824</c:v>
                </c:pt>
                <c:pt idx="353">
                  <c:v>1200825</c:v>
                </c:pt>
                <c:pt idx="354">
                  <c:v>1200826</c:v>
                </c:pt>
                <c:pt idx="355">
                  <c:v>1200827</c:v>
                </c:pt>
                <c:pt idx="356">
                  <c:v>1200828</c:v>
                </c:pt>
                <c:pt idx="357">
                  <c:v>1200830</c:v>
                </c:pt>
                <c:pt idx="358">
                  <c:v>1200831</c:v>
                </c:pt>
                <c:pt idx="359">
                  <c:v>1200901</c:v>
                </c:pt>
                <c:pt idx="360">
                  <c:v>1200902</c:v>
                </c:pt>
                <c:pt idx="361">
                  <c:v>1200903</c:v>
                </c:pt>
                <c:pt idx="362">
                  <c:v>1200904</c:v>
                </c:pt>
                <c:pt idx="363">
                  <c:v>1200906</c:v>
                </c:pt>
                <c:pt idx="364">
                  <c:v>1200907</c:v>
                </c:pt>
                <c:pt idx="365">
                  <c:v>1200908</c:v>
                </c:pt>
                <c:pt idx="366">
                  <c:v>1200909</c:v>
                </c:pt>
                <c:pt idx="367">
                  <c:v>1200910</c:v>
                </c:pt>
                <c:pt idx="368">
                  <c:v>1200911</c:v>
                </c:pt>
                <c:pt idx="369">
                  <c:v>1200913</c:v>
                </c:pt>
                <c:pt idx="370">
                  <c:v>1200914</c:v>
                </c:pt>
                <c:pt idx="371">
                  <c:v>1200915</c:v>
                </c:pt>
                <c:pt idx="372">
                  <c:v>1200916</c:v>
                </c:pt>
                <c:pt idx="373">
                  <c:v>1200917</c:v>
                </c:pt>
                <c:pt idx="374">
                  <c:v>1200918</c:v>
                </c:pt>
                <c:pt idx="375">
                  <c:v>1200920</c:v>
                </c:pt>
                <c:pt idx="376">
                  <c:v>1200921</c:v>
                </c:pt>
                <c:pt idx="377">
                  <c:v>1200922</c:v>
                </c:pt>
                <c:pt idx="378">
                  <c:v>1200923</c:v>
                </c:pt>
                <c:pt idx="379">
                  <c:v>1200924</c:v>
                </c:pt>
                <c:pt idx="380">
                  <c:v>1200925</c:v>
                </c:pt>
                <c:pt idx="381">
                  <c:v>1200927</c:v>
                </c:pt>
                <c:pt idx="382">
                  <c:v>1200928</c:v>
                </c:pt>
                <c:pt idx="383">
                  <c:v>1200929</c:v>
                </c:pt>
                <c:pt idx="384">
                  <c:v>1200930</c:v>
                </c:pt>
                <c:pt idx="385">
                  <c:v>1201001</c:v>
                </c:pt>
                <c:pt idx="386">
                  <c:v>1201002</c:v>
                </c:pt>
                <c:pt idx="387">
                  <c:v>1201004</c:v>
                </c:pt>
                <c:pt idx="388">
                  <c:v>1201005</c:v>
                </c:pt>
                <c:pt idx="389">
                  <c:v>1201006</c:v>
                </c:pt>
                <c:pt idx="390">
                  <c:v>1201007</c:v>
                </c:pt>
                <c:pt idx="391">
                  <c:v>1201008</c:v>
                </c:pt>
                <c:pt idx="392">
                  <c:v>1201009</c:v>
                </c:pt>
                <c:pt idx="393">
                  <c:v>1201011</c:v>
                </c:pt>
                <c:pt idx="394">
                  <c:v>1201012</c:v>
                </c:pt>
                <c:pt idx="395">
                  <c:v>1201013</c:v>
                </c:pt>
                <c:pt idx="396">
                  <c:v>1201014</c:v>
                </c:pt>
                <c:pt idx="397">
                  <c:v>1201015</c:v>
                </c:pt>
                <c:pt idx="398">
                  <c:v>1201016</c:v>
                </c:pt>
                <c:pt idx="399">
                  <c:v>1201018</c:v>
                </c:pt>
                <c:pt idx="400">
                  <c:v>1201019</c:v>
                </c:pt>
                <c:pt idx="401">
                  <c:v>1201020</c:v>
                </c:pt>
                <c:pt idx="402">
                  <c:v>1201021</c:v>
                </c:pt>
                <c:pt idx="403">
                  <c:v>1201022</c:v>
                </c:pt>
                <c:pt idx="404">
                  <c:v>1201023</c:v>
                </c:pt>
                <c:pt idx="405">
                  <c:v>1201025</c:v>
                </c:pt>
                <c:pt idx="406">
                  <c:v>1201026</c:v>
                </c:pt>
                <c:pt idx="407">
                  <c:v>1201027</c:v>
                </c:pt>
                <c:pt idx="408">
                  <c:v>1201028</c:v>
                </c:pt>
                <c:pt idx="409">
                  <c:v>1201029</c:v>
                </c:pt>
                <c:pt idx="410">
                  <c:v>1201030</c:v>
                </c:pt>
                <c:pt idx="411">
                  <c:v>1201101</c:v>
                </c:pt>
                <c:pt idx="412">
                  <c:v>1201102</c:v>
                </c:pt>
                <c:pt idx="413">
                  <c:v>1201103</c:v>
                </c:pt>
                <c:pt idx="414">
                  <c:v>1201104</c:v>
                </c:pt>
                <c:pt idx="415">
                  <c:v>1201105</c:v>
                </c:pt>
                <c:pt idx="416">
                  <c:v>1201106</c:v>
                </c:pt>
                <c:pt idx="417">
                  <c:v>1201108</c:v>
                </c:pt>
                <c:pt idx="418">
                  <c:v>1201109</c:v>
                </c:pt>
                <c:pt idx="419">
                  <c:v>1201110</c:v>
                </c:pt>
                <c:pt idx="420">
                  <c:v>1201111</c:v>
                </c:pt>
                <c:pt idx="421">
                  <c:v>1201112</c:v>
                </c:pt>
                <c:pt idx="422">
                  <c:v>1201113</c:v>
                </c:pt>
                <c:pt idx="423">
                  <c:v>1201115</c:v>
                </c:pt>
                <c:pt idx="424">
                  <c:v>1201116</c:v>
                </c:pt>
                <c:pt idx="425">
                  <c:v>1201117</c:v>
                </c:pt>
                <c:pt idx="426">
                  <c:v>1201118</c:v>
                </c:pt>
                <c:pt idx="427">
                  <c:v>1201119</c:v>
                </c:pt>
                <c:pt idx="428">
                  <c:v>1201120</c:v>
                </c:pt>
                <c:pt idx="429">
                  <c:v>1201122</c:v>
                </c:pt>
                <c:pt idx="430">
                  <c:v>1201123</c:v>
                </c:pt>
                <c:pt idx="431">
                  <c:v>1201124</c:v>
                </c:pt>
                <c:pt idx="432">
                  <c:v>1201125</c:v>
                </c:pt>
                <c:pt idx="433">
                  <c:v>1201126</c:v>
                </c:pt>
                <c:pt idx="434">
                  <c:v>1201127</c:v>
                </c:pt>
                <c:pt idx="435">
                  <c:v>1201129</c:v>
                </c:pt>
                <c:pt idx="436">
                  <c:v>1201130</c:v>
                </c:pt>
                <c:pt idx="437">
                  <c:v>1201201</c:v>
                </c:pt>
                <c:pt idx="438">
                  <c:v>1201202</c:v>
                </c:pt>
                <c:pt idx="439">
                  <c:v>1201203</c:v>
                </c:pt>
                <c:pt idx="440">
                  <c:v>1201204</c:v>
                </c:pt>
                <c:pt idx="441">
                  <c:v>1201206</c:v>
                </c:pt>
                <c:pt idx="442">
                  <c:v>1201207</c:v>
                </c:pt>
                <c:pt idx="443">
                  <c:v>1201208</c:v>
                </c:pt>
                <c:pt idx="444">
                  <c:v>1201209</c:v>
                </c:pt>
                <c:pt idx="445">
                  <c:v>1201210</c:v>
                </c:pt>
                <c:pt idx="446">
                  <c:v>1201211</c:v>
                </c:pt>
                <c:pt idx="447">
                  <c:v>1201213</c:v>
                </c:pt>
                <c:pt idx="448">
                  <c:v>1201214</c:v>
                </c:pt>
                <c:pt idx="449">
                  <c:v>1201215</c:v>
                </c:pt>
                <c:pt idx="450">
                  <c:v>1201216</c:v>
                </c:pt>
                <c:pt idx="451">
                  <c:v>1201217</c:v>
                </c:pt>
                <c:pt idx="452">
                  <c:v>1201218</c:v>
                </c:pt>
                <c:pt idx="453">
                  <c:v>1201220</c:v>
                </c:pt>
                <c:pt idx="454">
                  <c:v>1201221</c:v>
                </c:pt>
                <c:pt idx="455">
                  <c:v>1201222</c:v>
                </c:pt>
                <c:pt idx="456">
                  <c:v>1201223</c:v>
                </c:pt>
                <c:pt idx="457">
                  <c:v>1201224</c:v>
                </c:pt>
                <c:pt idx="458">
                  <c:v>1201227</c:v>
                </c:pt>
                <c:pt idx="459">
                  <c:v>1201228</c:v>
                </c:pt>
                <c:pt idx="460">
                  <c:v>1201229</c:v>
                </c:pt>
                <c:pt idx="461">
                  <c:v>1201230</c:v>
                </c:pt>
                <c:pt idx="462">
                  <c:v>1201231</c:v>
                </c:pt>
                <c:pt idx="463">
                  <c:v>1210103</c:v>
                </c:pt>
                <c:pt idx="464">
                  <c:v>1210104</c:v>
                </c:pt>
                <c:pt idx="465">
                  <c:v>1210105</c:v>
                </c:pt>
                <c:pt idx="466">
                  <c:v>1210106</c:v>
                </c:pt>
                <c:pt idx="467">
                  <c:v>1210107</c:v>
                </c:pt>
                <c:pt idx="468">
                  <c:v>1210108</c:v>
                </c:pt>
                <c:pt idx="469">
                  <c:v>1210110</c:v>
                </c:pt>
                <c:pt idx="470">
                  <c:v>1210111</c:v>
                </c:pt>
                <c:pt idx="471">
                  <c:v>1210112</c:v>
                </c:pt>
                <c:pt idx="472">
                  <c:v>1210113</c:v>
                </c:pt>
                <c:pt idx="473">
                  <c:v>1210114</c:v>
                </c:pt>
                <c:pt idx="474">
                  <c:v>1210115</c:v>
                </c:pt>
                <c:pt idx="475">
                  <c:v>1210117</c:v>
                </c:pt>
                <c:pt idx="476">
                  <c:v>1210118</c:v>
                </c:pt>
                <c:pt idx="477">
                  <c:v>1210119</c:v>
                </c:pt>
                <c:pt idx="478">
                  <c:v>1210120</c:v>
                </c:pt>
                <c:pt idx="479">
                  <c:v>1210121</c:v>
                </c:pt>
                <c:pt idx="480">
                  <c:v>1210122</c:v>
                </c:pt>
                <c:pt idx="481">
                  <c:v>1210124</c:v>
                </c:pt>
                <c:pt idx="482">
                  <c:v>1210125</c:v>
                </c:pt>
                <c:pt idx="483">
                  <c:v>1210126</c:v>
                </c:pt>
                <c:pt idx="484">
                  <c:v>1210127</c:v>
                </c:pt>
                <c:pt idx="485">
                  <c:v>1210128</c:v>
                </c:pt>
                <c:pt idx="486">
                  <c:v>1210129</c:v>
                </c:pt>
                <c:pt idx="487">
                  <c:v>1210131</c:v>
                </c:pt>
                <c:pt idx="488">
                  <c:v>1210201</c:v>
                </c:pt>
                <c:pt idx="489">
                  <c:v>1210202</c:v>
                </c:pt>
                <c:pt idx="490">
                  <c:v>1210203</c:v>
                </c:pt>
                <c:pt idx="491">
                  <c:v>1210204</c:v>
                </c:pt>
                <c:pt idx="492">
                  <c:v>1210205</c:v>
                </c:pt>
                <c:pt idx="493">
                  <c:v>1210207</c:v>
                </c:pt>
                <c:pt idx="494">
                  <c:v>1210208</c:v>
                </c:pt>
                <c:pt idx="495">
                  <c:v>1210209</c:v>
                </c:pt>
                <c:pt idx="496">
                  <c:v>1210210</c:v>
                </c:pt>
                <c:pt idx="497">
                  <c:v>1210211</c:v>
                </c:pt>
                <c:pt idx="498">
                  <c:v>1210212</c:v>
                </c:pt>
                <c:pt idx="499">
                  <c:v>1210214</c:v>
                </c:pt>
                <c:pt idx="500">
                  <c:v>1210215</c:v>
                </c:pt>
                <c:pt idx="501">
                  <c:v>1210216</c:v>
                </c:pt>
                <c:pt idx="502">
                  <c:v>1210217</c:v>
                </c:pt>
                <c:pt idx="503">
                  <c:v>1210218</c:v>
                </c:pt>
                <c:pt idx="504">
                  <c:v>1210219</c:v>
                </c:pt>
                <c:pt idx="505">
                  <c:v>1210221</c:v>
                </c:pt>
                <c:pt idx="506">
                  <c:v>1210222</c:v>
                </c:pt>
                <c:pt idx="507">
                  <c:v>1210223</c:v>
                </c:pt>
                <c:pt idx="508">
                  <c:v>1210224</c:v>
                </c:pt>
                <c:pt idx="509">
                  <c:v>1210225</c:v>
                </c:pt>
                <c:pt idx="510">
                  <c:v>1210226</c:v>
                </c:pt>
                <c:pt idx="511">
                  <c:v>1210228</c:v>
                </c:pt>
                <c:pt idx="512">
                  <c:v>1210301</c:v>
                </c:pt>
                <c:pt idx="513">
                  <c:v>1210302</c:v>
                </c:pt>
                <c:pt idx="514">
                  <c:v>1210303</c:v>
                </c:pt>
                <c:pt idx="515">
                  <c:v>1210304</c:v>
                </c:pt>
                <c:pt idx="516">
                  <c:v>1210305</c:v>
                </c:pt>
                <c:pt idx="517">
                  <c:v>1210307</c:v>
                </c:pt>
                <c:pt idx="518">
                  <c:v>1210308</c:v>
                </c:pt>
                <c:pt idx="519">
                  <c:v>1210309</c:v>
                </c:pt>
                <c:pt idx="520">
                  <c:v>1210310</c:v>
                </c:pt>
                <c:pt idx="521">
                  <c:v>1210311</c:v>
                </c:pt>
                <c:pt idx="522">
                  <c:v>1210312</c:v>
                </c:pt>
                <c:pt idx="523">
                  <c:v>1210314</c:v>
                </c:pt>
                <c:pt idx="524">
                  <c:v>1210315</c:v>
                </c:pt>
                <c:pt idx="525">
                  <c:v>1210316</c:v>
                </c:pt>
                <c:pt idx="526">
                  <c:v>1210317</c:v>
                </c:pt>
                <c:pt idx="527">
                  <c:v>1210318</c:v>
                </c:pt>
                <c:pt idx="528">
                  <c:v>1210319</c:v>
                </c:pt>
                <c:pt idx="529">
                  <c:v>1210321</c:v>
                </c:pt>
                <c:pt idx="530">
                  <c:v>1210322</c:v>
                </c:pt>
                <c:pt idx="531">
                  <c:v>1210323</c:v>
                </c:pt>
                <c:pt idx="532">
                  <c:v>1210324</c:v>
                </c:pt>
                <c:pt idx="533">
                  <c:v>1210325</c:v>
                </c:pt>
                <c:pt idx="534">
                  <c:v>1210326</c:v>
                </c:pt>
                <c:pt idx="535">
                  <c:v>1210328</c:v>
                </c:pt>
                <c:pt idx="536">
                  <c:v>1210329</c:v>
                </c:pt>
                <c:pt idx="537">
                  <c:v>1210330</c:v>
                </c:pt>
                <c:pt idx="538">
                  <c:v>1210331</c:v>
                </c:pt>
                <c:pt idx="539">
                  <c:v>1210401</c:v>
                </c:pt>
                <c:pt idx="540">
                  <c:v>1210402</c:v>
                </c:pt>
                <c:pt idx="541">
                  <c:v>1210404</c:v>
                </c:pt>
                <c:pt idx="542">
                  <c:v>1210405</c:v>
                </c:pt>
                <c:pt idx="543">
                  <c:v>1210406</c:v>
                </c:pt>
                <c:pt idx="544">
                  <c:v>1210407</c:v>
                </c:pt>
                <c:pt idx="545">
                  <c:v>1210408</c:v>
                </c:pt>
                <c:pt idx="546">
                  <c:v>1210409</c:v>
                </c:pt>
                <c:pt idx="547">
                  <c:v>1210411</c:v>
                </c:pt>
                <c:pt idx="548">
                  <c:v>1210412</c:v>
                </c:pt>
                <c:pt idx="549">
                  <c:v>1210413</c:v>
                </c:pt>
                <c:pt idx="550">
                  <c:v>1210414</c:v>
                </c:pt>
                <c:pt idx="551">
                  <c:v>1210415</c:v>
                </c:pt>
                <c:pt idx="552">
                  <c:v>1210416</c:v>
                </c:pt>
                <c:pt idx="553">
                  <c:v>1210418</c:v>
                </c:pt>
                <c:pt idx="554">
                  <c:v>1210419</c:v>
                </c:pt>
                <c:pt idx="555">
                  <c:v>1210420</c:v>
                </c:pt>
                <c:pt idx="556">
                  <c:v>1210421</c:v>
                </c:pt>
                <c:pt idx="557">
                  <c:v>1210422</c:v>
                </c:pt>
                <c:pt idx="558">
                  <c:v>1210423</c:v>
                </c:pt>
                <c:pt idx="559">
                  <c:v>1210425</c:v>
                </c:pt>
                <c:pt idx="560">
                  <c:v>1210426</c:v>
                </c:pt>
                <c:pt idx="561">
                  <c:v>1210427</c:v>
                </c:pt>
                <c:pt idx="562">
                  <c:v>1210428</c:v>
                </c:pt>
                <c:pt idx="563">
                  <c:v>1210429</c:v>
                </c:pt>
                <c:pt idx="564">
                  <c:v>1210430</c:v>
                </c:pt>
                <c:pt idx="565">
                  <c:v>1210502</c:v>
                </c:pt>
                <c:pt idx="566">
                  <c:v>1210503</c:v>
                </c:pt>
                <c:pt idx="567">
                  <c:v>1210504</c:v>
                </c:pt>
                <c:pt idx="568">
                  <c:v>1210505</c:v>
                </c:pt>
                <c:pt idx="569">
                  <c:v>1210506</c:v>
                </c:pt>
                <c:pt idx="570">
                  <c:v>1210507</c:v>
                </c:pt>
                <c:pt idx="571">
                  <c:v>1210509</c:v>
                </c:pt>
                <c:pt idx="572">
                  <c:v>1210510</c:v>
                </c:pt>
                <c:pt idx="573">
                  <c:v>1210511</c:v>
                </c:pt>
                <c:pt idx="574">
                  <c:v>1210512</c:v>
                </c:pt>
                <c:pt idx="575">
                  <c:v>1210513</c:v>
                </c:pt>
                <c:pt idx="576">
                  <c:v>1210514</c:v>
                </c:pt>
                <c:pt idx="577">
                  <c:v>1210516</c:v>
                </c:pt>
                <c:pt idx="578">
                  <c:v>1210517</c:v>
                </c:pt>
                <c:pt idx="579">
                  <c:v>1210518</c:v>
                </c:pt>
                <c:pt idx="580">
                  <c:v>1210519</c:v>
                </c:pt>
                <c:pt idx="581">
                  <c:v>1210520</c:v>
                </c:pt>
                <c:pt idx="582">
                  <c:v>1210521</c:v>
                </c:pt>
                <c:pt idx="583">
                  <c:v>1210523</c:v>
                </c:pt>
                <c:pt idx="584">
                  <c:v>1210524</c:v>
                </c:pt>
                <c:pt idx="585">
                  <c:v>1210525</c:v>
                </c:pt>
                <c:pt idx="586">
                  <c:v>1210526</c:v>
                </c:pt>
                <c:pt idx="587">
                  <c:v>1210527</c:v>
                </c:pt>
                <c:pt idx="588">
                  <c:v>1210528</c:v>
                </c:pt>
                <c:pt idx="589">
                  <c:v>1210530</c:v>
                </c:pt>
                <c:pt idx="590">
                  <c:v>1210531</c:v>
                </c:pt>
                <c:pt idx="591">
                  <c:v>1210601</c:v>
                </c:pt>
                <c:pt idx="592">
                  <c:v>1210602</c:v>
                </c:pt>
                <c:pt idx="593">
                  <c:v>1210603</c:v>
                </c:pt>
                <c:pt idx="594">
                  <c:v>1210604</c:v>
                </c:pt>
                <c:pt idx="595">
                  <c:v>1210606</c:v>
                </c:pt>
                <c:pt idx="596">
                  <c:v>1210607</c:v>
                </c:pt>
                <c:pt idx="597">
                  <c:v>1210608</c:v>
                </c:pt>
                <c:pt idx="598">
                  <c:v>1210609</c:v>
                </c:pt>
                <c:pt idx="599">
                  <c:v>1210610</c:v>
                </c:pt>
                <c:pt idx="600">
                  <c:v>1210611</c:v>
                </c:pt>
                <c:pt idx="601">
                  <c:v>1210613</c:v>
                </c:pt>
                <c:pt idx="602">
                  <c:v>1210614</c:v>
                </c:pt>
                <c:pt idx="603">
                  <c:v>1210615</c:v>
                </c:pt>
                <c:pt idx="604">
                  <c:v>1210616</c:v>
                </c:pt>
                <c:pt idx="605">
                  <c:v>1210617</c:v>
                </c:pt>
                <c:pt idx="606">
                  <c:v>1210618</c:v>
                </c:pt>
                <c:pt idx="607">
                  <c:v>1210620</c:v>
                </c:pt>
                <c:pt idx="608">
                  <c:v>1210621</c:v>
                </c:pt>
                <c:pt idx="609">
                  <c:v>1210622</c:v>
                </c:pt>
                <c:pt idx="610">
                  <c:v>1210623</c:v>
                </c:pt>
                <c:pt idx="611">
                  <c:v>1210624</c:v>
                </c:pt>
                <c:pt idx="612">
                  <c:v>1210625</c:v>
                </c:pt>
                <c:pt idx="613">
                  <c:v>1210627</c:v>
                </c:pt>
                <c:pt idx="614">
                  <c:v>1210628</c:v>
                </c:pt>
                <c:pt idx="615">
                  <c:v>1210629</c:v>
                </c:pt>
                <c:pt idx="616">
                  <c:v>1210630</c:v>
                </c:pt>
                <c:pt idx="617">
                  <c:v>1210701</c:v>
                </c:pt>
                <c:pt idx="618">
                  <c:v>1210702</c:v>
                </c:pt>
                <c:pt idx="619">
                  <c:v>1210704</c:v>
                </c:pt>
                <c:pt idx="620">
                  <c:v>1210705</c:v>
                </c:pt>
                <c:pt idx="621">
                  <c:v>1210706</c:v>
                </c:pt>
                <c:pt idx="622">
                  <c:v>1210707</c:v>
                </c:pt>
                <c:pt idx="623">
                  <c:v>1210708</c:v>
                </c:pt>
                <c:pt idx="624">
                  <c:v>1210709</c:v>
                </c:pt>
                <c:pt idx="625">
                  <c:v>1210711</c:v>
                </c:pt>
                <c:pt idx="626">
                  <c:v>1210712</c:v>
                </c:pt>
                <c:pt idx="627">
                  <c:v>1210713</c:v>
                </c:pt>
                <c:pt idx="628">
                  <c:v>1210714</c:v>
                </c:pt>
                <c:pt idx="629">
                  <c:v>1210715</c:v>
                </c:pt>
                <c:pt idx="630">
                  <c:v>1210716</c:v>
                </c:pt>
                <c:pt idx="631">
                  <c:v>1210718</c:v>
                </c:pt>
                <c:pt idx="632">
                  <c:v>1210719</c:v>
                </c:pt>
                <c:pt idx="633">
                  <c:v>1210720</c:v>
                </c:pt>
                <c:pt idx="634">
                  <c:v>1210721</c:v>
                </c:pt>
                <c:pt idx="635">
                  <c:v>1210722</c:v>
                </c:pt>
                <c:pt idx="636">
                  <c:v>1210723</c:v>
                </c:pt>
                <c:pt idx="637">
                  <c:v>1210725</c:v>
                </c:pt>
                <c:pt idx="638">
                  <c:v>1210726</c:v>
                </c:pt>
                <c:pt idx="639">
                  <c:v>1210727</c:v>
                </c:pt>
                <c:pt idx="640">
                  <c:v>1210728</c:v>
                </c:pt>
                <c:pt idx="641">
                  <c:v>1210729</c:v>
                </c:pt>
                <c:pt idx="642">
                  <c:v>1210730</c:v>
                </c:pt>
                <c:pt idx="643">
                  <c:v>1210801</c:v>
                </c:pt>
                <c:pt idx="644">
                  <c:v>1210802</c:v>
                </c:pt>
                <c:pt idx="645">
                  <c:v>1210803</c:v>
                </c:pt>
                <c:pt idx="646">
                  <c:v>1210804</c:v>
                </c:pt>
                <c:pt idx="647">
                  <c:v>1210805</c:v>
                </c:pt>
                <c:pt idx="648">
                  <c:v>1210806</c:v>
                </c:pt>
                <c:pt idx="649">
                  <c:v>1210808</c:v>
                </c:pt>
                <c:pt idx="650">
                  <c:v>1210809</c:v>
                </c:pt>
                <c:pt idx="651">
                  <c:v>1210810</c:v>
                </c:pt>
                <c:pt idx="652">
                  <c:v>1210811</c:v>
                </c:pt>
                <c:pt idx="653">
                  <c:v>1210812</c:v>
                </c:pt>
                <c:pt idx="654">
                  <c:v>1210813</c:v>
                </c:pt>
                <c:pt idx="655">
                  <c:v>1210815</c:v>
                </c:pt>
                <c:pt idx="656">
                  <c:v>1210816</c:v>
                </c:pt>
                <c:pt idx="657">
                  <c:v>1210817</c:v>
                </c:pt>
                <c:pt idx="658">
                  <c:v>1210818</c:v>
                </c:pt>
                <c:pt idx="659">
                  <c:v>1210819</c:v>
                </c:pt>
                <c:pt idx="660">
                  <c:v>1210820</c:v>
                </c:pt>
                <c:pt idx="661">
                  <c:v>1210822</c:v>
                </c:pt>
                <c:pt idx="662">
                  <c:v>1210823</c:v>
                </c:pt>
                <c:pt idx="663">
                  <c:v>1210824</c:v>
                </c:pt>
                <c:pt idx="664">
                  <c:v>1210825</c:v>
                </c:pt>
                <c:pt idx="665">
                  <c:v>1210826</c:v>
                </c:pt>
                <c:pt idx="666">
                  <c:v>1210827</c:v>
                </c:pt>
                <c:pt idx="667">
                  <c:v>1210829</c:v>
                </c:pt>
                <c:pt idx="668">
                  <c:v>1210830</c:v>
                </c:pt>
                <c:pt idx="669">
                  <c:v>1210831</c:v>
                </c:pt>
                <c:pt idx="670">
                  <c:v>1210901</c:v>
                </c:pt>
                <c:pt idx="671">
                  <c:v>1210902</c:v>
                </c:pt>
                <c:pt idx="672">
                  <c:v>1210903</c:v>
                </c:pt>
                <c:pt idx="673">
                  <c:v>1210905</c:v>
                </c:pt>
                <c:pt idx="674">
                  <c:v>1210906</c:v>
                </c:pt>
                <c:pt idx="675">
                  <c:v>1210907</c:v>
                </c:pt>
                <c:pt idx="676">
                  <c:v>1210908</c:v>
                </c:pt>
                <c:pt idx="677">
                  <c:v>1210909</c:v>
                </c:pt>
                <c:pt idx="678">
                  <c:v>1210910</c:v>
                </c:pt>
                <c:pt idx="679">
                  <c:v>1210912</c:v>
                </c:pt>
                <c:pt idx="680">
                  <c:v>1210913</c:v>
                </c:pt>
                <c:pt idx="681">
                  <c:v>1210914</c:v>
                </c:pt>
                <c:pt idx="682">
                  <c:v>1210915</c:v>
                </c:pt>
                <c:pt idx="683">
                  <c:v>1210916</c:v>
                </c:pt>
                <c:pt idx="684">
                  <c:v>1210917</c:v>
                </c:pt>
                <c:pt idx="685">
                  <c:v>1210919</c:v>
                </c:pt>
                <c:pt idx="686">
                  <c:v>1210920</c:v>
                </c:pt>
                <c:pt idx="687">
                  <c:v>1210921</c:v>
                </c:pt>
                <c:pt idx="688">
                  <c:v>1210922</c:v>
                </c:pt>
                <c:pt idx="689">
                  <c:v>1210923</c:v>
                </c:pt>
                <c:pt idx="690">
                  <c:v>1210924</c:v>
                </c:pt>
                <c:pt idx="691">
                  <c:v>1210926</c:v>
                </c:pt>
                <c:pt idx="692">
                  <c:v>1210927</c:v>
                </c:pt>
                <c:pt idx="693">
                  <c:v>1210928</c:v>
                </c:pt>
                <c:pt idx="694">
                  <c:v>1210929</c:v>
                </c:pt>
                <c:pt idx="695">
                  <c:v>1210930</c:v>
                </c:pt>
                <c:pt idx="696">
                  <c:v>1211001</c:v>
                </c:pt>
                <c:pt idx="697">
                  <c:v>1211003</c:v>
                </c:pt>
                <c:pt idx="698">
                  <c:v>1211004</c:v>
                </c:pt>
                <c:pt idx="699">
                  <c:v>1211005</c:v>
                </c:pt>
                <c:pt idx="700">
                  <c:v>1211006</c:v>
                </c:pt>
                <c:pt idx="701">
                  <c:v>1211007</c:v>
                </c:pt>
                <c:pt idx="702">
                  <c:v>1211008</c:v>
                </c:pt>
                <c:pt idx="703">
                  <c:v>1211010</c:v>
                </c:pt>
                <c:pt idx="704">
                  <c:v>1211011</c:v>
                </c:pt>
                <c:pt idx="705">
                  <c:v>1211012</c:v>
                </c:pt>
                <c:pt idx="706">
                  <c:v>1211013</c:v>
                </c:pt>
                <c:pt idx="707">
                  <c:v>1211014</c:v>
                </c:pt>
                <c:pt idx="708">
                  <c:v>1211015</c:v>
                </c:pt>
                <c:pt idx="709">
                  <c:v>1211017</c:v>
                </c:pt>
                <c:pt idx="710">
                  <c:v>1211018</c:v>
                </c:pt>
                <c:pt idx="711">
                  <c:v>1211019</c:v>
                </c:pt>
                <c:pt idx="712">
                  <c:v>1211020</c:v>
                </c:pt>
                <c:pt idx="713">
                  <c:v>1211021</c:v>
                </c:pt>
                <c:pt idx="714">
                  <c:v>1211022</c:v>
                </c:pt>
                <c:pt idx="715">
                  <c:v>1211024</c:v>
                </c:pt>
                <c:pt idx="716">
                  <c:v>1211025</c:v>
                </c:pt>
                <c:pt idx="717">
                  <c:v>1211026</c:v>
                </c:pt>
                <c:pt idx="718">
                  <c:v>1211027</c:v>
                </c:pt>
                <c:pt idx="719">
                  <c:v>1211028</c:v>
                </c:pt>
                <c:pt idx="720">
                  <c:v>1211029</c:v>
                </c:pt>
                <c:pt idx="721">
                  <c:v>1211031</c:v>
                </c:pt>
                <c:pt idx="722">
                  <c:v>1211101</c:v>
                </c:pt>
                <c:pt idx="723">
                  <c:v>1211102</c:v>
                </c:pt>
                <c:pt idx="724">
                  <c:v>1211103</c:v>
                </c:pt>
                <c:pt idx="725">
                  <c:v>1211104</c:v>
                </c:pt>
                <c:pt idx="726">
                  <c:v>1211105</c:v>
                </c:pt>
                <c:pt idx="727">
                  <c:v>1211107</c:v>
                </c:pt>
                <c:pt idx="728">
                  <c:v>1211108</c:v>
                </c:pt>
                <c:pt idx="729">
                  <c:v>1211109</c:v>
                </c:pt>
                <c:pt idx="730">
                  <c:v>1211110</c:v>
                </c:pt>
                <c:pt idx="731">
                  <c:v>1211111</c:v>
                </c:pt>
                <c:pt idx="732">
                  <c:v>1211112</c:v>
                </c:pt>
                <c:pt idx="733">
                  <c:v>1211114</c:v>
                </c:pt>
                <c:pt idx="734">
                  <c:v>1211115</c:v>
                </c:pt>
                <c:pt idx="735">
                  <c:v>1211116</c:v>
                </c:pt>
                <c:pt idx="736">
                  <c:v>1211117</c:v>
                </c:pt>
                <c:pt idx="737">
                  <c:v>1211118</c:v>
                </c:pt>
                <c:pt idx="738">
                  <c:v>1211119</c:v>
                </c:pt>
                <c:pt idx="739">
                  <c:v>1211121</c:v>
                </c:pt>
                <c:pt idx="740">
                  <c:v>1211122</c:v>
                </c:pt>
                <c:pt idx="741">
                  <c:v>1211123</c:v>
                </c:pt>
                <c:pt idx="742">
                  <c:v>1211124</c:v>
                </c:pt>
                <c:pt idx="743">
                  <c:v>1211125</c:v>
                </c:pt>
                <c:pt idx="744">
                  <c:v>1211126</c:v>
                </c:pt>
                <c:pt idx="745">
                  <c:v>1211128</c:v>
                </c:pt>
                <c:pt idx="746">
                  <c:v>1211129</c:v>
                </c:pt>
                <c:pt idx="747">
                  <c:v>1211130</c:v>
                </c:pt>
                <c:pt idx="748">
                  <c:v>1211201</c:v>
                </c:pt>
                <c:pt idx="749">
                  <c:v>1211202</c:v>
                </c:pt>
                <c:pt idx="750">
                  <c:v>1211203</c:v>
                </c:pt>
                <c:pt idx="751">
                  <c:v>1211205</c:v>
                </c:pt>
                <c:pt idx="752">
                  <c:v>1211206</c:v>
                </c:pt>
                <c:pt idx="753">
                  <c:v>1211207</c:v>
                </c:pt>
                <c:pt idx="754">
                  <c:v>1211208</c:v>
                </c:pt>
                <c:pt idx="755">
                  <c:v>1211209</c:v>
                </c:pt>
                <c:pt idx="756">
                  <c:v>1211210</c:v>
                </c:pt>
                <c:pt idx="757">
                  <c:v>1211212</c:v>
                </c:pt>
                <c:pt idx="758">
                  <c:v>1211213</c:v>
                </c:pt>
                <c:pt idx="759">
                  <c:v>1211214</c:v>
                </c:pt>
                <c:pt idx="760">
                  <c:v>1211215</c:v>
                </c:pt>
                <c:pt idx="761">
                  <c:v>1211216</c:v>
                </c:pt>
                <c:pt idx="762">
                  <c:v>1211217</c:v>
                </c:pt>
                <c:pt idx="763">
                  <c:v>1211219</c:v>
                </c:pt>
                <c:pt idx="764">
                  <c:v>1211220</c:v>
                </c:pt>
                <c:pt idx="765">
                  <c:v>1211221</c:v>
                </c:pt>
                <c:pt idx="766">
                  <c:v>1211222</c:v>
                </c:pt>
                <c:pt idx="767">
                  <c:v>1211223</c:v>
                </c:pt>
                <c:pt idx="768">
                  <c:v>1211226</c:v>
                </c:pt>
                <c:pt idx="769">
                  <c:v>1211227</c:v>
                </c:pt>
                <c:pt idx="770">
                  <c:v>1211228</c:v>
                </c:pt>
                <c:pt idx="771">
                  <c:v>1211229</c:v>
                </c:pt>
                <c:pt idx="772">
                  <c:v>1211230</c:v>
                </c:pt>
                <c:pt idx="773">
                  <c:v>1211231</c:v>
                </c:pt>
                <c:pt idx="774">
                  <c:v>1220102</c:v>
                </c:pt>
                <c:pt idx="775">
                  <c:v>1220103</c:v>
                </c:pt>
                <c:pt idx="776">
                  <c:v>1220104</c:v>
                </c:pt>
                <c:pt idx="777">
                  <c:v>1220105</c:v>
                </c:pt>
                <c:pt idx="778">
                  <c:v>1220106</c:v>
                </c:pt>
                <c:pt idx="779">
                  <c:v>1220107</c:v>
                </c:pt>
                <c:pt idx="780">
                  <c:v>1220109</c:v>
                </c:pt>
                <c:pt idx="781">
                  <c:v>1220110</c:v>
                </c:pt>
                <c:pt idx="782">
                  <c:v>1220111</c:v>
                </c:pt>
                <c:pt idx="783">
                  <c:v>1220112</c:v>
                </c:pt>
                <c:pt idx="784">
                  <c:v>1220113</c:v>
                </c:pt>
                <c:pt idx="785">
                  <c:v>1220114</c:v>
                </c:pt>
                <c:pt idx="786">
                  <c:v>1220116</c:v>
                </c:pt>
                <c:pt idx="787">
                  <c:v>1220117</c:v>
                </c:pt>
                <c:pt idx="788">
                  <c:v>1220118</c:v>
                </c:pt>
                <c:pt idx="789">
                  <c:v>1220119</c:v>
                </c:pt>
                <c:pt idx="790">
                  <c:v>1220120</c:v>
                </c:pt>
                <c:pt idx="791">
                  <c:v>1220121</c:v>
                </c:pt>
                <c:pt idx="792">
                  <c:v>1220123</c:v>
                </c:pt>
                <c:pt idx="793">
                  <c:v>1220124</c:v>
                </c:pt>
                <c:pt idx="794">
                  <c:v>1220125</c:v>
                </c:pt>
                <c:pt idx="795">
                  <c:v>1220126</c:v>
                </c:pt>
                <c:pt idx="796">
                  <c:v>1220127</c:v>
                </c:pt>
                <c:pt idx="797">
                  <c:v>1220128</c:v>
                </c:pt>
                <c:pt idx="798">
                  <c:v>1220130</c:v>
                </c:pt>
                <c:pt idx="799">
                  <c:v>1220131</c:v>
                </c:pt>
                <c:pt idx="800">
                  <c:v>1220201</c:v>
                </c:pt>
                <c:pt idx="801">
                  <c:v>1220202</c:v>
                </c:pt>
                <c:pt idx="802">
                  <c:v>1220203</c:v>
                </c:pt>
                <c:pt idx="803">
                  <c:v>1220204</c:v>
                </c:pt>
                <c:pt idx="804">
                  <c:v>1220206</c:v>
                </c:pt>
                <c:pt idx="805">
                  <c:v>1220207</c:v>
                </c:pt>
                <c:pt idx="806">
                  <c:v>1220208</c:v>
                </c:pt>
                <c:pt idx="807">
                  <c:v>1220209</c:v>
                </c:pt>
                <c:pt idx="808">
                  <c:v>1220210</c:v>
                </c:pt>
                <c:pt idx="809">
                  <c:v>1220211</c:v>
                </c:pt>
                <c:pt idx="810">
                  <c:v>1220213</c:v>
                </c:pt>
                <c:pt idx="811">
                  <c:v>1220214</c:v>
                </c:pt>
                <c:pt idx="812">
                  <c:v>1220215</c:v>
                </c:pt>
                <c:pt idx="813">
                  <c:v>1220216</c:v>
                </c:pt>
                <c:pt idx="814">
                  <c:v>1220217</c:v>
                </c:pt>
                <c:pt idx="815">
                  <c:v>1220218</c:v>
                </c:pt>
                <c:pt idx="816">
                  <c:v>1220220</c:v>
                </c:pt>
                <c:pt idx="817">
                  <c:v>1220221</c:v>
                </c:pt>
                <c:pt idx="818">
                  <c:v>1220222</c:v>
                </c:pt>
                <c:pt idx="819">
                  <c:v>1220223</c:v>
                </c:pt>
                <c:pt idx="820">
                  <c:v>1220224</c:v>
                </c:pt>
                <c:pt idx="821">
                  <c:v>1220225</c:v>
                </c:pt>
                <c:pt idx="822">
                  <c:v>1220227</c:v>
                </c:pt>
                <c:pt idx="823">
                  <c:v>1220228</c:v>
                </c:pt>
                <c:pt idx="824">
                  <c:v>1220301</c:v>
                </c:pt>
                <c:pt idx="825">
                  <c:v>1220302</c:v>
                </c:pt>
                <c:pt idx="826">
                  <c:v>1220303</c:v>
                </c:pt>
                <c:pt idx="827">
                  <c:v>1220304</c:v>
                </c:pt>
                <c:pt idx="828">
                  <c:v>1220306</c:v>
                </c:pt>
                <c:pt idx="829">
                  <c:v>1220307</c:v>
                </c:pt>
                <c:pt idx="830">
                  <c:v>1220308</c:v>
                </c:pt>
                <c:pt idx="831">
                  <c:v>1220309</c:v>
                </c:pt>
                <c:pt idx="832">
                  <c:v>1220310</c:v>
                </c:pt>
                <c:pt idx="833">
                  <c:v>1220311</c:v>
                </c:pt>
                <c:pt idx="834">
                  <c:v>1220313</c:v>
                </c:pt>
                <c:pt idx="835">
                  <c:v>1220314</c:v>
                </c:pt>
                <c:pt idx="836">
                  <c:v>1220315</c:v>
                </c:pt>
                <c:pt idx="837">
                  <c:v>1220316</c:v>
                </c:pt>
                <c:pt idx="838">
                  <c:v>1220317</c:v>
                </c:pt>
                <c:pt idx="839">
                  <c:v>1220318</c:v>
                </c:pt>
                <c:pt idx="840">
                  <c:v>1220320</c:v>
                </c:pt>
                <c:pt idx="841">
                  <c:v>1220321</c:v>
                </c:pt>
                <c:pt idx="842">
                  <c:v>1220322</c:v>
                </c:pt>
                <c:pt idx="843">
                  <c:v>1220323</c:v>
                </c:pt>
                <c:pt idx="844">
                  <c:v>1220324</c:v>
                </c:pt>
                <c:pt idx="845">
                  <c:v>1220325</c:v>
                </c:pt>
                <c:pt idx="846">
                  <c:v>1220327</c:v>
                </c:pt>
                <c:pt idx="847">
                  <c:v>1220328</c:v>
                </c:pt>
                <c:pt idx="848">
                  <c:v>1220329</c:v>
                </c:pt>
                <c:pt idx="849">
                  <c:v>1220330</c:v>
                </c:pt>
                <c:pt idx="850">
                  <c:v>1220331</c:v>
                </c:pt>
                <c:pt idx="851">
                  <c:v>1220401</c:v>
                </c:pt>
                <c:pt idx="852">
                  <c:v>1220403</c:v>
                </c:pt>
                <c:pt idx="853">
                  <c:v>1220404</c:v>
                </c:pt>
                <c:pt idx="854">
                  <c:v>1220405</c:v>
                </c:pt>
                <c:pt idx="855">
                  <c:v>1220406</c:v>
                </c:pt>
                <c:pt idx="856">
                  <c:v>1220407</c:v>
                </c:pt>
                <c:pt idx="857">
                  <c:v>1220408</c:v>
                </c:pt>
                <c:pt idx="858">
                  <c:v>1220410</c:v>
                </c:pt>
                <c:pt idx="859">
                  <c:v>1220411</c:v>
                </c:pt>
                <c:pt idx="860">
                  <c:v>1220412</c:v>
                </c:pt>
                <c:pt idx="861">
                  <c:v>1220413</c:v>
                </c:pt>
                <c:pt idx="862">
                  <c:v>1220414</c:v>
                </c:pt>
                <c:pt idx="863">
                  <c:v>1220417</c:v>
                </c:pt>
                <c:pt idx="864">
                  <c:v>1220418</c:v>
                </c:pt>
                <c:pt idx="865">
                  <c:v>1220419</c:v>
                </c:pt>
                <c:pt idx="866">
                  <c:v>1220420</c:v>
                </c:pt>
                <c:pt idx="867">
                  <c:v>1220421</c:v>
                </c:pt>
                <c:pt idx="868">
                  <c:v>1220422</c:v>
                </c:pt>
                <c:pt idx="869">
                  <c:v>1220424</c:v>
                </c:pt>
                <c:pt idx="870">
                  <c:v>1220425</c:v>
                </c:pt>
                <c:pt idx="871">
                  <c:v>1220426</c:v>
                </c:pt>
                <c:pt idx="872">
                  <c:v>1220427</c:v>
                </c:pt>
                <c:pt idx="873">
                  <c:v>1220428</c:v>
                </c:pt>
                <c:pt idx="874">
                  <c:v>1220429</c:v>
                </c:pt>
                <c:pt idx="875">
                  <c:v>1220501</c:v>
                </c:pt>
                <c:pt idx="876">
                  <c:v>1220502</c:v>
                </c:pt>
                <c:pt idx="877">
                  <c:v>1220503</c:v>
                </c:pt>
                <c:pt idx="878">
                  <c:v>1220504</c:v>
                </c:pt>
                <c:pt idx="879">
                  <c:v>1220505</c:v>
                </c:pt>
                <c:pt idx="880">
                  <c:v>1220506</c:v>
                </c:pt>
                <c:pt idx="881">
                  <c:v>1220508</c:v>
                </c:pt>
                <c:pt idx="882">
                  <c:v>1220509</c:v>
                </c:pt>
                <c:pt idx="883">
                  <c:v>1220510</c:v>
                </c:pt>
                <c:pt idx="884">
                  <c:v>1220511</c:v>
                </c:pt>
                <c:pt idx="885">
                  <c:v>1220512</c:v>
                </c:pt>
                <c:pt idx="886">
                  <c:v>1220513</c:v>
                </c:pt>
                <c:pt idx="887">
                  <c:v>1220515</c:v>
                </c:pt>
                <c:pt idx="888">
                  <c:v>1220516</c:v>
                </c:pt>
                <c:pt idx="889">
                  <c:v>1220517</c:v>
                </c:pt>
                <c:pt idx="890">
                  <c:v>1220518</c:v>
                </c:pt>
                <c:pt idx="891">
                  <c:v>1220519</c:v>
                </c:pt>
                <c:pt idx="892">
                  <c:v>1220520</c:v>
                </c:pt>
                <c:pt idx="893">
                  <c:v>1220522</c:v>
                </c:pt>
                <c:pt idx="894">
                  <c:v>1220523</c:v>
                </c:pt>
                <c:pt idx="895">
                  <c:v>1220524</c:v>
                </c:pt>
                <c:pt idx="896">
                  <c:v>1220525</c:v>
                </c:pt>
                <c:pt idx="897">
                  <c:v>1220526</c:v>
                </c:pt>
                <c:pt idx="898">
                  <c:v>1220527</c:v>
                </c:pt>
                <c:pt idx="899">
                  <c:v>1220529</c:v>
                </c:pt>
                <c:pt idx="900">
                  <c:v>1220530</c:v>
                </c:pt>
                <c:pt idx="901">
                  <c:v>1220531</c:v>
                </c:pt>
                <c:pt idx="902">
                  <c:v>1220601</c:v>
                </c:pt>
                <c:pt idx="903">
                  <c:v>1220602</c:v>
                </c:pt>
                <c:pt idx="904">
                  <c:v>1220603</c:v>
                </c:pt>
                <c:pt idx="905">
                  <c:v>1220605</c:v>
                </c:pt>
                <c:pt idx="906">
                  <c:v>1220606</c:v>
                </c:pt>
                <c:pt idx="907">
                  <c:v>1220607</c:v>
                </c:pt>
                <c:pt idx="908">
                  <c:v>1220608</c:v>
                </c:pt>
                <c:pt idx="909">
                  <c:v>1220609</c:v>
                </c:pt>
                <c:pt idx="910">
                  <c:v>1220610</c:v>
                </c:pt>
                <c:pt idx="911">
                  <c:v>1220612</c:v>
                </c:pt>
                <c:pt idx="912">
                  <c:v>1220613</c:v>
                </c:pt>
                <c:pt idx="913">
                  <c:v>1220614</c:v>
                </c:pt>
                <c:pt idx="914">
                  <c:v>1220615</c:v>
                </c:pt>
                <c:pt idx="915">
                  <c:v>1220616</c:v>
                </c:pt>
                <c:pt idx="916">
                  <c:v>1220617</c:v>
                </c:pt>
                <c:pt idx="917">
                  <c:v>1220619</c:v>
                </c:pt>
                <c:pt idx="918">
                  <c:v>1220620</c:v>
                </c:pt>
                <c:pt idx="919">
                  <c:v>1220621</c:v>
                </c:pt>
                <c:pt idx="920">
                  <c:v>1220622</c:v>
                </c:pt>
                <c:pt idx="921">
                  <c:v>1220623</c:v>
                </c:pt>
                <c:pt idx="922">
                  <c:v>1220624</c:v>
                </c:pt>
                <c:pt idx="923">
                  <c:v>1220626</c:v>
                </c:pt>
                <c:pt idx="924">
                  <c:v>1220627</c:v>
                </c:pt>
                <c:pt idx="925">
                  <c:v>1220628</c:v>
                </c:pt>
                <c:pt idx="926">
                  <c:v>1220629</c:v>
                </c:pt>
                <c:pt idx="927">
                  <c:v>1220630</c:v>
                </c:pt>
                <c:pt idx="928">
                  <c:v>1220701</c:v>
                </c:pt>
                <c:pt idx="929">
                  <c:v>1220703</c:v>
                </c:pt>
                <c:pt idx="930">
                  <c:v>1220704</c:v>
                </c:pt>
                <c:pt idx="931">
                  <c:v>1220705</c:v>
                </c:pt>
                <c:pt idx="932">
                  <c:v>1220706</c:v>
                </c:pt>
                <c:pt idx="933">
                  <c:v>1220707</c:v>
                </c:pt>
                <c:pt idx="934">
                  <c:v>1220708</c:v>
                </c:pt>
                <c:pt idx="935">
                  <c:v>1220710</c:v>
                </c:pt>
                <c:pt idx="936">
                  <c:v>1220711</c:v>
                </c:pt>
                <c:pt idx="937">
                  <c:v>1220712</c:v>
                </c:pt>
                <c:pt idx="938">
                  <c:v>1220713</c:v>
                </c:pt>
                <c:pt idx="939">
                  <c:v>1220714</c:v>
                </c:pt>
                <c:pt idx="940">
                  <c:v>1220715</c:v>
                </c:pt>
                <c:pt idx="941">
                  <c:v>1220717</c:v>
                </c:pt>
                <c:pt idx="942">
                  <c:v>1220718</c:v>
                </c:pt>
                <c:pt idx="943">
                  <c:v>1220719</c:v>
                </c:pt>
                <c:pt idx="944">
                  <c:v>1220720</c:v>
                </c:pt>
                <c:pt idx="945">
                  <c:v>1220721</c:v>
                </c:pt>
                <c:pt idx="946">
                  <c:v>1220722</c:v>
                </c:pt>
                <c:pt idx="947">
                  <c:v>1220724</c:v>
                </c:pt>
                <c:pt idx="948">
                  <c:v>1220725</c:v>
                </c:pt>
                <c:pt idx="949">
                  <c:v>1220726</c:v>
                </c:pt>
                <c:pt idx="950">
                  <c:v>1220727</c:v>
                </c:pt>
                <c:pt idx="951">
                  <c:v>1220728</c:v>
                </c:pt>
                <c:pt idx="952">
                  <c:v>1220729</c:v>
                </c:pt>
                <c:pt idx="953">
                  <c:v>1220731</c:v>
                </c:pt>
                <c:pt idx="954">
                  <c:v>1220801</c:v>
                </c:pt>
                <c:pt idx="955">
                  <c:v>1220802</c:v>
                </c:pt>
                <c:pt idx="956">
                  <c:v>1220803</c:v>
                </c:pt>
                <c:pt idx="957">
                  <c:v>1220804</c:v>
                </c:pt>
                <c:pt idx="958">
                  <c:v>1220805</c:v>
                </c:pt>
                <c:pt idx="959">
                  <c:v>1220807</c:v>
                </c:pt>
                <c:pt idx="960">
                  <c:v>1220808</c:v>
                </c:pt>
                <c:pt idx="961">
                  <c:v>1220809</c:v>
                </c:pt>
                <c:pt idx="962">
                  <c:v>1220810</c:v>
                </c:pt>
                <c:pt idx="963">
                  <c:v>1220811</c:v>
                </c:pt>
                <c:pt idx="964">
                  <c:v>1220812</c:v>
                </c:pt>
                <c:pt idx="965">
                  <c:v>1220814</c:v>
                </c:pt>
                <c:pt idx="966">
                  <c:v>1220815</c:v>
                </c:pt>
                <c:pt idx="967">
                  <c:v>1220816</c:v>
                </c:pt>
                <c:pt idx="968">
                  <c:v>1220817</c:v>
                </c:pt>
                <c:pt idx="969">
                  <c:v>1220818</c:v>
                </c:pt>
                <c:pt idx="970">
                  <c:v>1220819</c:v>
                </c:pt>
                <c:pt idx="971">
                  <c:v>1220821</c:v>
                </c:pt>
                <c:pt idx="972">
                  <c:v>1220822</c:v>
                </c:pt>
                <c:pt idx="973">
                  <c:v>1220823</c:v>
                </c:pt>
                <c:pt idx="974">
                  <c:v>1220824</c:v>
                </c:pt>
                <c:pt idx="975">
                  <c:v>1220825</c:v>
                </c:pt>
                <c:pt idx="976">
                  <c:v>1220826</c:v>
                </c:pt>
                <c:pt idx="977">
                  <c:v>1220828</c:v>
                </c:pt>
                <c:pt idx="978">
                  <c:v>1220829</c:v>
                </c:pt>
                <c:pt idx="979">
                  <c:v>1220830</c:v>
                </c:pt>
                <c:pt idx="980">
                  <c:v>1220831</c:v>
                </c:pt>
                <c:pt idx="981">
                  <c:v>1220901</c:v>
                </c:pt>
                <c:pt idx="982">
                  <c:v>1220902</c:v>
                </c:pt>
                <c:pt idx="983">
                  <c:v>1220904</c:v>
                </c:pt>
                <c:pt idx="984">
                  <c:v>1220905</c:v>
                </c:pt>
                <c:pt idx="985">
                  <c:v>1220906</c:v>
                </c:pt>
                <c:pt idx="986">
                  <c:v>1220907</c:v>
                </c:pt>
                <c:pt idx="987">
                  <c:v>1220908</c:v>
                </c:pt>
                <c:pt idx="988">
                  <c:v>1220909</c:v>
                </c:pt>
                <c:pt idx="989">
                  <c:v>1220911</c:v>
                </c:pt>
                <c:pt idx="990">
                  <c:v>1220912</c:v>
                </c:pt>
                <c:pt idx="991">
                  <c:v>1220913</c:v>
                </c:pt>
                <c:pt idx="992">
                  <c:v>1220914</c:v>
                </c:pt>
                <c:pt idx="993">
                  <c:v>1220915</c:v>
                </c:pt>
                <c:pt idx="994">
                  <c:v>1220916</c:v>
                </c:pt>
                <c:pt idx="995">
                  <c:v>1220918</c:v>
                </c:pt>
                <c:pt idx="996">
                  <c:v>1220919</c:v>
                </c:pt>
                <c:pt idx="997">
                  <c:v>1220920</c:v>
                </c:pt>
                <c:pt idx="998">
                  <c:v>1220921</c:v>
                </c:pt>
                <c:pt idx="999">
                  <c:v>1220922</c:v>
                </c:pt>
                <c:pt idx="1000">
                  <c:v>1220923</c:v>
                </c:pt>
                <c:pt idx="1001">
                  <c:v>1220925</c:v>
                </c:pt>
                <c:pt idx="1002">
                  <c:v>1220926</c:v>
                </c:pt>
                <c:pt idx="1003">
                  <c:v>1220927</c:v>
                </c:pt>
                <c:pt idx="1004">
                  <c:v>1220928</c:v>
                </c:pt>
                <c:pt idx="1005">
                  <c:v>1220929</c:v>
                </c:pt>
                <c:pt idx="1006">
                  <c:v>1220930</c:v>
                </c:pt>
                <c:pt idx="1007">
                  <c:v>1221002</c:v>
                </c:pt>
                <c:pt idx="1008">
                  <c:v>1221003</c:v>
                </c:pt>
                <c:pt idx="1009">
                  <c:v>1221004</c:v>
                </c:pt>
                <c:pt idx="1010">
                  <c:v>1221005</c:v>
                </c:pt>
                <c:pt idx="1011">
                  <c:v>1221006</c:v>
                </c:pt>
                <c:pt idx="1012">
                  <c:v>1221007</c:v>
                </c:pt>
                <c:pt idx="1013">
                  <c:v>1221009</c:v>
                </c:pt>
                <c:pt idx="1014">
                  <c:v>1221010</c:v>
                </c:pt>
                <c:pt idx="1015">
                  <c:v>1221011</c:v>
                </c:pt>
                <c:pt idx="1016">
                  <c:v>1221012</c:v>
                </c:pt>
                <c:pt idx="1017">
                  <c:v>1221013</c:v>
                </c:pt>
                <c:pt idx="1018">
                  <c:v>1221014</c:v>
                </c:pt>
                <c:pt idx="1019">
                  <c:v>1221016</c:v>
                </c:pt>
                <c:pt idx="1020">
                  <c:v>1221017</c:v>
                </c:pt>
                <c:pt idx="1021">
                  <c:v>1221018</c:v>
                </c:pt>
                <c:pt idx="1022">
                  <c:v>1221019</c:v>
                </c:pt>
                <c:pt idx="1023">
                  <c:v>1221020</c:v>
                </c:pt>
                <c:pt idx="1024">
                  <c:v>1221021</c:v>
                </c:pt>
                <c:pt idx="1025">
                  <c:v>1221023</c:v>
                </c:pt>
                <c:pt idx="1026">
                  <c:v>1221024</c:v>
                </c:pt>
                <c:pt idx="1027">
                  <c:v>1221025</c:v>
                </c:pt>
                <c:pt idx="1028">
                  <c:v>1221026</c:v>
                </c:pt>
                <c:pt idx="1029">
                  <c:v>1221027</c:v>
                </c:pt>
                <c:pt idx="1030">
                  <c:v>1221028</c:v>
                </c:pt>
                <c:pt idx="1031">
                  <c:v>1221030</c:v>
                </c:pt>
                <c:pt idx="1032">
                  <c:v>1221031</c:v>
                </c:pt>
                <c:pt idx="1033">
                  <c:v>1221101</c:v>
                </c:pt>
                <c:pt idx="1034">
                  <c:v>1221102</c:v>
                </c:pt>
                <c:pt idx="1035">
                  <c:v>1221103</c:v>
                </c:pt>
                <c:pt idx="1036">
                  <c:v>1221104</c:v>
                </c:pt>
                <c:pt idx="1037">
                  <c:v>1221106</c:v>
                </c:pt>
                <c:pt idx="1038">
                  <c:v>1221107</c:v>
                </c:pt>
                <c:pt idx="1039">
                  <c:v>1221108</c:v>
                </c:pt>
                <c:pt idx="1040">
                  <c:v>1221109</c:v>
                </c:pt>
                <c:pt idx="1041">
                  <c:v>1221110</c:v>
                </c:pt>
                <c:pt idx="1042">
                  <c:v>1221111</c:v>
                </c:pt>
                <c:pt idx="1043">
                  <c:v>1221113</c:v>
                </c:pt>
                <c:pt idx="1044">
                  <c:v>1221114</c:v>
                </c:pt>
                <c:pt idx="1045">
                  <c:v>1221115</c:v>
                </c:pt>
                <c:pt idx="1046">
                  <c:v>1221116</c:v>
                </c:pt>
                <c:pt idx="1047">
                  <c:v>1221117</c:v>
                </c:pt>
                <c:pt idx="1048">
                  <c:v>1221118</c:v>
                </c:pt>
                <c:pt idx="1049">
                  <c:v>1221120</c:v>
                </c:pt>
                <c:pt idx="1050">
                  <c:v>1221121</c:v>
                </c:pt>
                <c:pt idx="1051">
                  <c:v>1221122</c:v>
                </c:pt>
                <c:pt idx="1052">
                  <c:v>1221123</c:v>
                </c:pt>
                <c:pt idx="1053">
                  <c:v>1221124</c:v>
                </c:pt>
                <c:pt idx="1054">
                  <c:v>1221125</c:v>
                </c:pt>
                <c:pt idx="1055">
                  <c:v>1221127</c:v>
                </c:pt>
                <c:pt idx="1056">
                  <c:v>1221128</c:v>
                </c:pt>
                <c:pt idx="1057">
                  <c:v>1221129</c:v>
                </c:pt>
                <c:pt idx="1058">
                  <c:v>1221130</c:v>
                </c:pt>
                <c:pt idx="1059">
                  <c:v>1221201</c:v>
                </c:pt>
                <c:pt idx="1060">
                  <c:v>1221202</c:v>
                </c:pt>
                <c:pt idx="1061">
                  <c:v>1221204</c:v>
                </c:pt>
                <c:pt idx="1062">
                  <c:v>1221205</c:v>
                </c:pt>
                <c:pt idx="1063">
                  <c:v>1221206</c:v>
                </c:pt>
                <c:pt idx="1064">
                  <c:v>1221207</c:v>
                </c:pt>
                <c:pt idx="1065">
                  <c:v>1221208</c:v>
                </c:pt>
                <c:pt idx="1066">
                  <c:v>1221209</c:v>
                </c:pt>
                <c:pt idx="1067">
                  <c:v>1221211</c:v>
                </c:pt>
                <c:pt idx="1068">
                  <c:v>1221212</c:v>
                </c:pt>
                <c:pt idx="1069">
                  <c:v>1221213</c:v>
                </c:pt>
                <c:pt idx="1070">
                  <c:v>1221214</c:v>
                </c:pt>
                <c:pt idx="1071">
                  <c:v>1221215</c:v>
                </c:pt>
                <c:pt idx="1072">
                  <c:v>1221216</c:v>
                </c:pt>
                <c:pt idx="1073">
                  <c:v>1221218</c:v>
                </c:pt>
                <c:pt idx="1074">
                  <c:v>1221219</c:v>
                </c:pt>
                <c:pt idx="1075">
                  <c:v>1221220</c:v>
                </c:pt>
                <c:pt idx="1076">
                  <c:v>1221221</c:v>
                </c:pt>
                <c:pt idx="1077">
                  <c:v>1221222</c:v>
                </c:pt>
                <c:pt idx="1078">
                  <c:v>1221223</c:v>
                </c:pt>
                <c:pt idx="1079">
                  <c:v>1221226</c:v>
                </c:pt>
                <c:pt idx="1080">
                  <c:v>1221227</c:v>
                </c:pt>
                <c:pt idx="1081">
                  <c:v>1221228</c:v>
                </c:pt>
                <c:pt idx="1082">
                  <c:v>1221229</c:v>
                </c:pt>
                <c:pt idx="1083">
                  <c:v>1221230</c:v>
                </c:pt>
                <c:pt idx="1084">
                  <c:v>1230102</c:v>
                </c:pt>
                <c:pt idx="1085">
                  <c:v>1230103</c:v>
                </c:pt>
                <c:pt idx="1086">
                  <c:v>1230104</c:v>
                </c:pt>
                <c:pt idx="1087">
                  <c:v>1230105</c:v>
                </c:pt>
                <c:pt idx="1088">
                  <c:v>1230106</c:v>
                </c:pt>
                <c:pt idx="1089">
                  <c:v>1230108</c:v>
                </c:pt>
                <c:pt idx="1090">
                  <c:v>1230109</c:v>
                </c:pt>
                <c:pt idx="1091">
                  <c:v>1230110</c:v>
                </c:pt>
                <c:pt idx="1092">
                  <c:v>1230111</c:v>
                </c:pt>
                <c:pt idx="1093">
                  <c:v>1230112</c:v>
                </c:pt>
                <c:pt idx="1094">
                  <c:v>1230113</c:v>
                </c:pt>
                <c:pt idx="1095">
                  <c:v>1230115</c:v>
                </c:pt>
                <c:pt idx="1096">
                  <c:v>1230116</c:v>
                </c:pt>
                <c:pt idx="1097">
                  <c:v>1230117</c:v>
                </c:pt>
                <c:pt idx="1098">
                  <c:v>1230118</c:v>
                </c:pt>
                <c:pt idx="1099">
                  <c:v>1230119</c:v>
                </c:pt>
                <c:pt idx="1100">
                  <c:v>1230120</c:v>
                </c:pt>
                <c:pt idx="1101">
                  <c:v>1230122</c:v>
                </c:pt>
                <c:pt idx="1102">
                  <c:v>1230123</c:v>
                </c:pt>
                <c:pt idx="1103">
                  <c:v>1230124</c:v>
                </c:pt>
                <c:pt idx="1104">
                  <c:v>1230125</c:v>
                </c:pt>
                <c:pt idx="1105">
                  <c:v>1230126</c:v>
                </c:pt>
                <c:pt idx="1106">
                  <c:v>1230127</c:v>
                </c:pt>
                <c:pt idx="1107">
                  <c:v>1230129</c:v>
                </c:pt>
                <c:pt idx="1108">
                  <c:v>1230130</c:v>
                </c:pt>
                <c:pt idx="1109">
                  <c:v>1230131</c:v>
                </c:pt>
                <c:pt idx="1110">
                  <c:v>1230201</c:v>
                </c:pt>
                <c:pt idx="1111">
                  <c:v>1230202</c:v>
                </c:pt>
                <c:pt idx="1112">
                  <c:v>1230203</c:v>
                </c:pt>
                <c:pt idx="1113">
                  <c:v>1230205</c:v>
                </c:pt>
                <c:pt idx="1114">
                  <c:v>1230206</c:v>
                </c:pt>
                <c:pt idx="1115">
                  <c:v>1230207</c:v>
                </c:pt>
                <c:pt idx="1116">
                  <c:v>1230208</c:v>
                </c:pt>
                <c:pt idx="1117">
                  <c:v>1230209</c:v>
                </c:pt>
                <c:pt idx="1118">
                  <c:v>1230210</c:v>
                </c:pt>
                <c:pt idx="1119">
                  <c:v>1230212</c:v>
                </c:pt>
                <c:pt idx="1120">
                  <c:v>1230213</c:v>
                </c:pt>
                <c:pt idx="1121">
                  <c:v>1230214</c:v>
                </c:pt>
                <c:pt idx="1122">
                  <c:v>1230215</c:v>
                </c:pt>
                <c:pt idx="1123">
                  <c:v>1230216</c:v>
                </c:pt>
                <c:pt idx="1124">
                  <c:v>1230217</c:v>
                </c:pt>
                <c:pt idx="1125">
                  <c:v>1230219</c:v>
                </c:pt>
                <c:pt idx="1126">
                  <c:v>1230220</c:v>
                </c:pt>
                <c:pt idx="1127">
                  <c:v>1230221</c:v>
                </c:pt>
                <c:pt idx="1128">
                  <c:v>1230222</c:v>
                </c:pt>
                <c:pt idx="1129">
                  <c:v>1230223</c:v>
                </c:pt>
                <c:pt idx="1130">
                  <c:v>1230224</c:v>
                </c:pt>
                <c:pt idx="1131">
                  <c:v>1230226</c:v>
                </c:pt>
                <c:pt idx="1132">
                  <c:v>1230227</c:v>
                </c:pt>
                <c:pt idx="1133">
                  <c:v>1230228</c:v>
                </c:pt>
                <c:pt idx="1134">
                  <c:v>1230301</c:v>
                </c:pt>
                <c:pt idx="1135">
                  <c:v>1230302</c:v>
                </c:pt>
                <c:pt idx="1136">
                  <c:v>1230303</c:v>
                </c:pt>
                <c:pt idx="1137">
                  <c:v>1230305</c:v>
                </c:pt>
                <c:pt idx="1138">
                  <c:v>1230306</c:v>
                </c:pt>
                <c:pt idx="1139">
                  <c:v>1230307</c:v>
                </c:pt>
                <c:pt idx="1140">
                  <c:v>1230308</c:v>
                </c:pt>
                <c:pt idx="1141">
                  <c:v>1230309</c:v>
                </c:pt>
                <c:pt idx="1142">
                  <c:v>1230310</c:v>
                </c:pt>
                <c:pt idx="1143">
                  <c:v>1230312</c:v>
                </c:pt>
                <c:pt idx="1144">
                  <c:v>1230313</c:v>
                </c:pt>
                <c:pt idx="1145">
                  <c:v>1230314</c:v>
                </c:pt>
                <c:pt idx="1146">
                  <c:v>1230315</c:v>
                </c:pt>
                <c:pt idx="1147">
                  <c:v>1230316</c:v>
                </c:pt>
                <c:pt idx="1148">
                  <c:v>1230317</c:v>
                </c:pt>
                <c:pt idx="1149">
                  <c:v>1230319</c:v>
                </c:pt>
                <c:pt idx="1150">
                  <c:v>1230320</c:v>
                </c:pt>
                <c:pt idx="1151">
                  <c:v>1230321</c:v>
                </c:pt>
                <c:pt idx="1152">
                  <c:v>1230322</c:v>
                </c:pt>
                <c:pt idx="1153">
                  <c:v>1230323</c:v>
                </c:pt>
                <c:pt idx="1154">
                  <c:v>1230324</c:v>
                </c:pt>
                <c:pt idx="1155">
                  <c:v>1230326</c:v>
                </c:pt>
                <c:pt idx="1156">
                  <c:v>1230327</c:v>
                </c:pt>
                <c:pt idx="1157">
                  <c:v>1230328</c:v>
                </c:pt>
                <c:pt idx="1158">
                  <c:v>1230329</c:v>
                </c:pt>
                <c:pt idx="1159">
                  <c:v>1230330</c:v>
                </c:pt>
                <c:pt idx="1160">
                  <c:v>1230331</c:v>
                </c:pt>
                <c:pt idx="1161">
                  <c:v>1230402</c:v>
                </c:pt>
                <c:pt idx="1162">
                  <c:v>1230403</c:v>
                </c:pt>
                <c:pt idx="1163">
                  <c:v>1230404</c:v>
                </c:pt>
                <c:pt idx="1164">
                  <c:v>1230405</c:v>
                </c:pt>
                <c:pt idx="1165">
                  <c:v>1230406</c:v>
                </c:pt>
                <c:pt idx="1166">
                  <c:v>1230407</c:v>
                </c:pt>
                <c:pt idx="1167">
                  <c:v>1230409</c:v>
                </c:pt>
                <c:pt idx="1168">
                  <c:v>1230410</c:v>
                </c:pt>
                <c:pt idx="1169">
                  <c:v>1230411</c:v>
                </c:pt>
                <c:pt idx="1170">
                  <c:v>1230412</c:v>
                </c:pt>
                <c:pt idx="1171">
                  <c:v>1230413</c:v>
                </c:pt>
                <c:pt idx="1172">
                  <c:v>1230414</c:v>
                </c:pt>
                <c:pt idx="1173">
                  <c:v>1230416</c:v>
                </c:pt>
                <c:pt idx="1174">
                  <c:v>1230417</c:v>
                </c:pt>
                <c:pt idx="1175">
                  <c:v>1230418</c:v>
                </c:pt>
                <c:pt idx="1176">
                  <c:v>1230419</c:v>
                </c:pt>
                <c:pt idx="1177">
                  <c:v>1230420</c:v>
                </c:pt>
                <c:pt idx="1178">
                  <c:v>1230421</c:v>
                </c:pt>
                <c:pt idx="1179">
                  <c:v>1230423</c:v>
                </c:pt>
                <c:pt idx="1180">
                  <c:v>1230424</c:v>
                </c:pt>
                <c:pt idx="1181">
                  <c:v>1230425</c:v>
                </c:pt>
                <c:pt idx="1182">
                  <c:v>1230426</c:v>
                </c:pt>
                <c:pt idx="1183">
                  <c:v>1230427</c:v>
                </c:pt>
                <c:pt idx="1184">
                  <c:v>1230428</c:v>
                </c:pt>
                <c:pt idx="1185">
                  <c:v>1230430</c:v>
                </c:pt>
                <c:pt idx="1186">
                  <c:v>1230501</c:v>
                </c:pt>
                <c:pt idx="1187">
                  <c:v>1230502</c:v>
                </c:pt>
                <c:pt idx="1188">
                  <c:v>1230503</c:v>
                </c:pt>
                <c:pt idx="1189">
                  <c:v>1230504</c:v>
                </c:pt>
                <c:pt idx="1190">
                  <c:v>1230505</c:v>
                </c:pt>
                <c:pt idx="1191">
                  <c:v>1230507</c:v>
                </c:pt>
                <c:pt idx="1192">
                  <c:v>1230508</c:v>
                </c:pt>
                <c:pt idx="1193">
                  <c:v>1230509</c:v>
                </c:pt>
                <c:pt idx="1194">
                  <c:v>1230510</c:v>
                </c:pt>
                <c:pt idx="1195">
                  <c:v>1230511</c:v>
                </c:pt>
                <c:pt idx="1196">
                  <c:v>1230512</c:v>
                </c:pt>
                <c:pt idx="1197">
                  <c:v>1230514</c:v>
                </c:pt>
                <c:pt idx="1198">
                  <c:v>1230515</c:v>
                </c:pt>
                <c:pt idx="1199">
                  <c:v>1230516</c:v>
                </c:pt>
                <c:pt idx="1200">
                  <c:v>1230517</c:v>
                </c:pt>
                <c:pt idx="1201">
                  <c:v>1230518</c:v>
                </c:pt>
                <c:pt idx="1202">
                  <c:v>1230519</c:v>
                </c:pt>
                <c:pt idx="1203">
                  <c:v>1230521</c:v>
                </c:pt>
                <c:pt idx="1204">
                  <c:v>1230522</c:v>
                </c:pt>
                <c:pt idx="1205">
                  <c:v>1230523</c:v>
                </c:pt>
                <c:pt idx="1206">
                  <c:v>1230524</c:v>
                </c:pt>
                <c:pt idx="1207">
                  <c:v>1230525</c:v>
                </c:pt>
                <c:pt idx="1208">
                  <c:v>1230526</c:v>
                </c:pt>
                <c:pt idx="1209">
                  <c:v>1230528</c:v>
                </c:pt>
                <c:pt idx="1210">
                  <c:v>1230529</c:v>
                </c:pt>
                <c:pt idx="1211">
                  <c:v>1230530</c:v>
                </c:pt>
                <c:pt idx="1212">
                  <c:v>1230531</c:v>
                </c:pt>
                <c:pt idx="1213">
                  <c:v>1230601</c:v>
                </c:pt>
                <c:pt idx="1214">
                  <c:v>1230602</c:v>
                </c:pt>
                <c:pt idx="1215">
                  <c:v>1230604</c:v>
                </c:pt>
                <c:pt idx="1216">
                  <c:v>1230605</c:v>
                </c:pt>
                <c:pt idx="1217">
                  <c:v>1230606</c:v>
                </c:pt>
                <c:pt idx="1218">
                  <c:v>1230607</c:v>
                </c:pt>
                <c:pt idx="1219">
                  <c:v>1230608</c:v>
                </c:pt>
                <c:pt idx="1220">
                  <c:v>1230609</c:v>
                </c:pt>
                <c:pt idx="1221">
                  <c:v>1230611</c:v>
                </c:pt>
                <c:pt idx="1222">
                  <c:v>1230612</c:v>
                </c:pt>
                <c:pt idx="1223">
                  <c:v>1230613</c:v>
                </c:pt>
                <c:pt idx="1224">
                  <c:v>1230614</c:v>
                </c:pt>
                <c:pt idx="1225">
                  <c:v>1230615</c:v>
                </c:pt>
                <c:pt idx="1226">
                  <c:v>1230616</c:v>
                </c:pt>
                <c:pt idx="1227">
                  <c:v>1230618</c:v>
                </c:pt>
                <c:pt idx="1228">
                  <c:v>1230619</c:v>
                </c:pt>
                <c:pt idx="1229">
                  <c:v>1230620</c:v>
                </c:pt>
                <c:pt idx="1230">
                  <c:v>1230621</c:v>
                </c:pt>
                <c:pt idx="1231">
                  <c:v>1230622</c:v>
                </c:pt>
                <c:pt idx="1232">
                  <c:v>1230623</c:v>
                </c:pt>
                <c:pt idx="1233">
                  <c:v>1230625</c:v>
                </c:pt>
                <c:pt idx="1234">
                  <c:v>1230626</c:v>
                </c:pt>
                <c:pt idx="1235">
                  <c:v>1230627</c:v>
                </c:pt>
                <c:pt idx="1236">
                  <c:v>1230628</c:v>
                </c:pt>
                <c:pt idx="1237">
                  <c:v>1230629</c:v>
                </c:pt>
                <c:pt idx="1238">
                  <c:v>1230630</c:v>
                </c:pt>
                <c:pt idx="1239">
                  <c:v>1230702</c:v>
                </c:pt>
                <c:pt idx="1240">
                  <c:v>1230703</c:v>
                </c:pt>
                <c:pt idx="1241">
                  <c:v>1230704</c:v>
                </c:pt>
                <c:pt idx="1242">
                  <c:v>1230705</c:v>
                </c:pt>
                <c:pt idx="1243">
                  <c:v>1230706</c:v>
                </c:pt>
                <c:pt idx="1244">
                  <c:v>1230707</c:v>
                </c:pt>
                <c:pt idx="1245">
                  <c:v>1230709</c:v>
                </c:pt>
                <c:pt idx="1246">
                  <c:v>1230710</c:v>
                </c:pt>
                <c:pt idx="1247">
                  <c:v>1230711</c:v>
                </c:pt>
                <c:pt idx="1248">
                  <c:v>1230712</c:v>
                </c:pt>
                <c:pt idx="1249">
                  <c:v>1230713</c:v>
                </c:pt>
                <c:pt idx="1250">
                  <c:v>1230714</c:v>
                </c:pt>
                <c:pt idx="1251">
                  <c:v>1230716</c:v>
                </c:pt>
                <c:pt idx="1252">
                  <c:v>1230717</c:v>
                </c:pt>
                <c:pt idx="1253">
                  <c:v>1230718</c:v>
                </c:pt>
                <c:pt idx="1254">
                  <c:v>1230719</c:v>
                </c:pt>
                <c:pt idx="1255">
                  <c:v>1230720</c:v>
                </c:pt>
                <c:pt idx="1256">
                  <c:v>1230721</c:v>
                </c:pt>
                <c:pt idx="1257">
                  <c:v>1230723</c:v>
                </c:pt>
                <c:pt idx="1258">
                  <c:v>1230724</c:v>
                </c:pt>
                <c:pt idx="1259">
                  <c:v>1230725</c:v>
                </c:pt>
                <c:pt idx="1260">
                  <c:v>1230726</c:v>
                </c:pt>
                <c:pt idx="1261">
                  <c:v>1230727</c:v>
                </c:pt>
                <c:pt idx="1262">
                  <c:v>1230728</c:v>
                </c:pt>
                <c:pt idx="1263">
                  <c:v>1230730</c:v>
                </c:pt>
                <c:pt idx="1264">
                  <c:v>1230731</c:v>
                </c:pt>
                <c:pt idx="1265">
                  <c:v>1230801</c:v>
                </c:pt>
                <c:pt idx="1266">
                  <c:v>1230802</c:v>
                </c:pt>
                <c:pt idx="1267">
                  <c:v>1230803</c:v>
                </c:pt>
                <c:pt idx="1268">
                  <c:v>1230804</c:v>
                </c:pt>
                <c:pt idx="1269">
                  <c:v>1230806</c:v>
                </c:pt>
                <c:pt idx="1270">
                  <c:v>1230807</c:v>
                </c:pt>
                <c:pt idx="1271">
                  <c:v>1230808</c:v>
                </c:pt>
                <c:pt idx="1272">
                  <c:v>1230809</c:v>
                </c:pt>
                <c:pt idx="1273">
                  <c:v>1230810</c:v>
                </c:pt>
                <c:pt idx="1274">
                  <c:v>1230811</c:v>
                </c:pt>
                <c:pt idx="1275">
                  <c:v>1230813</c:v>
                </c:pt>
                <c:pt idx="1276">
                  <c:v>1230814</c:v>
                </c:pt>
                <c:pt idx="1277">
                  <c:v>1230815</c:v>
                </c:pt>
                <c:pt idx="1278">
                  <c:v>1230816</c:v>
                </c:pt>
                <c:pt idx="1279">
                  <c:v>1230817</c:v>
                </c:pt>
                <c:pt idx="1280">
                  <c:v>1230818</c:v>
                </c:pt>
                <c:pt idx="1281">
                  <c:v>1230820</c:v>
                </c:pt>
                <c:pt idx="1282">
                  <c:v>1230821</c:v>
                </c:pt>
                <c:pt idx="1283">
                  <c:v>1230822</c:v>
                </c:pt>
                <c:pt idx="1284">
                  <c:v>1230823</c:v>
                </c:pt>
                <c:pt idx="1285">
                  <c:v>1230824</c:v>
                </c:pt>
                <c:pt idx="1286">
                  <c:v>1230825</c:v>
                </c:pt>
                <c:pt idx="1287">
                  <c:v>1230827</c:v>
                </c:pt>
                <c:pt idx="1288">
                  <c:v>1230828</c:v>
                </c:pt>
                <c:pt idx="1289">
                  <c:v>1230829</c:v>
                </c:pt>
                <c:pt idx="1290">
                  <c:v>1230830</c:v>
                </c:pt>
                <c:pt idx="1291">
                  <c:v>1230831</c:v>
                </c:pt>
                <c:pt idx="1292">
                  <c:v>1230901</c:v>
                </c:pt>
                <c:pt idx="1293">
                  <c:v>1230903</c:v>
                </c:pt>
                <c:pt idx="1294">
                  <c:v>1230904</c:v>
                </c:pt>
                <c:pt idx="1295">
                  <c:v>1230905</c:v>
                </c:pt>
                <c:pt idx="1296">
                  <c:v>1230906</c:v>
                </c:pt>
                <c:pt idx="1297">
                  <c:v>1230907</c:v>
                </c:pt>
                <c:pt idx="1298">
                  <c:v>1230908</c:v>
                </c:pt>
                <c:pt idx="1299">
                  <c:v>1230910</c:v>
                </c:pt>
                <c:pt idx="1300">
                  <c:v>1230911</c:v>
                </c:pt>
                <c:pt idx="1301">
                  <c:v>1230912</c:v>
                </c:pt>
                <c:pt idx="1302">
                  <c:v>1230913</c:v>
                </c:pt>
                <c:pt idx="1303">
                  <c:v>1230914</c:v>
                </c:pt>
                <c:pt idx="1304">
                  <c:v>1230915</c:v>
                </c:pt>
                <c:pt idx="1305">
                  <c:v>1230917</c:v>
                </c:pt>
                <c:pt idx="1306">
                  <c:v>1230918</c:v>
                </c:pt>
                <c:pt idx="1307">
                  <c:v>1230919</c:v>
                </c:pt>
                <c:pt idx="1308">
                  <c:v>1230920</c:v>
                </c:pt>
                <c:pt idx="1309">
                  <c:v>1230921</c:v>
                </c:pt>
                <c:pt idx="1310">
                  <c:v>1230922</c:v>
                </c:pt>
                <c:pt idx="1311">
                  <c:v>1230924</c:v>
                </c:pt>
                <c:pt idx="1312">
                  <c:v>1230925</c:v>
                </c:pt>
                <c:pt idx="1313">
                  <c:v>1230926</c:v>
                </c:pt>
                <c:pt idx="1314">
                  <c:v>1230927</c:v>
                </c:pt>
                <c:pt idx="1315">
                  <c:v>1230928</c:v>
                </c:pt>
                <c:pt idx="1316">
                  <c:v>1230929</c:v>
                </c:pt>
                <c:pt idx="1317">
                  <c:v>1231001</c:v>
                </c:pt>
                <c:pt idx="1318">
                  <c:v>1231002</c:v>
                </c:pt>
                <c:pt idx="1319">
                  <c:v>1231003</c:v>
                </c:pt>
                <c:pt idx="1320">
                  <c:v>1231004</c:v>
                </c:pt>
                <c:pt idx="1321">
                  <c:v>1231005</c:v>
                </c:pt>
                <c:pt idx="1322">
                  <c:v>1231006</c:v>
                </c:pt>
                <c:pt idx="1323">
                  <c:v>1231008</c:v>
                </c:pt>
                <c:pt idx="1324">
                  <c:v>1231009</c:v>
                </c:pt>
                <c:pt idx="1325">
                  <c:v>1231010</c:v>
                </c:pt>
                <c:pt idx="1326">
                  <c:v>1231011</c:v>
                </c:pt>
                <c:pt idx="1327">
                  <c:v>1231012</c:v>
                </c:pt>
                <c:pt idx="1328">
                  <c:v>1231013</c:v>
                </c:pt>
                <c:pt idx="1329">
                  <c:v>1231015</c:v>
                </c:pt>
                <c:pt idx="1330">
                  <c:v>1231016</c:v>
                </c:pt>
                <c:pt idx="1331">
                  <c:v>1231017</c:v>
                </c:pt>
                <c:pt idx="1332">
                  <c:v>1231018</c:v>
                </c:pt>
                <c:pt idx="1333">
                  <c:v>1231019</c:v>
                </c:pt>
                <c:pt idx="1334">
                  <c:v>1231020</c:v>
                </c:pt>
                <c:pt idx="1335">
                  <c:v>1231022</c:v>
                </c:pt>
                <c:pt idx="1336">
                  <c:v>1231023</c:v>
                </c:pt>
                <c:pt idx="1337">
                  <c:v>1231024</c:v>
                </c:pt>
                <c:pt idx="1338">
                  <c:v>1231025</c:v>
                </c:pt>
                <c:pt idx="1339">
                  <c:v>1231026</c:v>
                </c:pt>
                <c:pt idx="1340">
                  <c:v>1231027</c:v>
                </c:pt>
                <c:pt idx="1341">
                  <c:v>1231029</c:v>
                </c:pt>
                <c:pt idx="1342">
                  <c:v>1231030</c:v>
                </c:pt>
                <c:pt idx="1343">
                  <c:v>1231031</c:v>
                </c:pt>
                <c:pt idx="1344">
                  <c:v>1231101</c:v>
                </c:pt>
                <c:pt idx="1345">
                  <c:v>1231102</c:v>
                </c:pt>
                <c:pt idx="1346">
                  <c:v>1231103</c:v>
                </c:pt>
                <c:pt idx="1347">
                  <c:v>1231105</c:v>
                </c:pt>
                <c:pt idx="1348">
                  <c:v>1231106</c:v>
                </c:pt>
                <c:pt idx="1349">
                  <c:v>1231107</c:v>
                </c:pt>
                <c:pt idx="1350">
                  <c:v>1231108</c:v>
                </c:pt>
                <c:pt idx="1351">
                  <c:v>1231109</c:v>
                </c:pt>
                <c:pt idx="1352">
                  <c:v>1231110</c:v>
                </c:pt>
                <c:pt idx="1353">
                  <c:v>1231112</c:v>
                </c:pt>
                <c:pt idx="1354">
                  <c:v>1231113</c:v>
                </c:pt>
                <c:pt idx="1355">
                  <c:v>1231114</c:v>
                </c:pt>
                <c:pt idx="1356">
                  <c:v>1231115</c:v>
                </c:pt>
                <c:pt idx="1357">
                  <c:v>1231116</c:v>
                </c:pt>
                <c:pt idx="1358">
                  <c:v>1231117</c:v>
                </c:pt>
                <c:pt idx="1359">
                  <c:v>1231119</c:v>
                </c:pt>
                <c:pt idx="1360">
                  <c:v>1231120</c:v>
                </c:pt>
                <c:pt idx="1361">
                  <c:v>1231121</c:v>
                </c:pt>
                <c:pt idx="1362">
                  <c:v>1231122</c:v>
                </c:pt>
                <c:pt idx="1363">
                  <c:v>1231123</c:v>
                </c:pt>
                <c:pt idx="1364">
                  <c:v>1231124</c:v>
                </c:pt>
                <c:pt idx="1365">
                  <c:v>1231126</c:v>
                </c:pt>
                <c:pt idx="1366">
                  <c:v>1231127</c:v>
                </c:pt>
                <c:pt idx="1367">
                  <c:v>1231128</c:v>
                </c:pt>
                <c:pt idx="1368">
                  <c:v>1231129</c:v>
                </c:pt>
                <c:pt idx="1369">
                  <c:v>1231130</c:v>
                </c:pt>
                <c:pt idx="1370">
                  <c:v>1231201</c:v>
                </c:pt>
                <c:pt idx="1371">
                  <c:v>1231203</c:v>
                </c:pt>
                <c:pt idx="1372">
                  <c:v>1231204</c:v>
                </c:pt>
                <c:pt idx="1373">
                  <c:v>1231205</c:v>
                </c:pt>
                <c:pt idx="1374">
                  <c:v>1231206</c:v>
                </c:pt>
                <c:pt idx="1375">
                  <c:v>1231207</c:v>
                </c:pt>
                <c:pt idx="1376">
                  <c:v>1231208</c:v>
                </c:pt>
                <c:pt idx="1377">
                  <c:v>1231210</c:v>
                </c:pt>
                <c:pt idx="1378">
                  <c:v>1231211</c:v>
                </c:pt>
                <c:pt idx="1379">
                  <c:v>1231212</c:v>
                </c:pt>
                <c:pt idx="1380">
                  <c:v>1231213</c:v>
                </c:pt>
                <c:pt idx="1381">
                  <c:v>1231214</c:v>
                </c:pt>
                <c:pt idx="1382">
                  <c:v>1231215</c:v>
                </c:pt>
                <c:pt idx="1383">
                  <c:v>1231217</c:v>
                </c:pt>
                <c:pt idx="1384">
                  <c:v>1231218</c:v>
                </c:pt>
                <c:pt idx="1385">
                  <c:v>1231219</c:v>
                </c:pt>
                <c:pt idx="1386">
                  <c:v>1231220</c:v>
                </c:pt>
                <c:pt idx="1387">
                  <c:v>1231221</c:v>
                </c:pt>
                <c:pt idx="1388">
                  <c:v>1231222</c:v>
                </c:pt>
                <c:pt idx="1389">
                  <c:v>1231225</c:v>
                </c:pt>
                <c:pt idx="1390">
                  <c:v>1231226</c:v>
                </c:pt>
                <c:pt idx="1391">
                  <c:v>1231227</c:v>
                </c:pt>
                <c:pt idx="1392">
                  <c:v>1231228</c:v>
                </c:pt>
                <c:pt idx="1393">
                  <c:v>1231229</c:v>
                </c:pt>
                <c:pt idx="1394">
                  <c:v>1240101</c:v>
                </c:pt>
                <c:pt idx="1395">
                  <c:v>1240102</c:v>
                </c:pt>
                <c:pt idx="1396">
                  <c:v>1240103</c:v>
                </c:pt>
                <c:pt idx="1397">
                  <c:v>1240104</c:v>
                </c:pt>
                <c:pt idx="1398">
                  <c:v>1240105</c:v>
                </c:pt>
                <c:pt idx="1399">
                  <c:v>1240107</c:v>
                </c:pt>
                <c:pt idx="1400">
                  <c:v>1240108</c:v>
                </c:pt>
                <c:pt idx="1401">
                  <c:v>1240109</c:v>
                </c:pt>
                <c:pt idx="1402">
                  <c:v>1240110</c:v>
                </c:pt>
                <c:pt idx="1403">
                  <c:v>1240111</c:v>
                </c:pt>
                <c:pt idx="1404">
                  <c:v>1240112</c:v>
                </c:pt>
                <c:pt idx="1405">
                  <c:v>1240114</c:v>
                </c:pt>
                <c:pt idx="1406">
                  <c:v>1240115</c:v>
                </c:pt>
                <c:pt idx="1407">
                  <c:v>1240116</c:v>
                </c:pt>
                <c:pt idx="1408">
                  <c:v>1240117</c:v>
                </c:pt>
                <c:pt idx="1409">
                  <c:v>1240118</c:v>
                </c:pt>
                <c:pt idx="1410">
                  <c:v>1240119</c:v>
                </c:pt>
                <c:pt idx="1411">
                  <c:v>1240121</c:v>
                </c:pt>
                <c:pt idx="1412">
                  <c:v>1240122</c:v>
                </c:pt>
                <c:pt idx="1413">
                  <c:v>1240123</c:v>
                </c:pt>
                <c:pt idx="1414">
                  <c:v>1240124</c:v>
                </c:pt>
                <c:pt idx="1415">
                  <c:v>1240125</c:v>
                </c:pt>
                <c:pt idx="1416">
                  <c:v>1240126</c:v>
                </c:pt>
                <c:pt idx="1417">
                  <c:v>1240128</c:v>
                </c:pt>
                <c:pt idx="1418">
                  <c:v>1240129</c:v>
                </c:pt>
                <c:pt idx="1419">
                  <c:v>1240130</c:v>
                </c:pt>
                <c:pt idx="1420">
                  <c:v>1240131</c:v>
                </c:pt>
                <c:pt idx="1421">
                  <c:v>1240201</c:v>
                </c:pt>
                <c:pt idx="1422">
                  <c:v>1240202</c:v>
                </c:pt>
                <c:pt idx="1423">
                  <c:v>1240204</c:v>
                </c:pt>
                <c:pt idx="1424">
                  <c:v>1240205</c:v>
                </c:pt>
                <c:pt idx="1425">
                  <c:v>1240206</c:v>
                </c:pt>
                <c:pt idx="1426">
                  <c:v>1240207</c:v>
                </c:pt>
                <c:pt idx="1427">
                  <c:v>1240208</c:v>
                </c:pt>
                <c:pt idx="1428">
                  <c:v>1240209</c:v>
                </c:pt>
                <c:pt idx="1429">
                  <c:v>1240211</c:v>
                </c:pt>
                <c:pt idx="1430">
                  <c:v>1240212</c:v>
                </c:pt>
                <c:pt idx="1431">
                  <c:v>1240213</c:v>
                </c:pt>
                <c:pt idx="1432">
                  <c:v>1240214</c:v>
                </c:pt>
                <c:pt idx="1433">
                  <c:v>1240215</c:v>
                </c:pt>
                <c:pt idx="1434">
                  <c:v>1240216</c:v>
                </c:pt>
                <c:pt idx="1435">
                  <c:v>1240218</c:v>
                </c:pt>
                <c:pt idx="1436">
                  <c:v>1240219</c:v>
                </c:pt>
                <c:pt idx="1437">
                  <c:v>1240220</c:v>
                </c:pt>
                <c:pt idx="1438">
                  <c:v>1240221</c:v>
                </c:pt>
                <c:pt idx="1439">
                  <c:v>1240222</c:v>
                </c:pt>
                <c:pt idx="1440">
                  <c:v>1240223</c:v>
                </c:pt>
                <c:pt idx="1441">
                  <c:v>1240225</c:v>
                </c:pt>
                <c:pt idx="1442">
                  <c:v>1240226</c:v>
                </c:pt>
                <c:pt idx="1443">
                  <c:v>1240227</c:v>
                </c:pt>
                <c:pt idx="1444">
                  <c:v>1240228</c:v>
                </c:pt>
                <c:pt idx="1445">
                  <c:v>1240229</c:v>
                </c:pt>
                <c:pt idx="1446">
                  <c:v>1240301</c:v>
                </c:pt>
                <c:pt idx="1447">
                  <c:v>1240303</c:v>
                </c:pt>
                <c:pt idx="1448">
                  <c:v>1240304</c:v>
                </c:pt>
                <c:pt idx="1449">
                  <c:v>1240305</c:v>
                </c:pt>
                <c:pt idx="1450">
                  <c:v>1240306</c:v>
                </c:pt>
                <c:pt idx="1451">
                  <c:v>1240307</c:v>
                </c:pt>
                <c:pt idx="1452">
                  <c:v>1240308</c:v>
                </c:pt>
                <c:pt idx="1453">
                  <c:v>1240310</c:v>
                </c:pt>
                <c:pt idx="1454">
                  <c:v>1240311</c:v>
                </c:pt>
                <c:pt idx="1455">
                  <c:v>1240312</c:v>
                </c:pt>
                <c:pt idx="1456">
                  <c:v>1240313</c:v>
                </c:pt>
                <c:pt idx="1457">
                  <c:v>1240314</c:v>
                </c:pt>
                <c:pt idx="1458">
                  <c:v>1240315</c:v>
                </c:pt>
                <c:pt idx="1459">
                  <c:v>1240317</c:v>
                </c:pt>
                <c:pt idx="1460">
                  <c:v>1240318</c:v>
                </c:pt>
                <c:pt idx="1461">
                  <c:v>1240319</c:v>
                </c:pt>
                <c:pt idx="1462">
                  <c:v>1240320</c:v>
                </c:pt>
                <c:pt idx="1463">
                  <c:v>1240321</c:v>
                </c:pt>
                <c:pt idx="1464">
                  <c:v>1240322</c:v>
                </c:pt>
                <c:pt idx="1465">
                  <c:v>1240324</c:v>
                </c:pt>
                <c:pt idx="1466">
                  <c:v>1240325</c:v>
                </c:pt>
                <c:pt idx="1467">
                  <c:v>1240326</c:v>
                </c:pt>
                <c:pt idx="1468">
                  <c:v>1240327</c:v>
                </c:pt>
                <c:pt idx="1469">
                  <c:v>1240328</c:v>
                </c:pt>
                <c:pt idx="1470">
                  <c:v>1240331</c:v>
                </c:pt>
                <c:pt idx="1471">
                  <c:v>1240401</c:v>
                </c:pt>
                <c:pt idx="1472">
                  <c:v>1240402</c:v>
                </c:pt>
                <c:pt idx="1473">
                  <c:v>1240403</c:v>
                </c:pt>
                <c:pt idx="1474">
                  <c:v>1240404</c:v>
                </c:pt>
                <c:pt idx="1475">
                  <c:v>1240405</c:v>
                </c:pt>
                <c:pt idx="1476">
                  <c:v>1240407</c:v>
                </c:pt>
                <c:pt idx="1477">
                  <c:v>1240408</c:v>
                </c:pt>
                <c:pt idx="1478">
                  <c:v>1240409</c:v>
                </c:pt>
                <c:pt idx="1479">
                  <c:v>1240410</c:v>
                </c:pt>
                <c:pt idx="1480">
                  <c:v>1240411</c:v>
                </c:pt>
                <c:pt idx="1481">
                  <c:v>1240412</c:v>
                </c:pt>
                <c:pt idx="1482">
                  <c:v>1240414</c:v>
                </c:pt>
                <c:pt idx="1483">
                  <c:v>1240415</c:v>
                </c:pt>
                <c:pt idx="1484">
                  <c:v>1240416</c:v>
                </c:pt>
                <c:pt idx="1485">
                  <c:v>1240417</c:v>
                </c:pt>
                <c:pt idx="1486">
                  <c:v>1240418</c:v>
                </c:pt>
                <c:pt idx="1487">
                  <c:v>1240419</c:v>
                </c:pt>
                <c:pt idx="1488">
                  <c:v>1240421</c:v>
                </c:pt>
                <c:pt idx="1489">
                  <c:v>1240422</c:v>
                </c:pt>
                <c:pt idx="1490">
                  <c:v>1240423</c:v>
                </c:pt>
                <c:pt idx="1491">
                  <c:v>1240424</c:v>
                </c:pt>
                <c:pt idx="1492">
                  <c:v>1240425</c:v>
                </c:pt>
                <c:pt idx="1493">
                  <c:v>1240426</c:v>
                </c:pt>
                <c:pt idx="1494">
                  <c:v>1240428</c:v>
                </c:pt>
                <c:pt idx="1495">
                  <c:v>1240429</c:v>
                </c:pt>
                <c:pt idx="1496">
                  <c:v>1240430</c:v>
                </c:pt>
                <c:pt idx="1497">
                  <c:v>1240501</c:v>
                </c:pt>
                <c:pt idx="1498">
                  <c:v>1240502</c:v>
                </c:pt>
                <c:pt idx="1499">
                  <c:v>1240503</c:v>
                </c:pt>
                <c:pt idx="1500">
                  <c:v>1240505</c:v>
                </c:pt>
                <c:pt idx="1501">
                  <c:v>1240506</c:v>
                </c:pt>
                <c:pt idx="1502">
                  <c:v>1240507</c:v>
                </c:pt>
                <c:pt idx="1503">
                  <c:v>1240508</c:v>
                </c:pt>
                <c:pt idx="1504">
                  <c:v>1240509</c:v>
                </c:pt>
                <c:pt idx="1505">
                  <c:v>1240510</c:v>
                </c:pt>
                <c:pt idx="1506">
                  <c:v>1240512</c:v>
                </c:pt>
                <c:pt idx="1507">
                  <c:v>1240513</c:v>
                </c:pt>
                <c:pt idx="1508">
                  <c:v>1240514</c:v>
                </c:pt>
                <c:pt idx="1509">
                  <c:v>1240515</c:v>
                </c:pt>
                <c:pt idx="1510">
                  <c:v>1240516</c:v>
                </c:pt>
                <c:pt idx="1511">
                  <c:v>1240517</c:v>
                </c:pt>
                <c:pt idx="1512">
                  <c:v>1240519</c:v>
                </c:pt>
                <c:pt idx="1513">
                  <c:v>1240520</c:v>
                </c:pt>
                <c:pt idx="1514">
                  <c:v>1240521</c:v>
                </c:pt>
                <c:pt idx="1515">
                  <c:v>1240522</c:v>
                </c:pt>
                <c:pt idx="1516">
                  <c:v>1240523</c:v>
                </c:pt>
                <c:pt idx="1517">
                  <c:v>1240524</c:v>
                </c:pt>
                <c:pt idx="1518">
                  <c:v>1240526</c:v>
                </c:pt>
                <c:pt idx="1519">
                  <c:v>1240527</c:v>
                </c:pt>
                <c:pt idx="1520">
                  <c:v>1240528</c:v>
                </c:pt>
                <c:pt idx="1521">
                  <c:v>1240529</c:v>
                </c:pt>
                <c:pt idx="1522">
                  <c:v>1240530</c:v>
                </c:pt>
                <c:pt idx="1523">
                  <c:v>1240531</c:v>
                </c:pt>
                <c:pt idx="1524">
                  <c:v>1240602</c:v>
                </c:pt>
                <c:pt idx="1525">
                  <c:v>1240603</c:v>
                </c:pt>
                <c:pt idx="1526">
                  <c:v>1240604</c:v>
                </c:pt>
                <c:pt idx="1527">
                  <c:v>1240605</c:v>
                </c:pt>
                <c:pt idx="1528">
                  <c:v>1240606</c:v>
                </c:pt>
                <c:pt idx="1529">
                  <c:v>1240607</c:v>
                </c:pt>
                <c:pt idx="1530">
                  <c:v>1240609</c:v>
                </c:pt>
                <c:pt idx="1531">
                  <c:v>1240610</c:v>
                </c:pt>
                <c:pt idx="1532">
                  <c:v>1240611</c:v>
                </c:pt>
                <c:pt idx="1533">
                  <c:v>1240612</c:v>
                </c:pt>
                <c:pt idx="1534">
                  <c:v>1240613</c:v>
                </c:pt>
                <c:pt idx="1535">
                  <c:v>1240614</c:v>
                </c:pt>
                <c:pt idx="1536">
                  <c:v>1240616</c:v>
                </c:pt>
                <c:pt idx="1537">
                  <c:v>1240617</c:v>
                </c:pt>
                <c:pt idx="1538">
                  <c:v>1240618</c:v>
                </c:pt>
                <c:pt idx="1539">
                  <c:v>1240619</c:v>
                </c:pt>
                <c:pt idx="1540">
                  <c:v>1240620</c:v>
                </c:pt>
                <c:pt idx="1541">
                  <c:v>1240621</c:v>
                </c:pt>
              </c:numCache>
            </c:numRef>
          </c:cat>
          <c:val>
            <c:numRef>
              <c:f>Portfolio!$G$25:$G$1566</c:f>
              <c:numCache>
                <c:formatCode>General</c:formatCode>
                <c:ptCount val="1542"/>
                <c:pt idx="0">
                  <c:v>-193.75</c:v>
                </c:pt>
                <c:pt idx="1">
                  <c:v>181.25</c:v>
                </c:pt>
                <c:pt idx="2">
                  <c:v>181.25</c:v>
                </c:pt>
                <c:pt idx="3">
                  <c:v>-118.75</c:v>
                </c:pt>
                <c:pt idx="4">
                  <c:v>-31.25</c:v>
                </c:pt>
                <c:pt idx="5">
                  <c:v>50</c:v>
                </c:pt>
                <c:pt idx="6">
                  <c:v>-243.75</c:v>
                </c:pt>
                <c:pt idx="7">
                  <c:v>18.75</c:v>
                </c:pt>
                <c:pt idx="8">
                  <c:v>568.75</c:v>
                </c:pt>
                <c:pt idx="9">
                  <c:v>1081.25</c:v>
                </c:pt>
                <c:pt idx="10">
                  <c:v>1337.5</c:v>
                </c:pt>
                <c:pt idx="11">
                  <c:v>1331.25</c:v>
                </c:pt>
                <c:pt idx="12">
                  <c:v>1087.5</c:v>
                </c:pt>
                <c:pt idx="13">
                  <c:v>1243.75</c:v>
                </c:pt>
                <c:pt idx="14">
                  <c:v>1506.25</c:v>
                </c:pt>
                <c:pt idx="15">
                  <c:v>1275</c:v>
                </c:pt>
                <c:pt idx="16">
                  <c:v>1187.5</c:v>
                </c:pt>
                <c:pt idx="17">
                  <c:v>1100</c:v>
                </c:pt>
                <c:pt idx="18">
                  <c:v>818.75</c:v>
                </c:pt>
                <c:pt idx="19">
                  <c:v>1212.5</c:v>
                </c:pt>
                <c:pt idx="20">
                  <c:v>2031.25</c:v>
                </c:pt>
                <c:pt idx="21">
                  <c:v>1850</c:v>
                </c:pt>
                <c:pt idx="22">
                  <c:v>2356.25</c:v>
                </c:pt>
                <c:pt idx="23">
                  <c:v>2356.25</c:v>
                </c:pt>
                <c:pt idx="24">
                  <c:v>3325</c:v>
                </c:pt>
                <c:pt idx="25">
                  <c:v>2350</c:v>
                </c:pt>
                <c:pt idx="26">
                  <c:v>2950</c:v>
                </c:pt>
                <c:pt idx="27">
                  <c:v>3450</c:v>
                </c:pt>
                <c:pt idx="28">
                  <c:v>3162.5</c:v>
                </c:pt>
                <c:pt idx="29">
                  <c:v>3118.75</c:v>
                </c:pt>
                <c:pt idx="30">
                  <c:v>3906.25</c:v>
                </c:pt>
                <c:pt idx="31">
                  <c:v>2556.25</c:v>
                </c:pt>
                <c:pt idx="32">
                  <c:v>1787.5</c:v>
                </c:pt>
                <c:pt idx="33">
                  <c:v>1806.25</c:v>
                </c:pt>
                <c:pt idx="34">
                  <c:v>2437.5</c:v>
                </c:pt>
                <c:pt idx="35">
                  <c:v>2512.5</c:v>
                </c:pt>
                <c:pt idx="36">
                  <c:v>2900</c:v>
                </c:pt>
                <c:pt idx="37">
                  <c:v>2556.25</c:v>
                </c:pt>
                <c:pt idx="38">
                  <c:v>2068.75</c:v>
                </c:pt>
                <c:pt idx="39">
                  <c:v>1731.25</c:v>
                </c:pt>
                <c:pt idx="40">
                  <c:v>4493.75</c:v>
                </c:pt>
                <c:pt idx="41">
                  <c:v>4200</c:v>
                </c:pt>
                <c:pt idx="42">
                  <c:v>3256.25</c:v>
                </c:pt>
                <c:pt idx="43">
                  <c:v>3125</c:v>
                </c:pt>
                <c:pt idx="44">
                  <c:v>3168.75</c:v>
                </c:pt>
                <c:pt idx="45">
                  <c:v>4418.75</c:v>
                </c:pt>
                <c:pt idx="46">
                  <c:v>4562.5</c:v>
                </c:pt>
                <c:pt idx="47">
                  <c:v>4475</c:v>
                </c:pt>
                <c:pt idx="48">
                  <c:v>4481.25</c:v>
                </c:pt>
                <c:pt idx="49">
                  <c:v>4668.75</c:v>
                </c:pt>
                <c:pt idx="50">
                  <c:v>4668.75</c:v>
                </c:pt>
                <c:pt idx="51">
                  <c:v>4706.25</c:v>
                </c:pt>
                <c:pt idx="52">
                  <c:v>4781.25</c:v>
                </c:pt>
                <c:pt idx="53">
                  <c:v>4781.25</c:v>
                </c:pt>
                <c:pt idx="54">
                  <c:v>4925</c:v>
                </c:pt>
                <c:pt idx="55">
                  <c:v>5143.75</c:v>
                </c:pt>
                <c:pt idx="56">
                  <c:v>5812.5</c:v>
                </c:pt>
                <c:pt idx="57">
                  <c:v>5831.25</c:v>
                </c:pt>
                <c:pt idx="58">
                  <c:v>6106.25</c:v>
                </c:pt>
                <c:pt idx="59">
                  <c:v>6262.5</c:v>
                </c:pt>
                <c:pt idx="60">
                  <c:v>5762.5</c:v>
                </c:pt>
                <c:pt idx="61">
                  <c:v>5837.5</c:v>
                </c:pt>
                <c:pt idx="62">
                  <c:v>5631.25</c:v>
                </c:pt>
                <c:pt idx="63">
                  <c:v>4862.5</c:v>
                </c:pt>
                <c:pt idx="64">
                  <c:v>4987.5</c:v>
                </c:pt>
                <c:pt idx="65">
                  <c:v>5100</c:v>
                </c:pt>
                <c:pt idx="66">
                  <c:v>5175</c:v>
                </c:pt>
                <c:pt idx="67">
                  <c:v>5818.75</c:v>
                </c:pt>
                <c:pt idx="68">
                  <c:v>5918.75</c:v>
                </c:pt>
                <c:pt idx="69">
                  <c:v>5712.5</c:v>
                </c:pt>
                <c:pt idx="70">
                  <c:v>5825</c:v>
                </c:pt>
                <c:pt idx="71">
                  <c:v>5668.75</c:v>
                </c:pt>
                <c:pt idx="72">
                  <c:v>5812.5</c:v>
                </c:pt>
                <c:pt idx="73">
                  <c:v>6612.5</c:v>
                </c:pt>
                <c:pt idx="74">
                  <c:v>8031.25</c:v>
                </c:pt>
                <c:pt idx="75">
                  <c:v>8237.5</c:v>
                </c:pt>
                <c:pt idx="76">
                  <c:v>9000</c:v>
                </c:pt>
                <c:pt idx="77">
                  <c:v>8975</c:v>
                </c:pt>
                <c:pt idx="78">
                  <c:v>9081.25</c:v>
                </c:pt>
                <c:pt idx="79">
                  <c:v>9200</c:v>
                </c:pt>
                <c:pt idx="80">
                  <c:v>8756.25</c:v>
                </c:pt>
                <c:pt idx="81">
                  <c:v>9125</c:v>
                </c:pt>
                <c:pt idx="82">
                  <c:v>9731.25</c:v>
                </c:pt>
                <c:pt idx="83">
                  <c:v>9700</c:v>
                </c:pt>
                <c:pt idx="84">
                  <c:v>9525</c:v>
                </c:pt>
                <c:pt idx="85">
                  <c:v>9675</c:v>
                </c:pt>
                <c:pt idx="86">
                  <c:v>9100</c:v>
                </c:pt>
                <c:pt idx="87">
                  <c:v>9312.5</c:v>
                </c:pt>
                <c:pt idx="88">
                  <c:v>9325</c:v>
                </c:pt>
                <c:pt idx="89">
                  <c:v>9168.75</c:v>
                </c:pt>
                <c:pt idx="90">
                  <c:v>9218.75</c:v>
                </c:pt>
                <c:pt idx="91">
                  <c:v>9462.5</c:v>
                </c:pt>
                <c:pt idx="92">
                  <c:v>9368.75</c:v>
                </c:pt>
                <c:pt idx="93">
                  <c:v>9250</c:v>
                </c:pt>
                <c:pt idx="94">
                  <c:v>9481.25</c:v>
                </c:pt>
                <c:pt idx="95">
                  <c:v>9537.5</c:v>
                </c:pt>
                <c:pt idx="96">
                  <c:v>9812.5</c:v>
                </c:pt>
                <c:pt idx="97">
                  <c:v>9643.75</c:v>
                </c:pt>
                <c:pt idx="98">
                  <c:v>9587.5</c:v>
                </c:pt>
                <c:pt idx="99">
                  <c:v>8975</c:v>
                </c:pt>
                <c:pt idx="100">
                  <c:v>8906.25</c:v>
                </c:pt>
                <c:pt idx="101">
                  <c:v>8962.5</c:v>
                </c:pt>
                <c:pt idx="102">
                  <c:v>9137.5</c:v>
                </c:pt>
                <c:pt idx="103">
                  <c:v>9193.75</c:v>
                </c:pt>
                <c:pt idx="104">
                  <c:v>9168.75</c:v>
                </c:pt>
                <c:pt idx="105">
                  <c:v>8268.75</c:v>
                </c:pt>
                <c:pt idx="106">
                  <c:v>7775</c:v>
                </c:pt>
                <c:pt idx="107">
                  <c:v>7943.75</c:v>
                </c:pt>
                <c:pt idx="108">
                  <c:v>8093.75</c:v>
                </c:pt>
                <c:pt idx="109">
                  <c:v>7925</c:v>
                </c:pt>
                <c:pt idx="110">
                  <c:v>8137.5</c:v>
                </c:pt>
                <c:pt idx="111">
                  <c:v>7631.25</c:v>
                </c:pt>
                <c:pt idx="112">
                  <c:v>7612.5</c:v>
                </c:pt>
                <c:pt idx="113">
                  <c:v>7718.75</c:v>
                </c:pt>
                <c:pt idx="114">
                  <c:v>7231.25</c:v>
                </c:pt>
                <c:pt idx="115">
                  <c:v>7443.75</c:v>
                </c:pt>
                <c:pt idx="116">
                  <c:v>7081.25</c:v>
                </c:pt>
                <c:pt idx="117">
                  <c:v>7093.75</c:v>
                </c:pt>
                <c:pt idx="118">
                  <c:v>6750</c:v>
                </c:pt>
                <c:pt idx="119">
                  <c:v>6718.75</c:v>
                </c:pt>
                <c:pt idx="120">
                  <c:v>6706.25</c:v>
                </c:pt>
                <c:pt idx="121">
                  <c:v>6993.75</c:v>
                </c:pt>
                <c:pt idx="122">
                  <c:v>6581.25</c:v>
                </c:pt>
                <c:pt idx="123">
                  <c:v>6700</c:v>
                </c:pt>
                <c:pt idx="124">
                  <c:v>6350</c:v>
                </c:pt>
                <c:pt idx="125">
                  <c:v>6212.5</c:v>
                </c:pt>
                <c:pt idx="126">
                  <c:v>7181.25</c:v>
                </c:pt>
                <c:pt idx="127">
                  <c:v>7181.25</c:v>
                </c:pt>
                <c:pt idx="128">
                  <c:v>7012.5</c:v>
                </c:pt>
                <c:pt idx="129">
                  <c:v>6668.75</c:v>
                </c:pt>
                <c:pt idx="130">
                  <c:v>6100</c:v>
                </c:pt>
                <c:pt idx="131">
                  <c:v>5975</c:v>
                </c:pt>
                <c:pt idx="132">
                  <c:v>6118.75</c:v>
                </c:pt>
                <c:pt idx="133">
                  <c:v>5831.25</c:v>
                </c:pt>
                <c:pt idx="134">
                  <c:v>5850</c:v>
                </c:pt>
                <c:pt idx="135">
                  <c:v>6443.75</c:v>
                </c:pt>
                <c:pt idx="136">
                  <c:v>6062.5</c:v>
                </c:pt>
                <c:pt idx="137">
                  <c:v>5950</c:v>
                </c:pt>
                <c:pt idx="138">
                  <c:v>5681.25</c:v>
                </c:pt>
                <c:pt idx="139">
                  <c:v>5643.75</c:v>
                </c:pt>
                <c:pt idx="140">
                  <c:v>5550</c:v>
                </c:pt>
                <c:pt idx="141">
                  <c:v>5856.25</c:v>
                </c:pt>
                <c:pt idx="142">
                  <c:v>6306.25</c:v>
                </c:pt>
                <c:pt idx="143">
                  <c:v>6306.25</c:v>
                </c:pt>
                <c:pt idx="144">
                  <c:v>6306.25</c:v>
                </c:pt>
                <c:pt idx="145">
                  <c:v>6306.25</c:v>
                </c:pt>
                <c:pt idx="146">
                  <c:v>6306.25</c:v>
                </c:pt>
                <c:pt idx="147">
                  <c:v>6656.25</c:v>
                </c:pt>
                <c:pt idx="148">
                  <c:v>6325</c:v>
                </c:pt>
                <c:pt idx="149">
                  <c:v>6281.25</c:v>
                </c:pt>
                <c:pt idx="150">
                  <c:v>6637.5</c:v>
                </c:pt>
                <c:pt idx="151">
                  <c:v>6562.5</c:v>
                </c:pt>
                <c:pt idx="152">
                  <c:v>6562.5</c:v>
                </c:pt>
                <c:pt idx="153">
                  <c:v>6700</c:v>
                </c:pt>
                <c:pt idx="154">
                  <c:v>6093.75</c:v>
                </c:pt>
                <c:pt idx="155">
                  <c:v>6168.75</c:v>
                </c:pt>
                <c:pt idx="156">
                  <c:v>6750</c:v>
                </c:pt>
                <c:pt idx="157">
                  <c:v>6525</c:v>
                </c:pt>
                <c:pt idx="158">
                  <c:v>6962.5</c:v>
                </c:pt>
                <c:pt idx="159">
                  <c:v>7431.25</c:v>
                </c:pt>
                <c:pt idx="160">
                  <c:v>7381.25</c:v>
                </c:pt>
                <c:pt idx="161">
                  <c:v>7218.75</c:v>
                </c:pt>
                <c:pt idx="162">
                  <c:v>7356.25</c:v>
                </c:pt>
                <c:pt idx="163">
                  <c:v>7175</c:v>
                </c:pt>
                <c:pt idx="164">
                  <c:v>7418.75</c:v>
                </c:pt>
                <c:pt idx="165">
                  <c:v>7675</c:v>
                </c:pt>
                <c:pt idx="166">
                  <c:v>7806.25</c:v>
                </c:pt>
                <c:pt idx="167">
                  <c:v>7806.25</c:v>
                </c:pt>
                <c:pt idx="168">
                  <c:v>7806.25</c:v>
                </c:pt>
                <c:pt idx="169">
                  <c:v>8100</c:v>
                </c:pt>
                <c:pt idx="170">
                  <c:v>8287.5</c:v>
                </c:pt>
                <c:pt idx="171">
                  <c:v>8587.5</c:v>
                </c:pt>
                <c:pt idx="172">
                  <c:v>10106.25</c:v>
                </c:pt>
                <c:pt idx="173">
                  <c:v>10093.75</c:v>
                </c:pt>
                <c:pt idx="174">
                  <c:v>10368.75</c:v>
                </c:pt>
                <c:pt idx="175">
                  <c:v>10943.75</c:v>
                </c:pt>
                <c:pt idx="176">
                  <c:v>9431.25</c:v>
                </c:pt>
                <c:pt idx="177">
                  <c:v>10143.75</c:v>
                </c:pt>
                <c:pt idx="178">
                  <c:v>10837.5</c:v>
                </c:pt>
                <c:pt idx="179">
                  <c:v>10450</c:v>
                </c:pt>
                <c:pt idx="180">
                  <c:v>10412.5</c:v>
                </c:pt>
                <c:pt idx="181">
                  <c:v>11018.75</c:v>
                </c:pt>
                <c:pt idx="182">
                  <c:v>12456.25</c:v>
                </c:pt>
                <c:pt idx="183">
                  <c:v>12231.25</c:v>
                </c:pt>
                <c:pt idx="184">
                  <c:v>12556.25</c:v>
                </c:pt>
                <c:pt idx="185">
                  <c:v>12131.25</c:v>
                </c:pt>
                <c:pt idx="186">
                  <c:v>12775</c:v>
                </c:pt>
                <c:pt idx="187">
                  <c:v>12725</c:v>
                </c:pt>
                <c:pt idx="188">
                  <c:v>12737.5</c:v>
                </c:pt>
                <c:pt idx="189">
                  <c:v>12875</c:v>
                </c:pt>
                <c:pt idx="190">
                  <c:v>12493.75</c:v>
                </c:pt>
                <c:pt idx="191">
                  <c:v>12450</c:v>
                </c:pt>
                <c:pt idx="192">
                  <c:v>12618.75</c:v>
                </c:pt>
                <c:pt idx="193">
                  <c:v>12518.75</c:v>
                </c:pt>
                <c:pt idx="194">
                  <c:v>12431.25</c:v>
                </c:pt>
                <c:pt idx="195">
                  <c:v>12750</c:v>
                </c:pt>
                <c:pt idx="196">
                  <c:v>14012.5</c:v>
                </c:pt>
                <c:pt idx="197">
                  <c:v>14200</c:v>
                </c:pt>
                <c:pt idx="198">
                  <c:v>15262.5</c:v>
                </c:pt>
                <c:pt idx="199">
                  <c:v>17012.5</c:v>
                </c:pt>
                <c:pt idx="200">
                  <c:v>13750</c:v>
                </c:pt>
                <c:pt idx="201">
                  <c:v>15818.75</c:v>
                </c:pt>
                <c:pt idx="202">
                  <c:v>15781.25</c:v>
                </c:pt>
                <c:pt idx="203">
                  <c:v>15781.25</c:v>
                </c:pt>
                <c:pt idx="204">
                  <c:v>16618.75</c:v>
                </c:pt>
                <c:pt idx="205">
                  <c:v>16625</c:v>
                </c:pt>
                <c:pt idx="206">
                  <c:v>16350</c:v>
                </c:pt>
                <c:pt idx="207">
                  <c:v>15956.25</c:v>
                </c:pt>
                <c:pt idx="208">
                  <c:v>18737.5</c:v>
                </c:pt>
                <c:pt idx="209">
                  <c:v>19268.75</c:v>
                </c:pt>
                <c:pt idx="210">
                  <c:v>18956.25</c:v>
                </c:pt>
                <c:pt idx="211">
                  <c:v>18168.75</c:v>
                </c:pt>
                <c:pt idx="212">
                  <c:v>21512.5</c:v>
                </c:pt>
                <c:pt idx="213">
                  <c:v>23912.5</c:v>
                </c:pt>
                <c:pt idx="214">
                  <c:v>23912.5</c:v>
                </c:pt>
                <c:pt idx="215">
                  <c:v>23912.5</c:v>
                </c:pt>
                <c:pt idx="216">
                  <c:v>23912.5</c:v>
                </c:pt>
                <c:pt idx="217">
                  <c:v>18006.25</c:v>
                </c:pt>
                <c:pt idx="218">
                  <c:v>17806.25</c:v>
                </c:pt>
                <c:pt idx="219">
                  <c:v>14287.5</c:v>
                </c:pt>
                <c:pt idx="220">
                  <c:v>18331.25</c:v>
                </c:pt>
                <c:pt idx="221">
                  <c:v>17431.25</c:v>
                </c:pt>
                <c:pt idx="222">
                  <c:v>17037.5</c:v>
                </c:pt>
                <c:pt idx="223">
                  <c:v>18287.5</c:v>
                </c:pt>
                <c:pt idx="224">
                  <c:v>17718.75</c:v>
                </c:pt>
                <c:pt idx="225">
                  <c:v>20493.75</c:v>
                </c:pt>
                <c:pt idx="226">
                  <c:v>19793.75</c:v>
                </c:pt>
                <c:pt idx="227">
                  <c:v>19793.75</c:v>
                </c:pt>
                <c:pt idx="228">
                  <c:v>20656.25</c:v>
                </c:pt>
                <c:pt idx="229">
                  <c:v>21112.5</c:v>
                </c:pt>
                <c:pt idx="230">
                  <c:v>20800</c:v>
                </c:pt>
                <c:pt idx="231">
                  <c:v>19787.5</c:v>
                </c:pt>
                <c:pt idx="232">
                  <c:v>18550</c:v>
                </c:pt>
                <c:pt idx="233">
                  <c:v>17181.25</c:v>
                </c:pt>
                <c:pt idx="234">
                  <c:v>17587.5</c:v>
                </c:pt>
                <c:pt idx="235">
                  <c:v>19300</c:v>
                </c:pt>
                <c:pt idx="236">
                  <c:v>20656.25</c:v>
                </c:pt>
                <c:pt idx="237">
                  <c:v>20837.5</c:v>
                </c:pt>
                <c:pt idx="238">
                  <c:v>20606.25</c:v>
                </c:pt>
                <c:pt idx="239">
                  <c:v>18668.75</c:v>
                </c:pt>
                <c:pt idx="240">
                  <c:v>18268.75</c:v>
                </c:pt>
                <c:pt idx="241">
                  <c:v>16062.5</c:v>
                </c:pt>
                <c:pt idx="242">
                  <c:v>15356.25</c:v>
                </c:pt>
                <c:pt idx="243">
                  <c:v>15068.75</c:v>
                </c:pt>
                <c:pt idx="244">
                  <c:v>14612.5</c:v>
                </c:pt>
                <c:pt idx="245">
                  <c:v>14881.25</c:v>
                </c:pt>
                <c:pt idx="246">
                  <c:v>15262.5</c:v>
                </c:pt>
                <c:pt idx="247">
                  <c:v>13862.5</c:v>
                </c:pt>
                <c:pt idx="248">
                  <c:v>14443.75</c:v>
                </c:pt>
                <c:pt idx="249">
                  <c:v>14531.25</c:v>
                </c:pt>
                <c:pt idx="250">
                  <c:v>15612.5</c:v>
                </c:pt>
                <c:pt idx="251">
                  <c:v>15943.75</c:v>
                </c:pt>
                <c:pt idx="252">
                  <c:v>15943.75</c:v>
                </c:pt>
                <c:pt idx="253">
                  <c:v>16800</c:v>
                </c:pt>
                <c:pt idx="254">
                  <c:v>15837.5</c:v>
                </c:pt>
                <c:pt idx="255">
                  <c:v>17925</c:v>
                </c:pt>
                <c:pt idx="256">
                  <c:v>17487.5</c:v>
                </c:pt>
                <c:pt idx="257">
                  <c:v>17962.5</c:v>
                </c:pt>
                <c:pt idx="258">
                  <c:v>18212.5</c:v>
                </c:pt>
                <c:pt idx="259">
                  <c:v>17781.25</c:v>
                </c:pt>
                <c:pt idx="260">
                  <c:v>17587.5</c:v>
                </c:pt>
                <c:pt idx="261">
                  <c:v>17675</c:v>
                </c:pt>
                <c:pt idx="262">
                  <c:v>17675</c:v>
                </c:pt>
                <c:pt idx="263">
                  <c:v>17675</c:v>
                </c:pt>
                <c:pt idx="264">
                  <c:v>17675</c:v>
                </c:pt>
                <c:pt idx="265">
                  <c:v>18337.5</c:v>
                </c:pt>
                <c:pt idx="266">
                  <c:v>18756.25</c:v>
                </c:pt>
                <c:pt idx="267">
                  <c:v>18650</c:v>
                </c:pt>
                <c:pt idx="268">
                  <c:v>18650</c:v>
                </c:pt>
                <c:pt idx="269">
                  <c:v>18937.5</c:v>
                </c:pt>
                <c:pt idx="270">
                  <c:v>18962.5</c:v>
                </c:pt>
                <c:pt idx="271">
                  <c:v>18725</c:v>
                </c:pt>
                <c:pt idx="272">
                  <c:v>18975</c:v>
                </c:pt>
                <c:pt idx="273">
                  <c:v>18918.75</c:v>
                </c:pt>
                <c:pt idx="274">
                  <c:v>18862.5</c:v>
                </c:pt>
                <c:pt idx="275">
                  <c:v>19450</c:v>
                </c:pt>
                <c:pt idx="276">
                  <c:v>19450</c:v>
                </c:pt>
                <c:pt idx="277">
                  <c:v>18337.5</c:v>
                </c:pt>
                <c:pt idx="278">
                  <c:v>17418.75</c:v>
                </c:pt>
                <c:pt idx="279">
                  <c:v>16787.5</c:v>
                </c:pt>
                <c:pt idx="280">
                  <c:v>16256.25</c:v>
                </c:pt>
                <c:pt idx="281">
                  <c:v>15800</c:v>
                </c:pt>
                <c:pt idx="282">
                  <c:v>16375</c:v>
                </c:pt>
                <c:pt idx="283">
                  <c:v>16537.5</c:v>
                </c:pt>
                <c:pt idx="284">
                  <c:v>16550</c:v>
                </c:pt>
                <c:pt idx="285">
                  <c:v>17000</c:v>
                </c:pt>
                <c:pt idx="286">
                  <c:v>16837.5</c:v>
                </c:pt>
                <c:pt idx="287">
                  <c:v>17381.25</c:v>
                </c:pt>
                <c:pt idx="288">
                  <c:v>17187.5</c:v>
                </c:pt>
                <c:pt idx="289">
                  <c:v>18200</c:v>
                </c:pt>
                <c:pt idx="290">
                  <c:v>20850</c:v>
                </c:pt>
                <c:pt idx="291">
                  <c:v>21868.75</c:v>
                </c:pt>
                <c:pt idx="292">
                  <c:v>22450</c:v>
                </c:pt>
                <c:pt idx="293">
                  <c:v>24718.75</c:v>
                </c:pt>
                <c:pt idx="294">
                  <c:v>23225</c:v>
                </c:pt>
                <c:pt idx="295">
                  <c:v>23206.25</c:v>
                </c:pt>
                <c:pt idx="296">
                  <c:v>23206.25</c:v>
                </c:pt>
                <c:pt idx="297">
                  <c:v>24350</c:v>
                </c:pt>
                <c:pt idx="298">
                  <c:v>23831.25</c:v>
                </c:pt>
                <c:pt idx="299">
                  <c:v>23600</c:v>
                </c:pt>
                <c:pt idx="300">
                  <c:v>24350</c:v>
                </c:pt>
                <c:pt idx="301">
                  <c:v>25418.75</c:v>
                </c:pt>
                <c:pt idx="302">
                  <c:v>25293.75</c:v>
                </c:pt>
                <c:pt idx="303">
                  <c:v>26487.5</c:v>
                </c:pt>
                <c:pt idx="304">
                  <c:v>26431.25</c:v>
                </c:pt>
                <c:pt idx="305">
                  <c:v>26418.75</c:v>
                </c:pt>
                <c:pt idx="306">
                  <c:v>27125</c:v>
                </c:pt>
                <c:pt idx="307">
                  <c:v>27675</c:v>
                </c:pt>
                <c:pt idx="308">
                  <c:v>28075</c:v>
                </c:pt>
                <c:pt idx="309">
                  <c:v>27618.75</c:v>
                </c:pt>
                <c:pt idx="310">
                  <c:v>26800</c:v>
                </c:pt>
                <c:pt idx="311">
                  <c:v>26431.25</c:v>
                </c:pt>
                <c:pt idx="312">
                  <c:v>25618.75</c:v>
                </c:pt>
                <c:pt idx="313">
                  <c:v>25712.5</c:v>
                </c:pt>
                <c:pt idx="314">
                  <c:v>26312.5</c:v>
                </c:pt>
                <c:pt idx="315">
                  <c:v>26900</c:v>
                </c:pt>
                <c:pt idx="316">
                  <c:v>26831.25</c:v>
                </c:pt>
                <c:pt idx="317">
                  <c:v>25762.5</c:v>
                </c:pt>
                <c:pt idx="318">
                  <c:v>27206.25</c:v>
                </c:pt>
                <c:pt idx="319">
                  <c:v>26693.75</c:v>
                </c:pt>
                <c:pt idx="320">
                  <c:v>26943.75</c:v>
                </c:pt>
                <c:pt idx="321">
                  <c:v>26900</c:v>
                </c:pt>
                <c:pt idx="322">
                  <c:v>26512.5</c:v>
                </c:pt>
                <c:pt idx="323">
                  <c:v>27531.25</c:v>
                </c:pt>
                <c:pt idx="324">
                  <c:v>27531.25</c:v>
                </c:pt>
                <c:pt idx="325">
                  <c:v>27531.25</c:v>
                </c:pt>
                <c:pt idx="326">
                  <c:v>28562.5</c:v>
                </c:pt>
                <c:pt idx="327">
                  <c:v>28587.5</c:v>
                </c:pt>
                <c:pt idx="328">
                  <c:v>28100</c:v>
                </c:pt>
                <c:pt idx="329">
                  <c:v>28100</c:v>
                </c:pt>
                <c:pt idx="330">
                  <c:v>27931.25</c:v>
                </c:pt>
                <c:pt idx="331">
                  <c:v>28368.75</c:v>
                </c:pt>
                <c:pt idx="332">
                  <c:v>25793.75</c:v>
                </c:pt>
                <c:pt idx="333">
                  <c:v>25568.75</c:v>
                </c:pt>
                <c:pt idx="334">
                  <c:v>25543.75</c:v>
                </c:pt>
                <c:pt idx="335">
                  <c:v>25037.5</c:v>
                </c:pt>
                <c:pt idx="336">
                  <c:v>25168.75</c:v>
                </c:pt>
                <c:pt idx="337">
                  <c:v>25043.75</c:v>
                </c:pt>
                <c:pt idx="338">
                  <c:v>25275</c:v>
                </c:pt>
                <c:pt idx="339">
                  <c:v>24731.25</c:v>
                </c:pt>
                <c:pt idx="340">
                  <c:v>24393.75</c:v>
                </c:pt>
                <c:pt idx="341">
                  <c:v>24293.75</c:v>
                </c:pt>
                <c:pt idx="342">
                  <c:v>24981.25</c:v>
                </c:pt>
                <c:pt idx="343">
                  <c:v>24256.25</c:v>
                </c:pt>
                <c:pt idx="344">
                  <c:v>23756.25</c:v>
                </c:pt>
                <c:pt idx="345">
                  <c:v>23887.5</c:v>
                </c:pt>
                <c:pt idx="346">
                  <c:v>23887.5</c:v>
                </c:pt>
                <c:pt idx="347">
                  <c:v>23887.5</c:v>
                </c:pt>
                <c:pt idx="348">
                  <c:v>23156.25</c:v>
                </c:pt>
                <c:pt idx="349">
                  <c:v>23587.5</c:v>
                </c:pt>
                <c:pt idx="350">
                  <c:v>23750</c:v>
                </c:pt>
                <c:pt idx="351">
                  <c:v>23675</c:v>
                </c:pt>
                <c:pt idx="352">
                  <c:v>23743.75</c:v>
                </c:pt>
                <c:pt idx="353">
                  <c:v>24412.5</c:v>
                </c:pt>
                <c:pt idx="354">
                  <c:v>24050</c:v>
                </c:pt>
                <c:pt idx="355">
                  <c:v>24531.25</c:v>
                </c:pt>
                <c:pt idx="356">
                  <c:v>24050</c:v>
                </c:pt>
                <c:pt idx="357">
                  <c:v>22825</c:v>
                </c:pt>
                <c:pt idx="358">
                  <c:v>22618.75</c:v>
                </c:pt>
                <c:pt idx="359">
                  <c:v>23112.5</c:v>
                </c:pt>
                <c:pt idx="360">
                  <c:v>23612.5</c:v>
                </c:pt>
                <c:pt idx="361">
                  <c:v>24618.75</c:v>
                </c:pt>
                <c:pt idx="362">
                  <c:v>27162.5</c:v>
                </c:pt>
                <c:pt idx="363">
                  <c:v>28312.5</c:v>
                </c:pt>
                <c:pt idx="364">
                  <c:v>28237.5</c:v>
                </c:pt>
                <c:pt idx="365">
                  <c:v>27818.75</c:v>
                </c:pt>
                <c:pt idx="366">
                  <c:v>25325</c:v>
                </c:pt>
                <c:pt idx="367">
                  <c:v>24700</c:v>
                </c:pt>
                <c:pt idx="368">
                  <c:v>25075</c:v>
                </c:pt>
                <c:pt idx="369">
                  <c:v>25168.75</c:v>
                </c:pt>
                <c:pt idx="370">
                  <c:v>24800</c:v>
                </c:pt>
                <c:pt idx="371">
                  <c:v>24437.5</c:v>
                </c:pt>
                <c:pt idx="372">
                  <c:v>24912.5</c:v>
                </c:pt>
                <c:pt idx="373">
                  <c:v>22306.25</c:v>
                </c:pt>
                <c:pt idx="374">
                  <c:v>22506.25</c:v>
                </c:pt>
                <c:pt idx="375">
                  <c:v>23075</c:v>
                </c:pt>
                <c:pt idx="376">
                  <c:v>23218.75</c:v>
                </c:pt>
                <c:pt idx="377">
                  <c:v>23962.5</c:v>
                </c:pt>
                <c:pt idx="378">
                  <c:v>23737.5</c:v>
                </c:pt>
                <c:pt idx="379">
                  <c:v>25575</c:v>
                </c:pt>
                <c:pt idx="380">
                  <c:v>25437.5</c:v>
                </c:pt>
                <c:pt idx="381">
                  <c:v>26093.75</c:v>
                </c:pt>
                <c:pt idx="382">
                  <c:v>26193.75</c:v>
                </c:pt>
                <c:pt idx="383">
                  <c:v>27700</c:v>
                </c:pt>
                <c:pt idx="384">
                  <c:v>27450</c:v>
                </c:pt>
                <c:pt idx="385">
                  <c:v>26531.25</c:v>
                </c:pt>
                <c:pt idx="386">
                  <c:v>27212.5</c:v>
                </c:pt>
                <c:pt idx="387">
                  <c:v>27406.25</c:v>
                </c:pt>
                <c:pt idx="388">
                  <c:v>27406.25</c:v>
                </c:pt>
                <c:pt idx="389">
                  <c:v>27975</c:v>
                </c:pt>
                <c:pt idx="390">
                  <c:v>27837.5</c:v>
                </c:pt>
                <c:pt idx="391">
                  <c:v>27462.5</c:v>
                </c:pt>
                <c:pt idx="392">
                  <c:v>28187.5</c:v>
                </c:pt>
                <c:pt idx="393">
                  <c:v>28562.5</c:v>
                </c:pt>
                <c:pt idx="394">
                  <c:v>28768.75</c:v>
                </c:pt>
                <c:pt idx="395">
                  <c:v>29925</c:v>
                </c:pt>
                <c:pt idx="396">
                  <c:v>29806.25</c:v>
                </c:pt>
                <c:pt idx="397">
                  <c:v>30906.25</c:v>
                </c:pt>
                <c:pt idx="398">
                  <c:v>31031.25</c:v>
                </c:pt>
                <c:pt idx="399">
                  <c:v>30650</c:v>
                </c:pt>
                <c:pt idx="400">
                  <c:v>30843.75</c:v>
                </c:pt>
                <c:pt idx="401">
                  <c:v>31912.5</c:v>
                </c:pt>
                <c:pt idx="402">
                  <c:v>30275</c:v>
                </c:pt>
                <c:pt idx="403">
                  <c:v>29781.25</c:v>
                </c:pt>
                <c:pt idx="404">
                  <c:v>30125</c:v>
                </c:pt>
                <c:pt idx="405">
                  <c:v>29887.5</c:v>
                </c:pt>
                <c:pt idx="406">
                  <c:v>29893.75</c:v>
                </c:pt>
                <c:pt idx="407">
                  <c:v>30650</c:v>
                </c:pt>
                <c:pt idx="408">
                  <c:v>31025</c:v>
                </c:pt>
                <c:pt idx="409">
                  <c:v>31268.75</c:v>
                </c:pt>
                <c:pt idx="410">
                  <c:v>30625</c:v>
                </c:pt>
                <c:pt idx="411">
                  <c:v>28868.75</c:v>
                </c:pt>
                <c:pt idx="412">
                  <c:v>28287.5</c:v>
                </c:pt>
                <c:pt idx="413">
                  <c:v>26950</c:v>
                </c:pt>
                <c:pt idx="414">
                  <c:v>28681.25</c:v>
                </c:pt>
                <c:pt idx="415">
                  <c:v>30825</c:v>
                </c:pt>
                <c:pt idx="416">
                  <c:v>31618.75</c:v>
                </c:pt>
                <c:pt idx="417">
                  <c:v>31618.75</c:v>
                </c:pt>
                <c:pt idx="418">
                  <c:v>31618.75</c:v>
                </c:pt>
                <c:pt idx="419">
                  <c:v>31618.75</c:v>
                </c:pt>
                <c:pt idx="420">
                  <c:v>30750</c:v>
                </c:pt>
                <c:pt idx="421">
                  <c:v>29543.75</c:v>
                </c:pt>
                <c:pt idx="422">
                  <c:v>29368.75</c:v>
                </c:pt>
                <c:pt idx="423">
                  <c:v>29450</c:v>
                </c:pt>
                <c:pt idx="424">
                  <c:v>29587.5</c:v>
                </c:pt>
                <c:pt idx="425">
                  <c:v>29500</c:v>
                </c:pt>
                <c:pt idx="426">
                  <c:v>28937.5</c:v>
                </c:pt>
                <c:pt idx="427">
                  <c:v>29068.75</c:v>
                </c:pt>
                <c:pt idx="428">
                  <c:v>28818.75</c:v>
                </c:pt>
                <c:pt idx="429">
                  <c:v>28568.75</c:v>
                </c:pt>
                <c:pt idx="430">
                  <c:v>28568.75</c:v>
                </c:pt>
                <c:pt idx="431">
                  <c:v>27543.75</c:v>
                </c:pt>
                <c:pt idx="432">
                  <c:v>28018.75</c:v>
                </c:pt>
                <c:pt idx="433">
                  <c:v>27218.75</c:v>
                </c:pt>
                <c:pt idx="434">
                  <c:v>27362.5</c:v>
                </c:pt>
                <c:pt idx="435">
                  <c:v>27056.25</c:v>
                </c:pt>
                <c:pt idx="436">
                  <c:v>26375</c:v>
                </c:pt>
                <c:pt idx="437">
                  <c:v>24800</c:v>
                </c:pt>
                <c:pt idx="438">
                  <c:v>24125</c:v>
                </c:pt>
                <c:pt idx="439">
                  <c:v>24475</c:v>
                </c:pt>
                <c:pt idx="440">
                  <c:v>24525</c:v>
                </c:pt>
                <c:pt idx="441">
                  <c:v>25150</c:v>
                </c:pt>
                <c:pt idx="442">
                  <c:v>25150</c:v>
                </c:pt>
                <c:pt idx="443">
                  <c:v>24850</c:v>
                </c:pt>
                <c:pt idx="444">
                  <c:v>25575</c:v>
                </c:pt>
                <c:pt idx="445">
                  <c:v>26206.25</c:v>
                </c:pt>
                <c:pt idx="446">
                  <c:v>26400</c:v>
                </c:pt>
                <c:pt idx="447">
                  <c:v>26400</c:v>
                </c:pt>
                <c:pt idx="448">
                  <c:v>26400</c:v>
                </c:pt>
                <c:pt idx="449">
                  <c:v>26412.5</c:v>
                </c:pt>
                <c:pt idx="450">
                  <c:v>26131.25</c:v>
                </c:pt>
                <c:pt idx="451">
                  <c:v>26262.5</c:v>
                </c:pt>
                <c:pt idx="452">
                  <c:v>26262.5</c:v>
                </c:pt>
                <c:pt idx="453">
                  <c:v>25993.75</c:v>
                </c:pt>
                <c:pt idx="454">
                  <c:v>25956.25</c:v>
                </c:pt>
                <c:pt idx="455">
                  <c:v>27200</c:v>
                </c:pt>
                <c:pt idx="456">
                  <c:v>27200</c:v>
                </c:pt>
                <c:pt idx="457">
                  <c:v>26956.25</c:v>
                </c:pt>
                <c:pt idx="458">
                  <c:v>26225</c:v>
                </c:pt>
                <c:pt idx="459">
                  <c:v>26606.25</c:v>
                </c:pt>
                <c:pt idx="460">
                  <c:v>27100</c:v>
                </c:pt>
                <c:pt idx="461">
                  <c:v>27056.25</c:v>
                </c:pt>
                <c:pt idx="462">
                  <c:v>27043.75</c:v>
                </c:pt>
                <c:pt idx="463">
                  <c:v>27487.5</c:v>
                </c:pt>
                <c:pt idx="464">
                  <c:v>27493.75</c:v>
                </c:pt>
                <c:pt idx="465">
                  <c:v>28243.75</c:v>
                </c:pt>
                <c:pt idx="466">
                  <c:v>27381.25</c:v>
                </c:pt>
                <c:pt idx="467">
                  <c:v>28993.75</c:v>
                </c:pt>
                <c:pt idx="468">
                  <c:v>30275</c:v>
                </c:pt>
                <c:pt idx="469">
                  <c:v>29643.75</c:v>
                </c:pt>
                <c:pt idx="470">
                  <c:v>30043.75</c:v>
                </c:pt>
                <c:pt idx="471">
                  <c:v>29612.5</c:v>
                </c:pt>
                <c:pt idx="472">
                  <c:v>28818.75</c:v>
                </c:pt>
                <c:pt idx="473">
                  <c:v>28806.25</c:v>
                </c:pt>
                <c:pt idx="474">
                  <c:v>29593.75</c:v>
                </c:pt>
                <c:pt idx="475">
                  <c:v>29437.5</c:v>
                </c:pt>
                <c:pt idx="476">
                  <c:v>29437.5</c:v>
                </c:pt>
                <c:pt idx="477">
                  <c:v>29850</c:v>
                </c:pt>
                <c:pt idx="478">
                  <c:v>29081.25</c:v>
                </c:pt>
                <c:pt idx="479">
                  <c:v>30368.75</c:v>
                </c:pt>
                <c:pt idx="480">
                  <c:v>30368.75</c:v>
                </c:pt>
                <c:pt idx="481">
                  <c:v>30406.25</c:v>
                </c:pt>
                <c:pt idx="482">
                  <c:v>30612.5</c:v>
                </c:pt>
                <c:pt idx="483">
                  <c:v>30212.5</c:v>
                </c:pt>
                <c:pt idx="484">
                  <c:v>29856.25</c:v>
                </c:pt>
                <c:pt idx="485">
                  <c:v>30593.75</c:v>
                </c:pt>
                <c:pt idx="486">
                  <c:v>27562.5</c:v>
                </c:pt>
                <c:pt idx="487">
                  <c:v>28350</c:v>
                </c:pt>
                <c:pt idx="488">
                  <c:v>27187.5</c:v>
                </c:pt>
                <c:pt idx="489">
                  <c:v>27462.5</c:v>
                </c:pt>
                <c:pt idx="490">
                  <c:v>28625</c:v>
                </c:pt>
                <c:pt idx="491">
                  <c:v>28325</c:v>
                </c:pt>
                <c:pt idx="492">
                  <c:v>28581.25</c:v>
                </c:pt>
                <c:pt idx="493">
                  <c:v>28687.5</c:v>
                </c:pt>
                <c:pt idx="494">
                  <c:v>28825</c:v>
                </c:pt>
                <c:pt idx="495">
                  <c:v>28700</c:v>
                </c:pt>
                <c:pt idx="496">
                  <c:v>28918.75</c:v>
                </c:pt>
                <c:pt idx="497">
                  <c:v>29081.25</c:v>
                </c:pt>
                <c:pt idx="498">
                  <c:v>28881.25</c:v>
                </c:pt>
                <c:pt idx="499">
                  <c:v>29481.25</c:v>
                </c:pt>
                <c:pt idx="500">
                  <c:v>29725</c:v>
                </c:pt>
                <c:pt idx="501">
                  <c:v>29875</c:v>
                </c:pt>
                <c:pt idx="502">
                  <c:v>29631.25</c:v>
                </c:pt>
                <c:pt idx="503">
                  <c:v>30106.25</c:v>
                </c:pt>
                <c:pt idx="504">
                  <c:v>29806.25</c:v>
                </c:pt>
                <c:pt idx="505">
                  <c:v>29387.5</c:v>
                </c:pt>
                <c:pt idx="506">
                  <c:v>29387.5</c:v>
                </c:pt>
                <c:pt idx="507">
                  <c:v>29387.5</c:v>
                </c:pt>
                <c:pt idx="508">
                  <c:v>29387.5</c:v>
                </c:pt>
                <c:pt idx="509">
                  <c:v>30243.75</c:v>
                </c:pt>
                <c:pt idx="510">
                  <c:v>31975</c:v>
                </c:pt>
                <c:pt idx="511">
                  <c:v>30806.25</c:v>
                </c:pt>
                <c:pt idx="512">
                  <c:v>30825</c:v>
                </c:pt>
                <c:pt idx="513">
                  <c:v>31925</c:v>
                </c:pt>
                <c:pt idx="514">
                  <c:v>31606.25</c:v>
                </c:pt>
                <c:pt idx="515">
                  <c:v>32868.75</c:v>
                </c:pt>
                <c:pt idx="516">
                  <c:v>30606.25</c:v>
                </c:pt>
                <c:pt idx="517">
                  <c:v>30462.5</c:v>
                </c:pt>
                <c:pt idx="518">
                  <c:v>29825</c:v>
                </c:pt>
                <c:pt idx="519">
                  <c:v>30350</c:v>
                </c:pt>
                <c:pt idx="520">
                  <c:v>30018.75</c:v>
                </c:pt>
                <c:pt idx="521">
                  <c:v>31056.25</c:v>
                </c:pt>
                <c:pt idx="522">
                  <c:v>31625</c:v>
                </c:pt>
                <c:pt idx="523">
                  <c:v>31625</c:v>
                </c:pt>
                <c:pt idx="524">
                  <c:v>31625</c:v>
                </c:pt>
                <c:pt idx="525">
                  <c:v>31331.25</c:v>
                </c:pt>
                <c:pt idx="526">
                  <c:v>31312.5</c:v>
                </c:pt>
                <c:pt idx="527">
                  <c:v>32068.75</c:v>
                </c:pt>
                <c:pt idx="528">
                  <c:v>31606.25</c:v>
                </c:pt>
                <c:pt idx="529">
                  <c:v>32000</c:v>
                </c:pt>
                <c:pt idx="530">
                  <c:v>32000</c:v>
                </c:pt>
                <c:pt idx="531">
                  <c:v>32068.75</c:v>
                </c:pt>
                <c:pt idx="532">
                  <c:v>31500</c:v>
                </c:pt>
                <c:pt idx="533">
                  <c:v>31968.75</c:v>
                </c:pt>
                <c:pt idx="534">
                  <c:v>30456.25</c:v>
                </c:pt>
                <c:pt idx="535">
                  <c:v>31181.25</c:v>
                </c:pt>
                <c:pt idx="536">
                  <c:v>30837.5</c:v>
                </c:pt>
                <c:pt idx="537">
                  <c:v>31068.75</c:v>
                </c:pt>
                <c:pt idx="538">
                  <c:v>30193.75</c:v>
                </c:pt>
                <c:pt idx="539">
                  <c:v>29718.75</c:v>
                </c:pt>
                <c:pt idx="540">
                  <c:v>30925</c:v>
                </c:pt>
                <c:pt idx="541">
                  <c:v>31125</c:v>
                </c:pt>
                <c:pt idx="542">
                  <c:v>31250</c:v>
                </c:pt>
                <c:pt idx="543">
                  <c:v>31487.5</c:v>
                </c:pt>
                <c:pt idx="544">
                  <c:v>31625</c:v>
                </c:pt>
                <c:pt idx="545">
                  <c:v>32143.75</c:v>
                </c:pt>
                <c:pt idx="546">
                  <c:v>31318.75</c:v>
                </c:pt>
                <c:pt idx="547">
                  <c:v>31656.25</c:v>
                </c:pt>
                <c:pt idx="548">
                  <c:v>31443.75</c:v>
                </c:pt>
                <c:pt idx="549">
                  <c:v>31718.75</c:v>
                </c:pt>
                <c:pt idx="550">
                  <c:v>32150</c:v>
                </c:pt>
                <c:pt idx="551">
                  <c:v>31962.5</c:v>
                </c:pt>
                <c:pt idx="552">
                  <c:v>31637.5</c:v>
                </c:pt>
                <c:pt idx="553">
                  <c:v>31618.75</c:v>
                </c:pt>
                <c:pt idx="554">
                  <c:v>31681.25</c:v>
                </c:pt>
                <c:pt idx="555">
                  <c:v>31487.5</c:v>
                </c:pt>
                <c:pt idx="556">
                  <c:v>32593.75</c:v>
                </c:pt>
                <c:pt idx="557">
                  <c:v>32700</c:v>
                </c:pt>
                <c:pt idx="558">
                  <c:v>32025</c:v>
                </c:pt>
                <c:pt idx="559">
                  <c:v>32362.5</c:v>
                </c:pt>
                <c:pt idx="560">
                  <c:v>32493.75</c:v>
                </c:pt>
                <c:pt idx="561">
                  <c:v>32612.5</c:v>
                </c:pt>
                <c:pt idx="562">
                  <c:v>31993.75</c:v>
                </c:pt>
                <c:pt idx="563">
                  <c:v>31575</c:v>
                </c:pt>
                <c:pt idx="564">
                  <c:v>31743.75</c:v>
                </c:pt>
                <c:pt idx="565">
                  <c:v>31700</c:v>
                </c:pt>
                <c:pt idx="566">
                  <c:v>31681.25</c:v>
                </c:pt>
                <c:pt idx="567">
                  <c:v>31493.75</c:v>
                </c:pt>
                <c:pt idx="568">
                  <c:v>30762.5</c:v>
                </c:pt>
                <c:pt idx="569">
                  <c:v>30006.25</c:v>
                </c:pt>
                <c:pt idx="570">
                  <c:v>29918.75</c:v>
                </c:pt>
                <c:pt idx="571">
                  <c:v>30637.5</c:v>
                </c:pt>
                <c:pt idx="572">
                  <c:v>30731.25</c:v>
                </c:pt>
                <c:pt idx="573">
                  <c:v>32012.5</c:v>
                </c:pt>
                <c:pt idx="574">
                  <c:v>32350</c:v>
                </c:pt>
                <c:pt idx="575">
                  <c:v>32931.25</c:v>
                </c:pt>
                <c:pt idx="576">
                  <c:v>32668.75</c:v>
                </c:pt>
                <c:pt idx="577">
                  <c:v>33862.5</c:v>
                </c:pt>
                <c:pt idx="578">
                  <c:v>33606.25</c:v>
                </c:pt>
                <c:pt idx="579">
                  <c:v>32706.25</c:v>
                </c:pt>
                <c:pt idx="580">
                  <c:v>34300</c:v>
                </c:pt>
                <c:pt idx="581">
                  <c:v>34481.25</c:v>
                </c:pt>
                <c:pt idx="582">
                  <c:v>35175</c:v>
                </c:pt>
                <c:pt idx="583">
                  <c:v>35331.25</c:v>
                </c:pt>
                <c:pt idx="584">
                  <c:v>35018.75</c:v>
                </c:pt>
                <c:pt idx="585">
                  <c:v>34850</c:v>
                </c:pt>
                <c:pt idx="586">
                  <c:v>34643.75</c:v>
                </c:pt>
                <c:pt idx="587">
                  <c:v>34687.5</c:v>
                </c:pt>
                <c:pt idx="588">
                  <c:v>34781.25</c:v>
                </c:pt>
                <c:pt idx="589">
                  <c:v>34556.25</c:v>
                </c:pt>
                <c:pt idx="590">
                  <c:v>34631.25</c:v>
                </c:pt>
                <c:pt idx="591">
                  <c:v>34637.5</c:v>
                </c:pt>
                <c:pt idx="592">
                  <c:v>34968.75</c:v>
                </c:pt>
                <c:pt idx="593">
                  <c:v>34931.25</c:v>
                </c:pt>
                <c:pt idx="594">
                  <c:v>34650</c:v>
                </c:pt>
                <c:pt idx="595">
                  <c:v>34918.75</c:v>
                </c:pt>
                <c:pt idx="596">
                  <c:v>34781.25</c:v>
                </c:pt>
                <c:pt idx="597">
                  <c:v>34656.25</c:v>
                </c:pt>
                <c:pt idx="598">
                  <c:v>34325</c:v>
                </c:pt>
                <c:pt idx="599">
                  <c:v>34206.25</c:v>
                </c:pt>
                <c:pt idx="600">
                  <c:v>34025</c:v>
                </c:pt>
                <c:pt idx="601">
                  <c:v>33581.25</c:v>
                </c:pt>
                <c:pt idx="602">
                  <c:v>33593.75</c:v>
                </c:pt>
                <c:pt idx="603">
                  <c:v>33268.75</c:v>
                </c:pt>
                <c:pt idx="604">
                  <c:v>33675</c:v>
                </c:pt>
                <c:pt idx="605">
                  <c:v>34250</c:v>
                </c:pt>
                <c:pt idx="606">
                  <c:v>32887.5</c:v>
                </c:pt>
                <c:pt idx="607">
                  <c:v>34400</c:v>
                </c:pt>
                <c:pt idx="608">
                  <c:v>34812.5</c:v>
                </c:pt>
                <c:pt idx="609">
                  <c:v>34493.75</c:v>
                </c:pt>
                <c:pt idx="610">
                  <c:v>33931.25</c:v>
                </c:pt>
                <c:pt idx="611">
                  <c:v>33812.5</c:v>
                </c:pt>
                <c:pt idx="612">
                  <c:v>33868.75</c:v>
                </c:pt>
                <c:pt idx="613">
                  <c:v>34287.5</c:v>
                </c:pt>
                <c:pt idx="614">
                  <c:v>34187.5</c:v>
                </c:pt>
                <c:pt idx="615">
                  <c:v>33762.5</c:v>
                </c:pt>
                <c:pt idx="616">
                  <c:v>33387.5</c:v>
                </c:pt>
                <c:pt idx="617">
                  <c:v>33318.75</c:v>
                </c:pt>
                <c:pt idx="618">
                  <c:v>33500</c:v>
                </c:pt>
                <c:pt idx="619">
                  <c:v>34137.5</c:v>
                </c:pt>
                <c:pt idx="620">
                  <c:v>34137.5</c:v>
                </c:pt>
                <c:pt idx="621">
                  <c:v>34087.5</c:v>
                </c:pt>
                <c:pt idx="622">
                  <c:v>33975</c:v>
                </c:pt>
                <c:pt idx="623">
                  <c:v>33518.75</c:v>
                </c:pt>
                <c:pt idx="624">
                  <c:v>32850</c:v>
                </c:pt>
                <c:pt idx="625">
                  <c:v>33362.5</c:v>
                </c:pt>
                <c:pt idx="626">
                  <c:v>33150</c:v>
                </c:pt>
                <c:pt idx="627">
                  <c:v>33650</c:v>
                </c:pt>
                <c:pt idx="628">
                  <c:v>33550</c:v>
                </c:pt>
                <c:pt idx="629">
                  <c:v>33550</c:v>
                </c:pt>
                <c:pt idx="630">
                  <c:v>33381.25</c:v>
                </c:pt>
                <c:pt idx="631">
                  <c:v>33993.75</c:v>
                </c:pt>
                <c:pt idx="632">
                  <c:v>33993.75</c:v>
                </c:pt>
                <c:pt idx="633">
                  <c:v>33556.25</c:v>
                </c:pt>
                <c:pt idx="634">
                  <c:v>33425</c:v>
                </c:pt>
                <c:pt idx="635">
                  <c:v>34500</c:v>
                </c:pt>
                <c:pt idx="636">
                  <c:v>34075</c:v>
                </c:pt>
                <c:pt idx="637">
                  <c:v>34900</c:v>
                </c:pt>
                <c:pt idx="638">
                  <c:v>34900</c:v>
                </c:pt>
                <c:pt idx="639">
                  <c:v>34918.75</c:v>
                </c:pt>
                <c:pt idx="640">
                  <c:v>34575</c:v>
                </c:pt>
                <c:pt idx="641">
                  <c:v>33312.5</c:v>
                </c:pt>
                <c:pt idx="642">
                  <c:v>33900</c:v>
                </c:pt>
                <c:pt idx="643">
                  <c:v>34031.25</c:v>
                </c:pt>
                <c:pt idx="644">
                  <c:v>34175</c:v>
                </c:pt>
                <c:pt idx="645">
                  <c:v>34250</c:v>
                </c:pt>
                <c:pt idx="646">
                  <c:v>34387.5</c:v>
                </c:pt>
                <c:pt idx="647">
                  <c:v>33931.25</c:v>
                </c:pt>
                <c:pt idx="648">
                  <c:v>33868.75</c:v>
                </c:pt>
                <c:pt idx="649">
                  <c:v>34118.75</c:v>
                </c:pt>
                <c:pt idx="650">
                  <c:v>34118.75</c:v>
                </c:pt>
                <c:pt idx="651">
                  <c:v>34118.75</c:v>
                </c:pt>
                <c:pt idx="652">
                  <c:v>33918.75</c:v>
                </c:pt>
                <c:pt idx="653">
                  <c:v>34050</c:v>
                </c:pt>
                <c:pt idx="654">
                  <c:v>33993.75</c:v>
                </c:pt>
                <c:pt idx="655">
                  <c:v>34125</c:v>
                </c:pt>
                <c:pt idx="656">
                  <c:v>34125</c:v>
                </c:pt>
                <c:pt idx="657">
                  <c:v>33781.25</c:v>
                </c:pt>
                <c:pt idx="658">
                  <c:v>32800</c:v>
                </c:pt>
                <c:pt idx="659">
                  <c:v>33293.75</c:v>
                </c:pt>
                <c:pt idx="660">
                  <c:v>33168.75</c:v>
                </c:pt>
                <c:pt idx="661">
                  <c:v>34275</c:v>
                </c:pt>
                <c:pt idx="662">
                  <c:v>34618.75</c:v>
                </c:pt>
                <c:pt idx="663">
                  <c:v>35356.25</c:v>
                </c:pt>
                <c:pt idx="664">
                  <c:v>35356.25</c:v>
                </c:pt>
                <c:pt idx="665">
                  <c:v>35331.25</c:v>
                </c:pt>
                <c:pt idx="666">
                  <c:v>35281.25</c:v>
                </c:pt>
                <c:pt idx="667">
                  <c:v>35662.5</c:v>
                </c:pt>
                <c:pt idx="668">
                  <c:v>35668.75</c:v>
                </c:pt>
                <c:pt idx="669">
                  <c:v>36400</c:v>
                </c:pt>
                <c:pt idx="670">
                  <c:v>36018.75</c:v>
                </c:pt>
                <c:pt idx="671">
                  <c:v>36018.75</c:v>
                </c:pt>
                <c:pt idx="672">
                  <c:v>36018.75</c:v>
                </c:pt>
                <c:pt idx="673">
                  <c:v>36018.75</c:v>
                </c:pt>
                <c:pt idx="674">
                  <c:v>36018.75</c:v>
                </c:pt>
                <c:pt idx="675">
                  <c:v>35781.25</c:v>
                </c:pt>
                <c:pt idx="676">
                  <c:v>35162.5</c:v>
                </c:pt>
                <c:pt idx="677">
                  <c:v>35756.25</c:v>
                </c:pt>
                <c:pt idx="678">
                  <c:v>34575</c:v>
                </c:pt>
                <c:pt idx="679">
                  <c:v>35062.5</c:v>
                </c:pt>
                <c:pt idx="680">
                  <c:v>35218.75</c:v>
                </c:pt>
                <c:pt idx="681">
                  <c:v>34868.75</c:v>
                </c:pt>
                <c:pt idx="682">
                  <c:v>35456.25</c:v>
                </c:pt>
                <c:pt idx="683">
                  <c:v>35862.5</c:v>
                </c:pt>
                <c:pt idx="684">
                  <c:v>35000</c:v>
                </c:pt>
                <c:pt idx="685">
                  <c:v>36368.75</c:v>
                </c:pt>
                <c:pt idx="686">
                  <c:v>36987.5</c:v>
                </c:pt>
                <c:pt idx="687">
                  <c:v>37387.5</c:v>
                </c:pt>
                <c:pt idx="688">
                  <c:v>38143.75</c:v>
                </c:pt>
                <c:pt idx="689">
                  <c:v>38668.75</c:v>
                </c:pt>
                <c:pt idx="690">
                  <c:v>39750</c:v>
                </c:pt>
                <c:pt idx="691">
                  <c:v>39812.5</c:v>
                </c:pt>
                <c:pt idx="692">
                  <c:v>40062.5</c:v>
                </c:pt>
                <c:pt idx="693">
                  <c:v>39350</c:v>
                </c:pt>
                <c:pt idx="694">
                  <c:v>39525</c:v>
                </c:pt>
                <c:pt idx="695">
                  <c:v>39018.75</c:v>
                </c:pt>
                <c:pt idx="696">
                  <c:v>40162.5</c:v>
                </c:pt>
                <c:pt idx="697">
                  <c:v>41150</c:v>
                </c:pt>
                <c:pt idx="698">
                  <c:v>40681.25</c:v>
                </c:pt>
                <c:pt idx="699">
                  <c:v>40500</c:v>
                </c:pt>
                <c:pt idx="700">
                  <c:v>39637.5</c:v>
                </c:pt>
                <c:pt idx="701">
                  <c:v>40943.75</c:v>
                </c:pt>
                <c:pt idx="702">
                  <c:v>41525</c:v>
                </c:pt>
                <c:pt idx="703">
                  <c:v>41856.25</c:v>
                </c:pt>
                <c:pt idx="704">
                  <c:v>41675</c:v>
                </c:pt>
                <c:pt idx="705">
                  <c:v>39475</c:v>
                </c:pt>
                <c:pt idx="706">
                  <c:v>39425</c:v>
                </c:pt>
                <c:pt idx="707">
                  <c:v>38500</c:v>
                </c:pt>
                <c:pt idx="708">
                  <c:v>39987.5</c:v>
                </c:pt>
                <c:pt idx="709">
                  <c:v>40031.25</c:v>
                </c:pt>
                <c:pt idx="710">
                  <c:v>39968.75</c:v>
                </c:pt>
                <c:pt idx="711">
                  <c:v>40500</c:v>
                </c:pt>
                <c:pt idx="712">
                  <c:v>41287.5</c:v>
                </c:pt>
                <c:pt idx="713">
                  <c:v>41787.5</c:v>
                </c:pt>
                <c:pt idx="714">
                  <c:v>42012.5</c:v>
                </c:pt>
                <c:pt idx="715">
                  <c:v>41993.75</c:v>
                </c:pt>
                <c:pt idx="716">
                  <c:v>41693.75</c:v>
                </c:pt>
                <c:pt idx="717">
                  <c:v>42031.25</c:v>
                </c:pt>
                <c:pt idx="718">
                  <c:v>41887.5</c:v>
                </c:pt>
                <c:pt idx="719">
                  <c:v>41075</c:v>
                </c:pt>
                <c:pt idx="720">
                  <c:v>41506.25</c:v>
                </c:pt>
                <c:pt idx="721">
                  <c:v>42443.75</c:v>
                </c:pt>
                <c:pt idx="722">
                  <c:v>42412.5</c:v>
                </c:pt>
                <c:pt idx="723">
                  <c:v>42175</c:v>
                </c:pt>
                <c:pt idx="724">
                  <c:v>41675</c:v>
                </c:pt>
                <c:pt idx="725">
                  <c:v>41968.75</c:v>
                </c:pt>
                <c:pt idx="726">
                  <c:v>42487.5</c:v>
                </c:pt>
                <c:pt idx="727">
                  <c:v>41868.75</c:v>
                </c:pt>
                <c:pt idx="728">
                  <c:v>41850</c:v>
                </c:pt>
                <c:pt idx="729">
                  <c:v>42043.75</c:v>
                </c:pt>
                <c:pt idx="730">
                  <c:v>42181.25</c:v>
                </c:pt>
                <c:pt idx="731">
                  <c:v>42212.5</c:v>
                </c:pt>
                <c:pt idx="732">
                  <c:v>42200</c:v>
                </c:pt>
                <c:pt idx="733">
                  <c:v>42850</c:v>
                </c:pt>
                <c:pt idx="734">
                  <c:v>42762.5</c:v>
                </c:pt>
                <c:pt idx="735">
                  <c:v>42668.75</c:v>
                </c:pt>
                <c:pt idx="736">
                  <c:v>42187.5</c:v>
                </c:pt>
                <c:pt idx="737">
                  <c:v>42237.5</c:v>
                </c:pt>
                <c:pt idx="738">
                  <c:v>42168.75</c:v>
                </c:pt>
                <c:pt idx="739">
                  <c:v>41725</c:v>
                </c:pt>
                <c:pt idx="740">
                  <c:v>41725</c:v>
                </c:pt>
                <c:pt idx="741">
                  <c:v>41693.75</c:v>
                </c:pt>
                <c:pt idx="742">
                  <c:v>41200</c:v>
                </c:pt>
                <c:pt idx="743">
                  <c:v>41675</c:v>
                </c:pt>
                <c:pt idx="744">
                  <c:v>42481.25</c:v>
                </c:pt>
                <c:pt idx="745">
                  <c:v>43200</c:v>
                </c:pt>
                <c:pt idx="746">
                  <c:v>42893.75</c:v>
                </c:pt>
                <c:pt idx="747">
                  <c:v>41862.5</c:v>
                </c:pt>
                <c:pt idx="748">
                  <c:v>40650</c:v>
                </c:pt>
                <c:pt idx="749">
                  <c:v>40443.75</c:v>
                </c:pt>
                <c:pt idx="750">
                  <c:v>40231.25</c:v>
                </c:pt>
                <c:pt idx="751">
                  <c:v>39568.75</c:v>
                </c:pt>
                <c:pt idx="752">
                  <c:v>39412.5</c:v>
                </c:pt>
                <c:pt idx="753">
                  <c:v>40381.25</c:v>
                </c:pt>
                <c:pt idx="754">
                  <c:v>42487.5</c:v>
                </c:pt>
                <c:pt idx="755">
                  <c:v>41581.25</c:v>
                </c:pt>
                <c:pt idx="756">
                  <c:v>42093.75</c:v>
                </c:pt>
                <c:pt idx="757">
                  <c:v>40975</c:v>
                </c:pt>
                <c:pt idx="758">
                  <c:v>40975</c:v>
                </c:pt>
                <c:pt idx="759">
                  <c:v>41331.25</c:v>
                </c:pt>
                <c:pt idx="760">
                  <c:v>42106.25</c:v>
                </c:pt>
                <c:pt idx="761">
                  <c:v>43631.25</c:v>
                </c:pt>
                <c:pt idx="762">
                  <c:v>44568.75</c:v>
                </c:pt>
                <c:pt idx="763">
                  <c:v>45306.25</c:v>
                </c:pt>
                <c:pt idx="764">
                  <c:v>45306.25</c:v>
                </c:pt>
                <c:pt idx="765">
                  <c:v>43581.25</c:v>
                </c:pt>
                <c:pt idx="766">
                  <c:v>44056.25</c:v>
                </c:pt>
                <c:pt idx="767">
                  <c:v>45387.5</c:v>
                </c:pt>
                <c:pt idx="768">
                  <c:v>46325</c:v>
                </c:pt>
                <c:pt idx="769">
                  <c:v>46325</c:v>
                </c:pt>
                <c:pt idx="770">
                  <c:v>47187.5</c:v>
                </c:pt>
                <c:pt idx="771">
                  <c:v>47131.25</c:v>
                </c:pt>
                <c:pt idx="772">
                  <c:v>47231.25</c:v>
                </c:pt>
                <c:pt idx="773">
                  <c:v>46418.75</c:v>
                </c:pt>
                <c:pt idx="774">
                  <c:v>46331.25</c:v>
                </c:pt>
                <c:pt idx="775">
                  <c:v>46331.25</c:v>
                </c:pt>
                <c:pt idx="776">
                  <c:v>46331.25</c:v>
                </c:pt>
                <c:pt idx="777">
                  <c:v>46793.75</c:v>
                </c:pt>
                <c:pt idx="778">
                  <c:v>48068.75</c:v>
                </c:pt>
                <c:pt idx="779">
                  <c:v>46812.5</c:v>
                </c:pt>
                <c:pt idx="780">
                  <c:v>46400</c:v>
                </c:pt>
                <c:pt idx="781">
                  <c:v>46043.75</c:v>
                </c:pt>
                <c:pt idx="782">
                  <c:v>46206.25</c:v>
                </c:pt>
                <c:pt idx="783">
                  <c:v>46206.25</c:v>
                </c:pt>
                <c:pt idx="784">
                  <c:v>46225</c:v>
                </c:pt>
                <c:pt idx="785">
                  <c:v>47368.75</c:v>
                </c:pt>
                <c:pt idx="786">
                  <c:v>46643.75</c:v>
                </c:pt>
                <c:pt idx="787">
                  <c:v>46987.5</c:v>
                </c:pt>
                <c:pt idx="788">
                  <c:v>46531.25</c:v>
                </c:pt>
                <c:pt idx="789">
                  <c:v>47412.5</c:v>
                </c:pt>
                <c:pt idx="790">
                  <c:v>46293.75</c:v>
                </c:pt>
                <c:pt idx="791">
                  <c:v>43212.5</c:v>
                </c:pt>
                <c:pt idx="792">
                  <c:v>40618.75</c:v>
                </c:pt>
                <c:pt idx="793">
                  <c:v>40450</c:v>
                </c:pt>
                <c:pt idx="794">
                  <c:v>41306.25</c:v>
                </c:pt>
                <c:pt idx="795">
                  <c:v>40125</c:v>
                </c:pt>
                <c:pt idx="796">
                  <c:v>39643.75</c:v>
                </c:pt>
                <c:pt idx="797">
                  <c:v>37850</c:v>
                </c:pt>
                <c:pt idx="798">
                  <c:v>39493.75</c:v>
                </c:pt>
                <c:pt idx="799">
                  <c:v>40050</c:v>
                </c:pt>
                <c:pt idx="800">
                  <c:v>41543.75</c:v>
                </c:pt>
                <c:pt idx="801">
                  <c:v>41593.75</c:v>
                </c:pt>
                <c:pt idx="802">
                  <c:v>39193.75</c:v>
                </c:pt>
                <c:pt idx="803">
                  <c:v>37918.75</c:v>
                </c:pt>
                <c:pt idx="804">
                  <c:v>38287.5</c:v>
                </c:pt>
                <c:pt idx="805">
                  <c:v>38287.5</c:v>
                </c:pt>
                <c:pt idx="806">
                  <c:v>35618.75</c:v>
                </c:pt>
                <c:pt idx="807">
                  <c:v>35431.25</c:v>
                </c:pt>
                <c:pt idx="808">
                  <c:v>36437.5</c:v>
                </c:pt>
                <c:pt idx="809">
                  <c:v>36293.75</c:v>
                </c:pt>
                <c:pt idx="810">
                  <c:v>37425</c:v>
                </c:pt>
                <c:pt idx="811">
                  <c:v>37425</c:v>
                </c:pt>
                <c:pt idx="812">
                  <c:v>37425</c:v>
                </c:pt>
                <c:pt idx="813">
                  <c:v>37425</c:v>
                </c:pt>
                <c:pt idx="814">
                  <c:v>36850</c:v>
                </c:pt>
                <c:pt idx="815">
                  <c:v>37906.25</c:v>
                </c:pt>
                <c:pt idx="816">
                  <c:v>38700</c:v>
                </c:pt>
                <c:pt idx="817">
                  <c:v>38700</c:v>
                </c:pt>
                <c:pt idx="818">
                  <c:v>39181.25</c:v>
                </c:pt>
                <c:pt idx="819">
                  <c:v>36393.75</c:v>
                </c:pt>
                <c:pt idx="820">
                  <c:v>40550</c:v>
                </c:pt>
                <c:pt idx="821">
                  <c:v>41062.5</c:v>
                </c:pt>
                <c:pt idx="822">
                  <c:v>41756.25</c:v>
                </c:pt>
                <c:pt idx="823">
                  <c:v>41793.75</c:v>
                </c:pt>
                <c:pt idx="824">
                  <c:v>42937.5</c:v>
                </c:pt>
                <c:pt idx="825">
                  <c:v>43025</c:v>
                </c:pt>
                <c:pt idx="826">
                  <c:v>43125</c:v>
                </c:pt>
                <c:pt idx="827">
                  <c:v>43387.5</c:v>
                </c:pt>
                <c:pt idx="828">
                  <c:v>45075</c:v>
                </c:pt>
                <c:pt idx="829">
                  <c:v>45025</c:v>
                </c:pt>
                <c:pt idx="830">
                  <c:v>47568.75</c:v>
                </c:pt>
                <c:pt idx="831">
                  <c:v>44575</c:v>
                </c:pt>
                <c:pt idx="832">
                  <c:v>46900</c:v>
                </c:pt>
                <c:pt idx="833">
                  <c:v>44737.5</c:v>
                </c:pt>
                <c:pt idx="834">
                  <c:v>45068.75</c:v>
                </c:pt>
                <c:pt idx="835">
                  <c:v>45093.75</c:v>
                </c:pt>
                <c:pt idx="836">
                  <c:v>46362.5</c:v>
                </c:pt>
                <c:pt idx="837">
                  <c:v>47431.25</c:v>
                </c:pt>
                <c:pt idx="838">
                  <c:v>44675</c:v>
                </c:pt>
                <c:pt idx="839">
                  <c:v>44500</c:v>
                </c:pt>
                <c:pt idx="840">
                  <c:v>46575</c:v>
                </c:pt>
                <c:pt idx="841">
                  <c:v>46156.25</c:v>
                </c:pt>
                <c:pt idx="842">
                  <c:v>45675</c:v>
                </c:pt>
                <c:pt idx="843">
                  <c:v>45331.25</c:v>
                </c:pt>
                <c:pt idx="844">
                  <c:v>44837.5</c:v>
                </c:pt>
                <c:pt idx="845">
                  <c:v>45375</c:v>
                </c:pt>
                <c:pt idx="846">
                  <c:v>44062.5</c:v>
                </c:pt>
                <c:pt idx="847">
                  <c:v>44225</c:v>
                </c:pt>
                <c:pt idx="848">
                  <c:v>44700</c:v>
                </c:pt>
                <c:pt idx="849">
                  <c:v>46093.75</c:v>
                </c:pt>
                <c:pt idx="850">
                  <c:v>46000</c:v>
                </c:pt>
                <c:pt idx="851">
                  <c:v>47581.25</c:v>
                </c:pt>
                <c:pt idx="852">
                  <c:v>47937.5</c:v>
                </c:pt>
                <c:pt idx="853">
                  <c:v>47937.5</c:v>
                </c:pt>
                <c:pt idx="854">
                  <c:v>48350</c:v>
                </c:pt>
                <c:pt idx="855">
                  <c:v>49100</c:v>
                </c:pt>
                <c:pt idx="856">
                  <c:v>50475</c:v>
                </c:pt>
                <c:pt idx="857">
                  <c:v>49731.25</c:v>
                </c:pt>
                <c:pt idx="858">
                  <c:v>48675</c:v>
                </c:pt>
                <c:pt idx="859">
                  <c:v>49525</c:v>
                </c:pt>
                <c:pt idx="860">
                  <c:v>51237.5</c:v>
                </c:pt>
                <c:pt idx="861">
                  <c:v>50718.75</c:v>
                </c:pt>
                <c:pt idx="862">
                  <c:v>51312.5</c:v>
                </c:pt>
                <c:pt idx="863">
                  <c:v>51950</c:v>
                </c:pt>
                <c:pt idx="864">
                  <c:v>52200</c:v>
                </c:pt>
                <c:pt idx="865">
                  <c:v>51218.75</c:v>
                </c:pt>
                <c:pt idx="866">
                  <c:v>52175</c:v>
                </c:pt>
                <c:pt idx="867">
                  <c:v>52968.75</c:v>
                </c:pt>
                <c:pt idx="868">
                  <c:v>55193.75</c:v>
                </c:pt>
                <c:pt idx="869">
                  <c:v>58156.25</c:v>
                </c:pt>
                <c:pt idx="870">
                  <c:v>58712.5</c:v>
                </c:pt>
                <c:pt idx="871">
                  <c:v>59487.5</c:v>
                </c:pt>
                <c:pt idx="872">
                  <c:v>59225</c:v>
                </c:pt>
                <c:pt idx="873">
                  <c:v>58593.75</c:v>
                </c:pt>
                <c:pt idx="874">
                  <c:v>57106.25</c:v>
                </c:pt>
                <c:pt idx="875">
                  <c:v>58550</c:v>
                </c:pt>
                <c:pt idx="876">
                  <c:v>58143.75</c:v>
                </c:pt>
                <c:pt idx="877">
                  <c:v>54825</c:v>
                </c:pt>
                <c:pt idx="878">
                  <c:v>54431.25</c:v>
                </c:pt>
                <c:pt idx="879">
                  <c:v>55056.25</c:v>
                </c:pt>
                <c:pt idx="880">
                  <c:v>54925</c:v>
                </c:pt>
                <c:pt idx="881">
                  <c:v>53181.25</c:v>
                </c:pt>
                <c:pt idx="882">
                  <c:v>52700</c:v>
                </c:pt>
                <c:pt idx="883">
                  <c:v>52143.75</c:v>
                </c:pt>
                <c:pt idx="884">
                  <c:v>52025</c:v>
                </c:pt>
                <c:pt idx="885">
                  <c:v>54100</c:v>
                </c:pt>
                <c:pt idx="886">
                  <c:v>49225</c:v>
                </c:pt>
                <c:pt idx="887">
                  <c:v>49531.25</c:v>
                </c:pt>
                <c:pt idx="888">
                  <c:v>48650</c:v>
                </c:pt>
                <c:pt idx="889">
                  <c:v>48968.75</c:v>
                </c:pt>
                <c:pt idx="890">
                  <c:v>50331.25</c:v>
                </c:pt>
                <c:pt idx="891">
                  <c:v>52406.25</c:v>
                </c:pt>
                <c:pt idx="892">
                  <c:v>52237.5</c:v>
                </c:pt>
                <c:pt idx="893">
                  <c:v>51562.5</c:v>
                </c:pt>
                <c:pt idx="894">
                  <c:v>51450</c:v>
                </c:pt>
                <c:pt idx="895">
                  <c:v>50306.25</c:v>
                </c:pt>
                <c:pt idx="896">
                  <c:v>48331.25</c:v>
                </c:pt>
                <c:pt idx="897">
                  <c:v>48100</c:v>
                </c:pt>
                <c:pt idx="898">
                  <c:v>50250</c:v>
                </c:pt>
                <c:pt idx="899">
                  <c:v>53037.5</c:v>
                </c:pt>
                <c:pt idx="900">
                  <c:v>53393.75</c:v>
                </c:pt>
                <c:pt idx="901">
                  <c:v>53112.5</c:v>
                </c:pt>
                <c:pt idx="902">
                  <c:v>53550</c:v>
                </c:pt>
                <c:pt idx="903">
                  <c:v>54118.75</c:v>
                </c:pt>
                <c:pt idx="904">
                  <c:v>54887.5</c:v>
                </c:pt>
                <c:pt idx="905">
                  <c:v>53531.25</c:v>
                </c:pt>
                <c:pt idx="906">
                  <c:v>52993.75</c:v>
                </c:pt>
                <c:pt idx="907">
                  <c:v>51825</c:v>
                </c:pt>
                <c:pt idx="908">
                  <c:v>52231.25</c:v>
                </c:pt>
                <c:pt idx="909">
                  <c:v>52918.75</c:v>
                </c:pt>
                <c:pt idx="910">
                  <c:v>55025</c:v>
                </c:pt>
                <c:pt idx="911">
                  <c:v>58006.25</c:v>
                </c:pt>
                <c:pt idx="912">
                  <c:v>58006.25</c:v>
                </c:pt>
                <c:pt idx="913">
                  <c:v>58012.5</c:v>
                </c:pt>
                <c:pt idx="914">
                  <c:v>59037.5</c:v>
                </c:pt>
                <c:pt idx="915">
                  <c:v>54975</c:v>
                </c:pt>
                <c:pt idx="916">
                  <c:v>58125</c:v>
                </c:pt>
                <c:pt idx="917">
                  <c:v>57337.5</c:v>
                </c:pt>
                <c:pt idx="918">
                  <c:v>57818.75</c:v>
                </c:pt>
                <c:pt idx="919">
                  <c:v>57787.5</c:v>
                </c:pt>
                <c:pt idx="920">
                  <c:v>58612.5</c:v>
                </c:pt>
                <c:pt idx="921">
                  <c:v>58493.75</c:v>
                </c:pt>
                <c:pt idx="922">
                  <c:v>58781.25</c:v>
                </c:pt>
                <c:pt idx="923">
                  <c:v>59937.5</c:v>
                </c:pt>
                <c:pt idx="924">
                  <c:v>60481.25</c:v>
                </c:pt>
                <c:pt idx="925">
                  <c:v>60412.5</c:v>
                </c:pt>
                <c:pt idx="926">
                  <c:v>61750</c:v>
                </c:pt>
                <c:pt idx="927">
                  <c:v>60775</c:v>
                </c:pt>
                <c:pt idx="928">
                  <c:v>55800</c:v>
                </c:pt>
                <c:pt idx="929">
                  <c:v>57206.25</c:v>
                </c:pt>
                <c:pt idx="930">
                  <c:v>56725</c:v>
                </c:pt>
                <c:pt idx="931">
                  <c:v>57812.5</c:v>
                </c:pt>
                <c:pt idx="932">
                  <c:v>55787.5</c:v>
                </c:pt>
                <c:pt idx="933">
                  <c:v>55993.75</c:v>
                </c:pt>
                <c:pt idx="934">
                  <c:v>57237.5</c:v>
                </c:pt>
                <c:pt idx="935">
                  <c:v>56793.75</c:v>
                </c:pt>
                <c:pt idx="936">
                  <c:v>56418.75</c:v>
                </c:pt>
                <c:pt idx="937">
                  <c:v>56206.25</c:v>
                </c:pt>
                <c:pt idx="938">
                  <c:v>55637.5</c:v>
                </c:pt>
                <c:pt idx="939">
                  <c:v>55637.5</c:v>
                </c:pt>
                <c:pt idx="940">
                  <c:v>53812.5</c:v>
                </c:pt>
                <c:pt idx="941">
                  <c:v>53256.25</c:v>
                </c:pt>
                <c:pt idx="942">
                  <c:v>53568.75</c:v>
                </c:pt>
                <c:pt idx="943">
                  <c:v>54775</c:v>
                </c:pt>
                <c:pt idx="944">
                  <c:v>55531.25</c:v>
                </c:pt>
                <c:pt idx="945">
                  <c:v>55537.5</c:v>
                </c:pt>
                <c:pt idx="946">
                  <c:v>54262.5</c:v>
                </c:pt>
                <c:pt idx="947">
                  <c:v>54700</c:v>
                </c:pt>
                <c:pt idx="948">
                  <c:v>54675</c:v>
                </c:pt>
                <c:pt idx="949">
                  <c:v>54200</c:v>
                </c:pt>
                <c:pt idx="950">
                  <c:v>55093.75</c:v>
                </c:pt>
                <c:pt idx="951">
                  <c:v>56212.5</c:v>
                </c:pt>
                <c:pt idx="952">
                  <c:v>56025</c:v>
                </c:pt>
                <c:pt idx="953">
                  <c:v>56481.25</c:v>
                </c:pt>
                <c:pt idx="954">
                  <c:v>56493.75</c:v>
                </c:pt>
                <c:pt idx="955">
                  <c:v>56750</c:v>
                </c:pt>
                <c:pt idx="956">
                  <c:v>55850</c:v>
                </c:pt>
                <c:pt idx="957">
                  <c:v>57143.75</c:v>
                </c:pt>
                <c:pt idx="958">
                  <c:v>56550</c:v>
                </c:pt>
                <c:pt idx="959">
                  <c:v>57693.75</c:v>
                </c:pt>
                <c:pt idx="960">
                  <c:v>57693.75</c:v>
                </c:pt>
                <c:pt idx="961">
                  <c:v>56012.5</c:v>
                </c:pt>
                <c:pt idx="962">
                  <c:v>56618.75</c:v>
                </c:pt>
                <c:pt idx="963">
                  <c:v>55118.75</c:v>
                </c:pt>
                <c:pt idx="964">
                  <c:v>55443.75</c:v>
                </c:pt>
                <c:pt idx="965">
                  <c:v>55668.75</c:v>
                </c:pt>
                <c:pt idx="966">
                  <c:v>55631.25</c:v>
                </c:pt>
                <c:pt idx="967">
                  <c:v>56212.5</c:v>
                </c:pt>
                <c:pt idx="968">
                  <c:v>55775</c:v>
                </c:pt>
                <c:pt idx="969">
                  <c:v>54575</c:v>
                </c:pt>
                <c:pt idx="970">
                  <c:v>54175</c:v>
                </c:pt>
                <c:pt idx="971">
                  <c:v>54662.5</c:v>
                </c:pt>
                <c:pt idx="972">
                  <c:v>54812.5</c:v>
                </c:pt>
                <c:pt idx="973">
                  <c:v>56525</c:v>
                </c:pt>
                <c:pt idx="974">
                  <c:v>55362.5</c:v>
                </c:pt>
                <c:pt idx="975">
                  <c:v>56237.5</c:v>
                </c:pt>
                <c:pt idx="976">
                  <c:v>56593.75</c:v>
                </c:pt>
                <c:pt idx="977">
                  <c:v>60450</c:v>
                </c:pt>
                <c:pt idx="978">
                  <c:v>60443.75</c:v>
                </c:pt>
                <c:pt idx="979">
                  <c:v>59868.75</c:v>
                </c:pt>
                <c:pt idx="980">
                  <c:v>59406.25</c:v>
                </c:pt>
                <c:pt idx="981">
                  <c:v>60993.75</c:v>
                </c:pt>
                <c:pt idx="982">
                  <c:v>61787.5</c:v>
                </c:pt>
                <c:pt idx="983">
                  <c:v>62318.75</c:v>
                </c:pt>
                <c:pt idx="984">
                  <c:v>61993.75</c:v>
                </c:pt>
                <c:pt idx="985">
                  <c:v>61637.5</c:v>
                </c:pt>
                <c:pt idx="986">
                  <c:v>61187.5</c:v>
                </c:pt>
                <c:pt idx="987">
                  <c:v>61693.75</c:v>
                </c:pt>
                <c:pt idx="988">
                  <c:v>62706.25</c:v>
                </c:pt>
                <c:pt idx="989">
                  <c:v>64087.5</c:v>
                </c:pt>
                <c:pt idx="990">
                  <c:v>63731.25</c:v>
                </c:pt>
                <c:pt idx="991">
                  <c:v>64925</c:v>
                </c:pt>
                <c:pt idx="992">
                  <c:v>66656.25</c:v>
                </c:pt>
                <c:pt idx="993">
                  <c:v>64593.75</c:v>
                </c:pt>
                <c:pt idx="994">
                  <c:v>64643.75</c:v>
                </c:pt>
                <c:pt idx="995">
                  <c:v>64075</c:v>
                </c:pt>
                <c:pt idx="996">
                  <c:v>64350</c:v>
                </c:pt>
                <c:pt idx="997">
                  <c:v>64737.5</c:v>
                </c:pt>
                <c:pt idx="998">
                  <c:v>62931.25</c:v>
                </c:pt>
                <c:pt idx="999">
                  <c:v>57087.5</c:v>
                </c:pt>
                <c:pt idx="1000">
                  <c:v>57156.25</c:v>
                </c:pt>
                <c:pt idx="1001">
                  <c:v>58537.5</c:v>
                </c:pt>
                <c:pt idx="1002">
                  <c:v>59093.75</c:v>
                </c:pt>
                <c:pt idx="1003">
                  <c:v>56418.75</c:v>
                </c:pt>
                <c:pt idx="1004">
                  <c:v>57837.5</c:v>
                </c:pt>
                <c:pt idx="1005">
                  <c:v>58087.5</c:v>
                </c:pt>
                <c:pt idx="1006">
                  <c:v>56237.5</c:v>
                </c:pt>
                <c:pt idx="1007">
                  <c:v>56581.25</c:v>
                </c:pt>
                <c:pt idx="1008">
                  <c:v>56856.25</c:v>
                </c:pt>
                <c:pt idx="1009">
                  <c:v>57593.75</c:v>
                </c:pt>
                <c:pt idx="1010">
                  <c:v>59043.75</c:v>
                </c:pt>
                <c:pt idx="1011">
                  <c:v>58200</c:v>
                </c:pt>
                <c:pt idx="1012">
                  <c:v>57362.5</c:v>
                </c:pt>
                <c:pt idx="1013">
                  <c:v>60487.5</c:v>
                </c:pt>
                <c:pt idx="1014">
                  <c:v>60018.75</c:v>
                </c:pt>
                <c:pt idx="1015">
                  <c:v>60550</c:v>
                </c:pt>
                <c:pt idx="1016">
                  <c:v>59675</c:v>
                </c:pt>
                <c:pt idx="1017">
                  <c:v>59456.25</c:v>
                </c:pt>
                <c:pt idx="1018">
                  <c:v>60950</c:v>
                </c:pt>
                <c:pt idx="1019">
                  <c:v>61100</c:v>
                </c:pt>
                <c:pt idx="1020">
                  <c:v>61000</c:v>
                </c:pt>
                <c:pt idx="1021">
                  <c:v>60381.25</c:v>
                </c:pt>
                <c:pt idx="1022">
                  <c:v>58093.75</c:v>
                </c:pt>
                <c:pt idx="1023">
                  <c:v>59625</c:v>
                </c:pt>
                <c:pt idx="1024">
                  <c:v>57881.25</c:v>
                </c:pt>
                <c:pt idx="1025">
                  <c:v>58793.75</c:v>
                </c:pt>
                <c:pt idx="1026">
                  <c:v>58425</c:v>
                </c:pt>
                <c:pt idx="1027">
                  <c:v>59075</c:v>
                </c:pt>
                <c:pt idx="1028">
                  <c:v>60525</c:v>
                </c:pt>
                <c:pt idx="1029">
                  <c:v>60743.75</c:v>
                </c:pt>
                <c:pt idx="1030">
                  <c:v>60681.25</c:v>
                </c:pt>
                <c:pt idx="1031">
                  <c:v>60662.5</c:v>
                </c:pt>
                <c:pt idx="1032">
                  <c:v>60581.25</c:v>
                </c:pt>
                <c:pt idx="1033">
                  <c:v>59281.25</c:v>
                </c:pt>
                <c:pt idx="1034">
                  <c:v>59787.5</c:v>
                </c:pt>
                <c:pt idx="1035">
                  <c:v>56781.25</c:v>
                </c:pt>
                <c:pt idx="1036">
                  <c:v>54312.5</c:v>
                </c:pt>
                <c:pt idx="1037">
                  <c:v>52025</c:v>
                </c:pt>
                <c:pt idx="1038">
                  <c:v>52543.75</c:v>
                </c:pt>
                <c:pt idx="1039">
                  <c:v>52793.75</c:v>
                </c:pt>
                <c:pt idx="1040">
                  <c:v>51781.25</c:v>
                </c:pt>
                <c:pt idx="1041">
                  <c:v>53650</c:v>
                </c:pt>
                <c:pt idx="1042">
                  <c:v>55431.25</c:v>
                </c:pt>
                <c:pt idx="1043">
                  <c:v>54856.25</c:v>
                </c:pt>
                <c:pt idx="1044">
                  <c:v>54625</c:v>
                </c:pt>
                <c:pt idx="1045">
                  <c:v>55150</c:v>
                </c:pt>
                <c:pt idx="1046">
                  <c:v>54575</c:v>
                </c:pt>
                <c:pt idx="1047">
                  <c:v>55293.75</c:v>
                </c:pt>
                <c:pt idx="1048">
                  <c:v>55293.75</c:v>
                </c:pt>
                <c:pt idx="1049">
                  <c:v>54650</c:v>
                </c:pt>
                <c:pt idx="1050">
                  <c:v>54793.75</c:v>
                </c:pt>
                <c:pt idx="1051">
                  <c:v>54893.75</c:v>
                </c:pt>
                <c:pt idx="1052">
                  <c:v>55656.25</c:v>
                </c:pt>
                <c:pt idx="1053">
                  <c:v>56012.5</c:v>
                </c:pt>
                <c:pt idx="1054">
                  <c:v>56062.5</c:v>
                </c:pt>
                <c:pt idx="1055">
                  <c:v>56168.75</c:v>
                </c:pt>
                <c:pt idx="1056">
                  <c:v>56506.25</c:v>
                </c:pt>
                <c:pt idx="1057">
                  <c:v>57225</c:v>
                </c:pt>
                <c:pt idx="1058">
                  <c:v>57118.75</c:v>
                </c:pt>
                <c:pt idx="1059">
                  <c:v>59543.75</c:v>
                </c:pt>
                <c:pt idx="1060">
                  <c:v>58968.75</c:v>
                </c:pt>
                <c:pt idx="1061">
                  <c:v>59325</c:v>
                </c:pt>
                <c:pt idx="1062">
                  <c:v>59325</c:v>
                </c:pt>
                <c:pt idx="1063">
                  <c:v>60150</c:v>
                </c:pt>
                <c:pt idx="1064">
                  <c:v>61581.25</c:v>
                </c:pt>
                <c:pt idx="1065">
                  <c:v>60768.75</c:v>
                </c:pt>
                <c:pt idx="1066">
                  <c:v>61750</c:v>
                </c:pt>
                <c:pt idx="1067">
                  <c:v>61493.75</c:v>
                </c:pt>
                <c:pt idx="1068">
                  <c:v>61493.75</c:v>
                </c:pt>
                <c:pt idx="1069">
                  <c:v>62637.5</c:v>
                </c:pt>
                <c:pt idx="1070">
                  <c:v>63487.5</c:v>
                </c:pt>
                <c:pt idx="1071">
                  <c:v>62956.25</c:v>
                </c:pt>
                <c:pt idx="1072">
                  <c:v>65637.5</c:v>
                </c:pt>
                <c:pt idx="1073">
                  <c:v>65406.25</c:v>
                </c:pt>
                <c:pt idx="1074">
                  <c:v>65406.25</c:v>
                </c:pt>
                <c:pt idx="1075">
                  <c:v>67100</c:v>
                </c:pt>
                <c:pt idx="1076">
                  <c:v>66437.5</c:v>
                </c:pt>
                <c:pt idx="1077">
                  <c:v>67687.5</c:v>
                </c:pt>
                <c:pt idx="1078">
                  <c:v>66018.75</c:v>
                </c:pt>
                <c:pt idx="1079">
                  <c:v>65881.25</c:v>
                </c:pt>
                <c:pt idx="1080">
                  <c:v>65881.25</c:v>
                </c:pt>
                <c:pt idx="1081">
                  <c:v>65531.25</c:v>
                </c:pt>
                <c:pt idx="1082">
                  <c:v>66675</c:v>
                </c:pt>
                <c:pt idx="1083">
                  <c:v>65643.75</c:v>
                </c:pt>
                <c:pt idx="1084">
                  <c:v>64100</c:v>
                </c:pt>
                <c:pt idx="1085">
                  <c:v>64100</c:v>
                </c:pt>
                <c:pt idx="1086">
                  <c:v>64956.25</c:v>
                </c:pt>
                <c:pt idx="1087">
                  <c:v>63106.25</c:v>
                </c:pt>
                <c:pt idx="1088">
                  <c:v>61443.75</c:v>
                </c:pt>
                <c:pt idx="1089">
                  <c:v>61737.5</c:v>
                </c:pt>
                <c:pt idx="1090">
                  <c:v>61875</c:v>
                </c:pt>
                <c:pt idx="1091">
                  <c:v>61350</c:v>
                </c:pt>
                <c:pt idx="1092">
                  <c:v>62231.25</c:v>
                </c:pt>
                <c:pt idx="1093">
                  <c:v>63400</c:v>
                </c:pt>
                <c:pt idx="1094">
                  <c:v>63400</c:v>
                </c:pt>
                <c:pt idx="1095">
                  <c:v>63593.75</c:v>
                </c:pt>
                <c:pt idx="1096">
                  <c:v>63768.75</c:v>
                </c:pt>
                <c:pt idx="1097">
                  <c:v>63600</c:v>
                </c:pt>
                <c:pt idx="1098">
                  <c:v>63343.75</c:v>
                </c:pt>
                <c:pt idx="1099">
                  <c:v>64918.75</c:v>
                </c:pt>
                <c:pt idx="1100">
                  <c:v>65706.25</c:v>
                </c:pt>
                <c:pt idx="1101">
                  <c:v>66962.5</c:v>
                </c:pt>
                <c:pt idx="1102">
                  <c:v>67018.75</c:v>
                </c:pt>
                <c:pt idx="1103">
                  <c:v>68300</c:v>
                </c:pt>
                <c:pt idx="1104">
                  <c:v>67456.25</c:v>
                </c:pt>
                <c:pt idx="1105">
                  <c:v>68287.5</c:v>
                </c:pt>
                <c:pt idx="1106">
                  <c:v>67331.25</c:v>
                </c:pt>
                <c:pt idx="1107">
                  <c:v>66775</c:v>
                </c:pt>
                <c:pt idx="1108">
                  <c:v>66575</c:v>
                </c:pt>
                <c:pt idx="1109">
                  <c:v>66600</c:v>
                </c:pt>
                <c:pt idx="1110">
                  <c:v>66812.5</c:v>
                </c:pt>
                <c:pt idx="1111">
                  <c:v>67506.25</c:v>
                </c:pt>
                <c:pt idx="1112">
                  <c:v>68700</c:v>
                </c:pt>
                <c:pt idx="1113">
                  <c:v>67843.75</c:v>
                </c:pt>
                <c:pt idx="1114">
                  <c:v>67668.75</c:v>
                </c:pt>
                <c:pt idx="1115">
                  <c:v>66093.75</c:v>
                </c:pt>
                <c:pt idx="1116">
                  <c:v>64568.75</c:v>
                </c:pt>
                <c:pt idx="1117">
                  <c:v>64031.25</c:v>
                </c:pt>
                <c:pt idx="1118">
                  <c:v>65356.25</c:v>
                </c:pt>
                <c:pt idx="1119">
                  <c:v>64868.75</c:v>
                </c:pt>
                <c:pt idx="1120">
                  <c:v>64806.25</c:v>
                </c:pt>
                <c:pt idx="1121">
                  <c:v>66218.75</c:v>
                </c:pt>
                <c:pt idx="1122">
                  <c:v>65156.25</c:v>
                </c:pt>
                <c:pt idx="1123">
                  <c:v>65362.5</c:v>
                </c:pt>
                <c:pt idx="1124">
                  <c:v>64706.25</c:v>
                </c:pt>
                <c:pt idx="1125">
                  <c:v>64156.25</c:v>
                </c:pt>
                <c:pt idx="1126">
                  <c:v>63937.5</c:v>
                </c:pt>
                <c:pt idx="1127">
                  <c:v>64312.5</c:v>
                </c:pt>
                <c:pt idx="1128">
                  <c:v>65806.25</c:v>
                </c:pt>
                <c:pt idx="1129">
                  <c:v>64031.25</c:v>
                </c:pt>
                <c:pt idx="1130">
                  <c:v>62800</c:v>
                </c:pt>
                <c:pt idx="1131">
                  <c:v>63925</c:v>
                </c:pt>
                <c:pt idx="1132">
                  <c:v>63925</c:v>
                </c:pt>
                <c:pt idx="1133">
                  <c:v>63237.5</c:v>
                </c:pt>
                <c:pt idx="1134">
                  <c:v>63162.5</c:v>
                </c:pt>
                <c:pt idx="1135">
                  <c:v>63743.75</c:v>
                </c:pt>
                <c:pt idx="1136">
                  <c:v>64262.5</c:v>
                </c:pt>
                <c:pt idx="1137">
                  <c:v>65893.75</c:v>
                </c:pt>
                <c:pt idx="1138">
                  <c:v>66168.75</c:v>
                </c:pt>
                <c:pt idx="1139">
                  <c:v>66181.25</c:v>
                </c:pt>
                <c:pt idx="1140">
                  <c:v>67687.5</c:v>
                </c:pt>
                <c:pt idx="1141">
                  <c:v>65743.75</c:v>
                </c:pt>
                <c:pt idx="1142">
                  <c:v>68250</c:v>
                </c:pt>
                <c:pt idx="1143">
                  <c:v>68975</c:v>
                </c:pt>
                <c:pt idx="1144">
                  <c:v>68975</c:v>
                </c:pt>
                <c:pt idx="1145">
                  <c:v>68975</c:v>
                </c:pt>
                <c:pt idx="1146">
                  <c:v>68993.75</c:v>
                </c:pt>
                <c:pt idx="1147">
                  <c:v>67287.5</c:v>
                </c:pt>
                <c:pt idx="1148">
                  <c:v>68625</c:v>
                </c:pt>
                <c:pt idx="1149">
                  <c:v>67318.75</c:v>
                </c:pt>
                <c:pt idx="1150">
                  <c:v>67825</c:v>
                </c:pt>
                <c:pt idx="1151">
                  <c:v>67762.5</c:v>
                </c:pt>
                <c:pt idx="1152">
                  <c:v>68581.25</c:v>
                </c:pt>
                <c:pt idx="1153">
                  <c:v>66400</c:v>
                </c:pt>
                <c:pt idx="1154">
                  <c:v>65987.5</c:v>
                </c:pt>
                <c:pt idx="1155">
                  <c:v>65443.75</c:v>
                </c:pt>
                <c:pt idx="1156">
                  <c:v>65443.75</c:v>
                </c:pt>
                <c:pt idx="1157">
                  <c:v>65443.75</c:v>
                </c:pt>
                <c:pt idx="1158">
                  <c:v>64781.25</c:v>
                </c:pt>
                <c:pt idx="1159">
                  <c:v>64418.75</c:v>
                </c:pt>
                <c:pt idx="1160">
                  <c:v>64831.25</c:v>
                </c:pt>
                <c:pt idx="1161">
                  <c:v>65637.5</c:v>
                </c:pt>
                <c:pt idx="1162">
                  <c:v>65468.75</c:v>
                </c:pt>
                <c:pt idx="1163">
                  <c:v>65756.25</c:v>
                </c:pt>
                <c:pt idx="1164">
                  <c:v>66206.25</c:v>
                </c:pt>
                <c:pt idx="1165">
                  <c:v>66775</c:v>
                </c:pt>
                <c:pt idx="1166">
                  <c:v>66487.5</c:v>
                </c:pt>
                <c:pt idx="1167">
                  <c:v>66781.25</c:v>
                </c:pt>
                <c:pt idx="1168">
                  <c:v>66606.25</c:v>
                </c:pt>
                <c:pt idx="1169">
                  <c:v>66606.25</c:v>
                </c:pt>
                <c:pt idx="1170">
                  <c:v>65918.75</c:v>
                </c:pt>
                <c:pt idx="1171">
                  <c:v>66081.25</c:v>
                </c:pt>
                <c:pt idx="1172">
                  <c:v>66531.25</c:v>
                </c:pt>
                <c:pt idx="1173">
                  <c:v>66031.25</c:v>
                </c:pt>
                <c:pt idx="1174">
                  <c:v>66106.25</c:v>
                </c:pt>
                <c:pt idx="1175">
                  <c:v>66031.25</c:v>
                </c:pt>
                <c:pt idx="1176">
                  <c:v>65900</c:v>
                </c:pt>
                <c:pt idx="1177">
                  <c:v>65675</c:v>
                </c:pt>
                <c:pt idx="1178">
                  <c:v>65631.25</c:v>
                </c:pt>
                <c:pt idx="1179">
                  <c:v>64956.25</c:v>
                </c:pt>
                <c:pt idx="1180">
                  <c:v>64750</c:v>
                </c:pt>
                <c:pt idx="1181">
                  <c:v>65187.5</c:v>
                </c:pt>
                <c:pt idx="1182">
                  <c:v>65668.75</c:v>
                </c:pt>
                <c:pt idx="1183">
                  <c:v>65837.5</c:v>
                </c:pt>
                <c:pt idx="1184">
                  <c:v>66362.5</c:v>
                </c:pt>
                <c:pt idx="1185">
                  <c:v>67237.5</c:v>
                </c:pt>
                <c:pt idx="1186">
                  <c:v>67412.5</c:v>
                </c:pt>
                <c:pt idx="1187">
                  <c:v>67231.25</c:v>
                </c:pt>
                <c:pt idx="1188">
                  <c:v>67306.25</c:v>
                </c:pt>
                <c:pt idx="1189">
                  <c:v>67081.25</c:v>
                </c:pt>
                <c:pt idx="1190">
                  <c:v>68037.5</c:v>
                </c:pt>
                <c:pt idx="1191">
                  <c:v>68600</c:v>
                </c:pt>
                <c:pt idx="1192">
                  <c:v>68481.25</c:v>
                </c:pt>
                <c:pt idx="1193">
                  <c:v>68218.75</c:v>
                </c:pt>
                <c:pt idx="1194">
                  <c:v>68643.75</c:v>
                </c:pt>
                <c:pt idx="1195">
                  <c:v>67612.5</c:v>
                </c:pt>
                <c:pt idx="1196">
                  <c:v>68043.75</c:v>
                </c:pt>
                <c:pt idx="1197">
                  <c:v>68487.5</c:v>
                </c:pt>
                <c:pt idx="1198">
                  <c:v>68218.75</c:v>
                </c:pt>
                <c:pt idx="1199">
                  <c:v>68187.5</c:v>
                </c:pt>
                <c:pt idx="1200">
                  <c:v>68237.5</c:v>
                </c:pt>
                <c:pt idx="1201">
                  <c:v>68525</c:v>
                </c:pt>
                <c:pt idx="1202">
                  <c:v>69650</c:v>
                </c:pt>
                <c:pt idx="1203">
                  <c:v>69887.5</c:v>
                </c:pt>
                <c:pt idx="1204">
                  <c:v>69687.5</c:v>
                </c:pt>
                <c:pt idx="1205">
                  <c:v>69581.25</c:v>
                </c:pt>
                <c:pt idx="1206">
                  <c:v>70093.75</c:v>
                </c:pt>
                <c:pt idx="1207">
                  <c:v>70662.5</c:v>
                </c:pt>
                <c:pt idx="1208">
                  <c:v>69637.5</c:v>
                </c:pt>
                <c:pt idx="1209">
                  <c:v>71162.5</c:v>
                </c:pt>
                <c:pt idx="1210">
                  <c:v>71162.5</c:v>
                </c:pt>
                <c:pt idx="1211">
                  <c:v>71162.5</c:v>
                </c:pt>
                <c:pt idx="1212">
                  <c:v>71562.5</c:v>
                </c:pt>
                <c:pt idx="1213">
                  <c:v>71856.25</c:v>
                </c:pt>
                <c:pt idx="1214">
                  <c:v>72400</c:v>
                </c:pt>
                <c:pt idx="1215">
                  <c:v>73806.25</c:v>
                </c:pt>
                <c:pt idx="1216">
                  <c:v>73593.75</c:v>
                </c:pt>
                <c:pt idx="1217">
                  <c:v>73856.25</c:v>
                </c:pt>
                <c:pt idx="1218">
                  <c:v>73987.5</c:v>
                </c:pt>
                <c:pt idx="1219">
                  <c:v>74106.25</c:v>
                </c:pt>
                <c:pt idx="1220">
                  <c:v>74100</c:v>
                </c:pt>
                <c:pt idx="1221">
                  <c:v>74281.25</c:v>
                </c:pt>
                <c:pt idx="1222">
                  <c:v>74281.25</c:v>
                </c:pt>
                <c:pt idx="1223">
                  <c:v>74631.25</c:v>
                </c:pt>
                <c:pt idx="1224">
                  <c:v>74962.5</c:v>
                </c:pt>
                <c:pt idx="1225">
                  <c:v>74487.5</c:v>
                </c:pt>
                <c:pt idx="1226">
                  <c:v>74875</c:v>
                </c:pt>
                <c:pt idx="1227">
                  <c:v>75100</c:v>
                </c:pt>
                <c:pt idx="1228">
                  <c:v>75100</c:v>
                </c:pt>
                <c:pt idx="1229">
                  <c:v>75150</c:v>
                </c:pt>
                <c:pt idx="1230">
                  <c:v>75356.25</c:v>
                </c:pt>
                <c:pt idx="1231">
                  <c:v>75468.75</c:v>
                </c:pt>
                <c:pt idx="1232">
                  <c:v>75181.25</c:v>
                </c:pt>
                <c:pt idx="1233">
                  <c:v>74993.75</c:v>
                </c:pt>
                <c:pt idx="1234">
                  <c:v>74993.75</c:v>
                </c:pt>
                <c:pt idx="1235">
                  <c:v>74218.75</c:v>
                </c:pt>
                <c:pt idx="1236">
                  <c:v>74518.75</c:v>
                </c:pt>
                <c:pt idx="1237">
                  <c:v>74775</c:v>
                </c:pt>
                <c:pt idx="1238">
                  <c:v>74906.25</c:v>
                </c:pt>
                <c:pt idx="1239">
                  <c:v>75043.75</c:v>
                </c:pt>
                <c:pt idx="1240">
                  <c:v>75106.25</c:v>
                </c:pt>
                <c:pt idx="1241">
                  <c:v>75075</c:v>
                </c:pt>
                <c:pt idx="1242">
                  <c:v>75075</c:v>
                </c:pt>
                <c:pt idx="1243">
                  <c:v>75075</c:v>
                </c:pt>
                <c:pt idx="1244">
                  <c:v>74731.25</c:v>
                </c:pt>
                <c:pt idx="1245">
                  <c:v>74118.75</c:v>
                </c:pt>
                <c:pt idx="1246">
                  <c:v>73806.25</c:v>
                </c:pt>
                <c:pt idx="1247">
                  <c:v>74218.75</c:v>
                </c:pt>
                <c:pt idx="1248">
                  <c:v>74868.75</c:v>
                </c:pt>
                <c:pt idx="1249">
                  <c:v>74812.5</c:v>
                </c:pt>
                <c:pt idx="1250">
                  <c:v>75387.5</c:v>
                </c:pt>
                <c:pt idx="1251">
                  <c:v>75500</c:v>
                </c:pt>
                <c:pt idx="1252">
                  <c:v>75500</c:v>
                </c:pt>
                <c:pt idx="1253">
                  <c:v>75675</c:v>
                </c:pt>
                <c:pt idx="1254">
                  <c:v>76556.25</c:v>
                </c:pt>
                <c:pt idx="1255">
                  <c:v>76793.75</c:v>
                </c:pt>
                <c:pt idx="1256">
                  <c:v>77018.75</c:v>
                </c:pt>
                <c:pt idx="1257">
                  <c:v>76793.75</c:v>
                </c:pt>
                <c:pt idx="1258">
                  <c:v>76793.75</c:v>
                </c:pt>
                <c:pt idx="1259">
                  <c:v>76700</c:v>
                </c:pt>
                <c:pt idx="1260">
                  <c:v>77000</c:v>
                </c:pt>
                <c:pt idx="1261">
                  <c:v>76475</c:v>
                </c:pt>
                <c:pt idx="1262">
                  <c:v>77106.25</c:v>
                </c:pt>
                <c:pt idx="1263">
                  <c:v>76575</c:v>
                </c:pt>
                <c:pt idx="1264">
                  <c:v>76143.75</c:v>
                </c:pt>
                <c:pt idx="1265">
                  <c:v>76362.5</c:v>
                </c:pt>
                <c:pt idx="1266">
                  <c:v>76693.75</c:v>
                </c:pt>
                <c:pt idx="1267">
                  <c:v>77737.5</c:v>
                </c:pt>
                <c:pt idx="1268">
                  <c:v>77975</c:v>
                </c:pt>
                <c:pt idx="1269">
                  <c:v>77250</c:v>
                </c:pt>
                <c:pt idx="1270">
                  <c:v>77075</c:v>
                </c:pt>
                <c:pt idx="1271">
                  <c:v>76762.5</c:v>
                </c:pt>
                <c:pt idx="1272">
                  <c:v>74981.25</c:v>
                </c:pt>
                <c:pt idx="1273">
                  <c:v>75518.75</c:v>
                </c:pt>
                <c:pt idx="1274">
                  <c:v>73650</c:v>
                </c:pt>
                <c:pt idx="1275">
                  <c:v>73868.75</c:v>
                </c:pt>
                <c:pt idx="1276">
                  <c:v>73868.75</c:v>
                </c:pt>
                <c:pt idx="1277">
                  <c:v>74193.75</c:v>
                </c:pt>
                <c:pt idx="1278">
                  <c:v>73493.75</c:v>
                </c:pt>
                <c:pt idx="1279">
                  <c:v>74187.5</c:v>
                </c:pt>
                <c:pt idx="1280">
                  <c:v>75118.75</c:v>
                </c:pt>
                <c:pt idx="1281">
                  <c:v>75112.5</c:v>
                </c:pt>
                <c:pt idx="1282">
                  <c:v>75112.5</c:v>
                </c:pt>
                <c:pt idx="1283">
                  <c:v>73531.25</c:v>
                </c:pt>
                <c:pt idx="1284">
                  <c:v>73331.25</c:v>
                </c:pt>
                <c:pt idx="1285">
                  <c:v>74343.75</c:v>
                </c:pt>
                <c:pt idx="1286">
                  <c:v>75225</c:v>
                </c:pt>
                <c:pt idx="1287">
                  <c:v>73350</c:v>
                </c:pt>
                <c:pt idx="1288">
                  <c:v>73268.75</c:v>
                </c:pt>
                <c:pt idx="1289">
                  <c:v>73868.75</c:v>
                </c:pt>
                <c:pt idx="1290">
                  <c:v>75243.75</c:v>
                </c:pt>
                <c:pt idx="1291">
                  <c:v>75575</c:v>
                </c:pt>
                <c:pt idx="1292">
                  <c:v>75487.5</c:v>
                </c:pt>
                <c:pt idx="1293">
                  <c:v>75493.75</c:v>
                </c:pt>
                <c:pt idx="1294">
                  <c:v>75387.5</c:v>
                </c:pt>
                <c:pt idx="1295">
                  <c:v>75606.25</c:v>
                </c:pt>
                <c:pt idx="1296">
                  <c:v>75056.25</c:v>
                </c:pt>
                <c:pt idx="1297">
                  <c:v>75156.25</c:v>
                </c:pt>
                <c:pt idx="1298">
                  <c:v>75581.25</c:v>
                </c:pt>
                <c:pt idx="1299">
                  <c:v>75468.75</c:v>
                </c:pt>
                <c:pt idx="1300">
                  <c:v>75593.75</c:v>
                </c:pt>
                <c:pt idx="1301">
                  <c:v>75718.75</c:v>
                </c:pt>
                <c:pt idx="1302">
                  <c:v>75031.25</c:v>
                </c:pt>
                <c:pt idx="1303">
                  <c:v>74768.75</c:v>
                </c:pt>
                <c:pt idx="1304">
                  <c:v>75643.75</c:v>
                </c:pt>
                <c:pt idx="1305">
                  <c:v>75181.25</c:v>
                </c:pt>
                <c:pt idx="1306">
                  <c:v>75137.5</c:v>
                </c:pt>
                <c:pt idx="1307">
                  <c:v>74881.25</c:v>
                </c:pt>
                <c:pt idx="1308">
                  <c:v>74518.75</c:v>
                </c:pt>
                <c:pt idx="1309">
                  <c:v>75393.75</c:v>
                </c:pt>
                <c:pt idx="1310">
                  <c:v>76925</c:v>
                </c:pt>
                <c:pt idx="1311">
                  <c:v>76618.75</c:v>
                </c:pt>
                <c:pt idx="1312">
                  <c:v>76481.25</c:v>
                </c:pt>
                <c:pt idx="1313">
                  <c:v>76662.5</c:v>
                </c:pt>
                <c:pt idx="1314">
                  <c:v>77025</c:v>
                </c:pt>
                <c:pt idx="1315">
                  <c:v>77300</c:v>
                </c:pt>
                <c:pt idx="1316">
                  <c:v>77206.25</c:v>
                </c:pt>
                <c:pt idx="1317">
                  <c:v>77143.75</c:v>
                </c:pt>
                <c:pt idx="1318">
                  <c:v>77012.5</c:v>
                </c:pt>
                <c:pt idx="1319">
                  <c:v>77762.5</c:v>
                </c:pt>
                <c:pt idx="1320">
                  <c:v>79006.25</c:v>
                </c:pt>
                <c:pt idx="1321">
                  <c:v>79412.5</c:v>
                </c:pt>
                <c:pt idx="1322">
                  <c:v>78631.25</c:v>
                </c:pt>
                <c:pt idx="1323">
                  <c:v>78212.5</c:v>
                </c:pt>
                <c:pt idx="1324">
                  <c:v>78243.75</c:v>
                </c:pt>
                <c:pt idx="1325">
                  <c:v>79793.75</c:v>
                </c:pt>
                <c:pt idx="1326">
                  <c:v>80318.75</c:v>
                </c:pt>
                <c:pt idx="1327">
                  <c:v>79443.75</c:v>
                </c:pt>
                <c:pt idx="1328">
                  <c:v>80050</c:v>
                </c:pt>
                <c:pt idx="1329">
                  <c:v>80687.5</c:v>
                </c:pt>
                <c:pt idx="1330">
                  <c:v>80687.5</c:v>
                </c:pt>
                <c:pt idx="1331">
                  <c:v>80793.75</c:v>
                </c:pt>
                <c:pt idx="1332">
                  <c:v>80818.75</c:v>
                </c:pt>
                <c:pt idx="1333">
                  <c:v>81331.25</c:v>
                </c:pt>
                <c:pt idx="1334">
                  <c:v>80262.5</c:v>
                </c:pt>
                <c:pt idx="1335">
                  <c:v>81487.5</c:v>
                </c:pt>
                <c:pt idx="1336">
                  <c:v>81487.5</c:v>
                </c:pt>
                <c:pt idx="1337">
                  <c:v>81343.75</c:v>
                </c:pt>
                <c:pt idx="1338">
                  <c:v>80600</c:v>
                </c:pt>
                <c:pt idx="1339">
                  <c:v>82631.25</c:v>
                </c:pt>
                <c:pt idx="1340">
                  <c:v>83243.75</c:v>
                </c:pt>
                <c:pt idx="1341">
                  <c:v>83387.5</c:v>
                </c:pt>
                <c:pt idx="1342">
                  <c:v>83381.25</c:v>
                </c:pt>
                <c:pt idx="1343">
                  <c:v>82593.75</c:v>
                </c:pt>
                <c:pt idx="1344">
                  <c:v>83587.5</c:v>
                </c:pt>
                <c:pt idx="1345">
                  <c:v>84531.25</c:v>
                </c:pt>
                <c:pt idx="1346">
                  <c:v>86193.75</c:v>
                </c:pt>
                <c:pt idx="1347">
                  <c:v>87306.25</c:v>
                </c:pt>
                <c:pt idx="1348">
                  <c:v>87325</c:v>
                </c:pt>
                <c:pt idx="1349">
                  <c:v>87331.25</c:v>
                </c:pt>
                <c:pt idx="1350">
                  <c:v>87212.5</c:v>
                </c:pt>
                <c:pt idx="1351">
                  <c:v>86950</c:v>
                </c:pt>
                <c:pt idx="1352">
                  <c:v>87487.5</c:v>
                </c:pt>
                <c:pt idx="1353">
                  <c:v>87850</c:v>
                </c:pt>
                <c:pt idx="1354">
                  <c:v>87593.75</c:v>
                </c:pt>
                <c:pt idx="1355">
                  <c:v>87981.25</c:v>
                </c:pt>
                <c:pt idx="1356">
                  <c:v>90262.5</c:v>
                </c:pt>
                <c:pt idx="1357">
                  <c:v>90306.25</c:v>
                </c:pt>
                <c:pt idx="1358">
                  <c:v>89131.25</c:v>
                </c:pt>
                <c:pt idx="1359">
                  <c:v>89181.25</c:v>
                </c:pt>
                <c:pt idx="1360">
                  <c:v>89181.25</c:v>
                </c:pt>
                <c:pt idx="1361">
                  <c:v>89725</c:v>
                </c:pt>
                <c:pt idx="1362">
                  <c:v>89200</c:v>
                </c:pt>
                <c:pt idx="1363">
                  <c:v>88625</c:v>
                </c:pt>
                <c:pt idx="1364">
                  <c:v>88562.5</c:v>
                </c:pt>
                <c:pt idx="1365">
                  <c:v>88412.5</c:v>
                </c:pt>
                <c:pt idx="1366">
                  <c:v>88662.5</c:v>
                </c:pt>
                <c:pt idx="1367">
                  <c:v>88156.25</c:v>
                </c:pt>
                <c:pt idx="1368">
                  <c:v>88337.5</c:v>
                </c:pt>
                <c:pt idx="1369">
                  <c:v>88243.75</c:v>
                </c:pt>
                <c:pt idx="1370">
                  <c:v>88068.75</c:v>
                </c:pt>
                <c:pt idx="1371">
                  <c:v>88143.75</c:v>
                </c:pt>
                <c:pt idx="1372">
                  <c:v>88018.75</c:v>
                </c:pt>
                <c:pt idx="1373">
                  <c:v>87168.75</c:v>
                </c:pt>
                <c:pt idx="1374">
                  <c:v>87587.5</c:v>
                </c:pt>
                <c:pt idx="1375">
                  <c:v>88075</c:v>
                </c:pt>
                <c:pt idx="1376">
                  <c:v>87618.75</c:v>
                </c:pt>
                <c:pt idx="1377">
                  <c:v>88056.25</c:v>
                </c:pt>
                <c:pt idx="1378">
                  <c:v>87937.5</c:v>
                </c:pt>
                <c:pt idx="1379">
                  <c:v>88487.5</c:v>
                </c:pt>
                <c:pt idx="1380">
                  <c:v>88912.5</c:v>
                </c:pt>
                <c:pt idx="1381">
                  <c:v>90375</c:v>
                </c:pt>
                <c:pt idx="1382">
                  <c:v>89787.5</c:v>
                </c:pt>
                <c:pt idx="1383">
                  <c:v>90187.5</c:v>
                </c:pt>
                <c:pt idx="1384">
                  <c:v>90187.5</c:v>
                </c:pt>
                <c:pt idx="1385">
                  <c:v>90381.25</c:v>
                </c:pt>
                <c:pt idx="1386">
                  <c:v>91081.25</c:v>
                </c:pt>
                <c:pt idx="1387">
                  <c:v>92068.75</c:v>
                </c:pt>
                <c:pt idx="1388">
                  <c:v>91381.25</c:v>
                </c:pt>
                <c:pt idx="1389">
                  <c:v>90768.75</c:v>
                </c:pt>
                <c:pt idx="1390">
                  <c:v>90731.25</c:v>
                </c:pt>
                <c:pt idx="1391">
                  <c:v>90887.5</c:v>
                </c:pt>
                <c:pt idx="1392">
                  <c:v>89768.75</c:v>
                </c:pt>
                <c:pt idx="1393">
                  <c:v>89937.5</c:v>
                </c:pt>
                <c:pt idx="1394">
                  <c:v>90087.5</c:v>
                </c:pt>
                <c:pt idx="1395">
                  <c:v>90056.25</c:v>
                </c:pt>
                <c:pt idx="1396">
                  <c:v>90550</c:v>
                </c:pt>
                <c:pt idx="1397">
                  <c:v>91475</c:v>
                </c:pt>
                <c:pt idx="1398">
                  <c:v>90800</c:v>
                </c:pt>
                <c:pt idx="1399">
                  <c:v>91025</c:v>
                </c:pt>
                <c:pt idx="1400">
                  <c:v>90812.5</c:v>
                </c:pt>
                <c:pt idx="1401">
                  <c:v>92418.75</c:v>
                </c:pt>
                <c:pt idx="1402">
                  <c:v>92375</c:v>
                </c:pt>
                <c:pt idx="1403">
                  <c:v>92893.75</c:v>
                </c:pt>
                <c:pt idx="1404">
                  <c:v>92143.75</c:v>
                </c:pt>
                <c:pt idx="1405">
                  <c:v>92143.75</c:v>
                </c:pt>
                <c:pt idx="1406">
                  <c:v>92143.75</c:v>
                </c:pt>
                <c:pt idx="1407">
                  <c:v>92381.25</c:v>
                </c:pt>
                <c:pt idx="1408">
                  <c:v>91606.25</c:v>
                </c:pt>
                <c:pt idx="1409">
                  <c:v>91937.5</c:v>
                </c:pt>
                <c:pt idx="1410">
                  <c:v>92300</c:v>
                </c:pt>
                <c:pt idx="1411">
                  <c:v>93762.5</c:v>
                </c:pt>
                <c:pt idx="1412">
                  <c:v>93762.5</c:v>
                </c:pt>
                <c:pt idx="1413">
                  <c:v>93150</c:v>
                </c:pt>
                <c:pt idx="1414">
                  <c:v>93075</c:v>
                </c:pt>
                <c:pt idx="1415">
                  <c:v>92487.5</c:v>
                </c:pt>
                <c:pt idx="1416">
                  <c:v>92581.25</c:v>
                </c:pt>
                <c:pt idx="1417">
                  <c:v>92731.25</c:v>
                </c:pt>
                <c:pt idx="1418">
                  <c:v>92731.25</c:v>
                </c:pt>
                <c:pt idx="1419">
                  <c:v>93518.75</c:v>
                </c:pt>
                <c:pt idx="1420">
                  <c:v>92881.25</c:v>
                </c:pt>
                <c:pt idx="1421">
                  <c:v>93350</c:v>
                </c:pt>
                <c:pt idx="1422">
                  <c:v>94443.75</c:v>
                </c:pt>
                <c:pt idx="1423">
                  <c:v>94975</c:v>
                </c:pt>
                <c:pt idx="1424">
                  <c:v>94787.5</c:v>
                </c:pt>
                <c:pt idx="1425">
                  <c:v>94081.25</c:v>
                </c:pt>
                <c:pt idx="1426">
                  <c:v>94306.25</c:v>
                </c:pt>
                <c:pt idx="1427">
                  <c:v>94662.5</c:v>
                </c:pt>
                <c:pt idx="1428">
                  <c:v>94587.5</c:v>
                </c:pt>
                <c:pt idx="1429">
                  <c:v>94575</c:v>
                </c:pt>
                <c:pt idx="1430">
                  <c:v>94537.5</c:v>
                </c:pt>
                <c:pt idx="1431">
                  <c:v>94637.5</c:v>
                </c:pt>
                <c:pt idx="1432">
                  <c:v>96193.75</c:v>
                </c:pt>
                <c:pt idx="1433">
                  <c:v>96587.5</c:v>
                </c:pt>
                <c:pt idx="1434">
                  <c:v>96437.5</c:v>
                </c:pt>
                <c:pt idx="1435">
                  <c:v>95675</c:v>
                </c:pt>
                <c:pt idx="1436">
                  <c:v>95675</c:v>
                </c:pt>
                <c:pt idx="1437">
                  <c:v>95968.75</c:v>
                </c:pt>
                <c:pt idx="1438">
                  <c:v>96493.75</c:v>
                </c:pt>
                <c:pt idx="1439">
                  <c:v>94987.5</c:v>
                </c:pt>
                <c:pt idx="1440">
                  <c:v>94562.5</c:v>
                </c:pt>
                <c:pt idx="1441">
                  <c:v>94643.75</c:v>
                </c:pt>
                <c:pt idx="1442">
                  <c:v>94643.75</c:v>
                </c:pt>
                <c:pt idx="1443">
                  <c:v>94975</c:v>
                </c:pt>
                <c:pt idx="1444">
                  <c:v>94712.5</c:v>
                </c:pt>
                <c:pt idx="1445">
                  <c:v>94712.5</c:v>
                </c:pt>
                <c:pt idx="1446">
                  <c:v>94712.5</c:v>
                </c:pt>
                <c:pt idx="1447">
                  <c:v>95350</c:v>
                </c:pt>
                <c:pt idx="1448">
                  <c:v>95306.25</c:v>
                </c:pt>
                <c:pt idx="1449">
                  <c:v>94912.5</c:v>
                </c:pt>
                <c:pt idx="1450">
                  <c:v>94850</c:v>
                </c:pt>
                <c:pt idx="1451">
                  <c:v>93550</c:v>
                </c:pt>
                <c:pt idx="1452">
                  <c:v>95112.5</c:v>
                </c:pt>
                <c:pt idx="1453">
                  <c:v>95112.5</c:v>
                </c:pt>
                <c:pt idx="1454">
                  <c:v>95118.75</c:v>
                </c:pt>
                <c:pt idx="1455">
                  <c:v>95375</c:v>
                </c:pt>
                <c:pt idx="1456">
                  <c:v>96337.5</c:v>
                </c:pt>
                <c:pt idx="1457">
                  <c:v>96156.25</c:v>
                </c:pt>
                <c:pt idx="1458">
                  <c:v>96512.5</c:v>
                </c:pt>
                <c:pt idx="1459">
                  <c:v>97118.75</c:v>
                </c:pt>
                <c:pt idx="1460">
                  <c:v>96862.5</c:v>
                </c:pt>
                <c:pt idx="1461">
                  <c:v>95318.75</c:v>
                </c:pt>
                <c:pt idx="1462">
                  <c:v>95850</c:v>
                </c:pt>
                <c:pt idx="1463">
                  <c:v>97056.25</c:v>
                </c:pt>
                <c:pt idx="1464">
                  <c:v>96912.5</c:v>
                </c:pt>
                <c:pt idx="1465">
                  <c:v>96981.25</c:v>
                </c:pt>
                <c:pt idx="1466">
                  <c:v>97000</c:v>
                </c:pt>
                <c:pt idx="1467">
                  <c:v>97106.25</c:v>
                </c:pt>
                <c:pt idx="1468">
                  <c:v>97106.25</c:v>
                </c:pt>
                <c:pt idx="1469">
                  <c:v>96350</c:v>
                </c:pt>
                <c:pt idx="1470">
                  <c:v>96431.25</c:v>
                </c:pt>
                <c:pt idx="1471">
                  <c:v>96512.5</c:v>
                </c:pt>
                <c:pt idx="1472">
                  <c:v>96456.25</c:v>
                </c:pt>
                <c:pt idx="1473">
                  <c:v>97625</c:v>
                </c:pt>
                <c:pt idx="1474">
                  <c:v>98106.25</c:v>
                </c:pt>
                <c:pt idx="1475">
                  <c:v>99600</c:v>
                </c:pt>
                <c:pt idx="1476">
                  <c:v>99568.75</c:v>
                </c:pt>
                <c:pt idx="1477">
                  <c:v>99331.25</c:v>
                </c:pt>
                <c:pt idx="1478">
                  <c:v>99500</c:v>
                </c:pt>
                <c:pt idx="1479">
                  <c:v>99031.25</c:v>
                </c:pt>
                <c:pt idx="1480">
                  <c:v>100712.5</c:v>
                </c:pt>
                <c:pt idx="1481">
                  <c:v>101256.25</c:v>
                </c:pt>
                <c:pt idx="1482">
                  <c:v>100306.25</c:v>
                </c:pt>
                <c:pt idx="1483">
                  <c:v>100206.25</c:v>
                </c:pt>
                <c:pt idx="1484">
                  <c:v>102356.25</c:v>
                </c:pt>
                <c:pt idx="1485">
                  <c:v>101893.75</c:v>
                </c:pt>
                <c:pt idx="1486">
                  <c:v>101156.25</c:v>
                </c:pt>
                <c:pt idx="1487">
                  <c:v>101275</c:v>
                </c:pt>
                <c:pt idx="1488">
                  <c:v>101331.25</c:v>
                </c:pt>
                <c:pt idx="1489">
                  <c:v>101331.25</c:v>
                </c:pt>
                <c:pt idx="1490">
                  <c:v>101031.25</c:v>
                </c:pt>
                <c:pt idx="1491">
                  <c:v>102987.5</c:v>
                </c:pt>
                <c:pt idx="1492">
                  <c:v>103343.75</c:v>
                </c:pt>
                <c:pt idx="1493">
                  <c:v>104981.25</c:v>
                </c:pt>
                <c:pt idx="1494">
                  <c:v>105418.75</c:v>
                </c:pt>
                <c:pt idx="1495">
                  <c:v>105418.75</c:v>
                </c:pt>
                <c:pt idx="1496">
                  <c:v>105243.75</c:v>
                </c:pt>
                <c:pt idx="1497">
                  <c:v>107156.25</c:v>
                </c:pt>
                <c:pt idx="1498">
                  <c:v>107325</c:v>
                </c:pt>
                <c:pt idx="1499">
                  <c:v>106506.25</c:v>
                </c:pt>
                <c:pt idx="1500">
                  <c:v>107762.5</c:v>
                </c:pt>
                <c:pt idx="1501">
                  <c:v>107762.5</c:v>
                </c:pt>
                <c:pt idx="1502">
                  <c:v>108325</c:v>
                </c:pt>
                <c:pt idx="1503">
                  <c:v>108412.5</c:v>
                </c:pt>
                <c:pt idx="1504">
                  <c:v>108412.5</c:v>
                </c:pt>
                <c:pt idx="1505">
                  <c:v>109112.5</c:v>
                </c:pt>
                <c:pt idx="1506">
                  <c:v>108962.5</c:v>
                </c:pt>
                <c:pt idx="1507">
                  <c:v>108762.5</c:v>
                </c:pt>
                <c:pt idx="1508">
                  <c:v>108887.5</c:v>
                </c:pt>
                <c:pt idx="1509">
                  <c:v>109118.75</c:v>
                </c:pt>
                <c:pt idx="1510">
                  <c:v>110818.75</c:v>
                </c:pt>
                <c:pt idx="1511">
                  <c:v>110137.5</c:v>
                </c:pt>
                <c:pt idx="1512">
                  <c:v>110118.75</c:v>
                </c:pt>
                <c:pt idx="1513">
                  <c:v>110118.75</c:v>
                </c:pt>
                <c:pt idx="1514">
                  <c:v>109500</c:v>
                </c:pt>
                <c:pt idx="1515">
                  <c:v>109693.75</c:v>
                </c:pt>
                <c:pt idx="1516">
                  <c:v>108762.5</c:v>
                </c:pt>
                <c:pt idx="1517">
                  <c:v>110418.75</c:v>
                </c:pt>
                <c:pt idx="1518">
                  <c:v>110456.25</c:v>
                </c:pt>
                <c:pt idx="1519">
                  <c:v>110368.75</c:v>
                </c:pt>
                <c:pt idx="1520">
                  <c:v>110606.25</c:v>
                </c:pt>
                <c:pt idx="1521">
                  <c:v>110525</c:v>
                </c:pt>
                <c:pt idx="1522">
                  <c:v>110987.5</c:v>
                </c:pt>
                <c:pt idx="1523">
                  <c:v>110231.25</c:v>
                </c:pt>
                <c:pt idx="1524">
                  <c:v>108250</c:v>
                </c:pt>
                <c:pt idx="1525">
                  <c:v>107931.25</c:v>
                </c:pt>
                <c:pt idx="1526">
                  <c:v>108231.25</c:v>
                </c:pt>
                <c:pt idx="1527">
                  <c:v>108750</c:v>
                </c:pt>
                <c:pt idx="1528">
                  <c:v>110093.75</c:v>
                </c:pt>
                <c:pt idx="1529">
                  <c:v>109831.25</c:v>
                </c:pt>
                <c:pt idx="1530">
                  <c:v>108975</c:v>
                </c:pt>
                <c:pt idx="1531">
                  <c:v>108987.5</c:v>
                </c:pt>
                <c:pt idx="1532">
                  <c:v>109206.25</c:v>
                </c:pt>
                <c:pt idx="1533">
                  <c:v>109525</c:v>
                </c:pt>
                <c:pt idx="1534">
                  <c:v>110531.25</c:v>
                </c:pt>
                <c:pt idx="1535">
                  <c:v>110181.25</c:v>
                </c:pt>
                <c:pt idx="1536">
                  <c:v>110581.25</c:v>
                </c:pt>
                <c:pt idx="1537">
                  <c:v>110581.25</c:v>
                </c:pt>
                <c:pt idx="1538">
                  <c:v>111456.25</c:v>
                </c:pt>
                <c:pt idx="1539">
                  <c:v>111750</c:v>
                </c:pt>
                <c:pt idx="1540">
                  <c:v>111806.25</c:v>
                </c:pt>
                <c:pt idx="1541">
                  <c:v>112200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2-41FB-B59E-2AA8E1690B02}"/>
            </c:ext>
          </c:extLst>
        </c:ser>
        <c:ser>
          <c:idx val="1"/>
          <c:order val="1"/>
          <c:tx>
            <c:strRef>
              <c:f>Portfolio!$H$24</c:f>
              <c:strCache>
                <c:ptCount val="1"/>
                <c:pt idx="0">
                  <c:v>@GCQ24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Portfolio!$F$25:$F$1566</c:f>
              <c:numCache>
                <c:formatCode>General</c:formatCode>
                <c:ptCount val="1542"/>
                <c:pt idx="0">
                  <c:v>1190709</c:v>
                </c:pt>
                <c:pt idx="1">
                  <c:v>1190710</c:v>
                </c:pt>
                <c:pt idx="2">
                  <c:v>1190711</c:v>
                </c:pt>
                <c:pt idx="3">
                  <c:v>1190712</c:v>
                </c:pt>
                <c:pt idx="4">
                  <c:v>1190714</c:v>
                </c:pt>
                <c:pt idx="5">
                  <c:v>1190715</c:v>
                </c:pt>
                <c:pt idx="6">
                  <c:v>1190716</c:v>
                </c:pt>
                <c:pt idx="7">
                  <c:v>1190717</c:v>
                </c:pt>
                <c:pt idx="8">
                  <c:v>1190718</c:v>
                </c:pt>
                <c:pt idx="9">
                  <c:v>1190719</c:v>
                </c:pt>
                <c:pt idx="10">
                  <c:v>1190721</c:v>
                </c:pt>
                <c:pt idx="11">
                  <c:v>1190722</c:v>
                </c:pt>
                <c:pt idx="12">
                  <c:v>1190723</c:v>
                </c:pt>
                <c:pt idx="13">
                  <c:v>1190724</c:v>
                </c:pt>
                <c:pt idx="14">
                  <c:v>1190725</c:v>
                </c:pt>
                <c:pt idx="15">
                  <c:v>1190726</c:v>
                </c:pt>
                <c:pt idx="16">
                  <c:v>1190728</c:v>
                </c:pt>
                <c:pt idx="17">
                  <c:v>1190729</c:v>
                </c:pt>
                <c:pt idx="18">
                  <c:v>1190730</c:v>
                </c:pt>
                <c:pt idx="19">
                  <c:v>1190731</c:v>
                </c:pt>
                <c:pt idx="20">
                  <c:v>1190801</c:v>
                </c:pt>
                <c:pt idx="21">
                  <c:v>1190802</c:v>
                </c:pt>
                <c:pt idx="22">
                  <c:v>1190804</c:v>
                </c:pt>
                <c:pt idx="23">
                  <c:v>1190805</c:v>
                </c:pt>
                <c:pt idx="24">
                  <c:v>1190806</c:v>
                </c:pt>
                <c:pt idx="25">
                  <c:v>1190807</c:v>
                </c:pt>
                <c:pt idx="26">
                  <c:v>1190808</c:v>
                </c:pt>
                <c:pt idx="27">
                  <c:v>1190809</c:v>
                </c:pt>
                <c:pt idx="28">
                  <c:v>1190811</c:v>
                </c:pt>
                <c:pt idx="29">
                  <c:v>1190812</c:v>
                </c:pt>
                <c:pt idx="30">
                  <c:v>1190813</c:v>
                </c:pt>
                <c:pt idx="31">
                  <c:v>1190814</c:v>
                </c:pt>
                <c:pt idx="32">
                  <c:v>1190815</c:v>
                </c:pt>
                <c:pt idx="33">
                  <c:v>1190816</c:v>
                </c:pt>
                <c:pt idx="34">
                  <c:v>1190818</c:v>
                </c:pt>
                <c:pt idx="35">
                  <c:v>1190819</c:v>
                </c:pt>
                <c:pt idx="36">
                  <c:v>1190820</c:v>
                </c:pt>
                <c:pt idx="37">
                  <c:v>1190821</c:v>
                </c:pt>
                <c:pt idx="38">
                  <c:v>1190822</c:v>
                </c:pt>
                <c:pt idx="39">
                  <c:v>1190823</c:v>
                </c:pt>
                <c:pt idx="40">
                  <c:v>1190825</c:v>
                </c:pt>
                <c:pt idx="41">
                  <c:v>1190826</c:v>
                </c:pt>
                <c:pt idx="42">
                  <c:v>1190827</c:v>
                </c:pt>
                <c:pt idx="43">
                  <c:v>1190828</c:v>
                </c:pt>
                <c:pt idx="44">
                  <c:v>1190829</c:v>
                </c:pt>
                <c:pt idx="45">
                  <c:v>1190830</c:v>
                </c:pt>
                <c:pt idx="46">
                  <c:v>1190901</c:v>
                </c:pt>
                <c:pt idx="47">
                  <c:v>1190902</c:v>
                </c:pt>
                <c:pt idx="48">
                  <c:v>1190903</c:v>
                </c:pt>
                <c:pt idx="49">
                  <c:v>1190904</c:v>
                </c:pt>
                <c:pt idx="50">
                  <c:v>1190905</c:v>
                </c:pt>
                <c:pt idx="51">
                  <c:v>1190906</c:v>
                </c:pt>
                <c:pt idx="52">
                  <c:v>1190908</c:v>
                </c:pt>
                <c:pt idx="53">
                  <c:v>1190909</c:v>
                </c:pt>
                <c:pt idx="54">
                  <c:v>1190910</c:v>
                </c:pt>
                <c:pt idx="55">
                  <c:v>1190911</c:v>
                </c:pt>
                <c:pt idx="56">
                  <c:v>1190912</c:v>
                </c:pt>
                <c:pt idx="57">
                  <c:v>1190913</c:v>
                </c:pt>
                <c:pt idx="58">
                  <c:v>1190915</c:v>
                </c:pt>
                <c:pt idx="59">
                  <c:v>1190916</c:v>
                </c:pt>
                <c:pt idx="60">
                  <c:v>1190917</c:v>
                </c:pt>
                <c:pt idx="61">
                  <c:v>1190918</c:v>
                </c:pt>
                <c:pt idx="62">
                  <c:v>1190919</c:v>
                </c:pt>
                <c:pt idx="63">
                  <c:v>1190920</c:v>
                </c:pt>
                <c:pt idx="64">
                  <c:v>1190922</c:v>
                </c:pt>
                <c:pt idx="65">
                  <c:v>1190923</c:v>
                </c:pt>
                <c:pt idx="66">
                  <c:v>1190924</c:v>
                </c:pt>
                <c:pt idx="67">
                  <c:v>1190925</c:v>
                </c:pt>
                <c:pt idx="68">
                  <c:v>1190926</c:v>
                </c:pt>
                <c:pt idx="69">
                  <c:v>1190927</c:v>
                </c:pt>
                <c:pt idx="70">
                  <c:v>1190929</c:v>
                </c:pt>
                <c:pt idx="71">
                  <c:v>1190930</c:v>
                </c:pt>
                <c:pt idx="72">
                  <c:v>1191001</c:v>
                </c:pt>
                <c:pt idx="73">
                  <c:v>1191002</c:v>
                </c:pt>
                <c:pt idx="74">
                  <c:v>1191003</c:v>
                </c:pt>
                <c:pt idx="75">
                  <c:v>1191004</c:v>
                </c:pt>
                <c:pt idx="76">
                  <c:v>1191006</c:v>
                </c:pt>
                <c:pt idx="77">
                  <c:v>1191007</c:v>
                </c:pt>
                <c:pt idx="78">
                  <c:v>1191008</c:v>
                </c:pt>
                <c:pt idx="79">
                  <c:v>1191009</c:v>
                </c:pt>
                <c:pt idx="80">
                  <c:v>1191010</c:v>
                </c:pt>
                <c:pt idx="81">
                  <c:v>1191011</c:v>
                </c:pt>
                <c:pt idx="82">
                  <c:v>1191013</c:v>
                </c:pt>
                <c:pt idx="83">
                  <c:v>1191014</c:v>
                </c:pt>
                <c:pt idx="84">
                  <c:v>1191015</c:v>
                </c:pt>
                <c:pt idx="85">
                  <c:v>1191016</c:v>
                </c:pt>
                <c:pt idx="86">
                  <c:v>1191017</c:v>
                </c:pt>
                <c:pt idx="87">
                  <c:v>1191018</c:v>
                </c:pt>
                <c:pt idx="88">
                  <c:v>1191020</c:v>
                </c:pt>
                <c:pt idx="89">
                  <c:v>1191021</c:v>
                </c:pt>
                <c:pt idx="90">
                  <c:v>1191022</c:v>
                </c:pt>
                <c:pt idx="91">
                  <c:v>1191023</c:v>
                </c:pt>
                <c:pt idx="92">
                  <c:v>1191024</c:v>
                </c:pt>
                <c:pt idx="93">
                  <c:v>1191025</c:v>
                </c:pt>
                <c:pt idx="94">
                  <c:v>1191027</c:v>
                </c:pt>
                <c:pt idx="95">
                  <c:v>1191028</c:v>
                </c:pt>
                <c:pt idx="96">
                  <c:v>1191029</c:v>
                </c:pt>
                <c:pt idx="97">
                  <c:v>1191030</c:v>
                </c:pt>
                <c:pt idx="98">
                  <c:v>1191031</c:v>
                </c:pt>
                <c:pt idx="99">
                  <c:v>1191101</c:v>
                </c:pt>
                <c:pt idx="100">
                  <c:v>1191103</c:v>
                </c:pt>
                <c:pt idx="101">
                  <c:v>1191104</c:v>
                </c:pt>
                <c:pt idx="102">
                  <c:v>1191105</c:v>
                </c:pt>
                <c:pt idx="103">
                  <c:v>1191106</c:v>
                </c:pt>
                <c:pt idx="104">
                  <c:v>1191107</c:v>
                </c:pt>
                <c:pt idx="105">
                  <c:v>1191108</c:v>
                </c:pt>
                <c:pt idx="106">
                  <c:v>1191110</c:v>
                </c:pt>
                <c:pt idx="107">
                  <c:v>1191111</c:v>
                </c:pt>
                <c:pt idx="108">
                  <c:v>1191112</c:v>
                </c:pt>
                <c:pt idx="109">
                  <c:v>1191113</c:v>
                </c:pt>
                <c:pt idx="110">
                  <c:v>1191114</c:v>
                </c:pt>
                <c:pt idx="111">
                  <c:v>1191115</c:v>
                </c:pt>
                <c:pt idx="112">
                  <c:v>1191117</c:v>
                </c:pt>
                <c:pt idx="113">
                  <c:v>1191118</c:v>
                </c:pt>
                <c:pt idx="114">
                  <c:v>1191119</c:v>
                </c:pt>
                <c:pt idx="115">
                  <c:v>1191120</c:v>
                </c:pt>
                <c:pt idx="116">
                  <c:v>1191121</c:v>
                </c:pt>
                <c:pt idx="117">
                  <c:v>1191122</c:v>
                </c:pt>
                <c:pt idx="118">
                  <c:v>1191124</c:v>
                </c:pt>
                <c:pt idx="119">
                  <c:v>1191125</c:v>
                </c:pt>
                <c:pt idx="120">
                  <c:v>1191126</c:v>
                </c:pt>
                <c:pt idx="121">
                  <c:v>1191127</c:v>
                </c:pt>
                <c:pt idx="122">
                  <c:v>1191128</c:v>
                </c:pt>
                <c:pt idx="123">
                  <c:v>1191129</c:v>
                </c:pt>
                <c:pt idx="124">
                  <c:v>1191201</c:v>
                </c:pt>
                <c:pt idx="125">
                  <c:v>1191202</c:v>
                </c:pt>
                <c:pt idx="126">
                  <c:v>1191203</c:v>
                </c:pt>
                <c:pt idx="127">
                  <c:v>1191204</c:v>
                </c:pt>
                <c:pt idx="128">
                  <c:v>1191205</c:v>
                </c:pt>
                <c:pt idx="129">
                  <c:v>1191206</c:v>
                </c:pt>
                <c:pt idx="130">
                  <c:v>1191208</c:v>
                </c:pt>
                <c:pt idx="131">
                  <c:v>1191209</c:v>
                </c:pt>
                <c:pt idx="132">
                  <c:v>1191210</c:v>
                </c:pt>
                <c:pt idx="133">
                  <c:v>1191211</c:v>
                </c:pt>
                <c:pt idx="134">
                  <c:v>1191212</c:v>
                </c:pt>
                <c:pt idx="135">
                  <c:v>1191213</c:v>
                </c:pt>
                <c:pt idx="136">
                  <c:v>1191215</c:v>
                </c:pt>
                <c:pt idx="137">
                  <c:v>1191216</c:v>
                </c:pt>
                <c:pt idx="138">
                  <c:v>1191217</c:v>
                </c:pt>
                <c:pt idx="139">
                  <c:v>1191218</c:v>
                </c:pt>
                <c:pt idx="140">
                  <c:v>1191219</c:v>
                </c:pt>
                <c:pt idx="141">
                  <c:v>1191220</c:v>
                </c:pt>
                <c:pt idx="142">
                  <c:v>1191222</c:v>
                </c:pt>
                <c:pt idx="143">
                  <c:v>1191223</c:v>
                </c:pt>
                <c:pt idx="144">
                  <c:v>1191224</c:v>
                </c:pt>
                <c:pt idx="145">
                  <c:v>1191225</c:v>
                </c:pt>
                <c:pt idx="146">
                  <c:v>1191226</c:v>
                </c:pt>
                <c:pt idx="147">
                  <c:v>1191227</c:v>
                </c:pt>
                <c:pt idx="148">
                  <c:v>1191229</c:v>
                </c:pt>
                <c:pt idx="149">
                  <c:v>1191230</c:v>
                </c:pt>
                <c:pt idx="150">
                  <c:v>1191231</c:v>
                </c:pt>
                <c:pt idx="151">
                  <c:v>1200101</c:v>
                </c:pt>
                <c:pt idx="152">
                  <c:v>1200102</c:v>
                </c:pt>
                <c:pt idx="153">
                  <c:v>1200103</c:v>
                </c:pt>
                <c:pt idx="154">
                  <c:v>1200105</c:v>
                </c:pt>
                <c:pt idx="155">
                  <c:v>1200106</c:v>
                </c:pt>
                <c:pt idx="156">
                  <c:v>1200107</c:v>
                </c:pt>
                <c:pt idx="157">
                  <c:v>1200108</c:v>
                </c:pt>
                <c:pt idx="158">
                  <c:v>1200109</c:v>
                </c:pt>
                <c:pt idx="159">
                  <c:v>1200110</c:v>
                </c:pt>
                <c:pt idx="160">
                  <c:v>1200112</c:v>
                </c:pt>
                <c:pt idx="161">
                  <c:v>1200113</c:v>
                </c:pt>
                <c:pt idx="162">
                  <c:v>1200114</c:v>
                </c:pt>
                <c:pt idx="163">
                  <c:v>1200115</c:v>
                </c:pt>
                <c:pt idx="164">
                  <c:v>1200116</c:v>
                </c:pt>
                <c:pt idx="165">
                  <c:v>1200117</c:v>
                </c:pt>
                <c:pt idx="166">
                  <c:v>1200119</c:v>
                </c:pt>
                <c:pt idx="167">
                  <c:v>1200120</c:v>
                </c:pt>
                <c:pt idx="168">
                  <c:v>1200121</c:v>
                </c:pt>
                <c:pt idx="169">
                  <c:v>1200122</c:v>
                </c:pt>
                <c:pt idx="170">
                  <c:v>1200123</c:v>
                </c:pt>
                <c:pt idx="171">
                  <c:v>1200124</c:v>
                </c:pt>
                <c:pt idx="172">
                  <c:v>1200126</c:v>
                </c:pt>
                <c:pt idx="173">
                  <c:v>1200127</c:v>
                </c:pt>
                <c:pt idx="174">
                  <c:v>1200128</c:v>
                </c:pt>
                <c:pt idx="175">
                  <c:v>1200129</c:v>
                </c:pt>
                <c:pt idx="176">
                  <c:v>1200130</c:v>
                </c:pt>
                <c:pt idx="177">
                  <c:v>1200131</c:v>
                </c:pt>
                <c:pt idx="178">
                  <c:v>1200202</c:v>
                </c:pt>
                <c:pt idx="179">
                  <c:v>1200203</c:v>
                </c:pt>
                <c:pt idx="180">
                  <c:v>1200204</c:v>
                </c:pt>
                <c:pt idx="181">
                  <c:v>1200205</c:v>
                </c:pt>
                <c:pt idx="182">
                  <c:v>1200206</c:v>
                </c:pt>
                <c:pt idx="183">
                  <c:v>1200207</c:v>
                </c:pt>
                <c:pt idx="184">
                  <c:v>1200209</c:v>
                </c:pt>
                <c:pt idx="185">
                  <c:v>1200210</c:v>
                </c:pt>
                <c:pt idx="186">
                  <c:v>1200211</c:v>
                </c:pt>
                <c:pt idx="187">
                  <c:v>1200212</c:v>
                </c:pt>
                <c:pt idx="188">
                  <c:v>1200213</c:v>
                </c:pt>
                <c:pt idx="189">
                  <c:v>1200214</c:v>
                </c:pt>
                <c:pt idx="190">
                  <c:v>1200216</c:v>
                </c:pt>
                <c:pt idx="191">
                  <c:v>1200217</c:v>
                </c:pt>
                <c:pt idx="192">
                  <c:v>1200218</c:v>
                </c:pt>
                <c:pt idx="193">
                  <c:v>1200219</c:v>
                </c:pt>
                <c:pt idx="194">
                  <c:v>1200220</c:v>
                </c:pt>
                <c:pt idx="195">
                  <c:v>1200221</c:v>
                </c:pt>
                <c:pt idx="196">
                  <c:v>1200223</c:v>
                </c:pt>
                <c:pt idx="197">
                  <c:v>1200224</c:v>
                </c:pt>
                <c:pt idx="198">
                  <c:v>1200225</c:v>
                </c:pt>
                <c:pt idx="199">
                  <c:v>1200226</c:v>
                </c:pt>
                <c:pt idx="200">
                  <c:v>1200227</c:v>
                </c:pt>
                <c:pt idx="201">
                  <c:v>1200228</c:v>
                </c:pt>
                <c:pt idx="202">
                  <c:v>1200301</c:v>
                </c:pt>
                <c:pt idx="203">
                  <c:v>1200302</c:v>
                </c:pt>
                <c:pt idx="204">
                  <c:v>1200303</c:v>
                </c:pt>
                <c:pt idx="205">
                  <c:v>1200304</c:v>
                </c:pt>
                <c:pt idx="206">
                  <c:v>1200305</c:v>
                </c:pt>
                <c:pt idx="207">
                  <c:v>1200306</c:v>
                </c:pt>
                <c:pt idx="208">
                  <c:v>1200308</c:v>
                </c:pt>
                <c:pt idx="209">
                  <c:v>1200309</c:v>
                </c:pt>
                <c:pt idx="210">
                  <c:v>1200310</c:v>
                </c:pt>
                <c:pt idx="211">
                  <c:v>1200311</c:v>
                </c:pt>
                <c:pt idx="212">
                  <c:v>1200312</c:v>
                </c:pt>
                <c:pt idx="213">
                  <c:v>1200313</c:v>
                </c:pt>
                <c:pt idx="214">
                  <c:v>1200315</c:v>
                </c:pt>
                <c:pt idx="215">
                  <c:v>1200316</c:v>
                </c:pt>
                <c:pt idx="216">
                  <c:v>1200317</c:v>
                </c:pt>
                <c:pt idx="217">
                  <c:v>1200318</c:v>
                </c:pt>
                <c:pt idx="218">
                  <c:v>1200319</c:v>
                </c:pt>
                <c:pt idx="219">
                  <c:v>1200320</c:v>
                </c:pt>
                <c:pt idx="220">
                  <c:v>1200322</c:v>
                </c:pt>
                <c:pt idx="221">
                  <c:v>1200323</c:v>
                </c:pt>
                <c:pt idx="222">
                  <c:v>1200324</c:v>
                </c:pt>
                <c:pt idx="223">
                  <c:v>1200325</c:v>
                </c:pt>
                <c:pt idx="224">
                  <c:v>1200326</c:v>
                </c:pt>
                <c:pt idx="225">
                  <c:v>1200327</c:v>
                </c:pt>
                <c:pt idx="226">
                  <c:v>1200329</c:v>
                </c:pt>
                <c:pt idx="227">
                  <c:v>1200330</c:v>
                </c:pt>
                <c:pt idx="228">
                  <c:v>1200331</c:v>
                </c:pt>
                <c:pt idx="229">
                  <c:v>1200401</c:v>
                </c:pt>
                <c:pt idx="230">
                  <c:v>1200402</c:v>
                </c:pt>
                <c:pt idx="231">
                  <c:v>1200403</c:v>
                </c:pt>
                <c:pt idx="232">
                  <c:v>1200405</c:v>
                </c:pt>
                <c:pt idx="233">
                  <c:v>1200406</c:v>
                </c:pt>
                <c:pt idx="234">
                  <c:v>1200407</c:v>
                </c:pt>
                <c:pt idx="235">
                  <c:v>1200408</c:v>
                </c:pt>
                <c:pt idx="236">
                  <c:v>1200409</c:v>
                </c:pt>
                <c:pt idx="237">
                  <c:v>1200412</c:v>
                </c:pt>
                <c:pt idx="238">
                  <c:v>1200413</c:v>
                </c:pt>
                <c:pt idx="239">
                  <c:v>1200414</c:v>
                </c:pt>
                <c:pt idx="240">
                  <c:v>1200415</c:v>
                </c:pt>
                <c:pt idx="241">
                  <c:v>1200416</c:v>
                </c:pt>
                <c:pt idx="242">
                  <c:v>1200417</c:v>
                </c:pt>
                <c:pt idx="243">
                  <c:v>1200419</c:v>
                </c:pt>
                <c:pt idx="244">
                  <c:v>1200420</c:v>
                </c:pt>
                <c:pt idx="245">
                  <c:v>1200421</c:v>
                </c:pt>
                <c:pt idx="246">
                  <c:v>1200422</c:v>
                </c:pt>
                <c:pt idx="247">
                  <c:v>1200423</c:v>
                </c:pt>
                <c:pt idx="248">
                  <c:v>1200424</c:v>
                </c:pt>
                <c:pt idx="249">
                  <c:v>1200426</c:v>
                </c:pt>
                <c:pt idx="250">
                  <c:v>1200427</c:v>
                </c:pt>
                <c:pt idx="251">
                  <c:v>1200428</c:v>
                </c:pt>
                <c:pt idx="252">
                  <c:v>1200429</c:v>
                </c:pt>
                <c:pt idx="253">
                  <c:v>1200430</c:v>
                </c:pt>
                <c:pt idx="254">
                  <c:v>1200501</c:v>
                </c:pt>
                <c:pt idx="255">
                  <c:v>1200503</c:v>
                </c:pt>
                <c:pt idx="256">
                  <c:v>1200504</c:v>
                </c:pt>
                <c:pt idx="257">
                  <c:v>1200505</c:v>
                </c:pt>
                <c:pt idx="258">
                  <c:v>1200506</c:v>
                </c:pt>
                <c:pt idx="259">
                  <c:v>1200507</c:v>
                </c:pt>
                <c:pt idx="260">
                  <c:v>1200508</c:v>
                </c:pt>
                <c:pt idx="261">
                  <c:v>1200510</c:v>
                </c:pt>
                <c:pt idx="262">
                  <c:v>1200511</c:v>
                </c:pt>
                <c:pt idx="263">
                  <c:v>1200512</c:v>
                </c:pt>
                <c:pt idx="264">
                  <c:v>1200513</c:v>
                </c:pt>
                <c:pt idx="265">
                  <c:v>1200514</c:v>
                </c:pt>
                <c:pt idx="266">
                  <c:v>1200515</c:v>
                </c:pt>
                <c:pt idx="267">
                  <c:v>1200517</c:v>
                </c:pt>
                <c:pt idx="268">
                  <c:v>1200518</c:v>
                </c:pt>
                <c:pt idx="269">
                  <c:v>1200519</c:v>
                </c:pt>
                <c:pt idx="270">
                  <c:v>1200520</c:v>
                </c:pt>
                <c:pt idx="271">
                  <c:v>1200521</c:v>
                </c:pt>
                <c:pt idx="272">
                  <c:v>1200522</c:v>
                </c:pt>
                <c:pt idx="273">
                  <c:v>1200524</c:v>
                </c:pt>
                <c:pt idx="274">
                  <c:v>1200525</c:v>
                </c:pt>
                <c:pt idx="275">
                  <c:v>1200526</c:v>
                </c:pt>
                <c:pt idx="276">
                  <c:v>1200527</c:v>
                </c:pt>
                <c:pt idx="277">
                  <c:v>1200528</c:v>
                </c:pt>
                <c:pt idx="278">
                  <c:v>1200529</c:v>
                </c:pt>
                <c:pt idx="279">
                  <c:v>1200531</c:v>
                </c:pt>
                <c:pt idx="280">
                  <c:v>1200601</c:v>
                </c:pt>
                <c:pt idx="281">
                  <c:v>1200602</c:v>
                </c:pt>
                <c:pt idx="282">
                  <c:v>1200603</c:v>
                </c:pt>
                <c:pt idx="283">
                  <c:v>1200604</c:v>
                </c:pt>
                <c:pt idx="284">
                  <c:v>1200605</c:v>
                </c:pt>
                <c:pt idx="285">
                  <c:v>1200607</c:v>
                </c:pt>
                <c:pt idx="286">
                  <c:v>1200608</c:v>
                </c:pt>
                <c:pt idx="287">
                  <c:v>1200609</c:v>
                </c:pt>
                <c:pt idx="288">
                  <c:v>1200610</c:v>
                </c:pt>
                <c:pt idx="289">
                  <c:v>1200611</c:v>
                </c:pt>
                <c:pt idx="290">
                  <c:v>1200612</c:v>
                </c:pt>
                <c:pt idx="291">
                  <c:v>1200614</c:v>
                </c:pt>
                <c:pt idx="292">
                  <c:v>1200615</c:v>
                </c:pt>
                <c:pt idx="293">
                  <c:v>1200616</c:v>
                </c:pt>
                <c:pt idx="294">
                  <c:v>1200617</c:v>
                </c:pt>
                <c:pt idx="295">
                  <c:v>1200618</c:v>
                </c:pt>
                <c:pt idx="296">
                  <c:v>1200619</c:v>
                </c:pt>
                <c:pt idx="297">
                  <c:v>1200621</c:v>
                </c:pt>
                <c:pt idx="298">
                  <c:v>1200622</c:v>
                </c:pt>
                <c:pt idx="299">
                  <c:v>1200623</c:v>
                </c:pt>
                <c:pt idx="300">
                  <c:v>1200624</c:v>
                </c:pt>
                <c:pt idx="301">
                  <c:v>1200625</c:v>
                </c:pt>
                <c:pt idx="302">
                  <c:v>1200626</c:v>
                </c:pt>
                <c:pt idx="303">
                  <c:v>1200628</c:v>
                </c:pt>
                <c:pt idx="304">
                  <c:v>1200629</c:v>
                </c:pt>
                <c:pt idx="305">
                  <c:v>1200630</c:v>
                </c:pt>
                <c:pt idx="306">
                  <c:v>1200701</c:v>
                </c:pt>
                <c:pt idx="307">
                  <c:v>1200702</c:v>
                </c:pt>
                <c:pt idx="308">
                  <c:v>1200703</c:v>
                </c:pt>
                <c:pt idx="309">
                  <c:v>1200705</c:v>
                </c:pt>
                <c:pt idx="310">
                  <c:v>1200706</c:v>
                </c:pt>
                <c:pt idx="311">
                  <c:v>1200707</c:v>
                </c:pt>
                <c:pt idx="312">
                  <c:v>1200708</c:v>
                </c:pt>
                <c:pt idx="313">
                  <c:v>1200709</c:v>
                </c:pt>
                <c:pt idx="314">
                  <c:v>1200710</c:v>
                </c:pt>
                <c:pt idx="315">
                  <c:v>1200712</c:v>
                </c:pt>
                <c:pt idx="316">
                  <c:v>1200713</c:v>
                </c:pt>
                <c:pt idx="317">
                  <c:v>1200714</c:v>
                </c:pt>
                <c:pt idx="318">
                  <c:v>1200715</c:v>
                </c:pt>
                <c:pt idx="319">
                  <c:v>1200716</c:v>
                </c:pt>
                <c:pt idx="320">
                  <c:v>1200717</c:v>
                </c:pt>
                <c:pt idx="321">
                  <c:v>1200719</c:v>
                </c:pt>
                <c:pt idx="322">
                  <c:v>1200720</c:v>
                </c:pt>
                <c:pt idx="323">
                  <c:v>1200721</c:v>
                </c:pt>
                <c:pt idx="324">
                  <c:v>1200722</c:v>
                </c:pt>
                <c:pt idx="325">
                  <c:v>1200723</c:v>
                </c:pt>
                <c:pt idx="326">
                  <c:v>1200724</c:v>
                </c:pt>
                <c:pt idx="327">
                  <c:v>1200726</c:v>
                </c:pt>
                <c:pt idx="328">
                  <c:v>1200727</c:v>
                </c:pt>
                <c:pt idx="329">
                  <c:v>1200728</c:v>
                </c:pt>
                <c:pt idx="330">
                  <c:v>1200729</c:v>
                </c:pt>
                <c:pt idx="331">
                  <c:v>1200730</c:v>
                </c:pt>
                <c:pt idx="332">
                  <c:v>1200731</c:v>
                </c:pt>
                <c:pt idx="333">
                  <c:v>1200802</c:v>
                </c:pt>
                <c:pt idx="334">
                  <c:v>1200803</c:v>
                </c:pt>
                <c:pt idx="335">
                  <c:v>1200804</c:v>
                </c:pt>
                <c:pt idx="336">
                  <c:v>1200805</c:v>
                </c:pt>
                <c:pt idx="337">
                  <c:v>1200806</c:v>
                </c:pt>
                <c:pt idx="338">
                  <c:v>1200807</c:v>
                </c:pt>
                <c:pt idx="339">
                  <c:v>1200809</c:v>
                </c:pt>
                <c:pt idx="340">
                  <c:v>1200810</c:v>
                </c:pt>
                <c:pt idx="341">
                  <c:v>1200811</c:v>
                </c:pt>
                <c:pt idx="342">
                  <c:v>1200812</c:v>
                </c:pt>
                <c:pt idx="343">
                  <c:v>1200813</c:v>
                </c:pt>
                <c:pt idx="344">
                  <c:v>1200814</c:v>
                </c:pt>
                <c:pt idx="345">
                  <c:v>1200816</c:v>
                </c:pt>
                <c:pt idx="346">
                  <c:v>1200817</c:v>
                </c:pt>
                <c:pt idx="347">
                  <c:v>1200818</c:v>
                </c:pt>
                <c:pt idx="348">
                  <c:v>1200819</c:v>
                </c:pt>
                <c:pt idx="349">
                  <c:v>1200820</c:v>
                </c:pt>
                <c:pt idx="350">
                  <c:v>1200821</c:v>
                </c:pt>
                <c:pt idx="351">
                  <c:v>1200823</c:v>
                </c:pt>
                <c:pt idx="352">
                  <c:v>1200824</c:v>
                </c:pt>
                <c:pt idx="353">
                  <c:v>1200825</c:v>
                </c:pt>
                <c:pt idx="354">
                  <c:v>1200826</c:v>
                </c:pt>
                <c:pt idx="355">
                  <c:v>1200827</c:v>
                </c:pt>
                <c:pt idx="356">
                  <c:v>1200828</c:v>
                </c:pt>
                <c:pt idx="357">
                  <c:v>1200830</c:v>
                </c:pt>
                <c:pt idx="358">
                  <c:v>1200831</c:v>
                </c:pt>
                <c:pt idx="359">
                  <c:v>1200901</c:v>
                </c:pt>
                <c:pt idx="360">
                  <c:v>1200902</c:v>
                </c:pt>
                <c:pt idx="361">
                  <c:v>1200903</c:v>
                </c:pt>
                <c:pt idx="362">
                  <c:v>1200904</c:v>
                </c:pt>
                <c:pt idx="363">
                  <c:v>1200906</c:v>
                </c:pt>
                <c:pt idx="364">
                  <c:v>1200907</c:v>
                </c:pt>
                <c:pt idx="365">
                  <c:v>1200908</c:v>
                </c:pt>
                <c:pt idx="366">
                  <c:v>1200909</c:v>
                </c:pt>
                <c:pt idx="367">
                  <c:v>1200910</c:v>
                </c:pt>
                <c:pt idx="368">
                  <c:v>1200911</c:v>
                </c:pt>
                <c:pt idx="369">
                  <c:v>1200913</c:v>
                </c:pt>
                <c:pt idx="370">
                  <c:v>1200914</c:v>
                </c:pt>
                <c:pt idx="371">
                  <c:v>1200915</c:v>
                </c:pt>
                <c:pt idx="372">
                  <c:v>1200916</c:v>
                </c:pt>
                <c:pt idx="373">
                  <c:v>1200917</c:v>
                </c:pt>
                <c:pt idx="374">
                  <c:v>1200918</c:v>
                </c:pt>
                <c:pt idx="375">
                  <c:v>1200920</c:v>
                </c:pt>
                <c:pt idx="376">
                  <c:v>1200921</c:v>
                </c:pt>
                <c:pt idx="377">
                  <c:v>1200922</c:v>
                </c:pt>
                <c:pt idx="378">
                  <c:v>1200923</c:v>
                </c:pt>
                <c:pt idx="379">
                  <c:v>1200924</c:v>
                </c:pt>
                <c:pt idx="380">
                  <c:v>1200925</c:v>
                </c:pt>
                <c:pt idx="381">
                  <c:v>1200927</c:v>
                </c:pt>
                <c:pt idx="382">
                  <c:v>1200928</c:v>
                </c:pt>
                <c:pt idx="383">
                  <c:v>1200929</c:v>
                </c:pt>
                <c:pt idx="384">
                  <c:v>1200930</c:v>
                </c:pt>
                <c:pt idx="385">
                  <c:v>1201001</c:v>
                </c:pt>
                <c:pt idx="386">
                  <c:v>1201002</c:v>
                </c:pt>
                <c:pt idx="387">
                  <c:v>1201004</c:v>
                </c:pt>
                <c:pt idx="388">
                  <c:v>1201005</c:v>
                </c:pt>
                <c:pt idx="389">
                  <c:v>1201006</c:v>
                </c:pt>
                <c:pt idx="390">
                  <c:v>1201007</c:v>
                </c:pt>
                <c:pt idx="391">
                  <c:v>1201008</c:v>
                </c:pt>
                <c:pt idx="392">
                  <c:v>1201009</c:v>
                </c:pt>
                <c:pt idx="393">
                  <c:v>1201011</c:v>
                </c:pt>
                <c:pt idx="394">
                  <c:v>1201012</c:v>
                </c:pt>
                <c:pt idx="395">
                  <c:v>1201013</c:v>
                </c:pt>
                <c:pt idx="396">
                  <c:v>1201014</c:v>
                </c:pt>
                <c:pt idx="397">
                  <c:v>1201015</c:v>
                </c:pt>
                <c:pt idx="398">
                  <c:v>1201016</c:v>
                </c:pt>
                <c:pt idx="399">
                  <c:v>1201018</c:v>
                </c:pt>
                <c:pt idx="400">
                  <c:v>1201019</c:v>
                </c:pt>
                <c:pt idx="401">
                  <c:v>1201020</c:v>
                </c:pt>
                <c:pt idx="402">
                  <c:v>1201021</c:v>
                </c:pt>
                <c:pt idx="403">
                  <c:v>1201022</c:v>
                </c:pt>
                <c:pt idx="404">
                  <c:v>1201023</c:v>
                </c:pt>
                <c:pt idx="405">
                  <c:v>1201025</c:v>
                </c:pt>
                <c:pt idx="406">
                  <c:v>1201026</c:v>
                </c:pt>
                <c:pt idx="407">
                  <c:v>1201027</c:v>
                </c:pt>
                <c:pt idx="408">
                  <c:v>1201028</c:v>
                </c:pt>
                <c:pt idx="409">
                  <c:v>1201029</c:v>
                </c:pt>
                <c:pt idx="410">
                  <c:v>1201030</c:v>
                </c:pt>
                <c:pt idx="411">
                  <c:v>1201101</c:v>
                </c:pt>
                <c:pt idx="412">
                  <c:v>1201102</c:v>
                </c:pt>
                <c:pt idx="413">
                  <c:v>1201103</c:v>
                </c:pt>
                <c:pt idx="414">
                  <c:v>1201104</c:v>
                </c:pt>
                <c:pt idx="415">
                  <c:v>1201105</c:v>
                </c:pt>
                <c:pt idx="416">
                  <c:v>1201106</c:v>
                </c:pt>
                <c:pt idx="417">
                  <c:v>1201108</c:v>
                </c:pt>
                <c:pt idx="418">
                  <c:v>1201109</c:v>
                </c:pt>
                <c:pt idx="419">
                  <c:v>1201110</c:v>
                </c:pt>
                <c:pt idx="420">
                  <c:v>1201111</c:v>
                </c:pt>
                <c:pt idx="421">
                  <c:v>1201112</c:v>
                </c:pt>
                <c:pt idx="422">
                  <c:v>1201113</c:v>
                </c:pt>
                <c:pt idx="423">
                  <c:v>1201115</c:v>
                </c:pt>
                <c:pt idx="424">
                  <c:v>1201116</c:v>
                </c:pt>
                <c:pt idx="425">
                  <c:v>1201117</c:v>
                </c:pt>
                <c:pt idx="426">
                  <c:v>1201118</c:v>
                </c:pt>
                <c:pt idx="427">
                  <c:v>1201119</c:v>
                </c:pt>
                <c:pt idx="428">
                  <c:v>1201120</c:v>
                </c:pt>
                <c:pt idx="429">
                  <c:v>1201122</c:v>
                </c:pt>
                <c:pt idx="430">
                  <c:v>1201123</c:v>
                </c:pt>
                <c:pt idx="431">
                  <c:v>1201124</c:v>
                </c:pt>
                <c:pt idx="432">
                  <c:v>1201125</c:v>
                </c:pt>
                <c:pt idx="433">
                  <c:v>1201126</c:v>
                </c:pt>
                <c:pt idx="434">
                  <c:v>1201127</c:v>
                </c:pt>
                <c:pt idx="435">
                  <c:v>1201129</c:v>
                </c:pt>
                <c:pt idx="436">
                  <c:v>1201130</c:v>
                </c:pt>
                <c:pt idx="437">
                  <c:v>1201201</c:v>
                </c:pt>
                <c:pt idx="438">
                  <c:v>1201202</c:v>
                </c:pt>
                <c:pt idx="439">
                  <c:v>1201203</c:v>
                </c:pt>
                <c:pt idx="440">
                  <c:v>1201204</c:v>
                </c:pt>
                <c:pt idx="441">
                  <c:v>1201206</c:v>
                </c:pt>
                <c:pt idx="442">
                  <c:v>1201207</c:v>
                </c:pt>
                <c:pt idx="443">
                  <c:v>1201208</c:v>
                </c:pt>
                <c:pt idx="444">
                  <c:v>1201209</c:v>
                </c:pt>
                <c:pt idx="445">
                  <c:v>1201210</c:v>
                </c:pt>
                <c:pt idx="446">
                  <c:v>1201211</c:v>
                </c:pt>
                <c:pt idx="447">
                  <c:v>1201213</c:v>
                </c:pt>
                <c:pt idx="448">
                  <c:v>1201214</c:v>
                </c:pt>
                <c:pt idx="449">
                  <c:v>1201215</c:v>
                </c:pt>
                <c:pt idx="450">
                  <c:v>1201216</c:v>
                </c:pt>
                <c:pt idx="451">
                  <c:v>1201217</c:v>
                </c:pt>
                <c:pt idx="452">
                  <c:v>1201218</c:v>
                </c:pt>
                <c:pt idx="453">
                  <c:v>1201220</c:v>
                </c:pt>
                <c:pt idx="454">
                  <c:v>1201221</c:v>
                </c:pt>
                <c:pt idx="455">
                  <c:v>1201222</c:v>
                </c:pt>
                <c:pt idx="456">
                  <c:v>1201223</c:v>
                </c:pt>
                <c:pt idx="457">
                  <c:v>1201224</c:v>
                </c:pt>
                <c:pt idx="458">
                  <c:v>1201227</c:v>
                </c:pt>
                <c:pt idx="459">
                  <c:v>1201228</c:v>
                </c:pt>
                <c:pt idx="460">
                  <c:v>1201229</c:v>
                </c:pt>
                <c:pt idx="461">
                  <c:v>1201230</c:v>
                </c:pt>
                <c:pt idx="462">
                  <c:v>1201231</c:v>
                </c:pt>
                <c:pt idx="463">
                  <c:v>1210103</c:v>
                </c:pt>
                <c:pt idx="464">
                  <c:v>1210104</c:v>
                </c:pt>
                <c:pt idx="465">
                  <c:v>1210105</c:v>
                </c:pt>
                <c:pt idx="466">
                  <c:v>1210106</c:v>
                </c:pt>
                <c:pt idx="467">
                  <c:v>1210107</c:v>
                </c:pt>
                <c:pt idx="468">
                  <c:v>1210108</c:v>
                </c:pt>
                <c:pt idx="469">
                  <c:v>1210110</c:v>
                </c:pt>
                <c:pt idx="470">
                  <c:v>1210111</c:v>
                </c:pt>
                <c:pt idx="471">
                  <c:v>1210112</c:v>
                </c:pt>
                <c:pt idx="472">
                  <c:v>1210113</c:v>
                </c:pt>
                <c:pt idx="473">
                  <c:v>1210114</c:v>
                </c:pt>
                <c:pt idx="474">
                  <c:v>1210115</c:v>
                </c:pt>
                <c:pt idx="475">
                  <c:v>1210117</c:v>
                </c:pt>
                <c:pt idx="476">
                  <c:v>1210118</c:v>
                </c:pt>
                <c:pt idx="477">
                  <c:v>1210119</c:v>
                </c:pt>
                <c:pt idx="478">
                  <c:v>1210120</c:v>
                </c:pt>
                <c:pt idx="479">
                  <c:v>1210121</c:v>
                </c:pt>
                <c:pt idx="480">
                  <c:v>1210122</c:v>
                </c:pt>
                <c:pt idx="481">
                  <c:v>1210124</c:v>
                </c:pt>
                <c:pt idx="482">
                  <c:v>1210125</c:v>
                </c:pt>
                <c:pt idx="483">
                  <c:v>1210126</c:v>
                </c:pt>
                <c:pt idx="484">
                  <c:v>1210127</c:v>
                </c:pt>
                <c:pt idx="485">
                  <c:v>1210128</c:v>
                </c:pt>
                <c:pt idx="486">
                  <c:v>1210129</c:v>
                </c:pt>
                <c:pt idx="487">
                  <c:v>1210131</c:v>
                </c:pt>
                <c:pt idx="488">
                  <c:v>1210201</c:v>
                </c:pt>
                <c:pt idx="489">
                  <c:v>1210202</c:v>
                </c:pt>
                <c:pt idx="490">
                  <c:v>1210203</c:v>
                </c:pt>
                <c:pt idx="491">
                  <c:v>1210204</c:v>
                </c:pt>
                <c:pt idx="492">
                  <c:v>1210205</c:v>
                </c:pt>
                <c:pt idx="493">
                  <c:v>1210207</c:v>
                </c:pt>
                <c:pt idx="494">
                  <c:v>1210208</c:v>
                </c:pt>
                <c:pt idx="495">
                  <c:v>1210209</c:v>
                </c:pt>
                <c:pt idx="496">
                  <c:v>1210210</c:v>
                </c:pt>
                <c:pt idx="497">
                  <c:v>1210211</c:v>
                </c:pt>
                <c:pt idx="498">
                  <c:v>1210212</c:v>
                </c:pt>
                <c:pt idx="499">
                  <c:v>1210214</c:v>
                </c:pt>
                <c:pt idx="500">
                  <c:v>1210215</c:v>
                </c:pt>
                <c:pt idx="501">
                  <c:v>1210216</c:v>
                </c:pt>
                <c:pt idx="502">
                  <c:v>1210217</c:v>
                </c:pt>
                <c:pt idx="503">
                  <c:v>1210218</c:v>
                </c:pt>
                <c:pt idx="504">
                  <c:v>1210219</c:v>
                </c:pt>
                <c:pt idx="505">
                  <c:v>1210221</c:v>
                </c:pt>
                <c:pt idx="506">
                  <c:v>1210222</c:v>
                </c:pt>
                <c:pt idx="507">
                  <c:v>1210223</c:v>
                </c:pt>
                <c:pt idx="508">
                  <c:v>1210224</c:v>
                </c:pt>
                <c:pt idx="509">
                  <c:v>1210225</c:v>
                </c:pt>
                <c:pt idx="510">
                  <c:v>1210226</c:v>
                </c:pt>
                <c:pt idx="511">
                  <c:v>1210228</c:v>
                </c:pt>
                <c:pt idx="512">
                  <c:v>1210301</c:v>
                </c:pt>
                <c:pt idx="513">
                  <c:v>1210302</c:v>
                </c:pt>
                <c:pt idx="514">
                  <c:v>1210303</c:v>
                </c:pt>
                <c:pt idx="515">
                  <c:v>1210304</c:v>
                </c:pt>
                <c:pt idx="516">
                  <c:v>1210305</c:v>
                </c:pt>
                <c:pt idx="517">
                  <c:v>1210307</c:v>
                </c:pt>
                <c:pt idx="518">
                  <c:v>1210308</c:v>
                </c:pt>
                <c:pt idx="519">
                  <c:v>1210309</c:v>
                </c:pt>
                <c:pt idx="520">
                  <c:v>1210310</c:v>
                </c:pt>
                <c:pt idx="521">
                  <c:v>1210311</c:v>
                </c:pt>
                <c:pt idx="522">
                  <c:v>1210312</c:v>
                </c:pt>
                <c:pt idx="523">
                  <c:v>1210314</c:v>
                </c:pt>
                <c:pt idx="524">
                  <c:v>1210315</c:v>
                </c:pt>
                <c:pt idx="525">
                  <c:v>1210316</c:v>
                </c:pt>
                <c:pt idx="526">
                  <c:v>1210317</c:v>
                </c:pt>
                <c:pt idx="527">
                  <c:v>1210318</c:v>
                </c:pt>
                <c:pt idx="528">
                  <c:v>1210319</c:v>
                </c:pt>
                <c:pt idx="529">
                  <c:v>1210321</c:v>
                </c:pt>
                <c:pt idx="530">
                  <c:v>1210322</c:v>
                </c:pt>
                <c:pt idx="531">
                  <c:v>1210323</c:v>
                </c:pt>
                <c:pt idx="532">
                  <c:v>1210324</c:v>
                </c:pt>
                <c:pt idx="533">
                  <c:v>1210325</c:v>
                </c:pt>
                <c:pt idx="534">
                  <c:v>1210326</c:v>
                </c:pt>
                <c:pt idx="535">
                  <c:v>1210328</c:v>
                </c:pt>
                <c:pt idx="536">
                  <c:v>1210329</c:v>
                </c:pt>
                <c:pt idx="537">
                  <c:v>1210330</c:v>
                </c:pt>
                <c:pt idx="538">
                  <c:v>1210331</c:v>
                </c:pt>
                <c:pt idx="539">
                  <c:v>1210401</c:v>
                </c:pt>
                <c:pt idx="540">
                  <c:v>1210402</c:v>
                </c:pt>
                <c:pt idx="541">
                  <c:v>1210404</c:v>
                </c:pt>
                <c:pt idx="542">
                  <c:v>1210405</c:v>
                </c:pt>
                <c:pt idx="543">
                  <c:v>1210406</c:v>
                </c:pt>
                <c:pt idx="544">
                  <c:v>1210407</c:v>
                </c:pt>
                <c:pt idx="545">
                  <c:v>1210408</c:v>
                </c:pt>
                <c:pt idx="546">
                  <c:v>1210409</c:v>
                </c:pt>
                <c:pt idx="547">
                  <c:v>1210411</c:v>
                </c:pt>
                <c:pt idx="548">
                  <c:v>1210412</c:v>
                </c:pt>
                <c:pt idx="549">
                  <c:v>1210413</c:v>
                </c:pt>
                <c:pt idx="550">
                  <c:v>1210414</c:v>
                </c:pt>
                <c:pt idx="551">
                  <c:v>1210415</c:v>
                </c:pt>
                <c:pt idx="552">
                  <c:v>1210416</c:v>
                </c:pt>
                <c:pt idx="553">
                  <c:v>1210418</c:v>
                </c:pt>
                <c:pt idx="554">
                  <c:v>1210419</c:v>
                </c:pt>
                <c:pt idx="555">
                  <c:v>1210420</c:v>
                </c:pt>
                <c:pt idx="556">
                  <c:v>1210421</c:v>
                </c:pt>
                <c:pt idx="557">
                  <c:v>1210422</c:v>
                </c:pt>
                <c:pt idx="558">
                  <c:v>1210423</c:v>
                </c:pt>
                <c:pt idx="559">
                  <c:v>1210425</c:v>
                </c:pt>
                <c:pt idx="560">
                  <c:v>1210426</c:v>
                </c:pt>
                <c:pt idx="561">
                  <c:v>1210427</c:v>
                </c:pt>
                <c:pt idx="562">
                  <c:v>1210428</c:v>
                </c:pt>
                <c:pt idx="563">
                  <c:v>1210429</c:v>
                </c:pt>
                <c:pt idx="564">
                  <c:v>1210430</c:v>
                </c:pt>
                <c:pt idx="565">
                  <c:v>1210502</c:v>
                </c:pt>
                <c:pt idx="566">
                  <c:v>1210503</c:v>
                </c:pt>
                <c:pt idx="567">
                  <c:v>1210504</c:v>
                </c:pt>
                <c:pt idx="568">
                  <c:v>1210505</c:v>
                </c:pt>
                <c:pt idx="569">
                  <c:v>1210506</c:v>
                </c:pt>
                <c:pt idx="570">
                  <c:v>1210507</c:v>
                </c:pt>
                <c:pt idx="571">
                  <c:v>1210509</c:v>
                </c:pt>
                <c:pt idx="572">
                  <c:v>1210510</c:v>
                </c:pt>
                <c:pt idx="573">
                  <c:v>1210511</c:v>
                </c:pt>
                <c:pt idx="574">
                  <c:v>1210512</c:v>
                </c:pt>
                <c:pt idx="575">
                  <c:v>1210513</c:v>
                </c:pt>
                <c:pt idx="576">
                  <c:v>1210514</c:v>
                </c:pt>
                <c:pt idx="577">
                  <c:v>1210516</c:v>
                </c:pt>
                <c:pt idx="578">
                  <c:v>1210517</c:v>
                </c:pt>
                <c:pt idx="579">
                  <c:v>1210518</c:v>
                </c:pt>
                <c:pt idx="580">
                  <c:v>1210519</c:v>
                </c:pt>
                <c:pt idx="581">
                  <c:v>1210520</c:v>
                </c:pt>
                <c:pt idx="582">
                  <c:v>1210521</c:v>
                </c:pt>
                <c:pt idx="583">
                  <c:v>1210523</c:v>
                </c:pt>
                <c:pt idx="584">
                  <c:v>1210524</c:v>
                </c:pt>
                <c:pt idx="585">
                  <c:v>1210525</c:v>
                </c:pt>
                <c:pt idx="586">
                  <c:v>1210526</c:v>
                </c:pt>
                <c:pt idx="587">
                  <c:v>1210527</c:v>
                </c:pt>
                <c:pt idx="588">
                  <c:v>1210528</c:v>
                </c:pt>
                <c:pt idx="589">
                  <c:v>1210530</c:v>
                </c:pt>
                <c:pt idx="590">
                  <c:v>1210531</c:v>
                </c:pt>
                <c:pt idx="591">
                  <c:v>1210601</c:v>
                </c:pt>
                <c:pt idx="592">
                  <c:v>1210602</c:v>
                </c:pt>
                <c:pt idx="593">
                  <c:v>1210603</c:v>
                </c:pt>
                <c:pt idx="594">
                  <c:v>1210604</c:v>
                </c:pt>
                <c:pt idx="595">
                  <c:v>1210606</c:v>
                </c:pt>
                <c:pt idx="596">
                  <c:v>1210607</c:v>
                </c:pt>
                <c:pt idx="597">
                  <c:v>1210608</c:v>
                </c:pt>
                <c:pt idx="598">
                  <c:v>1210609</c:v>
                </c:pt>
                <c:pt idx="599">
                  <c:v>1210610</c:v>
                </c:pt>
                <c:pt idx="600">
                  <c:v>1210611</c:v>
                </c:pt>
                <c:pt idx="601">
                  <c:v>1210613</c:v>
                </c:pt>
                <c:pt idx="602">
                  <c:v>1210614</c:v>
                </c:pt>
                <c:pt idx="603">
                  <c:v>1210615</c:v>
                </c:pt>
                <c:pt idx="604">
                  <c:v>1210616</c:v>
                </c:pt>
                <c:pt idx="605">
                  <c:v>1210617</c:v>
                </c:pt>
                <c:pt idx="606">
                  <c:v>1210618</c:v>
                </c:pt>
                <c:pt idx="607">
                  <c:v>1210620</c:v>
                </c:pt>
                <c:pt idx="608">
                  <c:v>1210621</c:v>
                </c:pt>
                <c:pt idx="609">
                  <c:v>1210622</c:v>
                </c:pt>
                <c:pt idx="610">
                  <c:v>1210623</c:v>
                </c:pt>
                <c:pt idx="611">
                  <c:v>1210624</c:v>
                </c:pt>
                <c:pt idx="612">
                  <c:v>1210625</c:v>
                </c:pt>
                <c:pt idx="613">
                  <c:v>1210627</c:v>
                </c:pt>
                <c:pt idx="614">
                  <c:v>1210628</c:v>
                </c:pt>
                <c:pt idx="615">
                  <c:v>1210629</c:v>
                </c:pt>
                <c:pt idx="616">
                  <c:v>1210630</c:v>
                </c:pt>
                <c:pt idx="617">
                  <c:v>1210701</c:v>
                </c:pt>
                <c:pt idx="618">
                  <c:v>1210702</c:v>
                </c:pt>
                <c:pt idx="619">
                  <c:v>1210704</c:v>
                </c:pt>
                <c:pt idx="620">
                  <c:v>1210705</c:v>
                </c:pt>
                <c:pt idx="621">
                  <c:v>1210706</c:v>
                </c:pt>
                <c:pt idx="622">
                  <c:v>1210707</c:v>
                </c:pt>
                <c:pt idx="623">
                  <c:v>1210708</c:v>
                </c:pt>
                <c:pt idx="624">
                  <c:v>1210709</c:v>
                </c:pt>
                <c:pt idx="625">
                  <c:v>1210711</c:v>
                </c:pt>
                <c:pt idx="626">
                  <c:v>1210712</c:v>
                </c:pt>
                <c:pt idx="627">
                  <c:v>1210713</c:v>
                </c:pt>
                <c:pt idx="628">
                  <c:v>1210714</c:v>
                </c:pt>
                <c:pt idx="629">
                  <c:v>1210715</c:v>
                </c:pt>
                <c:pt idx="630">
                  <c:v>1210716</c:v>
                </c:pt>
                <c:pt idx="631">
                  <c:v>1210718</c:v>
                </c:pt>
                <c:pt idx="632">
                  <c:v>1210719</c:v>
                </c:pt>
                <c:pt idx="633">
                  <c:v>1210720</c:v>
                </c:pt>
                <c:pt idx="634">
                  <c:v>1210721</c:v>
                </c:pt>
                <c:pt idx="635">
                  <c:v>1210722</c:v>
                </c:pt>
                <c:pt idx="636">
                  <c:v>1210723</c:v>
                </c:pt>
                <c:pt idx="637">
                  <c:v>1210725</c:v>
                </c:pt>
                <c:pt idx="638">
                  <c:v>1210726</c:v>
                </c:pt>
                <c:pt idx="639">
                  <c:v>1210727</c:v>
                </c:pt>
                <c:pt idx="640">
                  <c:v>1210728</c:v>
                </c:pt>
                <c:pt idx="641">
                  <c:v>1210729</c:v>
                </c:pt>
                <c:pt idx="642">
                  <c:v>1210730</c:v>
                </c:pt>
                <c:pt idx="643">
                  <c:v>1210801</c:v>
                </c:pt>
                <c:pt idx="644">
                  <c:v>1210802</c:v>
                </c:pt>
                <c:pt idx="645">
                  <c:v>1210803</c:v>
                </c:pt>
                <c:pt idx="646">
                  <c:v>1210804</c:v>
                </c:pt>
                <c:pt idx="647">
                  <c:v>1210805</c:v>
                </c:pt>
                <c:pt idx="648">
                  <c:v>1210806</c:v>
                </c:pt>
                <c:pt idx="649">
                  <c:v>1210808</c:v>
                </c:pt>
                <c:pt idx="650">
                  <c:v>1210809</c:v>
                </c:pt>
                <c:pt idx="651">
                  <c:v>1210810</c:v>
                </c:pt>
                <c:pt idx="652">
                  <c:v>1210811</c:v>
                </c:pt>
                <c:pt idx="653">
                  <c:v>1210812</c:v>
                </c:pt>
                <c:pt idx="654">
                  <c:v>1210813</c:v>
                </c:pt>
                <c:pt idx="655">
                  <c:v>1210815</c:v>
                </c:pt>
                <c:pt idx="656">
                  <c:v>1210816</c:v>
                </c:pt>
                <c:pt idx="657">
                  <c:v>1210817</c:v>
                </c:pt>
                <c:pt idx="658">
                  <c:v>1210818</c:v>
                </c:pt>
                <c:pt idx="659">
                  <c:v>1210819</c:v>
                </c:pt>
                <c:pt idx="660">
                  <c:v>1210820</c:v>
                </c:pt>
                <c:pt idx="661">
                  <c:v>1210822</c:v>
                </c:pt>
                <c:pt idx="662">
                  <c:v>1210823</c:v>
                </c:pt>
                <c:pt idx="663">
                  <c:v>1210824</c:v>
                </c:pt>
                <c:pt idx="664">
                  <c:v>1210825</c:v>
                </c:pt>
                <c:pt idx="665">
                  <c:v>1210826</c:v>
                </c:pt>
                <c:pt idx="666">
                  <c:v>1210827</c:v>
                </c:pt>
                <c:pt idx="667">
                  <c:v>1210829</c:v>
                </c:pt>
                <c:pt idx="668">
                  <c:v>1210830</c:v>
                </c:pt>
                <c:pt idx="669">
                  <c:v>1210831</c:v>
                </c:pt>
                <c:pt idx="670">
                  <c:v>1210901</c:v>
                </c:pt>
                <c:pt idx="671">
                  <c:v>1210902</c:v>
                </c:pt>
                <c:pt idx="672">
                  <c:v>1210903</c:v>
                </c:pt>
                <c:pt idx="673">
                  <c:v>1210905</c:v>
                </c:pt>
                <c:pt idx="674">
                  <c:v>1210906</c:v>
                </c:pt>
                <c:pt idx="675">
                  <c:v>1210907</c:v>
                </c:pt>
                <c:pt idx="676">
                  <c:v>1210908</c:v>
                </c:pt>
                <c:pt idx="677">
                  <c:v>1210909</c:v>
                </c:pt>
                <c:pt idx="678">
                  <c:v>1210910</c:v>
                </c:pt>
                <c:pt idx="679">
                  <c:v>1210912</c:v>
                </c:pt>
                <c:pt idx="680">
                  <c:v>1210913</c:v>
                </c:pt>
                <c:pt idx="681">
                  <c:v>1210914</c:v>
                </c:pt>
                <c:pt idx="682">
                  <c:v>1210915</c:v>
                </c:pt>
                <c:pt idx="683">
                  <c:v>1210916</c:v>
                </c:pt>
                <c:pt idx="684">
                  <c:v>1210917</c:v>
                </c:pt>
                <c:pt idx="685">
                  <c:v>1210919</c:v>
                </c:pt>
                <c:pt idx="686">
                  <c:v>1210920</c:v>
                </c:pt>
                <c:pt idx="687">
                  <c:v>1210921</c:v>
                </c:pt>
                <c:pt idx="688">
                  <c:v>1210922</c:v>
                </c:pt>
                <c:pt idx="689">
                  <c:v>1210923</c:v>
                </c:pt>
                <c:pt idx="690">
                  <c:v>1210924</c:v>
                </c:pt>
                <c:pt idx="691">
                  <c:v>1210926</c:v>
                </c:pt>
                <c:pt idx="692">
                  <c:v>1210927</c:v>
                </c:pt>
                <c:pt idx="693">
                  <c:v>1210928</c:v>
                </c:pt>
                <c:pt idx="694">
                  <c:v>1210929</c:v>
                </c:pt>
                <c:pt idx="695">
                  <c:v>1210930</c:v>
                </c:pt>
                <c:pt idx="696">
                  <c:v>1211001</c:v>
                </c:pt>
                <c:pt idx="697">
                  <c:v>1211003</c:v>
                </c:pt>
                <c:pt idx="698">
                  <c:v>1211004</c:v>
                </c:pt>
                <c:pt idx="699">
                  <c:v>1211005</c:v>
                </c:pt>
                <c:pt idx="700">
                  <c:v>1211006</c:v>
                </c:pt>
                <c:pt idx="701">
                  <c:v>1211007</c:v>
                </c:pt>
                <c:pt idx="702">
                  <c:v>1211008</c:v>
                </c:pt>
                <c:pt idx="703">
                  <c:v>1211010</c:v>
                </c:pt>
                <c:pt idx="704">
                  <c:v>1211011</c:v>
                </c:pt>
                <c:pt idx="705">
                  <c:v>1211012</c:v>
                </c:pt>
                <c:pt idx="706">
                  <c:v>1211013</c:v>
                </c:pt>
                <c:pt idx="707">
                  <c:v>1211014</c:v>
                </c:pt>
                <c:pt idx="708">
                  <c:v>1211015</c:v>
                </c:pt>
                <c:pt idx="709">
                  <c:v>1211017</c:v>
                </c:pt>
                <c:pt idx="710">
                  <c:v>1211018</c:v>
                </c:pt>
                <c:pt idx="711">
                  <c:v>1211019</c:v>
                </c:pt>
                <c:pt idx="712">
                  <c:v>1211020</c:v>
                </c:pt>
                <c:pt idx="713">
                  <c:v>1211021</c:v>
                </c:pt>
                <c:pt idx="714">
                  <c:v>1211022</c:v>
                </c:pt>
                <c:pt idx="715">
                  <c:v>1211024</c:v>
                </c:pt>
                <c:pt idx="716">
                  <c:v>1211025</c:v>
                </c:pt>
                <c:pt idx="717">
                  <c:v>1211026</c:v>
                </c:pt>
                <c:pt idx="718">
                  <c:v>1211027</c:v>
                </c:pt>
                <c:pt idx="719">
                  <c:v>1211028</c:v>
                </c:pt>
                <c:pt idx="720">
                  <c:v>1211029</c:v>
                </c:pt>
                <c:pt idx="721">
                  <c:v>1211031</c:v>
                </c:pt>
                <c:pt idx="722">
                  <c:v>1211101</c:v>
                </c:pt>
                <c:pt idx="723">
                  <c:v>1211102</c:v>
                </c:pt>
                <c:pt idx="724">
                  <c:v>1211103</c:v>
                </c:pt>
                <c:pt idx="725">
                  <c:v>1211104</c:v>
                </c:pt>
                <c:pt idx="726">
                  <c:v>1211105</c:v>
                </c:pt>
                <c:pt idx="727">
                  <c:v>1211107</c:v>
                </c:pt>
                <c:pt idx="728">
                  <c:v>1211108</c:v>
                </c:pt>
                <c:pt idx="729">
                  <c:v>1211109</c:v>
                </c:pt>
                <c:pt idx="730">
                  <c:v>1211110</c:v>
                </c:pt>
                <c:pt idx="731">
                  <c:v>1211111</c:v>
                </c:pt>
                <c:pt idx="732">
                  <c:v>1211112</c:v>
                </c:pt>
                <c:pt idx="733">
                  <c:v>1211114</c:v>
                </c:pt>
                <c:pt idx="734">
                  <c:v>1211115</c:v>
                </c:pt>
                <c:pt idx="735">
                  <c:v>1211116</c:v>
                </c:pt>
                <c:pt idx="736">
                  <c:v>1211117</c:v>
                </c:pt>
                <c:pt idx="737">
                  <c:v>1211118</c:v>
                </c:pt>
                <c:pt idx="738">
                  <c:v>1211119</c:v>
                </c:pt>
                <c:pt idx="739">
                  <c:v>1211121</c:v>
                </c:pt>
                <c:pt idx="740">
                  <c:v>1211122</c:v>
                </c:pt>
                <c:pt idx="741">
                  <c:v>1211123</c:v>
                </c:pt>
                <c:pt idx="742">
                  <c:v>1211124</c:v>
                </c:pt>
                <c:pt idx="743">
                  <c:v>1211125</c:v>
                </c:pt>
                <c:pt idx="744">
                  <c:v>1211126</c:v>
                </c:pt>
                <c:pt idx="745">
                  <c:v>1211128</c:v>
                </c:pt>
                <c:pt idx="746">
                  <c:v>1211129</c:v>
                </c:pt>
                <c:pt idx="747">
                  <c:v>1211130</c:v>
                </c:pt>
                <c:pt idx="748">
                  <c:v>1211201</c:v>
                </c:pt>
                <c:pt idx="749">
                  <c:v>1211202</c:v>
                </c:pt>
                <c:pt idx="750">
                  <c:v>1211203</c:v>
                </c:pt>
                <c:pt idx="751">
                  <c:v>1211205</c:v>
                </c:pt>
                <c:pt idx="752">
                  <c:v>1211206</c:v>
                </c:pt>
                <c:pt idx="753">
                  <c:v>1211207</c:v>
                </c:pt>
                <c:pt idx="754">
                  <c:v>1211208</c:v>
                </c:pt>
                <c:pt idx="755">
                  <c:v>1211209</c:v>
                </c:pt>
                <c:pt idx="756">
                  <c:v>1211210</c:v>
                </c:pt>
                <c:pt idx="757">
                  <c:v>1211212</c:v>
                </c:pt>
                <c:pt idx="758">
                  <c:v>1211213</c:v>
                </c:pt>
                <c:pt idx="759">
                  <c:v>1211214</c:v>
                </c:pt>
                <c:pt idx="760">
                  <c:v>1211215</c:v>
                </c:pt>
                <c:pt idx="761">
                  <c:v>1211216</c:v>
                </c:pt>
                <c:pt idx="762">
                  <c:v>1211217</c:v>
                </c:pt>
                <c:pt idx="763">
                  <c:v>1211219</c:v>
                </c:pt>
                <c:pt idx="764">
                  <c:v>1211220</c:v>
                </c:pt>
                <c:pt idx="765">
                  <c:v>1211221</c:v>
                </c:pt>
                <c:pt idx="766">
                  <c:v>1211222</c:v>
                </c:pt>
                <c:pt idx="767">
                  <c:v>1211223</c:v>
                </c:pt>
                <c:pt idx="768">
                  <c:v>1211226</c:v>
                </c:pt>
                <c:pt idx="769">
                  <c:v>1211227</c:v>
                </c:pt>
                <c:pt idx="770">
                  <c:v>1211228</c:v>
                </c:pt>
                <c:pt idx="771">
                  <c:v>1211229</c:v>
                </c:pt>
                <c:pt idx="772">
                  <c:v>1211230</c:v>
                </c:pt>
                <c:pt idx="773">
                  <c:v>1211231</c:v>
                </c:pt>
                <c:pt idx="774">
                  <c:v>1220102</c:v>
                </c:pt>
                <c:pt idx="775">
                  <c:v>1220103</c:v>
                </c:pt>
                <c:pt idx="776">
                  <c:v>1220104</c:v>
                </c:pt>
                <c:pt idx="777">
                  <c:v>1220105</c:v>
                </c:pt>
                <c:pt idx="778">
                  <c:v>1220106</c:v>
                </c:pt>
                <c:pt idx="779">
                  <c:v>1220107</c:v>
                </c:pt>
                <c:pt idx="780">
                  <c:v>1220109</c:v>
                </c:pt>
                <c:pt idx="781">
                  <c:v>1220110</c:v>
                </c:pt>
                <c:pt idx="782">
                  <c:v>1220111</c:v>
                </c:pt>
                <c:pt idx="783">
                  <c:v>1220112</c:v>
                </c:pt>
                <c:pt idx="784">
                  <c:v>1220113</c:v>
                </c:pt>
                <c:pt idx="785">
                  <c:v>1220114</c:v>
                </c:pt>
                <c:pt idx="786">
                  <c:v>1220116</c:v>
                </c:pt>
                <c:pt idx="787">
                  <c:v>1220117</c:v>
                </c:pt>
                <c:pt idx="788">
                  <c:v>1220118</c:v>
                </c:pt>
                <c:pt idx="789">
                  <c:v>1220119</c:v>
                </c:pt>
                <c:pt idx="790">
                  <c:v>1220120</c:v>
                </c:pt>
                <c:pt idx="791">
                  <c:v>1220121</c:v>
                </c:pt>
                <c:pt idx="792">
                  <c:v>1220123</c:v>
                </c:pt>
                <c:pt idx="793">
                  <c:v>1220124</c:v>
                </c:pt>
                <c:pt idx="794">
                  <c:v>1220125</c:v>
                </c:pt>
                <c:pt idx="795">
                  <c:v>1220126</c:v>
                </c:pt>
                <c:pt idx="796">
                  <c:v>1220127</c:v>
                </c:pt>
                <c:pt idx="797">
                  <c:v>1220128</c:v>
                </c:pt>
                <c:pt idx="798">
                  <c:v>1220130</c:v>
                </c:pt>
                <c:pt idx="799">
                  <c:v>1220131</c:v>
                </c:pt>
                <c:pt idx="800">
                  <c:v>1220201</c:v>
                </c:pt>
                <c:pt idx="801">
                  <c:v>1220202</c:v>
                </c:pt>
                <c:pt idx="802">
                  <c:v>1220203</c:v>
                </c:pt>
                <c:pt idx="803">
                  <c:v>1220204</c:v>
                </c:pt>
                <c:pt idx="804">
                  <c:v>1220206</c:v>
                </c:pt>
                <c:pt idx="805">
                  <c:v>1220207</c:v>
                </c:pt>
                <c:pt idx="806">
                  <c:v>1220208</c:v>
                </c:pt>
                <c:pt idx="807">
                  <c:v>1220209</c:v>
                </c:pt>
                <c:pt idx="808">
                  <c:v>1220210</c:v>
                </c:pt>
                <c:pt idx="809">
                  <c:v>1220211</c:v>
                </c:pt>
                <c:pt idx="810">
                  <c:v>1220213</c:v>
                </c:pt>
                <c:pt idx="811">
                  <c:v>1220214</c:v>
                </c:pt>
                <c:pt idx="812">
                  <c:v>1220215</c:v>
                </c:pt>
                <c:pt idx="813">
                  <c:v>1220216</c:v>
                </c:pt>
                <c:pt idx="814">
                  <c:v>1220217</c:v>
                </c:pt>
                <c:pt idx="815">
                  <c:v>1220218</c:v>
                </c:pt>
                <c:pt idx="816">
                  <c:v>1220220</c:v>
                </c:pt>
                <c:pt idx="817">
                  <c:v>1220221</c:v>
                </c:pt>
                <c:pt idx="818">
                  <c:v>1220222</c:v>
                </c:pt>
                <c:pt idx="819">
                  <c:v>1220223</c:v>
                </c:pt>
                <c:pt idx="820">
                  <c:v>1220224</c:v>
                </c:pt>
                <c:pt idx="821">
                  <c:v>1220225</c:v>
                </c:pt>
                <c:pt idx="822">
                  <c:v>1220227</c:v>
                </c:pt>
                <c:pt idx="823">
                  <c:v>1220228</c:v>
                </c:pt>
                <c:pt idx="824">
                  <c:v>1220301</c:v>
                </c:pt>
                <c:pt idx="825">
                  <c:v>1220302</c:v>
                </c:pt>
                <c:pt idx="826">
                  <c:v>1220303</c:v>
                </c:pt>
                <c:pt idx="827">
                  <c:v>1220304</c:v>
                </c:pt>
                <c:pt idx="828">
                  <c:v>1220306</c:v>
                </c:pt>
                <c:pt idx="829">
                  <c:v>1220307</c:v>
                </c:pt>
                <c:pt idx="830">
                  <c:v>1220308</c:v>
                </c:pt>
                <c:pt idx="831">
                  <c:v>1220309</c:v>
                </c:pt>
                <c:pt idx="832">
                  <c:v>1220310</c:v>
                </c:pt>
                <c:pt idx="833">
                  <c:v>1220311</c:v>
                </c:pt>
                <c:pt idx="834">
                  <c:v>1220313</c:v>
                </c:pt>
                <c:pt idx="835">
                  <c:v>1220314</c:v>
                </c:pt>
                <c:pt idx="836">
                  <c:v>1220315</c:v>
                </c:pt>
                <c:pt idx="837">
                  <c:v>1220316</c:v>
                </c:pt>
                <c:pt idx="838">
                  <c:v>1220317</c:v>
                </c:pt>
                <c:pt idx="839">
                  <c:v>1220318</c:v>
                </c:pt>
                <c:pt idx="840">
                  <c:v>1220320</c:v>
                </c:pt>
                <c:pt idx="841">
                  <c:v>1220321</c:v>
                </c:pt>
                <c:pt idx="842">
                  <c:v>1220322</c:v>
                </c:pt>
                <c:pt idx="843">
                  <c:v>1220323</c:v>
                </c:pt>
                <c:pt idx="844">
                  <c:v>1220324</c:v>
                </c:pt>
                <c:pt idx="845">
                  <c:v>1220325</c:v>
                </c:pt>
                <c:pt idx="846">
                  <c:v>1220327</c:v>
                </c:pt>
                <c:pt idx="847">
                  <c:v>1220328</c:v>
                </c:pt>
                <c:pt idx="848">
                  <c:v>1220329</c:v>
                </c:pt>
                <c:pt idx="849">
                  <c:v>1220330</c:v>
                </c:pt>
                <c:pt idx="850">
                  <c:v>1220331</c:v>
                </c:pt>
                <c:pt idx="851">
                  <c:v>1220401</c:v>
                </c:pt>
                <c:pt idx="852">
                  <c:v>1220403</c:v>
                </c:pt>
                <c:pt idx="853">
                  <c:v>1220404</c:v>
                </c:pt>
                <c:pt idx="854">
                  <c:v>1220405</c:v>
                </c:pt>
                <c:pt idx="855">
                  <c:v>1220406</c:v>
                </c:pt>
                <c:pt idx="856">
                  <c:v>1220407</c:v>
                </c:pt>
                <c:pt idx="857">
                  <c:v>1220408</c:v>
                </c:pt>
                <c:pt idx="858">
                  <c:v>1220410</c:v>
                </c:pt>
                <c:pt idx="859">
                  <c:v>1220411</c:v>
                </c:pt>
                <c:pt idx="860">
                  <c:v>1220412</c:v>
                </c:pt>
                <c:pt idx="861">
                  <c:v>1220413</c:v>
                </c:pt>
                <c:pt idx="862">
                  <c:v>1220414</c:v>
                </c:pt>
                <c:pt idx="863">
                  <c:v>1220417</c:v>
                </c:pt>
                <c:pt idx="864">
                  <c:v>1220418</c:v>
                </c:pt>
                <c:pt idx="865">
                  <c:v>1220419</c:v>
                </c:pt>
                <c:pt idx="866">
                  <c:v>1220420</c:v>
                </c:pt>
                <c:pt idx="867">
                  <c:v>1220421</c:v>
                </c:pt>
                <c:pt idx="868">
                  <c:v>1220422</c:v>
                </c:pt>
                <c:pt idx="869">
                  <c:v>1220424</c:v>
                </c:pt>
                <c:pt idx="870">
                  <c:v>1220425</c:v>
                </c:pt>
                <c:pt idx="871">
                  <c:v>1220426</c:v>
                </c:pt>
                <c:pt idx="872">
                  <c:v>1220427</c:v>
                </c:pt>
                <c:pt idx="873">
                  <c:v>1220428</c:v>
                </c:pt>
                <c:pt idx="874">
                  <c:v>1220429</c:v>
                </c:pt>
                <c:pt idx="875">
                  <c:v>1220501</c:v>
                </c:pt>
                <c:pt idx="876">
                  <c:v>1220502</c:v>
                </c:pt>
                <c:pt idx="877">
                  <c:v>1220503</c:v>
                </c:pt>
                <c:pt idx="878">
                  <c:v>1220504</c:v>
                </c:pt>
                <c:pt idx="879">
                  <c:v>1220505</c:v>
                </c:pt>
                <c:pt idx="880">
                  <c:v>1220506</c:v>
                </c:pt>
                <c:pt idx="881">
                  <c:v>1220508</c:v>
                </c:pt>
                <c:pt idx="882">
                  <c:v>1220509</c:v>
                </c:pt>
                <c:pt idx="883">
                  <c:v>1220510</c:v>
                </c:pt>
                <c:pt idx="884">
                  <c:v>1220511</c:v>
                </c:pt>
                <c:pt idx="885">
                  <c:v>1220512</c:v>
                </c:pt>
                <c:pt idx="886">
                  <c:v>1220513</c:v>
                </c:pt>
                <c:pt idx="887">
                  <c:v>1220515</c:v>
                </c:pt>
                <c:pt idx="888">
                  <c:v>1220516</c:v>
                </c:pt>
                <c:pt idx="889">
                  <c:v>1220517</c:v>
                </c:pt>
                <c:pt idx="890">
                  <c:v>1220518</c:v>
                </c:pt>
                <c:pt idx="891">
                  <c:v>1220519</c:v>
                </c:pt>
                <c:pt idx="892">
                  <c:v>1220520</c:v>
                </c:pt>
                <c:pt idx="893">
                  <c:v>1220522</c:v>
                </c:pt>
                <c:pt idx="894">
                  <c:v>1220523</c:v>
                </c:pt>
                <c:pt idx="895">
                  <c:v>1220524</c:v>
                </c:pt>
                <c:pt idx="896">
                  <c:v>1220525</c:v>
                </c:pt>
                <c:pt idx="897">
                  <c:v>1220526</c:v>
                </c:pt>
                <c:pt idx="898">
                  <c:v>1220527</c:v>
                </c:pt>
                <c:pt idx="899">
                  <c:v>1220529</c:v>
                </c:pt>
                <c:pt idx="900">
                  <c:v>1220530</c:v>
                </c:pt>
                <c:pt idx="901">
                  <c:v>1220531</c:v>
                </c:pt>
                <c:pt idx="902">
                  <c:v>1220601</c:v>
                </c:pt>
                <c:pt idx="903">
                  <c:v>1220602</c:v>
                </c:pt>
                <c:pt idx="904">
                  <c:v>1220603</c:v>
                </c:pt>
                <c:pt idx="905">
                  <c:v>1220605</c:v>
                </c:pt>
                <c:pt idx="906">
                  <c:v>1220606</c:v>
                </c:pt>
                <c:pt idx="907">
                  <c:v>1220607</c:v>
                </c:pt>
                <c:pt idx="908">
                  <c:v>1220608</c:v>
                </c:pt>
                <c:pt idx="909">
                  <c:v>1220609</c:v>
                </c:pt>
                <c:pt idx="910">
                  <c:v>1220610</c:v>
                </c:pt>
                <c:pt idx="911">
                  <c:v>1220612</c:v>
                </c:pt>
                <c:pt idx="912">
                  <c:v>1220613</c:v>
                </c:pt>
                <c:pt idx="913">
                  <c:v>1220614</c:v>
                </c:pt>
                <c:pt idx="914">
                  <c:v>1220615</c:v>
                </c:pt>
                <c:pt idx="915">
                  <c:v>1220616</c:v>
                </c:pt>
                <c:pt idx="916">
                  <c:v>1220617</c:v>
                </c:pt>
                <c:pt idx="917">
                  <c:v>1220619</c:v>
                </c:pt>
                <c:pt idx="918">
                  <c:v>1220620</c:v>
                </c:pt>
                <c:pt idx="919">
                  <c:v>1220621</c:v>
                </c:pt>
                <c:pt idx="920">
                  <c:v>1220622</c:v>
                </c:pt>
                <c:pt idx="921">
                  <c:v>1220623</c:v>
                </c:pt>
                <c:pt idx="922">
                  <c:v>1220624</c:v>
                </c:pt>
                <c:pt idx="923">
                  <c:v>1220626</c:v>
                </c:pt>
                <c:pt idx="924">
                  <c:v>1220627</c:v>
                </c:pt>
                <c:pt idx="925">
                  <c:v>1220628</c:v>
                </c:pt>
                <c:pt idx="926">
                  <c:v>1220629</c:v>
                </c:pt>
                <c:pt idx="927">
                  <c:v>1220630</c:v>
                </c:pt>
                <c:pt idx="928">
                  <c:v>1220701</c:v>
                </c:pt>
                <c:pt idx="929">
                  <c:v>1220703</c:v>
                </c:pt>
                <c:pt idx="930">
                  <c:v>1220704</c:v>
                </c:pt>
                <c:pt idx="931">
                  <c:v>1220705</c:v>
                </c:pt>
                <c:pt idx="932">
                  <c:v>1220706</c:v>
                </c:pt>
                <c:pt idx="933">
                  <c:v>1220707</c:v>
                </c:pt>
                <c:pt idx="934">
                  <c:v>1220708</c:v>
                </c:pt>
                <c:pt idx="935">
                  <c:v>1220710</c:v>
                </c:pt>
                <c:pt idx="936">
                  <c:v>1220711</c:v>
                </c:pt>
                <c:pt idx="937">
                  <c:v>1220712</c:v>
                </c:pt>
                <c:pt idx="938">
                  <c:v>1220713</c:v>
                </c:pt>
                <c:pt idx="939">
                  <c:v>1220714</c:v>
                </c:pt>
                <c:pt idx="940">
                  <c:v>1220715</c:v>
                </c:pt>
                <c:pt idx="941">
                  <c:v>1220717</c:v>
                </c:pt>
                <c:pt idx="942">
                  <c:v>1220718</c:v>
                </c:pt>
                <c:pt idx="943">
                  <c:v>1220719</c:v>
                </c:pt>
                <c:pt idx="944">
                  <c:v>1220720</c:v>
                </c:pt>
                <c:pt idx="945">
                  <c:v>1220721</c:v>
                </c:pt>
                <c:pt idx="946">
                  <c:v>1220722</c:v>
                </c:pt>
                <c:pt idx="947">
                  <c:v>1220724</c:v>
                </c:pt>
                <c:pt idx="948">
                  <c:v>1220725</c:v>
                </c:pt>
                <c:pt idx="949">
                  <c:v>1220726</c:v>
                </c:pt>
                <c:pt idx="950">
                  <c:v>1220727</c:v>
                </c:pt>
                <c:pt idx="951">
                  <c:v>1220728</c:v>
                </c:pt>
                <c:pt idx="952">
                  <c:v>1220729</c:v>
                </c:pt>
                <c:pt idx="953">
                  <c:v>1220731</c:v>
                </c:pt>
                <c:pt idx="954">
                  <c:v>1220801</c:v>
                </c:pt>
                <c:pt idx="955">
                  <c:v>1220802</c:v>
                </c:pt>
                <c:pt idx="956">
                  <c:v>1220803</c:v>
                </c:pt>
                <c:pt idx="957">
                  <c:v>1220804</c:v>
                </c:pt>
                <c:pt idx="958">
                  <c:v>1220805</c:v>
                </c:pt>
                <c:pt idx="959">
                  <c:v>1220807</c:v>
                </c:pt>
                <c:pt idx="960">
                  <c:v>1220808</c:v>
                </c:pt>
                <c:pt idx="961">
                  <c:v>1220809</c:v>
                </c:pt>
                <c:pt idx="962">
                  <c:v>1220810</c:v>
                </c:pt>
                <c:pt idx="963">
                  <c:v>1220811</c:v>
                </c:pt>
                <c:pt idx="964">
                  <c:v>1220812</c:v>
                </c:pt>
                <c:pt idx="965">
                  <c:v>1220814</c:v>
                </c:pt>
                <c:pt idx="966">
                  <c:v>1220815</c:v>
                </c:pt>
                <c:pt idx="967">
                  <c:v>1220816</c:v>
                </c:pt>
                <c:pt idx="968">
                  <c:v>1220817</c:v>
                </c:pt>
                <c:pt idx="969">
                  <c:v>1220818</c:v>
                </c:pt>
                <c:pt idx="970">
                  <c:v>1220819</c:v>
                </c:pt>
                <c:pt idx="971">
                  <c:v>1220821</c:v>
                </c:pt>
                <c:pt idx="972">
                  <c:v>1220822</c:v>
                </c:pt>
                <c:pt idx="973">
                  <c:v>1220823</c:v>
                </c:pt>
                <c:pt idx="974">
                  <c:v>1220824</c:v>
                </c:pt>
                <c:pt idx="975">
                  <c:v>1220825</c:v>
                </c:pt>
                <c:pt idx="976">
                  <c:v>1220826</c:v>
                </c:pt>
                <c:pt idx="977">
                  <c:v>1220828</c:v>
                </c:pt>
                <c:pt idx="978">
                  <c:v>1220829</c:v>
                </c:pt>
                <c:pt idx="979">
                  <c:v>1220830</c:v>
                </c:pt>
                <c:pt idx="980">
                  <c:v>1220831</c:v>
                </c:pt>
                <c:pt idx="981">
                  <c:v>1220901</c:v>
                </c:pt>
                <c:pt idx="982">
                  <c:v>1220902</c:v>
                </c:pt>
                <c:pt idx="983">
                  <c:v>1220904</c:v>
                </c:pt>
                <c:pt idx="984">
                  <c:v>1220905</c:v>
                </c:pt>
                <c:pt idx="985">
                  <c:v>1220906</c:v>
                </c:pt>
                <c:pt idx="986">
                  <c:v>1220907</c:v>
                </c:pt>
                <c:pt idx="987">
                  <c:v>1220908</c:v>
                </c:pt>
                <c:pt idx="988">
                  <c:v>1220909</c:v>
                </c:pt>
                <c:pt idx="989">
                  <c:v>1220911</c:v>
                </c:pt>
                <c:pt idx="990">
                  <c:v>1220912</c:v>
                </c:pt>
                <c:pt idx="991">
                  <c:v>1220913</c:v>
                </c:pt>
                <c:pt idx="992">
                  <c:v>1220914</c:v>
                </c:pt>
                <c:pt idx="993">
                  <c:v>1220915</c:v>
                </c:pt>
                <c:pt idx="994">
                  <c:v>1220916</c:v>
                </c:pt>
                <c:pt idx="995">
                  <c:v>1220918</c:v>
                </c:pt>
                <c:pt idx="996">
                  <c:v>1220919</c:v>
                </c:pt>
                <c:pt idx="997">
                  <c:v>1220920</c:v>
                </c:pt>
                <c:pt idx="998">
                  <c:v>1220921</c:v>
                </c:pt>
                <c:pt idx="999">
                  <c:v>1220922</c:v>
                </c:pt>
                <c:pt idx="1000">
                  <c:v>1220923</c:v>
                </c:pt>
                <c:pt idx="1001">
                  <c:v>1220925</c:v>
                </c:pt>
                <c:pt idx="1002">
                  <c:v>1220926</c:v>
                </c:pt>
                <c:pt idx="1003">
                  <c:v>1220927</c:v>
                </c:pt>
                <c:pt idx="1004">
                  <c:v>1220928</c:v>
                </c:pt>
                <c:pt idx="1005">
                  <c:v>1220929</c:v>
                </c:pt>
                <c:pt idx="1006">
                  <c:v>1220930</c:v>
                </c:pt>
                <c:pt idx="1007">
                  <c:v>1221002</c:v>
                </c:pt>
                <c:pt idx="1008">
                  <c:v>1221003</c:v>
                </c:pt>
                <c:pt idx="1009">
                  <c:v>1221004</c:v>
                </c:pt>
                <c:pt idx="1010">
                  <c:v>1221005</c:v>
                </c:pt>
                <c:pt idx="1011">
                  <c:v>1221006</c:v>
                </c:pt>
                <c:pt idx="1012">
                  <c:v>1221007</c:v>
                </c:pt>
                <c:pt idx="1013">
                  <c:v>1221009</c:v>
                </c:pt>
                <c:pt idx="1014">
                  <c:v>1221010</c:v>
                </c:pt>
                <c:pt idx="1015">
                  <c:v>1221011</c:v>
                </c:pt>
                <c:pt idx="1016">
                  <c:v>1221012</c:v>
                </c:pt>
                <c:pt idx="1017">
                  <c:v>1221013</c:v>
                </c:pt>
                <c:pt idx="1018">
                  <c:v>1221014</c:v>
                </c:pt>
                <c:pt idx="1019">
                  <c:v>1221016</c:v>
                </c:pt>
                <c:pt idx="1020">
                  <c:v>1221017</c:v>
                </c:pt>
                <c:pt idx="1021">
                  <c:v>1221018</c:v>
                </c:pt>
                <c:pt idx="1022">
                  <c:v>1221019</c:v>
                </c:pt>
                <c:pt idx="1023">
                  <c:v>1221020</c:v>
                </c:pt>
                <c:pt idx="1024">
                  <c:v>1221021</c:v>
                </c:pt>
                <c:pt idx="1025">
                  <c:v>1221023</c:v>
                </c:pt>
                <c:pt idx="1026">
                  <c:v>1221024</c:v>
                </c:pt>
                <c:pt idx="1027">
                  <c:v>1221025</c:v>
                </c:pt>
                <c:pt idx="1028">
                  <c:v>1221026</c:v>
                </c:pt>
                <c:pt idx="1029">
                  <c:v>1221027</c:v>
                </c:pt>
                <c:pt idx="1030">
                  <c:v>1221028</c:v>
                </c:pt>
                <c:pt idx="1031">
                  <c:v>1221030</c:v>
                </c:pt>
                <c:pt idx="1032">
                  <c:v>1221031</c:v>
                </c:pt>
                <c:pt idx="1033">
                  <c:v>1221101</c:v>
                </c:pt>
                <c:pt idx="1034">
                  <c:v>1221102</c:v>
                </c:pt>
                <c:pt idx="1035">
                  <c:v>1221103</c:v>
                </c:pt>
                <c:pt idx="1036">
                  <c:v>1221104</c:v>
                </c:pt>
                <c:pt idx="1037">
                  <c:v>1221106</c:v>
                </c:pt>
                <c:pt idx="1038">
                  <c:v>1221107</c:v>
                </c:pt>
                <c:pt idx="1039">
                  <c:v>1221108</c:v>
                </c:pt>
                <c:pt idx="1040">
                  <c:v>1221109</c:v>
                </c:pt>
                <c:pt idx="1041">
                  <c:v>1221110</c:v>
                </c:pt>
                <c:pt idx="1042">
                  <c:v>1221111</c:v>
                </c:pt>
                <c:pt idx="1043">
                  <c:v>1221113</c:v>
                </c:pt>
                <c:pt idx="1044">
                  <c:v>1221114</c:v>
                </c:pt>
                <c:pt idx="1045">
                  <c:v>1221115</c:v>
                </c:pt>
                <c:pt idx="1046">
                  <c:v>1221116</c:v>
                </c:pt>
                <c:pt idx="1047">
                  <c:v>1221117</c:v>
                </c:pt>
                <c:pt idx="1048">
                  <c:v>1221118</c:v>
                </c:pt>
                <c:pt idx="1049">
                  <c:v>1221120</c:v>
                </c:pt>
                <c:pt idx="1050">
                  <c:v>1221121</c:v>
                </c:pt>
                <c:pt idx="1051">
                  <c:v>1221122</c:v>
                </c:pt>
                <c:pt idx="1052">
                  <c:v>1221123</c:v>
                </c:pt>
                <c:pt idx="1053">
                  <c:v>1221124</c:v>
                </c:pt>
                <c:pt idx="1054">
                  <c:v>1221125</c:v>
                </c:pt>
                <c:pt idx="1055">
                  <c:v>1221127</c:v>
                </c:pt>
                <c:pt idx="1056">
                  <c:v>1221128</c:v>
                </c:pt>
                <c:pt idx="1057">
                  <c:v>1221129</c:v>
                </c:pt>
                <c:pt idx="1058">
                  <c:v>1221130</c:v>
                </c:pt>
                <c:pt idx="1059">
                  <c:v>1221201</c:v>
                </c:pt>
                <c:pt idx="1060">
                  <c:v>1221202</c:v>
                </c:pt>
                <c:pt idx="1061">
                  <c:v>1221204</c:v>
                </c:pt>
                <c:pt idx="1062">
                  <c:v>1221205</c:v>
                </c:pt>
                <c:pt idx="1063">
                  <c:v>1221206</c:v>
                </c:pt>
                <c:pt idx="1064">
                  <c:v>1221207</c:v>
                </c:pt>
                <c:pt idx="1065">
                  <c:v>1221208</c:v>
                </c:pt>
                <c:pt idx="1066">
                  <c:v>1221209</c:v>
                </c:pt>
                <c:pt idx="1067">
                  <c:v>1221211</c:v>
                </c:pt>
                <c:pt idx="1068">
                  <c:v>1221212</c:v>
                </c:pt>
                <c:pt idx="1069">
                  <c:v>1221213</c:v>
                </c:pt>
                <c:pt idx="1070">
                  <c:v>1221214</c:v>
                </c:pt>
                <c:pt idx="1071">
                  <c:v>1221215</c:v>
                </c:pt>
                <c:pt idx="1072">
                  <c:v>1221216</c:v>
                </c:pt>
                <c:pt idx="1073">
                  <c:v>1221218</c:v>
                </c:pt>
                <c:pt idx="1074">
                  <c:v>1221219</c:v>
                </c:pt>
                <c:pt idx="1075">
                  <c:v>1221220</c:v>
                </c:pt>
                <c:pt idx="1076">
                  <c:v>1221221</c:v>
                </c:pt>
                <c:pt idx="1077">
                  <c:v>1221222</c:v>
                </c:pt>
                <c:pt idx="1078">
                  <c:v>1221223</c:v>
                </c:pt>
                <c:pt idx="1079">
                  <c:v>1221226</c:v>
                </c:pt>
                <c:pt idx="1080">
                  <c:v>1221227</c:v>
                </c:pt>
                <c:pt idx="1081">
                  <c:v>1221228</c:v>
                </c:pt>
                <c:pt idx="1082">
                  <c:v>1221229</c:v>
                </c:pt>
                <c:pt idx="1083">
                  <c:v>1221230</c:v>
                </c:pt>
                <c:pt idx="1084">
                  <c:v>1230102</c:v>
                </c:pt>
                <c:pt idx="1085">
                  <c:v>1230103</c:v>
                </c:pt>
                <c:pt idx="1086">
                  <c:v>1230104</c:v>
                </c:pt>
                <c:pt idx="1087">
                  <c:v>1230105</c:v>
                </c:pt>
                <c:pt idx="1088">
                  <c:v>1230106</c:v>
                </c:pt>
                <c:pt idx="1089">
                  <c:v>1230108</c:v>
                </c:pt>
                <c:pt idx="1090">
                  <c:v>1230109</c:v>
                </c:pt>
                <c:pt idx="1091">
                  <c:v>1230110</c:v>
                </c:pt>
                <c:pt idx="1092">
                  <c:v>1230111</c:v>
                </c:pt>
                <c:pt idx="1093">
                  <c:v>1230112</c:v>
                </c:pt>
                <c:pt idx="1094">
                  <c:v>1230113</c:v>
                </c:pt>
                <c:pt idx="1095">
                  <c:v>1230115</c:v>
                </c:pt>
                <c:pt idx="1096">
                  <c:v>1230116</c:v>
                </c:pt>
                <c:pt idx="1097">
                  <c:v>1230117</c:v>
                </c:pt>
                <c:pt idx="1098">
                  <c:v>1230118</c:v>
                </c:pt>
                <c:pt idx="1099">
                  <c:v>1230119</c:v>
                </c:pt>
                <c:pt idx="1100">
                  <c:v>1230120</c:v>
                </c:pt>
                <c:pt idx="1101">
                  <c:v>1230122</c:v>
                </c:pt>
                <c:pt idx="1102">
                  <c:v>1230123</c:v>
                </c:pt>
                <c:pt idx="1103">
                  <c:v>1230124</c:v>
                </c:pt>
                <c:pt idx="1104">
                  <c:v>1230125</c:v>
                </c:pt>
                <c:pt idx="1105">
                  <c:v>1230126</c:v>
                </c:pt>
                <c:pt idx="1106">
                  <c:v>1230127</c:v>
                </c:pt>
                <c:pt idx="1107">
                  <c:v>1230129</c:v>
                </c:pt>
                <c:pt idx="1108">
                  <c:v>1230130</c:v>
                </c:pt>
                <c:pt idx="1109">
                  <c:v>1230131</c:v>
                </c:pt>
                <c:pt idx="1110">
                  <c:v>1230201</c:v>
                </c:pt>
                <c:pt idx="1111">
                  <c:v>1230202</c:v>
                </c:pt>
                <c:pt idx="1112">
                  <c:v>1230203</c:v>
                </c:pt>
                <c:pt idx="1113">
                  <c:v>1230205</c:v>
                </c:pt>
                <c:pt idx="1114">
                  <c:v>1230206</c:v>
                </c:pt>
                <c:pt idx="1115">
                  <c:v>1230207</c:v>
                </c:pt>
                <c:pt idx="1116">
                  <c:v>1230208</c:v>
                </c:pt>
                <c:pt idx="1117">
                  <c:v>1230209</c:v>
                </c:pt>
                <c:pt idx="1118">
                  <c:v>1230210</c:v>
                </c:pt>
                <c:pt idx="1119">
                  <c:v>1230212</c:v>
                </c:pt>
                <c:pt idx="1120">
                  <c:v>1230213</c:v>
                </c:pt>
                <c:pt idx="1121">
                  <c:v>1230214</c:v>
                </c:pt>
                <c:pt idx="1122">
                  <c:v>1230215</c:v>
                </c:pt>
                <c:pt idx="1123">
                  <c:v>1230216</c:v>
                </c:pt>
                <c:pt idx="1124">
                  <c:v>1230217</c:v>
                </c:pt>
                <c:pt idx="1125">
                  <c:v>1230219</c:v>
                </c:pt>
                <c:pt idx="1126">
                  <c:v>1230220</c:v>
                </c:pt>
                <c:pt idx="1127">
                  <c:v>1230221</c:v>
                </c:pt>
                <c:pt idx="1128">
                  <c:v>1230222</c:v>
                </c:pt>
                <c:pt idx="1129">
                  <c:v>1230223</c:v>
                </c:pt>
                <c:pt idx="1130">
                  <c:v>1230224</c:v>
                </c:pt>
                <c:pt idx="1131">
                  <c:v>1230226</c:v>
                </c:pt>
                <c:pt idx="1132">
                  <c:v>1230227</c:v>
                </c:pt>
                <c:pt idx="1133">
                  <c:v>1230228</c:v>
                </c:pt>
                <c:pt idx="1134">
                  <c:v>1230301</c:v>
                </c:pt>
                <c:pt idx="1135">
                  <c:v>1230302</c:v>
                </c:pt>
                <c:pt idx="1136">
                  <c:v>1230303</c:v>
                </c:pt>
                <c:pt idx="1137">
                  <c:v>1230305</c:v>
                </c:pt>
                <c:pt idx="1138">
                  <c:v>1230306</c:v>
                </c:pt>
                <c:pt idx="1139">
                  <c:v>1230307</c:v>
                </c:pt>
                <c:pt idx="1140">
                  <c:v>1230308</c:v>
                </c:pt>
                <c:pt idx="1141">
                  <c:v>1230309</c:v>
                </c:pt>
                <c:pt idx="1142">
                  <c:v>1230310</c:v>
                </c:pt>
                <c:pt idx="1143">
                  <c:v>1230312</c:v>
                </c:pt>
                <c:pt idx="1144">
                  <c:v>1230313</c:v>
                </c:pt>
                <c:pt idx="1145">
                  <c:v>1230314</c:v>
                </c:pt>
                <c:pt idx="1146">
                  <c:v>1230315</c:v>
                </c:pt>
                <c:pt idx="1147">
                  <c:v>1230316</c:v>
                </c:pt>
                <c:pt idx="1148">
                  <c:v>1230317</c:v>
                </c:pt>
                <c:pt idx="1149">
                  <c:v>1230319</c:v>
                </c:pt>
                <c:pt idx="1150">
                  <c:v>1230320</c:v>
                </c:pt>
                <c:pt idx="1151">
                  <c:v>1230321</c:v>
                </c:pt>
                <c:pt idx="1152">
                  <c:v>1230322</c:v>
                </c:pt>
                <c:pt idx="1153">
                  <c:v>1230323</c:v>
                </c:pt>
                <c:pt idx="1154">
                  <c:v>1230324</c:v>
                </c:pt>
                <c:pt idx="1155">
                  <c:v>1230326</c:v>
                </c:pt>
                <c:pt idx="1156">
                  <c:v>1230327</c:v>
                </c:pt>
                <c:pt idx="1157">
                  <c:v>1230328</c:v>
                </c:pt>
                <c:pt idx="1158">
                  <c:v>1230329</c:v>
                </c:pt>
                <c:pt idx="1159">
                  <c:v>1230330</c:v>
                </c:pt>
                <c:pt idx="1160">
                  <c:v>1230331</c:v>
                </c:pt>
                <c:pt idx="1161">
                  <c:v>1230402</c:v>
                </c:pt>
                <c:pt idx="1162">
                  <c:v>1230403</c:v>
                </c:pt>
                <c:pt idx="1163">
                  <c:v>1230404</c:v>
                </c:pt>
                <c:pt idx="1164">
                  <c:v>1230405</c:v>
                </c:pt>
                <c:pt idx="1165">
                  <c:v>1230406</c:v>
                </c:pt>
                <c:pt idx="1166">
                  <c:v>1230407</c:v>
                </c:pt>
                <c:pt idx="1167">
                  <c:v>1230409</c:v>
                </c:pt>
                <c:pt idx="1168">
                  <c:v>1230410</c:v>
                </c:pt>
                <c:pt idx="1169">
                  <c:v>1230411</c:v>
                </c:pt>
                <c:pt idx="1170">
                  <c:v>1230412</c:v>
                </c:pt>
                <c:pt idx="1171">
                  <c:v>1230413</c:v>
                </c:pt>
                <c:pt idx="1172">
                  <c:v>1230414</c:v>
                </c:pt>
                <c:pt idx="1173">
                  <c:v>1230416</c:v>
                </c:pt>
                <c:pt idx="1174">
                  <c:v>1230417</c:v>
                </c:pt>
                <c:pt idx="1175">
                  <c:v>1230418</c:v>
                </c:pt>
                <c:pt idx="1176">
                  <c:v>1230419</c:v>
                </c:pt>
                <c:pt idx="1177">
                  <c:v>1230420</c:v>
                </c:pt>
                <c:pt idx="1178">
                  <c:v>1230421</c:v>
                </c:pt>
                <c:pt idx="1179">
                  <c:v>1230423</c:v>
                </c:pt>
                <c:pt idx="1180">
                  <c:v>1230424</c:v>
                </c:pt>
                <c:pt idx="1181">
                  <c:v>1230425</c:v>
                </c:pt>
                <c:pt idx="1182">
                  <c:v>1230426</c:v>
                </c:pt>
                <c:pt idx="1183">
                  <c:v>1230427</c:v>
                </c:pt>
                <c:pt idx="1184">
                  <c:v>1230428</c:v>
                </c:pt>
                <c:pt idx="1185">
                  <c:v>1230430</c:v>
                </c:pt>
                <c:pt idx="1186">
                  <c:v>1230501</c:v>
                </c:pt>
                <c:pt idx="1187">
                  <c:v>1230502</c:v>
                </c:pt>
                <c:pt idx="1188">
                  <c:v>1230503</c:v>
                </c:pt>
                <c:pt idx="1189">
                  <c:v>1230504</c:v>
                </c:pt>
                <c:pt idx="1190">
                  <c:v>1230505</c:v>
                </c:pt>
                <c:pt idx="1191">
                  <c:v>1230507</c:v>
                </c:pt>
                <c:pt idx="1192">
                  <c:v>1230508</c:v>
                </c:pt>
                <c:pt idx="1193">
                  <c:v>1230509</c:v>
                </c:pt>
                <c:pt idx="1194">
                  <c:v>1230510</c:v>
                </c:pt>
                <c:pt idx="1195">
                  <c:v>1230511</c:v>
                </c:pt>
                <c:pt idx="1196">
                  <c:v>1230512</c:v>
                </c:pt>
                <c:pt idx="1197">
                  <c:v>1230514</c:v>
                </c:pt>
                <c:pt idx="1198">
                  <c:v>1230515</c:v>
                </c:pt>
                <c:pt idx="1199">
                  <c:v>1230516</c:v>
                </c:pt>
                <c:pt idx="1200">
                  <c:v>1230517</c:v>
                </c:pt>
                <c:pt idx="1201">
                  <c:v>1230518</c:v>
                </c:pt>
                <c:pt idx="1202">
                  <c:v>1230519</c:v>
                </c:pt>
                <c:pt idx="1203">
                  <c:v>1230521</c:v>
                </c:pt>
                <c:pt idx="1204">
                  <c:v>1230522</c:v>
                </c:pt>
                <c:pt idx="1205">
                  <c:v>1230523</c:v>
                </c:pt>
                <c:pt idx="1206">
                  <c:v>1230524</c:v>
                </c:pt>
                <c:pt idx="1207">
                  <c:v>1230525</c:v>
                </c:pt>
                <c:pt idx="1208">
                  <c:v>1230526</c:v>
                </c:pt>
                <c:pt idx="1209">
                  <c:v>1230528</c:v>
                </c:pt>
                <c:pt idx="1210">
                  <c:v>1230529</c:v>
                </c:pt>
                <c:pt idx="1211">
                  <c:v>1230530</c:v>
                </c:pt>
                <c:pt idx="1212">
                  <c:v>1230531</c:v>
                </c:pt>
                <c:pt idx="1213">
                  <c:v>1230601</c:v>
                </c:pt>
                <c:pt idx="1214">
                  <c:v>1230602</c:v>
                </c:pt>
                <c:pt idx="1215">
                  <c:v>1230604</c:v>
                </c:pt>
                <c:pt idx="1216">
                  <c:v>1230605</c:v>
                </c:pt>
                <c:pt idx="1217">
                  <c:v>1230606</c:v>
                </c:pt>
                <c:pt idx="1218">
                  <c:v>1230607</c:v>
                </c:pt>
                <c:pt idx="1219">
                  <c:v>1230608</c:v>
                </c:pt>
                <c:pt idx="1220">
                  <c:v>1230609</c:v>
                </c:pt>
                <c:pt idx="1221">
                  <c:v>1230611</c:v>
                </c:pt>
                <c:pt idx="1222">
                  <c:v>1230612</c:v>
                </c:pt>
                <c:pt idx="1223">
                  <c:v>1230613</c:v>
                </c:pt>
                <c:pt idx="1224">
                  <c:v>1230614</c:v>
                </c:pt>
                <c:pt idx="1225">
                  <c:v>1230615</c:v>
                </c:pt>
                <c:pt idx="1226">
                  <c:v>1230616</c:v>
                </c:pt>
                <c:pt idx="1227">
                  <c:v>1230618</c:v>
                </c:pt>
                <c:pt idx="1228">
                  <c:v>1230619</c:v>
                </c:pt>
                <c:pt idx="1229">
                  <c:v>1230620</c:v>
                </c:pt>
                <c:pt idx="1230">
                  <c:v>1230621</c:v>
                </c:pt>
                <c:pt idx="1231">
                  <c:v>1230622</c:v>
                </c:pt>
                <c:pt idx="1232">
                  <c:v>1230623</c:v>
                </c:pt>
                <c:pt idx="1233">
                  <c:v>1230625</c:v>
                </c:pt>
                <c:pt idx="1234">
                  <c:v>1230626</c:v>
                </c:pt>
                <c:pt idx="1235">
                  <c:v>1230627</c:v>
                </c:pt>
                <c:pt idx="1236">
                  <c:v>1230628</c:v>
                </c:pt>
                <c:pt idx="1237">
                  <c:v>1230629</c:v>
                </c:pt>
                <c:pt idx="1238">
                  <c:v>1230630</c:v>
                </c:pt>
                <c:pt idx="1239">
                  <c:v>1230702</c:v>
                </c:pt>
                <c:pt idx="1240">
                  <c:v>1230703</c:v>
                </c:pt>
                <c:pt idx="1241">
                  <c:v>1230704</c:v>
                </c:pt>
                <c:pt idx="1242">
                  <c:v>1230705</c:v>
                </c:pt>
                <c:pt idx="1243">
                  <c:v>1230706</c:v>
                </c:pt>
                <c:pt idx="1244">
                  <c:v>1230707</c:v>
                </c:pt>
                <c:pt idx="1245">
                  <c:v>1230709</c:v>
                </c:pt>
                <c:pt idx="1246">
                  <c:v>1230710</c:v>
                </c:pt>
                <c:pt idx="1247">
                  <c:v>1230711</c:v>
                </c:pt>
                <c:pt idx="1248">
                  <c:v>1230712</c:v>
                </c:pt>
                <c:pt idx="1249">
                  <c:v>1230713</c:v>
                </c:pt>
                <c:pt idx="1250">
                  <c:v>1230714</c:v>
                </c:pt>
                <c:pt idx="1251">
                  <c:v>1230716</c:v>
                </c:pt>
                <c:pt idx="1252">
                  <c:v>1230717</c:v>
                </c:pt>
                <c:pt idx="1253">
                  <c:v>1230718</c:v>
                </c:pt>
                <c:pt idx="1254">
                  <c:v>1230719</c:v>
                </c:pt>
                <c:pt idx="1255">
                  <c:v>1230720</c:v>
                </c:pt>
                <c:pt idx="1256">
                  <c:v>1230721</c:v>
                </c:pt>
                <c:pt idx="1257">
                  <c:v>1230723</c:v>
                </c:pt>
                <c:pt idx="1258">
                  <c:v>1230724</c:v>
                </c:pt>
                <c:pt idx="1259">
                  <c:v>1230725</c:v>
                </c:pt>
                <c:pt idx="1260">
                  <c:v>1230726</c:v>
                </c:pt>
                <c:pt idx="1261">
                  <c:v>1230727</c:v>
                </c:pt>
                <c:pt idx="1262">
                  <c:v>1230728</c:v>
                </c:pt>
                <c:pt idx="1263">
                  <c:v>1230730</c:v>
                </c:pt>
                <c:pt idx="1264">
                  <c:v>1230731</c:v>
                </c:pt>
                <c:pt idx="1265">
                  <c:v>1230801</c:v>
                </c:pt>
                <c:pt idx="1266">
                  <c:v>1230802</c:v>
                </c:pt>
                <c:pt idx="1267">
                  <c:v>1230803</c:v>
                </c:pt>
                <c:pt idx="1268">
                  <c:v>1230804</c:v>
                </c:pt>
                <c:pt idx="1269">
                  <c:v>1230806</c:v>
                </c:pt>
                <c:pt idx="1270">
                  <c:v>1230807</c:v>
                </c:pt>
                <c:pt idx="1271">
                  <c:v>1230808</c:v>
                </c:pt>
                <c:pt idx="1272">
                  <c:v>1230809</c:v>
                </c:pt>
                <c:pt idx="1273">
                  <c:v>1230810</c:v>
                </c:pt>
                <c:pt idx="1274">
                  <c:v>1230811</c:v>
                </c:pt>
                <c:pt idx="1275">
                  <c:v>1230813</c:v>
                </c:pt>
                <c:pt idx="1276">
                  <c:v>1230814</c:v>
                </c:pt>
                <c:pt idx="1277">
                  <c:v>1230815</c:v>
                </c:pt>
                <c:pt idx="1278">
                  <c:v>1230816</c:v>
                </c:pt>
                <c:pt idx="1279">
                  <c:v>1230817</c:v>
                </c:pt>
                <c:pt idx="1280">
                  <c:v>1230818</c:v>
                </c:pt>
                <c:pt idx="1281">
                  <c:v>1230820</c:v>
                </c:pt>
                <c:pt idx="1282">
                  <c:v>1230821</c:v>
                </c:pt>
                <c:pt idx="1283">
                  <c:v>1230822</c:v>
                </c:pt>
                <c:pt idx="1284">
                  <c:v>1230823</c:v>
                </c:pt>
                <c:pt idx="1285">
                  <c:v>1230824</c:v>
                </c:pt>
                <c:pt idx="1286">
                  <c:v>1230825</c:v>
                </c:pt>
                <c:pt idx="1287">
                  <c:v>1230827</c:v>
                </c:pt>
                <c:pt idx="1288">
                  <c:v>1230828</c:v>
                </c:pt>
                <c:pt idx="1289">
                  <c:v>1230829</c:v>
                </c:pt>
                <c:pt idx="1290">
                  <c:v>1230830</c:v>
                </c:pt>
                <c:pt idx="1291">
                  <c:v>1230831</c:v>
                </c:pt>
                <c:pt idx="1292">
                  <c:v>1230901</c:v>
                </c:pt>
                <c:pt idx="1293">
                  <c:v>1230903</c:v>
                </c:pt>
                <c:pt idx="1294">
                  <c:v>1230904</c:v>
                </c:pt>
                <c:pt idx="1295">
                  <c:v>1230905</c:v>
                </c:pt>
                <c:pt idx="1296">
                  <c:v>1230906</c:v>
                </c:pt>
                <c:pt idx="1297">
                  <c:v>1230907</c:v>
                </c:pt>
                <c:pt idx="1298">
                  <c:v>1230908</c:v>
                </c:pt>
                <c:pt idx="1299">
                  <c:v>1230910</c:v>
                </c:pt>
                <c:pt idx="1300">
                  <c:v>1230911</c:v>
                </c:pt>
                <c:pt idx="1301">
                  <c:v>1230912</c:v>
                </c:pt>
                <c:pt idx="1302">
                  <c:v>1230913</c:v>
                </c:pt>
                <c:pt idx="1303">
                  <c:v>1230914</c:v>
                </c:pt>
                <c:pt idx="1304">
                  <c:v>1230915</c:v>
                </c:pt>
                <c:pt idx="1305">
                  <c:v>1230917</c:v>
                </c:pt>
                <c:pt idx="1306">
                  <c:v>1230918</c:v>
                </c:pt>
                <c:pt idx="1307">
                  <c:v>1230919</c:v>
                </c:pt>
                <c:pt idx="1308">
                  <c:v>1230920</c:v>
                </c:pt>
                <c:pt idx="1309">
                  <c:v>1230921</c:v>
                </c:pt>
                <c:pt idx="1310">
                  <c:v>1230922</c:v>
                </c:pt>
                <c:pt idx="1311">
                  <c:v>1230924</c:v>
                </c:pt>
                <c:pt idx="1312">
                  <c:v>1230925</c:v>
                </c:pt>
                <c:pt idx="1313">
                  <c:v>1230926</c:v>
                </c:pt>
                <c:pt idx="1314">
                  <c:v>1230927</c:v>
                </c:pt>
                <c:pt idx="1315">
                  <c:v>1230928</c:v>
                </c:pt>
                <c:pt idx="1316">
                  <c:v>1230929</c:v>
                </c:pt>
                <c:pt idx="1317">
                  <c:v>1231001</c:v>
                </c:pt>
                <c:pt idx="1318">
                  <c:v>1231002</c:v>
                </c:pt>
                <c:pt idx="1319">
                  <c:v>1231003</c:v>
                </c:pt>
                <c:pt idx="1320">
                  <c:v>1231004</c:v>
                </c:pt>
                <c:pt idx="1321">
                  <c:v>1231005</c:v>
                </c:pt>
                <c:pt idx="1322">
                  <c:v>1231006</c:v>
                </c:pt>
                <c:pt idx="1323">
                  <c:v>1231008</c:v>
                </c:pt>
                <c:pt idx="1324">
                  <c:v>1231009</c:v>
                </c:pt>
                <c:pt idx="1325">
                  <c:v>1231010</c:v>
                </c:pt>
                <c:pt idx="1326">
                  <c:v>1231011</c:v>
                </c:pt>
                <c:pt idx="1327">
                  <c:v>1231012</c:v>
                </c:pt>
                <c:pt idx="1328">
                  <c:v>1231013</c:v>
                </c:pt>
                <c:pt idx="1329">
                  <c:v>1231015</c:v>
                </c:pt>
                <c:pt idx="1330">
                  <c:v>1231016</c:v>
                </c:pt>
                <c:pt idx="1331">
                  <c:v>1231017</c:v>
                </c:pt>
                <c:pt idx="1332">
                  <c:v>1231018</c:v>
                </c:pt>
                <c:pt idx="1333">
                  <c:v>1231019</c:v>
                </c:pt>
                <c:pt idx="1334">
                  <c:v>1231020</c:v>
                </c:pt>
                <c:pt idx="1335">
                  <c:v>1231022</c:v>
                </c:pt>
                <c:pt idx="1336">
                  <c:v>1231023</c:v>
                </c:pt>
                <c:pt idx="1337">
                  <c:v>1231024</c:v>
                </c:pt>
                <c:pt idx="1338">
                  <c:v>1231025</c:v>
                </c:pt>
                <c:pt idx="1339">
                  <c:v>1231026</c:v>
                </c:pt>
                <c:pt idx="1340">
                  <c:v>1231027</c:v>
                </c:pt>
                <c:pt idx="1341">
                  <c:v>1231029</c:v>
                </c:pt>
                <c:pt idx="1342">
                  <c:v>1231030</c:v>
                </c:pt>
                <c:pt idx="1343">
                  <c:v>1231031</c:v>
                </c:pt>
                <c:pt idx="1344">
                  <c:v>1231101</c:v>
                </c:pt>
                <c:pt idx="1345">
                  <c:v>1231102</c:v>
                </c:pt>
                <c:pt idx="1346">
                  <c:v>1231103</c:v>
                </c:pt>
                <c:pt idx="1347">
                  <c:v>1231105</c:v>
                </c:pt>
                <c:pt idx="1348">
                  <c:v>1231106</c:v>
                </c:pt>
                <c:pt idx="1349">
                  <c:v>1231107</c:v>
                </c:pt>
                <c:pt idx="1350">
                  <c:v>1231108</c:v>
                </c:pt>
                <c:pt idx="1351">
                  <c:v>1231109</c:v>
                </c:pt>
                <c:pt idx="1352">
                  <c:v>1231110</c:v>
                </c:pt>
                <c:pt idx="1353">
                  <c:v>1231112</c:v>
                </c:pt>
                <c:pt idx="1354">
                  <c:v>1231113</c:v>
                </c:pt>
                <c:pt idx="1355">
                  <c:v>1231114</c:v>
                </c:pt>
                <c:pt idx="1356">
                  <c:v>1231115</c:v>
                </c:pt>
                <c:pt idx="1357">
                  <c:v>1231116</c:v>
                </c:pt>
                <c:pt idx="1358">
                  <c:v>1231117</c:v>
                </c:pt>
                <c:pt idx="1359">
                  <c:v>1231119</c:v>
                </c:pt>
                <c:pt idx="1360">
                  <c:v>1231120</c:v>
                </c:pt>
                <c:pt idx="1361">
                  <c:v>1231121</c:v>
                </c:pt>
                <c:pt idx="1362">
                  <c:v>1231122</c:v>
                </c:pt>
                <c:pt idx="1363">
                  <c:v>1231123</c:v>
                </c:pt>
                <c:pt idx="1364">
                  <c:v>1231124</c:v>
                </c:pt>
                <c:pt idx="1365">
                  <c:v>1231126</c:v>
                </c:pt>
                <c:pt idx="1366">
                  <c:v>1231127</c:v>
                </c:pt>
                <c:pt idx="1367">
                  <c:v>1231128</c:v>
                </c:pt>
                <c:pt idx="1368">
                  <c:v>1231129</c:v>
                </c:pt>
                <c:pt idx="1369">
                  <c:v>1231130</c:v>
                </c:pt>
                <c:pt idx="1370">
                  <c:v>1231201</c:v>
                </c:pt>
                <c:pt idx="1371">
                  <c:v>1231203</c:v>
                </c:pt>
                <c:pt idx="1372">
                  <c:v>1231204</c:v>
                </c:pt>
                <c:pt idx="1373">
                  <c:v>1231205</c:v>
                </c:pt>
                <c:pt idx="1374">
                  <c:v>1231206</c:v>
                </c:pt>
                <c:pt idx="1375">
                  <c:v>1231207</c:v>
                </c:pt>
                <c:pt idx="1376">
                  <c:v>1231208</c:v>
                </c:pt>
                <c:pt idx="1377">
                  <c:v>1231210</c:v>
                </c:pt>
                <c:pt idx="1378">
                  <c:v>1231211</c:v>
                </c:pt>
                <c:pt idx="1379">
                  <c:v>1231212</c:v>
                </c:pt>
                <c:pt idx="1380">
                  <c:v>1231213</c:v>
                </c:pt>
                <c:pt idx="1381">
                  <c:v>1231214</c:v>
                </c:pt>
                <c:pt idx="1382">
                  <c:v>1231215</c:v>
                </c:pt>
                <c:pt idx="1383">
                  <c:v>1231217</c:v>
                </c:pt>
                <c:pt idx="1384">
                  <c:v>1231218</c:v>
                </c:pt>
                <c:pt idx="1385">
                  <c:v>1231219</c:v>
                </c:pt>
                <c:pt idx="1386">
                  <c:v>1231220</c:v>
                </c:pt>
                <c:pt idx="1387">
                  <c:v>1231221</c:v>
                </c:pt>
                <c:pt idx="1388">
                  <c:v>1231222</c:v>
                </c:pt>
                <c:pt idx="1389">
                  <c:v>1231225</c:v>
                </c:pt>
                <c:pt idx="1390">
                  <c:v>1231226</c:v>
                </c:pt>
                <c:pt idx="1391">
                  <c:v>1231227</c:v>
                </c:pt>
                <c:pt idx="1392">
                  <c:v>1231228</c:v>
                </c:pt>
                <c:pt idx="1393">
                  <c:v>1231229</c:v>
                </c:pt>
                <c:pt idx="1394">
                  <c:v>1240101</c:v>
                </c:pt>
                <c:pt idx="1395">
                  <c:v>1240102</c:v>
                </c:pt>
                <c:pt idx="1396">
                  <c:v>1240103</c:v>
                </c:pt>
                <c:pt idx="1397">
                  <c:v>1240104</c:v>
                </c:pt>
                <c:pt idx="1398">
                  <c:v>1240105</c:v>
                </c:pt>
                <c:pt idx="1399">
                  <c:v>1240107</c:v>
                </c:pt>
                <c:pt idx="1400">
                  <c:v>1240108</c:v>
                </c:pt>
                <c:pt idx="1401">
                  <c:v>1240109</c:v>
                </c:pt>
                <c:pt idx="1402">
                  <c:v>1240110</c:v>
                </c:pt>
                <c:pt idx="1403">
                  <c:v>1240111</c:v>
                </c:pt>
                <c:pt idx="1404">
                  <c:v>1240112</c:v>
                </c:pt>
                <c:pt idx="1405">
                  <c:v>1240114</c:v>
                </c:pt>
                <c:pt idx="1406">
                  <c:v>1240115</c:v>
                </c:pt>
                <c:pt idx="1407">
                  <c:v>1240116</c:v>
                </c:pt>
                <c:pt idx="1408">
                  <c:v>1240117</c:v>
                </c:pt>
                <c:pt idx="1409">
                  <c:v>1240118</c:v>
                </c:pt>
                <c:pt idx="1410">
                  <c:v>1240119</c:v>
                </c:pt>
                <c:pt idx="1411">
                  <c:v>1240121</c:v>
                </c:pt>
                <c:pt idx="1412">
                  <c:v>1240122</c:v>
                </c:pt>
                <c:pt idx="1413">
                  <c:v>1240123</c:v>
                </c:pt>
                <c:pt idx="1414">
                  <c:v>1240124</c:v>
                </c:pt>
                <c:pt idx="1415">
                  <c:v>1240125</c:v>
                </c:pt>
                <c:pt idx="1416">
                  <c:v>1240126</c:v>
                </c:pt>
                <c:pt idx="1417">
                  <c:v>1240128</c:v>
                </c:pt>
                <c:pt idx="1418">
                  <c:v>1240129</c:v>
                </c:pt>
                <c:pt idx="1419">
                  <c:v>1240130</c:v>
                </c:pt>
                <c:pt idx="1420">
                  <c:v>1240131</c:v>
                </c:pt>
                <c:pt idx="1421">
                  <c:v>1240201</c:v>
                </c:pt>
                <c:pt idx="1422">
                  <c:v>1240202</c:v>
                </c:pt>
                <c:pt idx="1423">
                  <c:v>1240204</c:v>
                </c:pt>
                <c:pt idx="1424">
                  <c:v>1240205</c:v>
                </c:pt>
                <c:pt idx="1425">
                  <c:v>1240206</c:v>
                </c:pt>
                <c:pt idx="1426">
                  <c:v>1240207</c:v>
                </c:pt>
                <c:pt idx="1427">
                  <c:v>1240208</c:v>
                </c:pt>
                <c:pt idx="1428">
                  <c:v>1240209</c:v>
                </c:pt>
                <c:pt idx="1429">
                  <c:v>1240211</c:v>
                </c:pt>
                <c:pt idx="1430">
                  <c:v>1240212</c:v>
                </c:pt>
                <c:pt idx="1431">
                  <c:v>1240213</c:v>
                </c:pt>
                <c:pt idx="1432">
                  <c:v>1240214</c:v>
                </c:pt>
                <c:pt idx="1433">
                  <c:v>1240215</c:v>
                </c:pt>
                <c:pt idx="1434">
                  <c:v>1240216</c:v>
                </c:pt>
                <c:pt idx="1435">
                  <c:v>1240218</c:v>
                </c:pt>
                <c:pt idx="1436">
                  <c:v>1240219</c:v>
                </c:pt>
                <c:pt idx="1437">
                  <c:v>1240220</c:v>
                </c:pt>
                <c:pt idx="1438">
                  <c:v>1240221</c:v>
                </c:pt>
                <c:pt idx="1439">
                  <c:v>1240222</c:v>
                </c:pt>
                <c:pt idx="1440">
                  <c:v>1240223</c:v>
                </c:pt>
                <c:pt idx="1441">
                  <c:v>1240225</c:v>
                </c:pt>
                <c:pt idx="1442">
                  <c:v>1240226</c:v>
                </c:pt>
                <c:pt idx="1443">
                  <c:v>1240227</c:v>
                </c:pt>
                <c:pt idx="1444">
                  <c:v>1240228</c:v>
                </c:pt>
                <c:pt idx="1445">
                  <c:v>1240229</c:v>
                </c:pt>
                <c:pt idx="1446">
                  <c:v>1240301</c:v>
                </c:pt>
                <c:pt idx="1447">
                  <c:v>1240303</c:v>
                </c:pt>
                <c:pt idx="1448">
                  <c:v>1240304</c:v>
                </c:pt>
                <c:pt idx="1449">
                  <c:v>1240305</c:v>
                </c:pt>
                <c:pt idx="1450">
                  <c:v>1240306</c:v>
                </c:pt>
                <c:pt idx="1451">
                  <c:v>1240307</c:v>
                </c:pt>
                <c:pt idx="1452">
                  <c:v>1240308</c:v>
                </c:pt>
                <c:pt idx="1453">
                  <c:v>1240310</c:v>
                </c:pt>
                <c:pt idx="1454">
                  <c:v>1240311</c:v>
                </c:pt>
                <c:pt idx="1455">
                  <c:v>1240312</c:v>
                </c:pt>
                <c:pt idx="1456">
                  <c:v>1240313</c:v>
                </c:pt>
                <c:pt idx="1457">
                  <c:v>1240314</c:v>
                </c:pt>
                <c:pt idx="1458">
                  <c:v>1240315</c:v>
                </c:pt>
                <c:pt idx="1459">
                  <c:v>1240317</c:v>
                </c:pt>
                <c:pt idx="1460">
                  <c:v>1240318</c:v>
                </c:pt>
                <c:pt idx="1461">
                  <c:v>1240319</c:v>
                </c:pt>
                <c:pt idx="1462">
                  <c:v>1240320</c:v>
                </c:pt>
                <c:pt idx="1463">
                  <c:v>1240321</c:v>
                </c:pt>
                <c:pt idx="1464">
                  <c:v>1240322</c:v>
                </c:pt>
                <c:pt idx="1465">
                  <c:v>1240324</c:v>
                </c:pt>
                <c:pt idx="1466">
                  <c:v>1240325</c:v>
                </c:pt>
                <c:pt idx="1467">
                  <c:v>1240326</c:v>
                </c:pt>
                <c:pt idx="1468">
                  <c:v>1240327</c:v>
                </c:pt>
                <c:pt idx="1469">
                  <c:v>1240328</c:v>
                </c:pt>
                <c:pt idx="1470">
                  <c:v>1240331</c:v>
                </c:pt>
                <c:pt idx="1471">
                  <c:v>1240401</c:v>
                </c:pt>
                <c:pt idx="1472">
                  <c:v>1240402</c:v>
                </c:pt>
                <c:pt idx="1473">
                  <c:v>1240403</c:v>
                </c:pt>
                <c:pt idx="1474">
                  <c:v>1240404</c:v>
                </c:pt>
                <c:pt idx="1475">
                  <c:v>1240405</c:v>
                </c:pt>
                <c:pt idx="1476">
                  <c:v>1240407</c:v>
                </c:pt>
                <c:pt idx="1477">
                  <c:v>1240408</c:v>
                </c:pt>
                <c:pt idx="1478">
                  <c:v>1240409</c:v>
                </c:pt>
                <c:pt idx="1479">
                  <c:v>1240410</c:v>
                </c:pt>
                <c:pt idx="1480">
                  <c:v>1240411</c:v>
                </c:pt>
                <c:pt idx="1481">
                  <c:v>1240412</c:v>
                </c:pt>
                <c:pt idx="1482">
                  <c:v>1240414</c:v>
                </c:pt>
                <c:pt idx="1483">
                  <c:v>1240415</c:v>
                </c:pt>
                <c:pt idx="1484">
                  <c:v>1240416</c:v>
                </c:pt>
                <c:pt idx="1485">
                  <c:v>1240417</c:v>
                </c:pt>
                <c:pt idx="1486">
                  <c:v>1240418</c:v>
                </c:pt>
                <c:pt idx="1487">
                  <c:v>1240419</c:v>
                </c:pt>
                <c:pt idx="1488">
                  <c:v>1240421</c:v>
                </c:pt>
                <c:pt idx="1489">
                  <c:v>1240422</c:v>
                </c:pt>
                <c:pt idx="1490">
                  <c:v>1240423</c:v>
                </c:pt>
                <c:pt idx="1491">
                  <c:v>1240424</c:v>
                </c:pt>
                <c:pt idx="1492">
                  <c:v>1240425</c:v>
                </c:pt>
                <c:pt idx="1493">
                  <c:v>1240426</c:v>
                </c:pt>
                <c:pt idx="1494">
                  <c:v>1240428</c:v>
                </c:pt>
                <c:pt idx="1495">
                  <c:v>1240429</c:v>
                </c:pt>
                <c:pt idx="1496">
                  <c:v>1240430</c:v>
                </c:pt>
                <c:pt idx="1497">
                  <c:v>1240501</c:v>
                </c:pt>
                <c:pt idx="1498">
                  <c:v>1240502</c:v>
                </c:pt>
                <c:pt idx="1499">
                  <c:v>1240503</c:v>
                </c:pt>
                <c:pt idx="1500">
                  <c:v>1240505</c:v>
                </c:pt>
                <c:pt idx="1501">
                  <c:v>1240506</c:v>
                </c:pt>
                <c:pt idx="1502">
                  <c:v>1240507</c:v>
                </c:pt>
                <c:pt idx="1503">
                  <c:v>1240508</c:v>
                </c:pt>
                <c:pt idx="1504">
                  <c:v>1240509</c:v>
                </c:pt>
                <c:pt idx="1505">
                  <c:v>1240510</c:v>
                </c:pt>
                <c:pt idx="1506">
                  <c:v>1240512</c:v>
                </c:pt>
                <c:pt idx="1507">
                  <c:v>1240513</c:v>
                </c:pt>
                <c:pt idx="1508">
                  <c:v>1240514</c:v>
                </c:pt>
                <c:pt idx="1509">
                  <c:v>1240515</c:v>
                </c:pt>
                <c:pt idx="1510">
                  <c:v>1240516</c:v>
                </c:pt>
                <c:pt idx="1511">
                  <c:v>1240517</c:v>
                </c:pt>
                <c:pt idx="1512">
                  <c:v>1240519</c:v>
                </c:pt>
                <c:pt idx="1513">
                  <c:v>1240520</c:v>
                </c:pt>
                <c:pt idx="1514">
                  <c:v>1240521</c:v>
                </c:pt>
                <c:pt idx="1515">
                  <c:v>1240522</c:v>
                </c:pt>
                <c:pt idx="1516">
                  <c:v>1240523</c:v>
                </c:pt>
                <c:pt idx="1517">
                  <c:v>1240524</c:v>
                </c:pt>
                <c:pt idx="1518">
                  <c:v>1240526</c:v>
                </c:pt>
                <c:pt idx="1519">
                  <c:v>1240527</c:v>
                </c:pt>
                <c:pt idx="1520">
                  <c:v>1240528</c:v>
                </c:pt>
                <c:pt idx="1521">
                  <c:v>1240529</c:v>
                </c:pt>
                <c:pt idx="1522">
                  <c:v>1240530</c:v>
                </c:pt>
                <c:pt idx="1523">
                  <c:v>1240531</c:v>
                </c:pt>
                <c:pt idx="1524">
                  <c:v>1240602</c:v>
                </c:pt>
                <c:pt idx="1525">
                  <c:v>1240603</c:v>
                </c:pt>
                <c:pt idx="1526">
                  <c:v>1240604</c:v>
                </c:pt>
                <c:pt idx="1527">
                  <c:v>1240605</c:v>
                </c:pt>
                <c:pt idx="1528">
                  <c:v>1240606</c:v>
                </c:pt>
                <c:pt idx="1529">
                  <c:v>1240607</c:v>
                </c:pt>
                <c:pt idx="1530">
                  <c:v>1240609</c:v>
                </c:pt>
                <c:pt idx="1531">
                  <c:v>1240610</c:v>
                </c:pt>
                <c:pt idx="1532">
                  <c:v>1240611</c:v>
                </c:pt>
                <c:pt idx="1533">
                  <c:v>1240612</c:v>
                </c:pt>
                <c:pt idx="1534">
                  <c:v>1240613</c:v>
                </c:pt>
                <c:pt idx="1535">
                  <c:v>1240614</c:v>
                </c:pt>
                <c:pt idx="1536">
                  <c:v>1240616</c:v>
                </c:pt>
                <c:pt idx="1537">
                  <c:v>1240617</c:v>
                </c:pt>
                <c:pt idx="1538">
                  <c:v>1240618</c:v>
                </c:pt>
                <c:pt idx="1539">
                  <c:v>1240619</c:v>
                </c:pt>
                <c:pt idx="1540">
                  <c:v>1240620</c:v>
                </c:pt>
                <c:pt idx="1541">
                  <c:v>1240621</c:v>
                </c:pt>
              </c:numCache>
            </c:numRef>
          </c:cat>
          <c:val>
            <c:numRef>
              <c:f>Portfolio!$H$25:$H$1566</c:f>
              <c:numCache>
                <c:formatCode>General</c:formatCode>
                <c:ptCount val="1542"/>
                <c:pt idx="0">
                  <c:v>230</c:v>
                </c:pt>
                <c:pt idx="1">
                  <c:v>-50</c:v>
                </c:pt>
                <c:pt idx="2">
                  <c:v>2720</c:v>
                </c:pt>
                <c:pt idx="3">
                  <c:v>3700</c:v>
                </c:pt>
                <c:pt idx="4">
                  <c:v>3900</c:v>
                </c:pt>
                <c:pt idx="5">
                  <c:v>3900</c:v>
                </c:pt>
                <c:pt idx="6">
                  <c:v>3700</c:v>
                </c:pt>
                <c:pt idx="7">
                  <c:v>4650</c:v>
                </c:pt>
                <c:pt idx="8">
                  <c:v>5990</c:v>
                </c:pt>
                <c:pt idx="9">
                  <c:v>3140</c:v>
                </c:pt>
                <c:pt idx="10">
                  <c:v>4940</c:v>
                </c:pt>
                <c:pt idx="11">
                  <c:v>4720</c:v>
                </c:pt>
                <c:pt idx="12">
                  <c:v>4560</c:v>
                </c:pt>
                <c:pt idx="13">
                  <c:v>4600</c:v>
                </c:pt>
                <c:pt idx="14">
                  <c:v>5020</c:v>
                </c:pt>
                <c:pt idx="15">
                  <c:v>3990</c:v>
                </c:pt>
                <c:pt idx="16">
                  <c:v>3070</c:v>
                </c:pt>
                <c:pt idx="17">
                  <c:v>2960</c:v>
                </c:pt>
                <c:pt idx="18">
                  <c:v>3090</c:v>
                </c:pt>
                <c:pt idx="19">
                  <c:v>3270</c:v>
                </c:pt>
                <c:pt idx="20">
                  <c:v>3540</c:v>
                </c:pt>
                <c:pt idx="21">
                  <c:v>830</c:v>
                </c:pt>
                <c:pt idx="22">
                  <c:v>-10</c:v>
                </c:pt>
                <c:pt idx="23">
                  <c:v>1430</c:v>
                </c:pt>
                <c:pt idx="24">
                  <c:v>2650</c:v>
                </c:pt>
                <c:pt idx="25">
                  <c:v>2650</c:v>
                </c:pt>
                <c:pt idx="26">
                  <c:v>3460</c:v>
                </c:pt>
                <c:pt idx="27">
                  <c:v>1830</c:v>
                </c:pt>
                <c:pt idx="28">
                  <c:v>2740</c:v>
                </c:pt>
                <c:pt idx="29">
                  <c:v>2740</c:v>
                </c:pt>
                <c:pt idx="30">
                  <c:v>4640</c:v>
                </c:pt>
                <c:pt idx="31">
                  <c:v>3140</c:v>
                </c:pt>
                <c:pt idx="32">
                  <c:v>4990</c:v>
                </c:pt>
                <c:pt idx="33">
                  <c:v>2380</c:v>
                </c:pt>
                <c:pt idx="34">
                  <c:v>3050</c:v>
                </c:pt>
                <c:pt idx="35">
                  <c:v>3050</c:v>
                </c:pt>
                <c:pt idx="36">
                  <c:v>4050</c:v>
                </c:pt>
                <c:pt idx="37">
                  <c:v>3750</c:v>
                </c:pt>
                <c:pt idx="38">
                  <c:v>3500</c:v>
                </c:pt>
                <c:pt idx="39">
                  <c:v>3820</c:v>
                </c:pt>
                <c:pt idx="40">
                  <c:v>8580</c:v>
                </c:pt>
                <c:pt idx="41">
                  <c:v>7770</c:v>
                </c:pt>
                <c:pt idx="42">
                  <c:v>6010</c:v>
                </c:pt>
                <c:pt idx="43">
                  <c:v>5780</c:v>
                </c:pt>
                <c:pt idx="44">
                  <c:v>5670</c:v>
                </c:pt>
                <c:pt idx="45">
                  <c:v>7150</c:v>
                </c:pt>
                <c:pt idx="46">
                  <c:v>7020</c:v>
                </c:pt>
                <c:pt idx="47">
                  <c:v>7020</c:v>
                </c:pt>
                <c:pt idx="48">
                  <c:v>7020</c:v>
                </c:pt>
                <c:pt idx="49">
                  <c:v>8200</c:v>
                </c:pt>
                <c:pt idx="50">
                  <c:v>6730</c:v>
                </c:pt>
                <c:pt idx="51">
                  <c:v>7610</c:v>
                </c:pt>
                <c:pt idx="52">
                  <c:v>7460</c:v>
                </c:pt>
                <c:pt idx="53">
                  <c:v>7190</c:v>
                </c:pt>
                <c:pt idx="54">
                  <c:v>5010</c:v>
                </c:pt>
                <c:pt idx="55">
                  <c:v>5570</c:v>
                </c:pt>
                <c:pt idx="56">
                  <c:v>5160</c:v>
                </c:pt>
                <c:pt idx="57">
                  <c:v>3410</c:v>
                </c:pt>
                <c:pt idx="58">
                  <c:v>4080</c:v>
                </c:pt>
                <c:pt idx="59">
                  <c:v>3970</c:v>
                </c:pt>
                <c:pt idx="60">
                  <c:v>4110</c:v>
                </c:pt>
                <c:pt idx="61">
                  <c:v>4320</c:v>
                </c:pt>
                <c:pt idx="62">
                  <c:v>2870</c:v>
                </c:pt>
                <c:pt idx="63">
                  <c:v>3570</c:v>
                </c:pt>
                <c:pt idx="64">
                  <c:v>2320</c:v>
                </c:pt>
                <c:pt idx="65">
                  <c:v>1990</c:v>
                </c:pt>
                <c:pt idx="66">
                  <c:v>1860</c:v>
                </c:pt>
                <c:pt idx="67">
                  <c:v>1830</c:v>
                </c:pt>
                <c:pt idx="68">
                  <c:v>3290</c:v>
                </c:pt>
                <c:pt idx="69">
                  <c:v>3210</c:v>
                </c:pt>
                <c:pt idx="70">
                  <c:v>3030</c:v>
                </c:pt>
                <c:pt idx="71">
                  <c:v>3660</c:v>
                </c:pt>
                <c:pt idx="72">
                  <c:v>6560</c:v>
                </c:pt>
                <c:pt idx="73">
                  <c:v>6780</c:v>
                </c:pt>
                <c:pt idx="74">
                  <c:v>8920</c:v>
                </c:pt>
                <c:pt idx="75">
                  <c:v>9170</c:v>
                </c:pt>
                <c:pt idx="76">
                  <c:v>8840</c:v>
                </c:pt>
                <c:pt idx="77">
                  <c:v>8780</c:v>
                </c:pt>
                <c:pt idx="78">
                  <c:v>9290</c:v>
                </c:pt>
                <c:pt idx="79">
                  <c:v>10070</c:v>
                </c:pt>
                <c:pt idx="80">
                  <c:v>9590</c:v>
                </c:pt>
                <c:pt idx="81">
                  <c:v>9900</c:v>
                </c:pt>
                <c:pt idx="82">
                  <c:v>9140</c:v>
                </c:pt>
                <c:pt idx="83">
                  <c:v>8930</c:v>
                </c:pt>
                <c:pt idx="84">
                  <c:v>8920</c:v>
                </c:pt>
                <c:pt idx="85">
                  <c:v>7630</c:v>
                </c:pt>
                <c:pt idx="86">
                  <c:v>7000</c:v>
                </c:pt>
                <c:pt idx="87">
                  <c:v>6410</c:v>
                </c:pt>
                <c:pt idx="88">
                  <c:v>5500</c:v>
                </c:pt>
                <c:pt idx="89">
                  <c:v>5610</c:v>
                </c:pt>
                <c:pt idx="90">
                  <c:v>5490</c:v>
                </c:pt>
                <c:pt idx="91">
                  <c:v>5510</c:v>
                </c:pt>
                <c:pt idx="92">
                  <c:v>5910</c:v>
                </c:pt>
                <c:pt idx="93">
                  <c:v>6810</c:v>
                </c:pt>
                <c:pt idx="94">
                  <c:v>8010</c:v>
                </c:pt>
                <c:pt idx="95">
                  <c:v>8010</c:v>
                </c:pt>
                <c:pt idx="96">
                  <c:v>9140</c:v>
                </c:pt>
                <c:pt idx="97">
                  <c:v>9400</c:v>
                </c:pt>
                <c:pt idx="98">
                  <c:v>10220</c:v>
                </c:pt>
                <c:pt idx="99">
                  <c:v>11470</c:v>
                </c:pt>
                <c:pt idx="100">
                  <c:v>10960</c:v>
                </c:pt>
                <c:pt idx="101">
                  <c:v>11060</c:v>
                </c:pt>
                <c:pt idx="102">
                  <c:v>9970</c:v>
                </c:pt>
                <c:pt idx="103">
                  <c:v>11380</c:v>
                </c:pt>
                <c:pt idx="104">
                  <c:v>10900</c:v>
                </c:pt>
                <c:pt idx="105">
                  <c:v>11830</c:v>
                </c:pt>
                <c:pt idx="106">
                  <c:v>12640</c:v>
                </c:pt>
                <c:pt idx="107">
                  <c:v>12490</c:v>
                </c:pt>
                <c:pt idx="108">
                  <c:v>12300</c:v>
                </c:pt>
                <c:pt idx="109">
                  <c:v>12690</c:v>
                </c:pt>
                <c:pt idx="110">
                  <c:v>12840</c:v>
                </c:pt>
                <c:pt idx="111">
                  <c:v>13200</c:v>
                </c:pt>
                <c:pt idx="112">
                  <c:v>12920</c:v>
                </c:pt>
                <c:pt idx="113">
                  <c:v>12640</c:v>
                </c:pt>
                <c:pt idx="114">
                  <c:v>10680</c:v>
                </c:pt>
                <c:pt idx="115">
                  <c:v>10340</c:v>
                </c:pt>
                <c:pt idx="116">
                  <c:v>10580</c:v>
                </c:pt>
                <c:pt idx="117">
                  <c:v>10910</c:v>
                </c:pt>
                <c:pt idx="118">
                  <c:v>10060</c:v>
                </c:pt>
                <c:pt idx="119">
                  <c:v>10180</c:v>
                </c:pt>
                <c:pt idx="120">
                  <c:v>10020</c:v>
                </c:pt>
                <c:pt idx="121">
                  <c:v>8770</c:v>
                </c:pt>
                <c:pt idx="122">
                  <c:v>9300</c:v>
                </c:pt>
                <c:pt idx="123">
                  <c:v>9020</c:v>
                </c:pt>
                <c:pt idx="124">
                  <c:v>8440</c:v>
                </c:pt>
                <c:pt idx="125">
                  <c:v>8440</c:v>
                </c:pt>
                <c:pt idx="126">
                  <c:v>8450</c:v>
                </c:pt>
                <c:pt idx="127">
                  <c:v>10210</c:v>
                </c:pt>
                <c:pt idx="128">
                  <c:v>10540</c:v>
                </c:pt>
                <c:pt idx="129">
                  <c:v>10080</c:v>
                </c:pt>
                <c:pt idx="130">
                  <c:v>10710</c:v>
                </c:pt>
                <c:pt idx="131">
                  <c:v>10680</c:v>
                </c:pt>
                <c:pt idx="132">
                  <c:v>10260</c:v>
                </c:pt>
                <c:pt idx="133">
                  <c:v>10490</c:v>
                </c:pt>
                <c:pt idx="134">
                  <c:v>11580</c:v>
                </c:pt>
                <c:pt idx="135">
                  <c:v>10990</c:v>
                </c:pt>
                <c:pt idx="136">
                  <c:v>11080</c:v>
                </c:pt>
                <c:pt idx="137">
                  <c:v>11180</c:v>
                </c:pt>
                <c:pt idx="138">
                  <c:v>11250</c:v>
                </c:pt>
                <c:pt idx="139">
                  <c:v>10950</c:v>
                </c:pt>
                <c:pt idx="140">
                  <c:v>10440</c:v>
                </c:pt>
                <c:pt idx="141">
                  <c:v>10320</c:v>
                </c:pt>
                <c:pt idx="142">
                  <c:v>10100</c:v>
                </c:pt>
                <c:pt idx="143">
                  <c:v>10340</c:v>
                </c:pt>
                <c:pt idx="144">
                  <c:v>10540</c:v>
                </c:pt>
                <c:pt idx="145">
                  <c:v>11360</c:v>
                </c:pt>
                <c:pt idx="146">
                  <c:v>11710</c:v>
                </c:pt>
                <c:pt idx="147">
                  <c:v>12200</c:v>
                </c:pt>
                <c:pt idx="148">
                  <c:v>12200</c:v>
                </c:pt>
                <c:pt idx="149">
                  <c:v>12200</c:v>
                </c:pt>
                <c:pt idx="150">
                  <c:v>11100</c:v>
                </c:pt>
                <c:pt idx="151">
                  <c:v>11480</c:v>
                </c:pt>
                <c:pt idx="152">
                  <c:v>11390</c:v>
                </c:pt>
                <c:pt idx="153">
                  <c:v>12920</c:v>
                </c:pt>
                <c:pt idx="154">
                  <c:v>15940</c:v>
                </c:pt>
                <c:pt idx="155">
                  <c:v>16620</c:v>
                </c:pt>
                <c:pt idx="156">
                  <c:v>16270</c:v>
                </c:pt>
                <c:pt idx="157">
                  <c:v>16270</c:v>
                </c:pt>
                <c:pt idx="158">
                  <c:v>18460</c:v>
                </c:pt>
                <c:pt idx="159">
                  <c:v>19550</c:v>
                </c:pt>
                <c:pt idx="160">
                  <c:v>20210</c:v>
                </c:pt>
                <c:pt idx="161">
                  <c:v>19850</c:v>
                </c:pt>
                <c:pt idx="162">
                  <c:v>20370</c:v>
                </c:pt>
                <c:pt idx="163">
                  <c:v>20350</c:v>
                </c:pt>
                <c:pt idx="164">
                  <c:v>19900</c:v>
                </c:pt>
                <c:pt idx="165">
                  <c:v>19700</c:v>
                </c:pt>
                <c:pt idx="166">
                  <c:v>19700</c:v>
                </c:pt>
                <c:pt idx="167">
                  <c:v>19950</c:v>
                </c:pt>
                <c:pt idx="168">
                  <c:v>19940</c:v>
                </c:pt>
                <c:pt idx="169">
                  <c:v>19900</c:v>
                </c:pt>
                <c:pt idx="170">
                  <c:v>19730</c:v>
                </c:pt>
                <c:pt idx="171">
                  <c:v>18590</c:v>
                </c:pt>
                <c:pt idx="172">
                  <c:v>19390</c:v>
                </c:pt>
                <c:pt idx="173">
                  <c:v>19020</c:v>
                </c:pt>
                <c:pt idx="174">
                  <c:v>19090</c:v>
                </c:pt>
                <c:pt idx="175">
                  <c:v>19790</c:v>
                </c:pt>
                <c:pt idx="176">
                  <c:v>20260</c:v>
                </c:pt>
                <c:pt idx="177">
                  <c:v>20940</c:v>
                </c:pt>
                <c:pt idx="178">
                  <c:v>21400</c:v>
                </c:pt>
                <c:pt idx="179">
                  <c:v>20550</c:v>
                </c:pt>
                <c:pt idx="180">
                  <c:v>20540</c:v>
                </c:pt>
                <c:pt idx="181">
                  <c:v>21580</c:v>
                </c:pt>
                <c:pt idx="182">
                  <c:v>22010</c:v>
                </c:pt>
                <c:pt idx="183">
                  <c:v>21750</c:v>
                </c:pt>
                <c:pt idx="184">
                  <c:v>21590</c:v>
                </c:pt>
                <c:pt idx="185">
                  <c:v>21330</c:v>
                </c:pt>
                <c:pt idx="186">
                  <c:v>21280</c:v>
                </c:pt>
                <c:pt idx="187">
                  <c:v>20980</c:v>
                </c:pt>
                <c:pt idx="188">
                  <c:v>20910</c:v>
                </c:pt>
                <c:pt idx="189">
                  <c:v>20780</c:v>
                </c:pt>
                <c:pt idx="190">
                  <c:v>21560</c:v>
                </c:pt>
                <c:pt idx="191">
                  <c:v>21560</c:v>
                </c:pt>
                <c:pt idx="192">
                  <c:v>21410</c:v>
                </c:pt>
                <c:pt idx="193">
                  <c:v>22680</c:v>
                </c:pt>
                <c:pt idx="194">
                  <c:v>23430</c:v>
                </c:pt>
                <c:pt idx="195">
                  <c:v>25090</c:v>
                </c:pt>
                <c:pt idx="196">
                  <c:v>26880</c:v>
                </c:pt>
                <c:pt idx="197">
                  <c:v>26880</c:v>
                </c:pt>
                <c:pt idx="198">
                  <c:v>23790</c:v>
                </c:pt>
                <c:pt idx="199">
                  <c:v>23530</c:v>
                </c:pt>
                <c:pt idx="200">
                  <c:v>20500</c:v>
                </c:pt>
                <c:pt idx="201">
                  <c:v>19080</c:v>
                </c:pt>
                <c:pt idx="202">
                  <c:v>20930</c:v>
                </c:pt>
                <c:pt idx="203">
                  <c:v>19400</c:v>
                </c:pt>
                <c:pt idx="204">
                  <c:v>16610</c:v>
                </c:pt>
                <c:pt idx="205">
                  <c:v>20680</c:v>
                </c:pt>
                <c:pt idx="206">
                  <c:v>20320</c:v>
                </c:pt>
                <c:pt idx="207">
                  <c:v>22200</c:v>
                </c:pt>
                <c:pt idx="208">
                  <c:v>23920</c:v>
                </c:pt>
                <c:pt idx="209">
                  <c:v>22220</c:v>
                </c:pt>
                <c:pt idx="210">
                  <c:v>20570</c:v>
                </c:pt>
                <c:pt idx="211">
                  <c:v>20570</c:v>
                </c:pt>
                <c:pt idx="212">
                  <c:v>17560</c:v>
                </c:pt>
                <c:pt idx="213">
                  <c:v>24010</c:v>
                </c:pt>
                <c:pt idx="214">
                  <c:v>15720</c:v>
                </c:pt>
                <c:pt idx="215">
                  <c:v>15930</c:v>
                </c:pt>
                <c:pt idx="216">
                  <c:v>16890</c:v>
                </c:pt>
                <c:pt idx="217">
                  <c:v>13700</c:v>
                </c:pt>
                <c:pt idx="218">
                  <c:v>15200</c:v>
                </c:pt>
                <c:pt idx="219">
                  <c:v>15200</c:v>
                </c:pt>
                <c:pt idx="220">
                  <c:v>12830</c:v>
                </c:pt>
                <c:pt idx="221">
                  <c:v>13380</c:v>
                </c:pt>
                <c:pt idx="222">
                  <c:v>22310</c:v>
                </c:pt>
                <c:pt idx="223">
                  <c:v>29650</c:v>
                </c:pt>
                <c:pt idx="224">
                  <c:v>31450</c:v>
                </c:pt>
                <c:pt idx="225">
                  <c:v>32490</c:v>
                </c:pt>
                <c:pt idx="226">
                  <c:v>28540</c:v>
                </c:pt>
                <c:pt idx="227">
                  <c:v>29970</c:v>
                </c:pt>
                <c:pt idx="228">
                  <c:v>29570</c:v>
                </c:pt>
                <c:pt idx="229">
                  <c:v>33180</c:v>
                </c:pt>
                <c:pt idx="230">
                  <c:v>31960</c:v>
                </c:pt>
                <c:pt idx="231">
                  <c:v>34090</c:v>
                </c:pt>
                <c:pt idx="232">
                  <c:v>32850</c:v>
                </c:pt>
                <c:pt idx="233">
                  <c:v>32510</c:v>
                </c:pt>
                <c:pt idx="234">
                  <c:v>36050</c:v>
                </c:pt>
                <c:pt idx="235">
                  <c:v>36830</c:v>
                </c:pt>
                <c:pt idx="236">
                  <c:v>35700</c:v>
                </c:pt>
                <c:pt idx="237">
                  <c:v>37170</c:v>
                </c:pt>
                <c:pt idx="238">
                  <c:v>36610</c:v>
                </c:pt>
                <c:pt idx="239">
                  <c:v>40980</c:v>
                </c:pt>
                <c:pt idx="240">
                  <c:v>39910</c:v>
                </c:pt>
                <c:pt idx="241">
                  <c:v>40480</c:v>
                </c:pt>
                <c:pt idx="242">
                  <c:v>36380</c:v>
                </c:pt>
                <c:pt idx="243">
                  <c:v>36080</c:v>
                </c:pt>
                <c:pt idx="244">
                  <c:v>35220</c:v>
                </c:pt>
                <c:pt idx="245">
                  <c:v>35490</c:v>
                </c:pt>
                <c:pt idx="246">
                  <c:v>35160</c:v>
                </c:pt>
                <c:pt idx="247">
                  <c:v>33700</c:v>
                </c:pt>
                <c:pt idx="248">
                  <c:v>34880</c:v>
                </c:pt>
                <c:pt idx="249">
                  <c:v>35540</c:v>
                </c:pt>
                <c:pt idx="250">
                  <c:v>35540</c:v>
                </c:pt>
                <c:pt idx="251">
                  <c:v>37120</c:v>
                </c:pt>
                <c:pt idx="252">
                  <c:v>37290</c:v>
                </c:pt>
                <c:pt idx="253">
                  <c:v>34780</c:v>
                </c:pt>
                <c:pt idx="254">
                  <c:v>37800</c:v>
                </c:pt>
                <c:pt idx="255">
                  <c:v>37630</c:v>
                </c:pt>
                <c:pt idx="256">
                  <c:v>37630</c:v>
                </c:pt>
                <c:pt idx="257">
                  <c:v>36220</c:v>
                </c:pt>
                <c:pt idx="258">
                  <c:v>36000</c:v>
                </c:pt>
                <c:pt idx="259">
                  <c:v>37290</c:v>
                </c:pt>
                <c:pt idx="260">
                  <c:v>40050</c:v>
                </c:pt>
                <c:pt idx="261">
                  <c:v>41920</c:v>
                </c:pt>
                <c:pt idx="262">
                  <c:v>41820</c:v>
                </c:pt>
                <c:pt idx="263">
                  <c:v>42090</c:v>
                </c:pt>
                <c:pt idx="264">
                  <c:v>41850</c:v>
                </c:pt>
                <c:pt idx="265">
                  <c:v>42150</c:v>
                </c:pt>
                <c:pt idx="266">
                  <c:v>39590</c:v>
                </c:pt>
                <c:pt idx="267">
                  <c:v>39820</c:v>
                </c:pt>
                <c:pt idx="268">
                  <c:v>41180</c:v>
                </c:pt>
                <c:pt idx="269">
                  <c:v>43410</c:v>
                </c:pt>
                <c:pt idx="270">
                  <c:v>43150</c:v>
                </c:pt>
                <c:pt idx="271">
                  <c:v>42500</c:v>
                </c:pt>
                <c:pt idx="272">
                  <c:v>43240</c:v>
                </c:pt>
                <c:pt idx="273">
                  <c:v>42440</c:v>
                </c:pt>
                <c:pt idx="274">
                  <c:v>42080</c:v>
                </c:pt>
                <c:pt idx="275">
                  <c:v>42900</c:v>
                </c:pt>
                <c:pt idx="276">
                  <c:v>44740</c:v>
                </c:pt>
                <c:pt idx="277">
                  <c:v>43680</c:v>
                </c:pt>
                <c:pt idx="278">
                  <c:v>42420</c:v>
                </c:pt>
                <c:pt idx="279">
                  <c:v>44590</c:v>
                </c:pt>
                <c:pt idx="280">
                  <c:v>44380</c:v>
                </c:pt>
                <c:pt idx="281">
                  <c:v>43910</c:v>
                </c:pt>
                <c:pt idx="282">
                  <c:v>44050</c:v>
                </c:pt>
                <c:pt idx="283">
                  <c:v>46000</c:v>
                </c:pt>
                <c:pt idx="284">
                  <c:v>46280</c:v>
                </c:pt>
                <c:pt idx="285">
                  <c:v>48610</c:v>
                </c:pt>
                <c:pt idx="286">
                  <c:v>47720</c:v>
                </c:pt>
                <c:pt idx="287">
                  <c:v>46870</c:v>
                </c:pt>
                <c:pt idx="288">
                  <c:v>49020</c:v>
                </c:pt>
                <c:pt idx="289">
                  <c:v>50870</c:v>
                </c:pt>
                <c:pt idx="290">
                  <c:v>50910</c:v>
                </c:pt>
                <c:pt idx="291">
                  <c:v>49840</c:v>
                </c:pt>
                <c:pt idx="292">
                  <c:v>49520</c:v>
                </c:pt>
                <c:pt idx="293">
                  <c:v>46340</c:v>
                </c:pt>
                <c:pt idx="294">
                  <c:v>45700</c:v>
                </c:pt>
                <c:pt idx="295">
                  <c:v>45810</c:v>
                </c:pt>
                <c:pt idx="296">
                  <c:v>45030</c:v>
                </c:pt>
                <c:pt idx="297">
                  <c:v>46430</c:v>
                </c:pt>
                <c:pt idx="298">
                  <c:v>47220</c:v>
                </c:pt>
                <c:pt idx="299">
                  <c:v>47480</c:v>
                </c:pt>
                <c:pt idx="300">
                  <c:v>48960</c:v>
                </c:pt>
                <c:pt idx="301">
                  <c:v>49600</c:v>
                </c:pt>
                <c:pt idx="302">
                  <c:v>50000</c:v>
                </c:pt>
                <c:pt idx="303">
                  <c:v>51080</c:v>
                </c:pt>
                <c:pt idx="304">
                  <c:v>50850</c:v>
                </c:pt>
                <c:pt idx="305">
                  <c:v>50130</c:v>
                </c:pt>
                <c:pt idx="306">
                  <c:v>48070</c:v>
                </c:pt>
                <c:pt idx="307">
                  <c:v>48990</c:v>
                </c:pt>
                <c:pt idx="308">
                  <c:v>46710</c:v>
                </c:pt>
                <c:pt idx="309">
                  <c:v>47020</c:v>
                </c:pt>
                <c:pt idx="310">
                  <c:v>47020</c:v>
                </c:pt>
                <c:pt idx="311">
                  <c:v>47760</c:v>
                </c:pt>
                <c:pt idx="312">
                  <c:v>45290</c:v>
                </c:pt>
                <c:pt idx="313">
                  <c:v>46300</c:v>
                </c:pt>
                <c:pt idx="314">
                  <c:v>47680</c:v>
                </c:pt>
                <c:pt idx="315">
                  <c:v>47020</c:v>
                </c:pt>
                <c:pt idx="316">
                  <c:v>47240</c:v>
                </c:pt>
                <c:pt idx="317">
                  <c:v>46500</c:v>
                </c:pt>
                <c:pt idx="318">
                  <c:v>46450</c:v>
                </c:pt>
                <c:pt idx="319">
                  <c:v>45450</c:v>
                </c:pt>
                <c:pt idx="320">
                  <c:v>46110</c:v>
                </c:pt>
                <c:pt idx="321">
                  <c:v>47070</c:v>
                </c:pt>
                <c:pt idx="322">
                  <c:v>46850</c:v>
                </c:pt>
                <c:pt idx="323">
                  <c:v>48180</c:v>
                </c:pt>
                <c:pt idx="324">
                  <c:v>51810</c:v>
                </c:pt>
                <c:pt idx="325">
                  <c:v>50630</c:v>
                </c:pt>
                <c:pt idx="326">
                  <c:v>51900</c:v>
                </c:pt>
                <c:pt idx="327">
                  <c:v>52800</c:v>
                </c:pt>
                <c:pt idx="328">
                  <c:v>54990</c:v>
                </c:pt>
                <c:pt idx="329">
                  <c:v>55790</c:v>
                </c:pt>
                <c:pt idx="330">
                  <c:v>54510</c:v>
                </c:pt>
                <c:pt idx="331">
                  <c:v>54510</c:v>
                </c:pt>
                <c:pt idx="332">
                  <c:v>51960</c:v>
                </c:pt>
                <c:pt idx="333">
                  <c:v>51490</c:v>
                </c:pt>
                <c:pt idx="334">
                  <c:v>51490</c:v>
                </c:pt>
                <c:pt idx="335">
                  <c:v>51060</c:v>
                </c:pt>
                <c:pt idx="336">
                  <c:v>47030</c:v>
                </c:pt>
                <c:pt idx="337">
                  <c:v>44810</c:v>
                </c:pt>
                <c:pt idx="338">
                  <c:v>45260</c:v>
                </c:pt>
                <c:pt idx="339">
                  <c:v>46150</c:v>
                </c:pt>
                <c:pt idx="340">
                  <c:v>45790</c:v>
                </c:pt>
                <c:pt idx="341">
                  <c:v>43900</c:v>
                </c:pt>
                <c:pt idx="342">
                  <c:v>54400</c:v>
                </c:pt>
                <c:pt idx="343">
                  <c:v>48940</c:v>
                </c:pt>
                <c:pt idx="344">
                  <c:v>44250</c:v>
                </c:pt>
                <c:pt idx="345">
                  <c:v>44380</c:v>
                </c:pt>
                <c:pt idx="346">
                  <c:v>44380</c:v>
                </c:pt>
                <c:pt idx="347">
                  <c:v>47550</c:v>
                </c:pt>
                <c:pt idx="348">
                  <c:v>48850</c:v>
                </c:pt>
                <c:pt idx="349">
                  <c:v>51980</c:v>
                </c:pt>
                <c:pt idx="350">
                  <c:v>53530</c:v>
                </c:pt>
                <c:pt idx="351">
                  <c:v>53150</c:v>
                </c:pt>
                <c:pt idx="352">
                  <c:v>53740</c:v>
                </c:pt>
                <c:pt idx="353">
                  <c:v>50330</c:v>
                </c:pt>
                <c:pt idx="354">
                  <c:v>50110</c:v>
                </c:pt>
                <c:pt idx="355">
                  <c:v>47410</c:v>
                </c:pt>
                <c:pt idx="356">
                  <c:v>47690</c:v>
                </c:pt>
                <c:pt idx="357">
                  <c:v>49930</c:v>
                </c:pt>
                <c:pt idx="358">
                  <c:v>49580</c:v>
                </c:pt>
                <c:pt idx="359">
                  <c:v>48860</c:v>
                </c:pt>
                <c:pt idx="360">
                  <c:v>48860</c:v>
                </c:pt>
                <c:pt idx="361">
                  <c:v>44200</c:v>
                </c:pt>
                <c:pt idx="362">
                  <c:v>41240</c:v>
                </c:pt>
                <c:pt idx="363">
                  <c:v>38830</c:v>
                </c:pt>
                <c:pt idx="364">
                  <c:v>39030</c:v>
                </c:pt>
                <c:pt idx="365">
                  <c:v>39610</c:v>
                </c:pt>
                <c:pt idx="366">
                  <c:v>38650</c:v>
                </c:pt>
                <c:pt idx="367">
                  <c:v>37540</c:v>
                </c:pt>
                <c:pt idx="368">
                  <c:v>39150</c:v>
                </c:pt>
                <c:pt idx="369">
                  <c:v>38500</c:v>
                </c:pt>
                <c:pt idx="370">
                  <c:v>39330</c:v>
                </c:pt>
                <c:pt idx="371">
                  <c:v>39300</c:v>
                </c:pt>
                <c:pt idx="372">
                  <c:v>38240</c:v>
                </c:pt>
                <c:pt idx="373">
                  <c:v>35350</c:v>
                </c:pt>
                <c:pt idx="374">
                  <c:v>35900</c:v>
                </c:pt>
                <c:pt idx="375">
                  <c:v>35850</c:v>
                </c:pt>
                <c:pt idx="376">
                  <c:v>35490</c:v>
                </c:pt>
                <c:pt idx="377">
                  <c:v>38820</c:v>
                </c:pt>
                <c:pt idx="378">
                  <c:v>38820</c:v>
                </c:pt>
                <c:pt idx="379">
                  <c:v>40670</c:v>
                </c:pt>
                <c:pt idx="380">
                  <c:v>41090</c:v>
                </c:pt>
                <c:pt idx="381">
                  <c:v>40970</c:v>
                </c:pt>
                <c:pt idx="382">
                  <c:v>41320</c:v>
                </c:pt>
                <c:pt idx="383">
                  <c:v>43080</c:v>
                </c:pt>
                <c:pt idx="384">
                  <c:v>43180</c:v>
                </c:pt>
                <c:pt idx="385">
                  <c:v>41390</c:v>
                </c:pt>
                <c:pt idx="386">
                  <c:v>42630</c:v>
                </c:pt>
                <c:pt idx="387">
                  <c:v>42630</c:v>
                </c:pt>
                <c:pt idx="388">
                  <c:v>42630</c:v>
                </c:pt>
                <c:pt idx="389">
                  <c:v>43680</c:v>
                </c:pt>
                <c:pt idx="390">
                  <c:v>39140</c:v>
                </c:pt>
                <c:pt idx="391">
                  <c:v>39810</c:v>
                </c:pt>
                <c:pt idx="392">
                  <c:v>41400</c:v>
                </c:pt>
                <c:pt idx="393">
                  <c:v>42740</c:v>
                </c:pt>
                <c:pt idx="394">
                  <c:v>42740</c:v>
                </c:pt>
                <c:pt idx="395">
                  <c:v>44000</c:v>
                </c:pt>
                <c:pt idx="396">
                  <c:v>43690</c:v>
                </c:pt>
                <c:pt idx="397">
                  <c:v>43360</c:v>
                </c:pt>
                <c:pt idx="398">
                  <c:v>41540</c:v>
                </c:pt>
                <c:pt idx="399">
                  <c:v>40180</c:v>
                </c:pt>
                <c:pt idx="400">
                  <c:v>40160</c:v>
                </c:pt>
                <c:pt idx="401">
                  <c:v>40090</c:v>
                </c:pt>
                <c:pt idx="402">
                  <c:v>41840</c:v>
                </c:pt>
                <c:pt idx="403">
                  <c:v>39950</c:v>
                </c:pt>
                <c:pt idx="404">
                  <c:v>39990</c:v>
                </c:pt>
                <c:pt idx="405">
                  <c:v>37930</c:v>
                </c:pt>
                <c:pt idx="406">
                  <c:v>38400</c:v>
                </c:pt>
                <c:pt idx="407">
                  <c:v>39440</c:v>
                </c:pt>
                <c:pt idx="408">
                  <c:v>38580</c:v>
                </c:pt>
                <c:pt idx="409">
                  <c:v>41250</c:v>
                </c:pt>
                <c:pt idx="410">
                  <c:v>41810</c:v>
                </c:pt>
                <c:pt idx="411">
                  <c:v>41510</c:v>
                </c:pt>
                <c:pt idx="412">
                  <c:v>41790</c:v>
                </c:pt>
                <c:pt idx="413">
                  <c:v>42800</c:v>
                </c:pt>
                <c:pt idx="414">
                  <c:v>43010</c:v>
                </c:pt>
                <c:pt idx="415">
                  <c:v>40330</c:v>
                </c:pt>
                <c:pt idx="416">
                  <c:v>42990</c:v>
                </c:pt>
                <c:pt idx="417">
                  <c:v>43780</c:v>
                </c:pt>
                <c:pt idx="418">
                  <c:v>44160</c:v>
                </c:pt>
                <c:pt idx="419">
                  <c:v>50550</c:v>
                </c:pt>
                <c:pt idx="420">
                  <c:v>50520</c:v>
                </c:pt>
                <c:pt idx="421">
                  <c:v>52440</c:v>
                </c:pt>
                <c:pt idx="422">
                  <c:v>52970</c:v>
                </c:pt>
                <c:pt idx="423">
                  <c:v>53080</c:v>
                </c:pt>
                <c:pt idx="424">
                  <c:v>53630</c:v>
                </c:pt>
                <c:pt idx="425">
                  <c:v>52550</c:v>
                </c:pt>
                <c:pt idx="426">
                  <c:v>50840</c:v>
                </c:pt>
                <c:pt idx="427">
                  <c:v>51240</c:v>
                </c:pt>
                <c:pt idx="428">
                  <c:v>50380</c:v>
                </c:pt>
                <c:pt idx="429">
                  <c:v>49570</c:v>
                </c:pt>
                <c:pt idx="430">
                  <c:v>49570</c:v>
                </c:pt>
                <c:pt idx="431">
                  <c:v>54070</c:v>
                </c:pt>
                <c:pt idx="432">
                  <c:v>56100</c:v>
                </c:pt>
                <c:pt idx="433">
                  <c:v>54700</c:v>
                </c:pt>
                <c:pt idx="434">
                  <c:v>54370</c:v>
                </c:pt>
                <c:pt idx="435">
                  <c:v>56010</c:v>
                </c:pt>
                <c:pt idx="436">
                  <c:v>57680</c:v>
                </c:pt>
                <c:pt idx="437">
                  <c:v>56850</c:v>
                </c:pt>
                <c:pt idx="438">
                  <c:v>58320</c:v>
                </c:pt>
                <c:pt idx="439">
                  <c:v>60970</c:v>
                </c:pt>
                <c:pt idx="440">
                  <c:v>61570</c:v>
                </c:pt>
                <c:pt idx="441">
                  <c:v>61110</c:v>
                </c:pt>
                <c:pt idx="442">
                  <c:v>60700</c:v>
                </c:pt>
                <c:pt idx="443">
                  <c:v>58880</c:v>
                </c:pt>
                <c:pt idx="444">
                  <c:v>56640</c:v>
                </c:pt>
                <c:pt idx="445">
                  <c:v>57760</c:v>
                </c:pt>
                <c:pt idx="446">
                  <c:v>57700</c:v>
                </c:pt>
                <c:pt idx="447">
                  <c:v>56150</c:v>
                </c:pt>
                <c:pt idx="448">
                  <c:v>55870</c:v>
                </c:pt>
                <c:pt idx="449">
                  <c:v>53820</c:v>
                </c:pt>
                <c:pt idx="450">
                  <c:v>53690</c:v>
                </c:pt>
                <c:pt idx="451">
                  <c:v>51750</c:v>
                </c:pt>
                <c:pt idx="452">
                  <c:v>50380</c:v>
                </c:pt>
                <c:pt idx="453">
                  <c:v>50620</c:v>
                </c:pt>
                <c:pt idx="454">
                  <c:v>50620</c:v>
                </c:pt>
                <c:pt idx="455">
                  <c:v>51690</c:v>
                </c:pt>
                <c:pt idx="456">
                  <c:v>52440</c:v>
                </c:pt>
                <c:pt idx="457">
                  <c:v>51500</c:v>
                </c:pt>
                <c:pt idx="458">
                  <c:v>49860</c:v>
                </c:pt>
                <c:pt idx="459">
                  <c:v>49210</c:v>
                </c:pt>
                <c:pt idx="460">
                  <c:v>49250</c:v>
                </c:pt>
                <c:pt idx="461">
                  <c:v>47310</c:v>
                </c:pt>
                <c:pt idx="462">
                  <c:v>47100</c:v>
                </c:pt>
                <c:pt idx="463">
                  <c:v>48940</c:v>
                </c:pt>
                <c:pt idx="464">
                  <c:v>49920</c:v>
                </c:pt>
                <c:pt idx="465">
                  <c:v>51490</c:v>
                </c:pt>
                <c:pt idx="466">
                  <c:v>51910</c:v>
                </c:pt>
                <c:pt idx="467">
                  <c:v>54010</c:v>
                </c:pt>
                <c:pt idx="468">
                  <c:v>54530</c:v>
                </c:pt>
                <c:pt idx="469">
                  <c:v>54530</c:v>
                </c:pt>
                <c:pt idx="470">
                  <c:v>54530</c:v>
                </c:pt>
                <c:pt idx="471">
                  <c:v>54530</c:v>
                </c:pt>
                <c:pt idx="472">
                  <c:v>51910</c:v>
                </c:pt>
                <c:pt idx="473">
                  <c:v>52020</c:v>
                </c:pt>
                <c:pt idx="474">
                  <c:v>52020</c:v>
                </c:pt>
                <c:pt idx="475">
                  <c:v>54820</c:v>
                </c:pt>
                <c:pt idx="476">
                  <c:v>53060</c:v>
                </c:pt>
                <c:pt idx="477">
                  <c:v>52400</c:v>
                </c:pt>
                <c:pt idx="478">
                  <c:v>50130</c:v>
                </c:pt>
                <c:pt idx="479">
                  <c:v>46030</c:v>
                </c:pt>
                <c:pt idx="480">
                  <c:v>47100</c:v>
                </c:pt>
                <c:pt idx="481">
                  <c:v>47110</c:v>
                </c:pt>
                <c:pt idx="482">
                  <c:v>47340</c:v>
                </c:pt>
                <c:pt idx="483">
                  <c:v>47040</c:v>
                </c:pt>
                <c:pt idx="484">
                  <c:v>46660</c:v>
                </c:pt>
                <c:pt idx="485">
                  <c:v>47760</c:v>
                </c:pt>
                <c:pt idx="486">
                  <c:v>47360</c:v>
                </c:pt>
                <c:pt idx="487">
                  <c:v>48760</c:v>
                </c:pt>
                <c:pt idx="488">
                  <c:v>49190</c:v>
                </c:pt>
                <c:pt idx="489">
                  <c:v>49140</c:v>
                </c:pt>
                <c:pt idx="490">
                  <c:v>50600</c:v>
                </c:pt>
                <c:pt idx="491">
                  <c:v>50780</c:v>
                </c:pt>
                <c:pt idx="492">
                  <c:v>52890</c:v>
                </c:pt>
                <c:pt idx="493">
                  <c:v>49180</c:v>
                </c:pt>
                <c:pt idx="494">
                  <c:v>49970</c:v>
                </c:pt>
                <c:pt idx="495">
                  <c:v>51690</c:v>
                </c:pt>
                <c:pt idx="496">
                  <c:v>51630</c:v>
                </c:pt>
                <c:pt idx="497">
                  <c:v>49600</c:v>
                </c:pt>
                <c:pt idx="498">
                  <c:v>50310</c:v>
                </c:pt>
                <c:pt idx="499">
                  <c:v>49460</c:v>
                </c:pt>
                <c:pt idx="500">
                  <c:v>49310</c:v>
                </c:pt>
                <c:pt idx="501">
                  <c:v>49680</c:v>
                </c:pt>
                <c:pt idx="502">
                  <c:v>52340</c:v>
                </c:pt>
                <c:pt idx="503">
                  <c:v>52440</c:v>
                </c:pt>
                <c:pt idx="504">
                  <c:v>49570</c:v>
                </c:pt>
                <c:pt idx="505">
                  <c:v>51560</c:v>
                </c:pt>
                <c:pt idx="506">
                  <c:v>51560</c:v>
                </c:pt>
                <c:pt idx="507">
                  <c:v>53320</c:v>
                </c:pt>
                <c:pt idx="508">
                  <c:v>52430</c:v>
                </c:pt>
                <c:pt idx="509">
                  <c:v>53380</c:v>
                </c:pt>
                <c:pt idx="510">
                  <c:v>55020</c:v>
                </c:pt>
                <c:pt idx="511">
                  <c:v>55020</c:v>
                </c:pt>
                <c:pt idx="512">
                  <c:v>55020</c:v>
                </c:pt>
                <c:pt idx="513">
                  <c:v>58430</c:v>
                </c:pt>
                <c:pt idx="514">
                  <c:v>58590</c:v>
                </c:pt>
                <c:pt idx="515">
                  <c:v>58790</c:v>
                </c:pt>
                <c:pt idx="516">
                  <c:v>55730</c:v>
                </c:pt>
                <c:pt idx="517">
                  <c:v>53980</c:v>
                </c:pt>
                <c:pt idx="518">
                  <c:v>54030</c:v>
                </c:pt>
                <c:pt idx="519">
                  <c:v>56190</c:v>
                </c:pt>
                <c:pt idx="520">
                  <c:v>57240</c:v>
                </c:pt>
                <c:pt idx="521">
                  <c:v>57860</c:v>
                </c:pt>
                <c:pt idx="522">
                  <c:v>58700</c:v>
                </c:pt>
                <c:pt idx="523">
                  <c:v>59940</c:v>
                </c:pt>
                <c:pt idx="524">
                  <c:v>59940</c:v>
                </c:pt>
                <c:pt idx="525">
                  <c:v>60170</c:v>
                </c:pt>
                <c:pt idx="526">
                  <c:v>60270</c:v>
                </c:pt>
                <c:pt idx="527">
                  <c:v>58580</c:v>
                </c:pt>
                <c:pt idx="528">
                  <c:v>60530</c:v>
                </c:pt>
                <c:pt idx="529">
                  <c:v>60530</c:v>
                </c:pt>
                <c:pt idx="530">
                  <c:v>60530</c:v>
                </c:pt>
                <c:pt idx="531">
                  <c:v>60530</c:v>
                </c:pt>
                <c:pt idx="532">
                  <c:v>59680</c:v>
                </c:pt>
                <c:pt idx="533">
                  <c:v>60050</c:v>
                </c:pt>
                <c:pt idx="534">
                  <c:v>60190</c:v>
                </c:pt>
                <c:pt idx="535">
                  <c:v>58150</c:v>
                </c:pt>
                <c:pt idx="536">
                  <c:v>58380</c:v>
                </c:pt>
                <c:pt idx="537">
                  <c:v>58960</c:v>
                </c:pt>
                <c:pt idx="538">
                  <c:v>60520</c:v>
                </c:pt>
                <c:pt idx="539">
                  <c:v>62120</c:v>
                </c:pt>
                <c:pt idx="540">
                  <c:v>62120</c:v>
                </c:pt>
                <c:pt idx="541">
                  <c:v>62510</c:v>
                </c:pt>
                <c:pt idx="542">
                  <c:v>62510</c:v>
                </c:pt>
                <c:pt idx="543">
                  <c:v>62990</c:v>
                </c:pt>
                <c:pt idx="544">
                  <c:v>63750</c:v>
                </c:pt>
                <c:pt idx="545">
                  <c:v>63510</c:v>
                </c:pt>
                <c:pt idx="546">
                  <c:v>63080</c:v>
                </c:pt>
                <c:pt idx="547">
                  <c:v>62360</c:v>
                </c:pt>
                <c:pt idx="548">
                  <c:v>62680</c:v>
                </c:pt>
                <c:pt idx="549">
                  <c:v>61300</c:v>
                </c:pt>
                <c:pt idx="550">
                  <c:v>61510</c:v>
                </c:pt>
                <c:pt idx="551">
                  <c:v>60730</c:v>
                </c:pt>
                <c:pt idx="552">
                  <c:v>62320</c:v>
                </c:pt>
                <c:pt idx="553">
                  <c:v>63540</c:v>
                </c:pt>
                <c:pt idx="554">
                  <c:v>63720</c:v>
                </c:pt>
                <c:pt idx="555">
                  <c:v>64360</c:v>
                </c:pt>
                <c:pt idx="556">
                  <c:v>64860</c:v>
                </c:pt>
                <c:pt idx="557">
                  <c:v>63310</c:v>
                </c:pt>
                <c:pt idx="558">
                  <c:v>64040</c:v>
                </c:pt>
                <c:pt idx="559">
                  <c:v>62330</c:v>
                </c:pt>
                <c:pt idx="560">
                  <c:v>62970</c:v>
                </c:pt>
                <c:pt idx="561">
                  <c:v>61820</c:v>
                </c:pt>
                <c:pt idx="562">
                  <c:v>60230</c:v>
                </c:pt>
                <c:pt idx="563">
                  <c:v>57800</c:v>
                </c:pt>
                <c:pt idx="564">
                  <c:v>59650</c:v>
                </c:pt>
                <c:pt idx="565">
                  <c:v>59370</c:v>
                </c:pt>
                <c:pt idx="566">
                  <c:v>59370</c:v>
                </c:pt>
                <c:pt idx="567">
                  <c:v>60180</c:v>
                </c:pt>
                <c:pt idx="568">
                  <c:v>59680</c:v>
                </c:pt>
                <c:pt idx="569">
                  <c:v>58850</c:v>
                </c:pt>
                <c:pt idx="570">
                  <c:v>60770</c:v>
                </c:pt>
                <c:pt idx="571">
                  <c:v>61800</c:v>
                </c:pt>
                <c:pt idx="572">
                  <c:v>61720</c:v>
                </c:pt>
                <c:pt idx="573">
                  <c:v>62580</c:v>
                </c:pt>
                <c:pt idx="574">
                  <c:v>62630</c:v>
                </c:pt>
                <c:pt idx="575">
                  <c:v>61630</c:v>
                </c:pt>
                <c:pt idx="576">
                  <c:v>61120</c:v>
                </c:pt>
                <c:pt idx="577">
                  <c:v>62050</c:v>
                </c:pt>
                <c:pt idx="578">
                  <c:v>62570</c:v>
                </c:pt>
                <c:pt idx="579">
                  <c:v>60360</c:v>
                </c:pt>
                <c:pt idx="580">
                  <c:v>59400</c:v>
                </c:pt>
                <c:pt idx="581">
                  <c:v>57770</c:v>
                </c:pt>
                <c:pt idx="582">
                  <c:v>57930</c:v>
                </c:pt>
                <c:pt idx="583">
                  <c:v>58060</c:v>
                </c:pt>
                <c:pt idx="584">
                  <c:v>58280</c:v>
                </c:pt>
                <c:pt idx="585">
                  <c:v>58170</c:v>
                </c:pt>
                <c:pt idx="586">
                  <c:v>57730</c:v>
                </c:pt>
                <c:pt idx="587">
                  <c:v>56340</c:v>
                </c:pt>
                <c:pt idx="588">
                  <c:v>55940</c:v>
                </c:pt>
                <c:pt idx="589">
                  <c:v>53210</c:v>
                </c:pt>
                <c:pt idx="590">
                  <c:v>52740</c:v>
                </c:pt>
                <c:pt idx="591">
                  <c:v>52990</c:v>
                </c:pt>
                <c:pt idx="592">
                  <c:v>54230</c:v>
                </c:pt>
                <c:pt idx="593">
                  <c:v>54090</c:v>
                </c:pt>
                <c:pt idx="594">
                  <c:v>54690</c:v>
                </c:pt>
                <c:pt idx="595">
                  <c:v>55620</c:v>
                </c:pt>
                <c:pt idx="596">
                  <c:v>55370</c:v>
                </c:pt>
                <c:pt idx="597">
                  <c:v>55510</c:v>
                </c:pt>
                <c:pt idx="598">
                  <c:v>53950</c:v>
                </c:pt>
                <c:pt idx="599">
                  <c:v>53990</c:v>
                </c:pt>
                <c:pt idx="600">
                  <c:v>53960</c:v>
                </c:pt>
                <c:pt idx="601">
                  <c:v>56200</c:v>
                </c:pt>
                <c:pt idx="602">
                  <c:v>57240</c:v>
                </c:pt>
                <c:pt idx="603">
                  <c:v>57300</c:v>
                </c:pt>
                <c:pt idx="604">
                  <c:v>57230</c:v>
                </c:pt>
                <c:pt idx="605">
                  <c:v>60350</c:v>
                </c:pt>
                <c:pt idx="606">
                  <c:v>64110</c:v>
                </c:pt>
                <c:pt idx="607">
                  <c:v>64170</c:v>
                </c:pt>
                <c:pt idx="608">
                  <c:v>63600</c:v>
                </c:pt>
                <c:pt idx="609">
                  <c:v>63940</c:v>
                </c:pt>
                <c:pt idx="610">
                  <c:v>62210</c:v>
                </c:pt>
                <c:pt idx="611">
                  <c:v>61170</c:v>
                </c:pt>
                <c:pt idx="612">
                  <c:v>61350</c:v>
                </c:pt>
                <c:pt idx="613">
                  <c:v>61870</c:v>
                </c:pt>
                <c:pt idx="614">
                  <c:v>61500</c:v>
                </c:pt>
                <c:pt idx="615">
                  <c:v>61630</c:v>
                </c:pt>
                <c:pt idx="616">
                  <c:v>62720</c:v>
                </c:pt>
                <c:pt idx="617">
                  <c:v>61060</c:v>
                </c:pt>
                <c:pt idx="618">
                  <c:v>60760</c:v>
                </c:pt>
                <c:pt idx="619">
                  <c:v>61850</c:v>
                </c:pt>
                <c:pt idx="620">
                  <c:v>61850</c:v>
                </c:pt>
                <c:pt idx="621">
                  <c:v>62270</c:v>
                </c:pt>
                <c:pt idx="622">
                  <c:v>63640</c:v>
                </c:pt>
                <c:pt idx="623">
                  <c:v>62680</c:v>
                </c:pt>
                <c:pt idx="624">
                  <c:v>63480</c:v>
                </c:pt>
                <c:pt idx="625">
                  <c:v>62950</c:v>
                </c:pt>
                <c:pt idx="626">
                  <c:v>62950</c:v>
                </c:pt>
                <c:pt idx="627">
                  <c:v>61850</c:v>
                </c:pt>
                <c:pt idx="628">
                  <c:v>60030</c:v>
                </c:pt>
                <c:pt idx="629">
                  <c:v>60870</c:v>
                </c:pt>
                <c:pt idx="630">
                  <c:v>61120</c:v>
                </c:pt>
                <c:pt idx="631">
                  <c:v>62690</c:v>
                </c:pt>
                <c:pt idx="632">
                  <c:v>62600</c:v>
                </c:pt>
                <c:pt idx="633">
                  <c:v>62320</c:v>
                </c:pt>
                <c:pt idx="634">
                  <c:v>60710</c:v>
                </c:pt>
                <c:pt idx="635">
                  <c:v>61080</c:v>
                </c:pt>
                <c:pt idx="636">
                  <c:v>60460</c:v>
                </c:pt>
                <c:pt idx="637">
                  <c:v>60290</c:v>
                </c:pt>
                <c:pt idx="638">
                  <c:v>59690</c:v>
                </c:pt>
                <c:pt idx="639">
                  <c:v>60180</c:v>
                </c:pt>
                <c:pt idx="640">
                  <c:v>60520</c:v>
                </c:pt>
                <c:pt idx="641">
                  <c:v>58550</c:v>
                </c:pt>
                <c:pt idx="642">
                  <c:v>58970</c:v>
                </c:pt>
                <c:pt idx="643">
                  <c:v>60190</c:v>
                </c:pt>
                <c:pt idx="644">
                  <c:v>60420</c:v>
                </c:pt>
                <c:pt idx="645">
                  <c:v>60730</c:v>
                </c:pt>
                <c:pt idx="646">
                  <c:v>60190</c:v>
                </c:pt>
                <c:pt idx="647">
                  <c:v>59490</c:v>
                </c:pt>
                <c:pt idx="648">
                  <c:v>57180</c:v>
                </c:pt>
                <c:pt idx="649">
                  <c:v>64080</c:v>
                </c:pt>
                <c:pt idx="650">
                  <c:v>61220</c:v>
                </c:pt>
                <c:pt idx="651">
                  <c:v>61140</c:v>
                </c:pt>
                <c:pt idx="652">
                  <c:v>61040</c:v>
                </c:pt>
                <c:pt idx="653">
                  <c:v>62700</c:v>
                </c:pt>
                <c:pt idx="654">
                  <c:v>61890</c:v>
                </c:pt>
                <c:pt idx="655">
                  <c:v>63270</c:v>
                </c:pt>
                <c:pt idx="656">
                  <c:v>63020</c:v>
                </c:pt>
                <c:pt idx="657">
                  <c:v>62310</c:v>
                </c:pt>
                <c:pt idx="658">
                  <c:v>62700</c:v>
                </c:pt>
                <c:pt idx="659">
                  <c:v>63510</c:v>
                </c:pt>
                <c:pt idx="660">
                  <c:v>63450</c:v>
                </c:pt>
                <c:pt idx="661">
                  <c:v>63570</c:v>
                </c:pt>
                <c:pt idx="662">
                  <c:v>62690</c:v>
                </c:pt>
                <c:pt idx="663">
                  <c:v>63830</c:v>
                </c:pt>
                <c:pt idx="664">
                  <c:v>62920</c:v>
                </c:pt>
                <c:pt idx="665">
                  <c:v>61810</c:v>
                </c:pt>
                <c:pt idx="666">
                  <c:v>59290</c:v>
                </c:pt>
                <c:pt idx="667">
                  <c:v>59860</c:v>
                </c:pt>
                <c:pt idx="668">
                  <c:v>59860</c:v>
                </c:pt>
                <c:pt idx="669">
                  <c:v>59860</c:v>
                </c:pt>
                <c:pt idx="670">
                  <c:v>59530</c:v>
                </c:pt>
                <c:pt idx="671">
                  <c:v>59130</c:v>
                </c:pt>
                <c:pt idx="672">
                  <c:v>58900</c:v>
                </c:pt>
                <c:pt idx="673">
                  <c:v>60070</c:v>
                </c:pt>
                <c:pt idx="674">
                  <c:v>59800</c:v>
                </c:pt>
                <c:pt idx="675">
                  <c:v>59970</c:v>
                </c:pt>
                <c:pt idx="676">
                  <c:v>61320</c:v>
                </c:pt>
                <c:pt idx="677">
                  <c:v>59990</c:v>
                </c:pt>
                <c:pt idx="678">
                  <c:v>60170</c:v>
                </c:pt>
                <c:pt idx="679">
                  <c:v>60670</c:v>
                </c:pt>
                <c:pt idx="680">
                  <c:v>60280</c:v>
                </c:pt>
                <c:pt idx="681">
                  <c:v>60090</c:v>
                </c:pt>
                <c:pt idx="682">
                  <c:v>60480</c:v>
                </c:pt>
                <c:pt idx="683">
                  <c:v>59920</c:v>
                </c:pt>
                <c:pt idx="684">
                  <c:v>63830</c:v>
                </c:pt>
                <c:pt idx="685">
                  <c:v>62840</c:v>
                </c:pt>
                <c:pt idx="686">
                  <c:v>63600</c:v>
                </c:pt>
                <c:pt idx="687">
                  <c:v>63370</c:v>
                </c:pt>
                <c:pt idx="688">
                  <c:v>64930</c:v>
                </c:pt>
                <c:pt idx="689">
                  <c:v>65970</c:v>
                </c:pt>
                <c:pt idx="690">
                  <c:v>64140</c:v>
                </c:pt>
                <c:pt idx="691">
                  <c:v>63530</c:v>
                </c:pt>
                <c:pt idx="692">
                  <c:v>62510</c:v>
                </c:pt>
                <c:pt idx="693">
                  <c:v>62810</c:v>
                </c:pt>
                <c:pt idx="694">
                  <c:v>62270</c:v>
                </c:pt>
                <c:pt idx="695">
                  <c:v>61090</c:v>
                </c:pt>
                <c:pt idx="696">
                  <c:v>61770</c:v>
                </c:pt>
                <c:pt idx="697">
                  <c:v>61430</c:v>
                </c:pt>
                <c:pt idx="698">
                  <c:v>60860</c:v>
                </c:pt>
                <c:pt idx="699">
                  <c:v>59440</c:v>
                </c:pt>
                <c:pt idx="700">
                  <c:v>59580</c:v>
                </c:pt>
                <c:pt idx="701">
                  <c:v>59870</c:v>
                </c:pt>
                <c:pt idx="702">
                  <c:v>59100</c:v>
                </c:pt>
                <c:pt idx="703">
                  <c:v>58430</c:v>
                </c:pt>
                <c:pt idx="704">
                  <c:v>58450</c:v>
                </c:pt>
                <c:pt idx="705">
                  <c:v>57730</c:v>
                </c:pt>
                <c:pt idx="706">
                  <c:v>56150</c:v>
                </c:pt>
                <c:pt idx="707">
                  <c:v>52250</c:v>
                </c:pt>
                <c:pt idx="708">
                  <c:v>51590</c:v>
                </c:pt>
                <c:pt idx="709">
                  <c:v>52330</c:v>
                </c:pt>
                <c:pt idx="710">
                  <c:v>52440</c:v>
                </c:pt>
                <c:pt idx="711">
                  <c:v>51700</c:v>
                </c:pt>
                <c:pt idx="712">
                  <c:v>49940</c:v>
                </c:pt>
                <c:pt idx="713">
                  <c:v>51210</c:v>
                </c:pt>
                <c:pt idx="714">
                  <c:v>49940</c:v>
                </c:pt>
                <c:pt idx="715">
                  <c:v>49110</c:v>
                </c:pt>
                <c:pt idx="716">
                  <c:v>49570</c:v>
                </c:pt>
                <c:pt idx="717">
                  <c:v>49920</c:v>
                </c:pt>
                <c:pt idx="718">
                  <c:v>50720</c:v>
                </c:pt>
                <c:pt idx="719">
                  <c:v>51670</c:v>
                </c:pt>
                <c:pt idx="720">
                  <c:v>49960</c:v>
                </c:pt>
                <c:pt idx="721">
                  <c:v>49490</c:v>
                </c:pt>
                <c:pt idx="722">
                  <c:v>49130</c:v>
                </c:pt>
                <c:pt idx="723">
                  <c:v>49170</c:v>
                </c:pt>
                <c:pt idx="724">
                  <c:v>49670</c:v>
                </c:pt>
                <c:pt idx="725">
                  <c:v>49340</c:v>
                </c:pt>
                <c:pt idx="726">
                  <c:v>50550</c:v>
                </c:pt>
                <c:pt idx="727">
                  <c:v>48350</c:v>
                </c:pt>
                <c:pt idx="728">
                  <c:v>47930</c:v>
                </c:pt>
                <c:pt idx="729">
                  <c:v>48090</c:v>
                </c:pt>
                <c:pt idx="730">
                  <c:v>48330</c:v>
                </c:pt>
                <c:pt idx="731">
                  <c:v>49900</c:v>
                </c:pt>
                <c:pt idx="732">
                  <c:v>50940</c:v>
                </c:pt>
                <c:pt idx="733">
                  <c:v>49570</c:v>
                </c:pt>
                <c:pt idx="734">
                  <c:v>50250</c:v>
                </c:pt>
                <c:pt idx="735">
                  <c:v>49990</c:v>
                </c:pt>
                <c:pt idx="736">
                  <c:v>48780</c:v>
                </c:pt>
                <c:pt idx="737">
                  <c:v>49990</c:v>
                </c:pt>
                <c:pt idx="738">
                  <c:v>49980</c:v>
                </c:pt>
                <c:pt idx="739">
                  <c:v>47920</c:v>
                </c:pt>
                <c:pt idx="740">
                  <c:v>48190</c:v>
                </c:pt>
                <c:pt idx="741">
                  <c:v>50800</c:v>
                </c:pt>
                <c:pt idx="742">
                  <c:v>52210</c:v>
                </c:pt>
                <c:pt idx="743">
                  <c:v>53140</c:v>
                </c:pt>
                <c:pt idx="744">
                  <c:v>52530</c:v>
                </c:pt>
                <c:pt idx="745">
                  <c:v>49890</c:v>
                </c:pt>
                <c:pt idx="746">
                  <c:v>49600</c:v>
                </c:pt>
                <c:pt idx="747">
                  <c:v>49660</c:v>
                </c:pt>
                <c:pt idx="748">
                  <c:v>47180</c:v>
                </c:pt>
                <c:pt idx="749">
                  <c:v>47850</c:v>
                </c:pt>
                <c:pt idx="750">
                  <c:v>46870</c:v>
                </c:pt>
                <c:pt idx="751">
                  <c:v>42940</c:v>
                </c:pt>
                <c:pt idx="752">
                  <c:v>43110</c:v>
                </c:pt>
                <c:pt idx="753">
                  <c:v>43470</c:v>
                </c:pt>
                <c:pt idx="754">
                  <c:v>41400</c:v>
                </c:pt>
                <c:pt idx="755">
                  <c:v>40480</c:v>
                </c:pt>
                <c:pt idx="756">
                  <c:v>41280</c:v>
                </c:pt>
                <c:pt idx="757">
                  <c:v>41490</c:v>
                </c:pt>
                <c:pt idx="758">
                  <c:v>41790</c:v>
                </c:pt>
                <c:pt idx="759">
                  <c:v>41200</c:v>
                </c:pt>
                <c:pt idx="760">
                  <c:v>42170</c:v>
                </c:pt>
                <c:pt idx="761">
                  <c:v>43190</c:v>
                </c:pt>
                <c:pt idx="762">
                  <c:v>43910</c:v>
                </c:pt>
                <c:pt idx="763">
                  <c:v>42880</c:v>
                </c:pt>
                <c:pt idx="764">
                  <c:v>42990</c:v>
                </c:pt>
                <c:pt idx="765">
                  <c:v>43140</c:v>
                </c:pt>
                <c:pt idx="766">
                  <c:v>41550</c:v>
                </c:pt>
                <c:pt idx="767">
                  <c:v>42120</c:v>
                </c:pt>
                <c:pt idx="768">
                  <c:v>41640</c:v>
                </c:pt>
                <c:pt idx="769">
                  <c:v>41840</c:v>
                </c:pt>
                <c:pt idx="770">
                  <c:v>41030</c:v>
                </c:pt>
                <c:pt idx="771">
                  <c:v>39230</c:v>
                </c:pt>
                <c:pt idx="772">
                  <c:v>38980</c:v>
                </c:pt>
                <c:pt idx="773">
                  <c:v>40230</c:v>
                </c:pt>
                <c:pt idx="774">
                  <c:v>41140</c:v>
                </c:pt>
                <c:pt idx="775">
                  <c:v>40800</c:v>
                </c:pt>
                <c:pt idx="776">
                  <c:v>42210</c:v>
                </c:pt>
                <c:pt idx="777">
                  <c:v>40010</c:v>
                </c:pt>
                <c:pt idx="778">
                  <c:v>38380</c:v>
                </c:pt>
                <c:pt idx="779">
                  <c:v>37450</c:v>
                </c:pt>
                <c:pt idx="780">
                  <c:v>36030</c:v>
                </c:pt>
                <c:pt idx="781">
                  <c:v>36360</c:v>
                </c:pt>
                <c:pt idx="782">
                  <c:v>36940</c:v>
                </c:pt>
                <c:pt idx="783">
                  <c:v>35410</c:v>
                </c:pt>
                <c:pt idx="784">
                  <c:v>35950</c:v>
                </c:pt>
                <c:pt idx="785">
                  <c:v>34810</c:v>
                </c:pt>
                <c:pt idx="786">
                  <c:v>35810</c:v>
                </c:pt>
                <c:pt idx="787">
                  <c:v>35490</c:v>
                </c:pt>
                <c:pt idx="788">
                  <c:v>35460</c:v>
                </c:pt>
                <c:pt idx="789">
                  <c:v>35430</c:v>
                </c:pt>
                <c:pt idx="790">
                  <c:v>37390</c:v>
                </c:pt>
                <c:pt idx="791">
                  <c:v>36740</c:v>
                </c:pt>
                <c:pt idx="792">
                  <c:v>36660</c:v>
                </c:pt>
                <c:pt idx="793">
                  <c:v>36660</c:v>
                </c:pt>
                <c:pt idx="794">
                  <c:v>35340</c:v>
                </c:pt>
                <c:pt idx="795">
                  <c:v>34060</c:v>
                </c:pt>
                <c:pt idx="796">
                  <c:v>37020</c:v>
                </c:pt>
                <c:pt idx="797">
                  <c:v>38800</c:v>
                </c:pt>
                <c:pt idx="798">
                  <c:v>40010</c:v>
                </c:pt>
                <c:pt idx="799">
                  <c:v>40010</c:v>
                </c:pt>
                <c:pt idx="800">
                  <c:v>40710</c:v>
                </c:pt>
                <c:pt idx="801">
                  <c:v>40510</c:v>
                </c:pt>
                <c:pt idx="802">
                  <c:v>41400</c:v>
                </c:pt>
                <c:pt idx="803">
                  <c:v>40580</c:v>
                </c:pt>
                <c:pt idx="804">
                  <c:v>39310</c:v>
                </c:pt>
                <c:pt idx="805">
                  <c:v>39250</c:v>
                </c:pt>
                <c:pt idx="806">
                  <c:v>39590</c:v>
                </c:pt>
                <c:pt idx="807">
                  <c:v>39900</c:v>
                </c:pt>
                <c:pt idx="808">
                  <c:v>40010</c:v>
                </c:pt>
                <c:pt idx="809">
                  <c:v>40250</c:v>
                </c:pt>
                <c:pt idx="810">
                  <c:v>43090</c:v>
                </c:pt>
                <c:pt idx="811">
                  <c:v>42270</c:v>
                </c:pt>
                <c:pt idx="812">
                  <c:v>44720</c:v>
                </c:pt>
                <c:pt idx="813">
                  <c:v>43020</c:v>
                </c:pt>
                <c:pt idx="814">
                  <c:v>43100</c:v>
                </c:pt>
                <c:pt idx="815">
                  <c:v>45030</c:v>
                </c:pt>
                <c:pt idx="816">
                  <c:v>45330</c:v>
                </c:pt>
                <c:pt idx="817">
                  <c:v>44000</c:v>
                </c:pt>
                <c:pt idx="818">
                  <c:v>44330</c:v>
                </c:pt>
                <c:pt idx="819">
                  <c:v>44140</c:v>
                </c:pt>
                <c:pt idx="820">
                  <c:v>47930</c:v>
                </c:pt>
                <c:pt idx="821">
                  <c:v>47770</c:v>
                </c:pt>
                <c:pt idx="822">
                  <c:v>47580</c:v>
                </c:pt>
                <c:pt idx="823">
                  <c:v>47470</c:v>
                </c:pt>
                <c:pt idx="824">
                  <c:v>47320</c:v>
                </c:pt>
                <c:pt idx="825">
                  <c:v>48490</c:v>
                </c:pt>
                <c:pt idx="826">
                  <c:v>49350</c:v>
                </c:pt>
                <c:pt idx="827">
                  <c:v>48610</c:v>
                </c:pt>
                <c:pt idx="828">
                  <c:v>53660</c:v>
                </c:pt>
                <c:pt idx="829">
                  <c:v>53880</c:v>
                </c:pt>
                <c:pt idx="830">
                  <c:v>51230</c:v>
                </c:pt>
                <c:pt idx="831">
                  <c:v>46180</c:v>
                </c:pt>
                <c:pt idx="832">
                  <c:v>52430</c:v>
                </c:pt>
                <c:pt idx="833">
                  <c:v>51110</c:v>
                </c:pt>
                <c:pt idx="834">
                  <c:v>50620</c:v>
                </c:pt>
                <c:pt idx="835">
                  <c:v>51040</c:v>
                </c:pt>
                <c:pt idx="836">
                  <c:v>54580</c:v>
                </c:pt>
                <c:pt idx="837">
                  <c:v>56560</c:v>
                </c:pt>
                <c:pt idx="838">
                  <c:v>56720</c:v>
                </c:pt>
                <c:pt idx="839">
                  <c:v>56540</c:v>
                </c:pt>
                <c:pt idx="840">
                  <c:v>56590</c:v>
                </c:pt>
                <c:pt idx="841">
                  <c:v>56590</c:v>
                </c:pt>
                <c:pt idx="842">
                  <c:v>55020</c:v>
                </c:pt>
                <c:pt idx="843">
                  <c:v>56440</c:v>
                </c:pt>
                <c:pt idx="844">
                  <c:v>57940</c:v>
                </c:pt>
                <c:pt idx="845">
                  <c:v>58850</c:v>
                </c:pt>
                <c:pt idx="846">
                  <c:v>57840</c:v>
                </c:pt>
                <c:pt idx="847">
                  <c:v>58990</c:v>
                </c:pt>
                <c:pt idx="848">
                  <c:v>60910</c:v>
                </c:pt>
                <c:pt idx="849">
                  <c:v>62790</c:v>
                </c:pt>
                <c:pt idx="850">
                  <c:v>61570</c:v>
                </c:pt>
                <c:pt idx="851">
                  <c:v>62900</c:v>
                </c:pt>
                <c:pt idx="852">
                  <c:v>63560</c:v>
                </c:pt>
                <c:pt idx="853">
                  <c:v>63990</c:v>
                </c:pt>
                <c:pt idx="854">
                  <c:v>62460</c:v>
                </c:pt>
                <c:pt idx="855">
                  <c:v>60400</c:v>
                </c:pt>
                <c:pt idx="856">
                  <c:v>61150</c:v>
                </c:pt>
                <c:pt idx="857">
                  <c:v>61410</c:v>
                </c:pt>
                <c:pt idx="858">
                  <c:v>62990</c:v>
                </c:pt>
                <c:pt idx="859">
                  <c:v>62520</c:v>
                </c:pt>
                <c:pt idx="860">
                  <c:v>64240</c:v>
                </c:pt>
                <c:pt idx="861">
                  <c:v>63600</c:v>
                </c:pt>
                <c:pt idx="862">
                  <c:v>64340</c:v>
                </c:pt>
                <c:pt idx="863">
                  <c:v>63410</c:v>
                </c:pt>
                <c:pt idx="864">
                  <c:v>62790</c:v>
                </c:pt>
                <c:pt idx="865">
                  <c:v>60490</c:v>
                </c:pt>
                <c:pt idx="866">
                  <c:v>62450</c:v>
                </c:pt>
                <c:pt idx="867">
                  <c:v>62350</c:v>
                </c:pt>
                <c:pt idx="868">
                  <c:v>62090</c:v>
                </c:pt>
                <c:pt idx="869">
                  <c:v>64180</c:v>
                </c:pt>
                <c:pt idx="870">
                  <c:v>64770</c:v>
                </c:pt>
                <c:pt idx="871">
                  <c:v>66980</c:v>
                </c:pt>
                <c:pt idx="872">
                  <c:v>65560</c:v>
                </c:pt>
                <c:pt idx="873">
                  <c:v>61440</c:v>
                </c:pt>
                <c:pt idx="874">
                  <c:v>62640</c:v>
                </c:pt>
                <c:pt idx="875">
                  <c:v>60590</c:v>
                </c:pt>
                <c:pt idx="876">
                  <c:v>59600</c:v>
                </c:pt>
                <c:pt idx="877">
                  <c:v>61050</c:v>
                </c:pt>
                <c:pt idx="878">
                  <c:v>61450</c:v>
                </c:pt>
                <c:pt idx="879">
                  <c:v>61240</c:v>
                </c:pt>
                <c:pt idx="880">
                  <c:v>57390</c:v>
                </c:pt>
                <c:pt idx="881">
                  <c:v>57860</c:v>
                </c:pt>
                <c:pt idx="882">
                  <c:v>57860</c:v>
                </c:pt>
                <c:pt idx="883">
                  <c:v>58020</c:v>
                </c:pt>
                <c:pt idx="884">
                  <c:v>58670</c:v>
                </c:pt>
                <c:pt idx="885">
                  <c:v>55300</c:v>
                </c:pt>
                <c:pt idx="886">
                  <c:v>56710</c:v>
                </c:pt>
                <c:pt idx="887">
                  <c:v>57720</c:v>
                </c:pt>
                <c:pt idx="888">
                  <c:v>57820</c:v>
                </c:pt>
                <c:pt idx="889">
                  <c:v>58840</c:v>
                </c:pt>
                <c:pt idx="890">
                  <c:v>56490</c:v>
                </c:pt>
                <c:pt idx="891">
                  <c:v>55520</c:v>
                </c:pt>
                <c:pt idx="892">
                  <c:v>57780</c:v>
                </c:pt>
                <c:pt idx="893">
                  <c:v>58260</c:v>
                </c:pt>
                <c:pt idx="894">
                  <c:v>58260</c:v>
                </c:pt>
                <c:pt idx="895">
                  <c:v>57960</c:v>
                </c:pt>
                <c:pt idx="896">
                  <c:v>58300</c:v>
                </c:pt>
                <c:pt idx="897">
                  <c:v>58210</c:v>
                </c:pt>
                <c:pt idx="898">
                  <c:v>57560</c:v>
                </c:pt>
                <c:pt idx="899">
                  <c:v>56420</c:v>
                </c:pt>
                <c:pt idx="900">
                  <c:v>55410</c:v>
                </c:pt>
                <c:pt idx="901">
                  <c:v>55610</c:v>
                </c:pt>
                <c:pt idx="902">
                  <c:v>55980</c:v>
                </c:pt>
                <c:pt idx="903">
                  <c:v>56580</c:v>
                </c:pt>
                <c:pt idx="904">
                  <c:v>58600</c:v>
                </c:pt>
                <c:pt idx="905">
                  <c:v>59820</c:v>
                </c:pt>
                <c:pt idx="906">
                  <c:v>59450</c:v>
                </c:pt>
                <c:pt idx="907">
                  <c:v>57580</c:v>
                </c:pt>
                <c:pt idx="908">
                  <c:v>58750</c:v>
                </c:pt>
                <c:pt idx="909">
                  <c:v>57920</c:v>
                </c:pt>
                <c:pt idx="910">
                  <c:v>57680</c:v>
                </c:pt>
                <c:pt idx="911">
                  <c:v>54360</c:v>
                </c:pt>
                <c:pt idx="912">
                  <c:v>55670</c:v>
                </c:pt>
                <c:pt idx="913">
                  <c:v>59690</c:v>
                </c:pt>
                <c:pt idx="914">
                  <c:v>60650</c:v>
                </c:pt>
                <c:pt idx="915">
                  <c:v>61580</c:v>
                </c:pt>
                <c:pt idx="916">
                  <c:v>59180</c:v>
                </c:pt>
                <c:pt idx="917">
                  <c:v>57170</c:v>
                </c:pt>
                <c:pt idx="918">
                  <c:v>57680</c:v>
                </c:pt>
                <c:pt idx="919">
                  <c:v>57380</c:v>
                </c:pt>
                <c:pt idx="920">
                  <c:v>57860</c:v>
                </c:pt>
                <c:pt idx="921">
                  <c:v>57390</c:v>
                </c:pt>
                <c:pt idx="922">
                  <c:v>57840</c:v>
                </c:pt>
                <c:pt idx="923">
                  <c:v>57800</c:v>
                </c:pt>
                <c:pt idx="924">
                  <c:v>57800</c:v>
                </c:pt>
                <c:pt idx="925">
                  <c:v>58670</c:v>
                </c:pt>
                <c:pt idx="926">
                  <c:v>57870</c:v>
                </c:pt>
                <c:pt idx="927">
                  <c:v>57070</c:v>
                </c:pt>
                <c:pt idx="928">
                  <c:v>53270</c:v>
                </c:pt>
                <c:pt idx="929">
                  <c:v>50210</c:v>
                </c:pt>
                <c:pt idx="930">
                  <c:v>50080</c:v>
                </c:pt>
                <c:pt idx="931">
                  <c:v>50160</c:v>
                </c:pt>
                <c:pt idx="932">
                  <c:v>54480</c:v>
                </c:pt>
                <c:pt idx="933">
                  <c:v>55120</c:v>
                </c:pt>
                <c:pt idx="934">
                  <c:v>55280</c:v>
                </c:pt>
                <c:pt idx="935">
                  <c:v>52970</c:v>
                </c:pt>
                <c:pt idx="936">
                  <c:v>53140</c:v>
                </c:pt>
                <c:pt idx="937">
                  <c:v>53220</c:v>
                </c:pt>
                <c:pt idx="938">
                  <c:v>52150</c:v>
                </c:pt>
                <c:pt idx="939">
                  <c:v>50520</c:v>
                </c:pt>
                <c:pt idx="940">
                  <c:v>53490</c:v>
                </c:pt>
                <c:pt idx="941">
                  <c:v>52600</c:v>
                </c:pt>
                <c:pt idx="942">
                  <c:v>51860</c:v>
                </c:pt>
                <c:pt idx="943">
                  <c:v>50840</c:v>
                </c:pt>
                <c:pt idx="944">
                  <c:v>50700</c:v>
                </c:pt>
                <c:pt idx="945">
                  <c:v>50760</c:v>
                </c:pt>
                <c:pt idx="946">
                  <c:v>51840</c:v>
                </c:pt>
                <c:pt idx="947">
                  <c:v>53960</c:v>
                </c:pt>
                <c:pt idx="948">
                  <c:v>53960</c:v>
                </c:pt>
                <c:pt idx="949">
                  <c:v>53450</c:v>
                </c:pt>
                <c:pt idx="950">
                  <c:v>53570</c:v>
                </c:pt>
                <c:pt idx="951">
                  <c:v>54570</c:v>
                </c:pt>
                <c:pt idx="952">
                  <c:v>56750</c:v>
                </c:pt>
                <c:pt idx="953">
                  <c:v>55870</c:v>
                </c:pt>
                <c:pt idx="954">
                  <c:v>55870</c:v>
                </c:pt>
                <c:pt idx="955">
                  <c:v>56580</c:v>
                </c:pt>
                <c:pt idx="956">
                  <c:v>55500</c:v>
                </c:pt>
                <c:pt idx="957">
                  <c:v>54260</c:v>
                </c:pt>
                <c:pt idx="958">
                  <c:v>55540</c:v>
                </c:pt>
                <c:pt idx="959">
                  <c:v>57040</c:v>
                </c:pt>
                <c:pt idx="960">
                  <c:v>57130</c:v>
                </c:pt>
                <c:pt idx="961">
                  <c:v>57350</c:v>
                </c:pt>
                <c:pt idx="962">
                  <c:v>57870</c:v>
                </c:pt>
                <c:pt idx="963">
                  <c:v>55760</c:v>
                </c:pt>
                <c:pt idx="964">
                  <c:v>56920</c:v>
                </c:pt>
                <c:pt idx="965">
                  <c:v>56820</c:v>
                </c:pt>
                <c:pt idx="966">
                  <c:v>56290</c:v>
                </c:pt>
                <c:pt idx="967">
                  <c:v>55820</c:v>
                </c:pt>
                <c:pt idx="968">
                  <c:v>56430</c:v>
                </c:pt>
                <c:pt idx="969">
                  <c:v>57850</c:v>
                </c:pt>
                <c:pt idx="970">
                  <c:v>56160</c:v>
                </c:pt>
                <c:pt idx="971">
                  <c:v>54340</c:v>
                </c:pt>
                <c:pt idx="972">
                  <c:v>54220</c:v>
                </c:pt>
                <c:pt idx="973">
                  <c:v>53000</c:v>
                </c:pt>
                <c:pt idx="974">
                  <c:v>50990</c:v>
                </c:pt>
                <c:pt idx="975">
                  <c:v>49080</c:v>
                </c:pt>
                <c:pt idx="976">
                  <c:v>47660</c:v>
                </c:pt>
                <c:pt idx="977">
                  <c:v>48750</c:v>
                </c:pt>
                <c:pt idx="978">
                  <c:v>49870</c:v>
                </c:pt>
                <c:pt idx="979">
                  <c:v>50770</c:v>
                </c:pt>
                <c:pt idx="980">
                  <c:v>51080</c:v>
                </c:pt>
                <c:pt idx="981">
                  <c:v>51820</c:v>
                </c:pt>
                <c:pt idx="982">
                  <c:v>50770</c:v>
                </c:pt>
                <c:pt idx="983">
                  <c:v>50820</c:v>
                </c:pt>
                <c:pt idx="984">
                  <c:v>51010</c:v>
                </c:pt>
                <c:pt idx="985">
                  <c:v>51620</c:v>
                </c:pt>
                <c:pt idx="986">
                  <c:v>53240</c:v>
                </c:pt>
                <c:pt idx="987">
                  <c:v>53290</c:v>
                </c:pt>
                <c:pt idx="988">
                  <c:v>52470</c:v>
                </c:pt>
                <c:pt idx="989">
                  <c:v>50440</c:v>
                </c:pt>
                <c:pt idx="990">
                  <c:v>49760</c:v>
                </c:pt>
                <c:pt idx="991">
                  <c:v>50550</c:v>
                </c:pt>
                <c:pt idx="992">
                  <c:v>52420</c:v>
                </c:pt>
                <c:pt idx="993">
                  <c:v>50650</c:v>
                </c:pt>
                <c:pt idx="994">
                  <c:v>52490</c:v>
                </c:pt>
                <c:pt idx="995">
                  <c:v>53710</c:v>
                </c:pt>
                <c:pt idx="996">
                  <c:v>52740</c:v>
                </c:pt>
                <c:pt idx="997">
                  <c:v>52310</c:v>
                </c:pt>
                <c:pt idx="998">
                  <c:v>52970</c:v>
                </c:pt>
                <c:pt idx="999">
                  <c:v>50310</c:v>
                </c:pt>
                <c:pt idx="1000">
                  <c:v>52540</c:v>
                </c:pt>
                <c:pt idx="1001">
                  <c:v>54760</c:v>
                </c:pt>
                <c:pt idx="1002">
                  <c:v>55360</c:v>
                </c:pt>
                <c:pt idx="1003">
                  <c:v>54970</c:v>
                </c:pt>
                <c:pt idx="1004">
                  <c:v>53300</c:v>
                </c:pt>
                <c:pt idx="1005">
                  <c:v>54470</c:v>
                </c:pt>
                <c:pt idx="1006">
                  <c:v>55080</c:v>
                </c:pt>
                <c:pt idx="1007">
                  <c:v>55910</c:v>
                </c:pt>
                <c:pt idx="1008">
                  <c:v>55910</c:v>
                </c:pt>
                <c:pt idx="1009">
                  <c:v>58320</c:v>
                </c:pt>
                <c:pt idx="1010">
                  <c:v>59330</c:v>
                </c:pt>
                <c:pt idx="1011">
                  <c:v>58610</c:v>
                </c:pt>
                <c:pt idx="1012">
                  <c:v>59920</c:v>
                </c:pt>
                <c:pt idx="1013">
                  <c:v>60010</c:v>
                </c:pt>
                <c:pt idx="1014">
                  <c:v>60930</c:v>
                </c:pt>
                <c:pt idx="1015">
                  <c:v>63450</c:v>
                </c:pt>
                <c:pt idx="1016">
                  <c:v>60780</c:v>
                </c:pt>
                <c:pt idx="1017">
                  <c:v>61440</c:v>
                </c:pt>
                <c:pt idx="1018">
                  <c:v>60720</c:v>
                </c:pt>
                <c:pt idx="1019">
                  <c:v>62580</c:v>
                </c:pt>
                <c:pt idx="1020">
                  <c:v>62580</c:v>
                </c:pt>
                <c:pt idx="1021">
                  <c:v>62060</c:v>
                </c:pt>
                <c:pt idx="1022">
                  <c:v>61720</c:v>
                </c:pt>
                <c:pt idx="1023">
                  <c:v>64120</c:v>
                </c:pt>
                <c:pt idx="1024">
                  <c:v>61840</c:v>
                </c:pt>
                <c:pt idx="1025">
                  <c:v>65440</c:v>
                </c:pt>
                <c:pt idx="1026">
                  <c:v>64950</c:v>
                </c:pt>
                <c:pt idx="1027">
                  <c:v>64110</c:v>
                </c:pt>
                <c:pt idx="1028">
                  <c:v>63570</c:v>
                </c:pt>
                <c:pt idx="1029">
                  <c:v>61310</c:v>
                </c:pt>
                <c:pt idx="1030">
                  <c:v>60460</c:v>
                </c:pt>
                <c:pt idx="1031">
                  <c:v>62320</c:v>
                </c:pt>
                <c:pt idx="1032">
                  <c:v>62320</c:v>
                </c:pt>
                <c:pt idx="1033">
                  <c:v>62590</c:v>
                </c:pt>
                <c:pt idx="1034">
                  <c:v>61470</c:v>
                </c:pt>
                <c:pt idx="1035">
                  <c:v>60090</c:v>
                </c:pt>
                <c:pt idx="1036">
                  <c:v>57960</c:v>
                </c:pt>
                <c:pt idx="1037">
                  <c:v>59240</c:v>
                </c:pt>
                <c:pt idx="1038">
                  <c:v>59220</c:v>
                </c:pt>
                <c:pt idx="1039">
                  <c:v>58920</c:v>
                </c:pt>
                <c:pt idx="1040">
                  <c:v>61210</c:v>
                </c:pt>
                <c:pt idx="1041">
                  <c:v>60870</c:v>
                </c:pt>
                <c:pt idx="1042">
                  <c:v>65090</c:v>
                </c:pt>
                <c:pt idx="1043">
                  <c:v>65800</c:v>
                </c:pt>
                <c:pt idx="1044">
                  <c:v>65800</c:v>
                </c:pt>
                <c:pt idx="1045">
                  <c:v>64500</c:v>
                </c:pt>
                <c:pt idx="1046">
                  <c:v>62700</c:v>
                </c:pt>
                <c:pt idx="1047">
                  <c:v>63020</c:v>
                </c:pt>
                <c:pt idx="1048">
                  <c:v>62960</c:v>
                </c:pt>
                <c:pt idx="1049">
                  <c:v>62780</c:v>
                </c:pt>
                <c:pt idx="1050">
                  <c:v>63500</c:v>
                </c:pt>
                <c:pt idx="1051">
                  <c:v>63620</c:v>
                </c:pt>
                <c:pt idx="1052">
                  <c:v>62210</c:v>
                </c:pt>
                <c:pt idx="1053">
                  <c:v>60150</c:v>
                </c:pt>
                <c:pt idx="1054">
                  <c:v>60040</c:v>
                </c:pt>
                <c:pt idx="1055">
                  <c:v>59140</c:v>
                </c:pt>
                <c:pt idx="1056">
                  <c:v>59050</c:v>
                </c:pt>
                <c:pt idx="1057">
                  <c:v>57460</c:v>
                </c:pt>
                <c:pt idx="1058">
                  <c:v>57660</c:v>
                </c:pt>
                <c:pt idx="1059">
                  <c:v>59640</c:v>
                </c:pt>
                <c:pt idx="1060">
                  <c:v>60730</c:v>
                </c:pt>
                <c:pt idx="1061">
                  <c:v>60280</c:v>
                </c:pt>
                <c:pt idx="1062">
                  <c:v>59380</c:v>
                </c:pt>
                <c:pt idx="1063">
                  <c:v>62310</c:v>
                </c:pt>
                <c:pt idx="1064">
                  <c:v>61800</c:v>
                </c:pt>
                <c:pt idx="1065">
                  <c:v>62940</c:v>
                </c:pt>
                <c:pt idx="1066">
                  <c:v>63870</c:v>
                </c:pt>
                <c:pt idx="1067">
                  <c:v>61110</c:v>
                </c:pt>
                <c:pt idx="1068">
                  <c:v>60330</c:v>
                </c:pt>
                <c:pt idx="1069">
                  <c:v>60440</c:v>
                </c:pt>
                <c:pt idx="1070">
                  <c:v>62540</c:v>
                </c:pt>
                <c:pt idx="1071">
                  <c:v>63980</c:v>
                </c:pt>
                <c:pt idx="1072">
                  <c:v>65320</c:v>
                </c:pt>
                <c:pt idx="1073">
                  <c:v>65920</c:v>
                </c:pt>
                <c:pt idx="1074">
                  <c:v>66160</c:v>
                </c:pt>
                <c:pt idx="1075">
                  <c:v>66180</c:v>
                </c:pt>
                <c:pt idx="1076">
                  <c:v>67070</c:v>
                </c:pt>
                <c:pt idx="1077">
                  <c:v>66610</c:v>
                </c:pt>
                <c:pt idx="1078">
                  <c:v>67950</c:v>
                </c:pt>
                <c:pt idx="1079">
                  <c:v>68010</c:v>
                </c:pt>
                <c:pt idx="1080">
                  <c:v>68280</c:v>
                </c:pt>
                <c:pt idx="1081">
                  <c:v>68810</c:v>
                </c:pt>
                <c:pt idx="1082">
                  <c:v>67310</c:v>
                </c:pt>
                <c:pt idx="1083">
                  <c:v>66510</c:v>
                </c:pt>
                <c:pt idx="1084">
                  <c:v>65040</c:v>
                </c:pt>
                <c:pt idx="1085">
                  <c:v>63930</c:v>
                </c:pt>
                <c:pt idx="1086">
                  <c:v>63360</c:v>
                </c:pt>
                <c:pt idx="1087">
                  <c:v>62670</c:v>
                </c:pt>
                <c:pt idx="1088">
                  <c:v>63320</c:v>
                </c:pt>
                <c:pt idx="1089">
                  <c:v>65920</c:v>
                </c:pt>
                <c:pt idx="1090">
                  <c:v>66670</c:v>
                </c:pt>
                <c:pt idx="1091">
                  <c:v>66630</c:v>
                </c:pt>
                <c:pt idx="1092">
                  <c:v>66270</c:v>
                </c:pt>
                <c:pt idx="1093">
                  <c:v>66980</c:v>
                </c:pt>
                <c:pt idx="1094">
                  <c:v>66920</c:v>
                </c:pt>
                <c:pt idx="1095">
                  <c:v>68510</c:v>
                </c:pt>
                <c:pt idx="1096">
                  <c:v>68510</c:v>
                </c:pt>
                <c:pt idx="1097">
                  <c:v>68510</c:v>
                </c:pt>
                <c:pt idx="1098">
                  <c:v>66450</c:v>
                </c:pt>
                <c:pt idx="1099">
                  <c:v>68640</c:v>
                </c:pt>
                <c:pt idx="1100">
                  <c:v>68640</c:v>
                </c:pt>
                <c:pt idx="1101">
                  <c:v>68640</c:v>
                </c:pt>
                <c:pt idx="1102">
                  <c:v>68640</c:v>
                </c:pt>
                <c:pt idx="1103">
                  <c:v>67280</c:v>
                </c:pt>
                <c:pt idx="1104">
                  <c:v>68450</c:v>
                </c:pt>
                <c:pt idx="1105">
                  <c:v>66450</c:v>
                </c:pt>
                <c:pt idx="1106">
                  <c:v>68990</c:v>
                </c:pt>
                <c:pt idx="1107">
                  <c:v>68430</c:v>
                </c:pt>
                <c:pt idx="1108">
                  <c:v>68820</c:v>
                </c:pt>
                <c:pt idx="1109">
                  <c:v>68560</c:v>
                </c:pt>
                <c:pt idx="1110">
                  <c:v>66460</c:v>
                </c:pt>
                <c:pt idx="1111">
                  <c:v>68800</c:v>
                </c:pt>
                <c:pt idx="1112">
                  <c:v>72490</c:v>
                </c:pt>
                <c:pt idx="1113">
                  <c:v>75900</c:v>
                </c:pt>
                <c:pt idx="1114">
                  <c:v>75900</c:v>
                </c:pt>
                <c:pt idx="1115">
                  <c:v>75820</c:v>
                </c:pt>
                <c:pt idx="1116">
                  <c:v>74230</c:v>
                </c:pt>
                <c:pt idx="1117">
                  <c:v>73380</c:v>
                </c:pt>
                <c:pt idx="1118">
                  <c:v>69570</c:v>
                </c:pt>
                <c:pt idx="1119">
                  <c:v>70510</c:v>
                </c:pt>
                <c:pt idx="1120">
                  <c:v>70510</c:v>
                </c:pt>
                <c:pt idx="1121">
                  <c:v>70450</c:v>
                </c:pt>
                <c:pt idx="1122">
                  <c:v>69460</c:v>
                </c:pt>
                <c:pt idx="1123">
                  <c:v>70890</c:v>
                </c:pt>
                <c:pt idx="1124">
                  <c:v>71650</c:v>
                </c:pt>
                <c:pt idx="1125">
                  <c:v>72260</c:v>
                </c:pt>
                <c:pt idx="1126">
                  <c:v>72650</c:v>
                </c:pt>
                <c:pt idx="1127">
                  <c:v>73040</c:v>
                </c:pt>
                <c:pt idx="1128">
                  <c:v>72530</c:v>
                </c:pt>
                <c:pt idx="1129">
                  <c:v>70810</c:v>
                </c:pt>
                <c:pt idx="1130">
                  <c:v>70560</c:v>
                </c:pt>
                <c:pt idx="1131">
                  <c:v>71750</c:v>
                </c:pt>
                <c:pt idx="1132">
                  <c:v>72010</c:v>
                </c:pt>
                <c:pt idx="1133">
                  <c:v>71810</c:v>
                </c:pt>
                <c:pt idx="1134">
                  <c:v>72280</c:v>
                </c:pt>
                <c:pt idx="1135">
                  <c:v>71960</c:v>
                </c:pt>
                <c:pt idx="1136">
                  <c:v>70370</c:v>
                </c:pt>
                <c:pt idx="1137">
                  <c:v>70270</c:v>
                </c:pt>
                <c:pt idx="1138">
                  <c:v>70420</c:v>
                </c:pt>
                <c:pt idx="1139">
                  <c:v>70860</c:v>
                </c:pt>
                <c:pt idx="1140">
                  <c:v>74550</c:v>
                </c:pt>
                <c:pt idx="1141">
                  <c:v>73990</c:v>
                </c:pt>
                <c:pt idx="1142">
                  <c:v>75450</c:v>
                </c:pt>
                <c:pt idx="1143">
                  <c:v>69490</c:v>
                </c:pt>
                <c:pt idx="1144">
                  <c:v>69660</c:v>
                </c:pt>
                <c:pt idx="1145">
                  <c:v>70330</c:v>
                </c:pt>
                <c:pt idx="1146">
                  <c:v>70060</c:v>
                </c:pt>
                <c:pt idx="1147">
                  <c:v>71340</c:v>
                </c:pt>
                <c:pt idx="1148">
                  <c:v>72850</c:v>
                </c:pt>
                <c:pt idx="1149">
                  <c:v>75210</c:v>
                </c:pt>
                <c:pt idx="1150">
                  <c:v>75210</c:v>
                </c:pt>
                <c:pt idx="1151">
                  <c:v>75210</c:v>
                </c:pt>
                <c:pt idx="1152">
                  <c:v>78360</c:v>
                </c:pt>
                <c:pt idx="1153">
                  <c:v>81160</c:v>
                </c:pt>
                <c:pt idx="1154">
                  <c:v>78880</c:v>
                </c:pt>
                <c:pt idx="1155">
                  <c:v>76900</c:v>
                </c:pt>
                <c:pt idx="1156">
                  <c:v>76860</c:v>
                </c:pt>
                <c:pt idx="1157">
                  <c:v>76730</c:v>
                </c:pt>
                <c:pt idx="1158">
                  <c:v>77420</c:v>
                </c:pt>
                <c:pt idx="1159">
                  <c:v>77360</c:v>
                </c:pt>
                <c:pt idx="1160">
                  <c:v>78350</c:v>
                </c:pt>
                <c:pt idx="1161">
                  <c:v>74300</c:v>
                </c:pt>
                <c:pt idx="1162">
                  <c:v>73160</c:v>
                </c:pt>
                <c:pt idx="1163">
                  <c:v>75880</c:v>
                </c:pt>
                <c:pt idx="1164">
                  <c:v>79740</c:v>
                </c:pt>
                <c:pt idx="1165">
                  <c:v>78150</c:v>
                </c:pt>
                <c:pt idx="1166">
                  <c:v>78150</c:v>
                </c:pt>
                <c:pt idx="1167">
                  <c:v>77290</c:v>
                </c:pt>
                <c:pt idx="1168">
                  <c:v>77290</c:v>
                </c:pt>
                <c:pt idx="1169">
                  <c:v>75590</c:v>
                </c:pt>
                <c:pt idx="1170">
                  <c:v>76310</c:v>
                </c:pt>
                <c:pt idx="1171">
                  <c:v>74340</c:v>
                </c:pt>
                <c:pt idx="1172">
                  <c:v>77300</c:v>
                </c:pt>
                <c:pt idx="1173">
                  <c:v>80940</c:v>
                </c:pt>
                <c:pt idx="1174">
                  <c:v>80670</c:v>
                </c:pt>
                <c:pt idx="1175">
                  <c:v>80420</c:v>
                </c:pt>
                <c:pt idx="1176">
                  <c:v>79970</c:v>
                </c:pt>
                <c:pt idx="1177">
                  <c:v>77700</c:v>
                </c:pt>
                <c:pt idx="1178">
                  <c:v>76980</c:v>
                </c:pt>
                <c:pt idx="1179">
                  <c:v>75520</c:v>
                </c:pt>
                <c:pt idx="1180">
                  <c:v>75520</c:v>
                </c:pt>
                <c:pt idx="1181">
                  <c:v>76420</c:v>
                </c:pt>
                <c:pt idx="1182">
                  <c:v>75240</c:v>
                </c:pt>
                <c:pt idx="1183">
                  <c:v>73570</c:v>
                </c:pt>
                <c:pt idx="1184">
                  <c:v>72320</c:v>
                </c:pt>
                <c:pt idx="1185">
                  <c:v>72590</c:v>
                </c:pt>
                <c:pt idx="1186">
                  <c:v>72590</c:v>
                </c:pt>
                <c:pt idx="1187">
                  <c:v>71420</c:v>
                </c:pt>
                <c:pt idx="1188">
                  <c:v>73970</c:v>
                </c:pt>
                <c:pt idx="1189">
                  <c:v>70970</c:v>
                </c:pt>
                <c:pt idx="1190">
                  <c:v>70680</c:v>
                </c:pt>
                <c:pt idx="1191">
                  <c:v>73180</c:v>
                </c:pt>
                <c:pt idx="1192">
                  <c:v>72340</c:v>
                </c:pt>
                <c:pt idx="1193">
                  <c:v>72450</c:v>
                </c:pt>
                <c:pt idx="1194">
                  <c:v>73080</c:v>
                </c:pt>
                <c:pt idx="1195">
                  <c:v>71760</c:v>
                </c:pt>
                <c:pt idx="1196">
                  <c:v>67070</c:v>
                </c:pt>
                <c:pt idx="1197">
                  <c:v>65500</c:v>
                </c:pt>
                <c:pt idx="1198">
                  <c:v>65800</c:v>
                </c:pt>
                <c:pt idx="1199">
                  <c:v>65330</c:v>
                </c:pt>
                <c:pt idx="1200">
                  <c:v>65820</c:v>
                </c:pt>
                <c:pt idx="1201">
                  <c:v>66360</c:v>
                </c:pt>
                <c:pt idx="1202">
                  <c:v>67900</c:v>
                </c:pt>
                <c:pt idx="1203">
                  <c:v>68120</c:v>
                </c:pt>
                <c:pt idx="1204">
                  <c:v>68120</c:v>
                </c:pt>
                <c:pt idx="1205">
                  <c:v>68080</c:v>
                </c:pt>
                <c:pt idx="1206">
                  <c:v>68480</c:v>
                </c:pt>
                <c:pt idx="1207">
                  <c:v>66000</c:v>
                </c:pt>
                <c:pt idx="1208">
                  <c:v>66390</c:v>
                </c:pt>
                <c:pt idx="1209">
                  <c:v>66540</c:v>
                </c:pt>
                <c:pt idx="1210">
                  <c:v>66540</c:v>
                </c:pt>
                <c:pt idx="1211">
                  <c:v>64960</c:v>
                </c:pt>
                <c:pt idx="1212">
                  <c:v>67270</c:v>
                </c:pt>
                <c:pt idx="1213">
                  <c:v>67270</c:v>
                </c:pt>
                <c:pt idx="1214">
                  <c:v>67710</c:v>
                </c:pt>
                <c:pt idx="1215">
                  <c:v>69830</c:v>
                </c:pt>
                <c:pt idx="1216">
                  <c:v>70030</c:v>
                </c:pt>
                <c:pt idx="1217">
                  <c:v>68140</c:v>
                </c:pt>
                <c:pt idx="1218">
                  <c:v>67430</c:v>
                </c:pt>
                <c:pt idx="1219">
                  <c:v>67200</c:v>
                </c:pt>
                <c:pt idx="1220">
                  <c:v>68730</c:v>
                </c:pt>
                <c:pt idx="1221">
                  <c:v>66760</c:v>
                </c:pt>
                <c:pt idx="1222">
                  <c:v>66690</c:v>
                </c:pt>
                <c:pt idx="1223">
                  <c:v>66020</c:v>
                </c:pt>
                <c:pt idx="1224">
                  <c:v>65850</c:v>
                </c:pt>
                <c:pt idx="1225">
                  <c:v>63810</c:v>
                </c:pt>
                <c:pt idx="1226">
                  <c:v>60810</c:v>
                </c:pt>
                <c:pt idx="1227">
                  <c:v>59610</c:v>
                </c:pt>
                <c:pt idx="1228">
                  <c:v>59350</c:v>
                </c:pt>
                <c:pt idx="1229">
                  <c:v>59340</c:v>
                </c:pt>
                <c:pt idx="1230">
                  <c:v>59900</c:v>
                </c:pt>
                <c:pt idx="1231">
                  <c:v>59850</c:v>
                </c:pt>
                <c:pt idx="1232">
                  <c:v>60880</c:v>
                </c:pt>
                <c:pt idx="1233">
                  <c:v>61450</c:v>
                </c:pt>
                <c:pt idx="1234">
                  <c:v>61520</c:v>
                </c:pt>
                <c:pt idx="1235">
                  <c:v>61770</c:v>
                </c:pt>
                <c:pt idx="1236">
                  <c:v>59240</c:v>
                </c:pt>
                <c:pt idx="1237">
                  <c:v>58860</c:v>
                </c:pt>
                <c:pt idx="1238">
                  <c:v>57580</c:v>
                </c:pt>
                <c:pt idx="1239">
                  <c:v>58310</c:v>
                </c:pt>
                <c:pt idx="1240">
                  <c:v>58240</c:v>
                </c:pt>
                <c:pt idx="1241">
                  <c:v>56990</c:v>
                </c:pt>
                <c:pt idx="1242">
                  <c:v>57520</c:v>
                </c:pt>
                <c:pt idx="1243">
                  <c:v>56460</c:v>
                </c:pt>
                <c:pt idx="1244">
                  <c:v>56070</c:v>
                </c:pt>
                <c:pt idx="1245">
                  <c:v>56420</c:v>
                </c:pt>
                <c:pt idx="1246">
                  <c:v>56230</c:v>
                </c:pt>
                <c:pt idx="1247">
                  <c:v>54810</c:v>
                </c:pt>
                <c:pt idx="1248">
                  <c:v>54140</c:v>
                </c:pt>
                <c:pt idx="1249">
                  <c:v>55280</c:v>
                </c:pt>
                <c:pt idx="1250">
                  <c:v>54090</c:v>
                </c:pt>
                <c:pt idx="1251">
                  <c:v>54310</c:v>
                </c:pt>
                <c:pt idx="1252">
                  <c:v>54310</c:v>
                </c:pt>
                <c:pt idx="1253">
                  <c:v>52820</c:v>
                </c:pt>
                <c:pt idx="1254">
                  <c:v>53510</c:v>
                </c:pt>
                <c:pt idx="1255">
                  <c:v>52100</c:v>
                </c:pt>
                <c:pt idx="1256">
                  <c:v>53200</c:v>
                </c:pt>
                <c:pt idx="1257">
                  <c:v>53460</c:v>
                </c:pt>
                <c:pt idx="1258">
                  <c:v>53660</c:v>
                </c:pt>
                <c:pt idx="1259">
                  <c:v>52690</c:v>
                </c:pt>
                <c:pt idx="1260">
                  <c:v>52080</c:v>
                </c:pt>
                <c:pt idx="1261">
                  <c:v>51930</c:v>
                </c:pt>
                <c:pt idx="1262">
                  <c:v>53750</c:v>
                </c:pt>
                <c:pt idx="1263">
                  <c:v>54200</c:v>
                </c:pt>
                <c:pt idx="1264">
                  <c:v>53620</c:v>
                </c:pt>
                <c:pt idx="1265">
                  <c:v>53200</c:v>
                </c:pt>
                <c:pt idx="1266">
                  <c:v>53030</c:v>
                </c:pt>
                <c:pt idx="1267">
                  <c:v>53350</c:v>
                </c:pt>
                <c:pt idx="1268">
                  <c:v>53820</c:v>
                </c:pt>
                <c:pt idx="1269">
                  <c:v>51380</c:v>
                </c:pt>
                <c:pt idx="1270">
                  <c:v>51830</c:v>
                </c:pt>
                <c:pt idx="1271">
                  <c:v>52390</c:v>
                </c:pt>
                <c:pt idx="1272">
                  <c:v>51930</c:v>
                </c:pt>
                <c:pt idx="1273">
                  <c:v>52460</c:v>
                </c:pt>
                <c:pt idx="1274">
                  <c:v>51800</c:v>
                </c:pt>
                <c:pt idx="1275">
                  <c:v>51690</c:v>
                </c:pt>
                <c:pt idx="1276">
                  <c:v>51590</c:v>
                </c:pt>
                <c:pt idx="1277">
                  <c:v>52080</c:v>
                </c:pt>
                <c:pt idx="1278">
                  <c:v>52420</c:v>
                </c:pt>
                <c:pt idx="1279">
                  <c:v>53150</c:v>
                </c:pt>
                <c:pt idx="1280">
                  <c:v>52150</c:v>
                </c:pt>
                <c:pt idx="1281">
                  <c:v>51400</c:v>
                </c:pt>
                <c:pt idx="1282">
                  <c:v>51280</c:v>
                </c:pt>
                <c:pt idx="1283">
                  <c:v>51230</c:v>
                </c:pt>
                <c:pt idx="1284">
                  <c:v>50670</c:v>
                </c:pt>
                <c:pt idx="1285">
                  <c:v>52200</c:v>
                </c:pt>
                <c:pt idx="1286">
                  <c:v>52620</c:v>
                </c:pt>
                <c:pt idx="1287">
                  <c:v>51950</c:v>
                </c:pt>
                <c:pt idx="1288">
                  <c:v>52110</c:v>
                </c:pt>
                <c:pt idx="1289">
                  <c:v>50690</c:v>
                </c:pt>
                <c:pt idx="1290">
                  <c:v>49270</c:v>
                </c:pt>
                <c:pt idx="1291">
                  <c:v>49820</c:v>
                </c:pt>
                <c:pt idx="1292">
                  <c:v>49700</c:v>
                </c:pt>
                <c:pt idx="1293">
                  <c:v>48830</c:v>
                </c:pt>
                <c:pt idx="1294">
                  <c:v>49380</c:v>
                </c:pt>
                <c:pt idx="1295">
                  <c:v>49810</c:v>
                </c:pt>
                <c:pt idx="1296">
                  <c:v>50930</c:v>
                </c:pt>
                <c:pt idx="1297">
                  <c:v>50770</c:v>
                </c:pt>
                <c:pt idx="1298">
                  <c:v>50480</c:v>
                </c:pt>
                <c:pt idx="1299">
                  <c:v>50870</c:v>
                </c:pt>
                <c:pt idx="1300">
                  <c:v>50390</c:v>
                </c:pt>
                <c:pt idx="1301">
                  <c:v>50150</c:v>
                </c:pt>
                <c:pt idx="1302">
                  <c:v>51120</c:v>
                </c:pt>
                <c:pt idx="1303">
                  <c:v>50390</c:v>
                </c:pt>
                <c:pt idx="1304">
                  <c:v>51090</c:v>
                </c:pt>
                <c:pt idx="1305">
                  <c:v>51470</c:v>
                </c:pt>
                <c:pt idx="1306">
                  <c:v>51960</c:v>
                </c:pt>
                <c:pt idx="1307">
                  <c:v>50860</c:v>
                </c:pt>
                <c:pt idx="1308">
                  <c:v>50110</c:v>
                </c:pt>
                <c:pt idx="1309">
                  <c:v>49770</c:v>
                </c:pt>
                <c:pt idx="1310">
                  <c:v>49750</c:v>
                </c:pt>
                <c:pt idx="1311">
                  <c:v>49560</c:v>
                </c:pt>
                <c:pt idx="1312">
                  <c:v>49560</c:v>
                </c:pt>
                <c:pt idx="1313">
                  <c:v>49560</c:v>
                </c:pt>
                <c:pt idx="1314">
                  <c:v>50060</c:v>
                </c:pt>
                <c:pt idx="1315">
                  <c:v>51290</c:v>
                </c:pt>
                <c:pt idx="1316">
                  <c:v>51870</c:v>
                </c:pt>
                <c:pt idx="1317">
                  <c:v>47950</c:v>
                </c:pt>
                <c:pt idx="1318">
                  <c:v>47660</c:v>
                </c:pt>
                <c:pt idx="1319">
                  <c:v>49100</c:v>
                </c:pt>
                <c:pt idx="1320">
                  <c:v>48280</c:v>
                </c:pt>
                <c:pt idx="1321">
                  <c:v>48800</c:v>
                </c:pt>
                <c:pt idx="1322">
                  <c:v>47500</c:v>
                </c:pt>
                <c:pt idx="1323">
                  <c:v>44110</c:v>
                </c:pt>
                <c:pt idx="1324">
                  <c:v>43970</c:v>
                </c:pt>
                <c:pt idx="1325">
                  <c:v>44580</c:v>
                </c:pt>
                <c:pt idx="1326">
                  <c:v>44080</c:v>
                </c:pt>
                <c:pt idx="1327">
                  <c:v>44100</c:v>
                </c:pt>
                <c:pt idx="1328">
                  <c:v>43960</c:v>
                </c:pt>
                <c:pt idx="1329">
                  <c:v>47170</c:v>
                </c:pt>
                <c:pt idx="1330">
                  <c:v>46740</c:v>
                </c:pt>
                <c:pt idx="1331">
                  <c:v>45790</c:v>
                </c:pt>
                <c:pt idx="1332">
                  <c:v>46910</c:v>
                </c:pt>
                <c:pt idx="1333">
                  <c:v>47130</c:v>
                </c:pt>
                <c:pt idx="1334">
                  <c:v>50100</c:v>
                </c:pt>
                <c:pt idx="1335">
                  <c:v>49560</c:v>
                </c:pt>
                <c:pt idx="1336">
                  <c:v>49830</c:v>
                </c:pt>
                <c:pt idx="1337">
                  <c:v>48850</c:v>
                </c:pt>
                <c:pt idx="1338">
                  <c:v>48750</c:v>
                </c:pt>
                <c:pt idx="1339">
                  <c:v>50060</c:v>
                </c:pt>
                <c:pt idx="1340">
                  <c:v>49270</c:v>
                </c:pt>
                <c:pt idx="1341">
                  <c:v>50050</c:v>
                </c:pt>
                <c:pt idx="1342">
                  <c:v>50050</c:v>
                </c:pt>
                <c:pt idx="1343">
                  <c:v>50180</c:v>
                </c:pt>
                <c:pt idx="1344">
                  <c:v>47490</c:v>
                </c:pt>
                <c:pt idx="1345">
                  <c:v>48250</c:v>
                </c:pt>
                <c:pt idx="1346">
                  <c:v>48240</c:v>
                </c:pt>
                <c:pt idx="1347">
                  <c:v>47390</c:v>
                </c:pt>
                <c:pt idx="1348">
                  <c:v>46910</c:v>
                </c:pt>
                <c:pt idx="1349">
                  <c:v>47000</c:v>
                </c:pt>
                <c:pt idx="1350">
                  <c:v>46880</c:v>
                </c:pt>
                <c:pt idx="1351">
                  <c:v>48810</c:v>
                </c:pt>
                <c:pt idx="1352">
                  <c:v>49870</c:v>
                </c:pt>
                <c:pt idx="1353">
                  <c:v>50780</c:v>
                </c:pt>
                <c:pt idx="1354">
                  <c:v>51240</c:v>
                </c:pt>
                <c:pt idx="1355">
                  <c:v>49830</c:v>
                </c:pt>
                <c:pt idx="1356">
                  <c:v>51070</c:v>
                </c:pt>
                <c:pt idx="1357">
                  <c:v>51030</c:v>
                </c:pt>
                <c:pt idx="1358">
                  <c:v>52340</c:v>
                </c:pt>
                <c:pt idx="1359">
                  <c:v>51180</c:v>
                </c:pt>
                <c:pt idx="1360">
                  <c:v>51850</c:v>
                </c:pt>
                <c:pt idx="1361">
                  <c:v>49660</c:v>
                </c:pt>
                <c:pt idx="1362">
                  <c:v>50610</c:v>
                </c:pt>
                <c:pt idx="1363">
                  <c:v>50890</c:v>
                </c:pt>
                <c:pt idx="1364">
                  <c:v>50800</c:v>
                </c:pt>
                <c:pt idx="1365">
                  <c:v>51420</c:v>
                </c:pt>
                <c:pt idx="1366">
                  <c:v>52500</c:v>
                </c:pt>
                <c:pt idx="1367">
                  <c:v>52320</c:v>
                </c:pt>
                <c:pt idx="1368">
                  <c:v>54790</c:v>
                </c:pt>
                <c:pt idx="1369">
                  <c:v>53950</c:v>
                </c:pt>
                <c:pt idx="1370">
                  <c:v>54460</c:v>
                </c:pt>
                <c:pt idx="1371">
                  <c:v>45260</c:v>
                </c:pt>
                <c:pt idx="1372">
                  <c:v>48380</c:v>
                </c:pt>
                <c:pt idx="1373">
                  <c:v>52750</c:v>
                </c:pt>
                <c:pt idx="1374">
                  <c:v>54300</c:v>
                </c:pt>
                <c:pt idx="1375">
                  <c:v>53800</c:v>
                </c:pt>
                <c:pt idx="1376">
                  <c:v>52520</c:v>
                </c:pt>
                <c:pt idx="1377">
                  <c:v>54350</c:v>
                </c:pt>
                <c:pt idx="1378">
                  <c:v>55420</c:v>
                </c:pt>
                <c:pt idx="1379">
                  <c:v>56440</c:v>
                </c:pt>
                <c:pt idx="1380">
                  <c:v>55340</c:v>
                </c:pt>
                <c:pt idx="1381">
                  <c:v>55990</c:v>
                </c:pt>
                <c:pt idx="1382">
                  <c:v>55260</c:v>
                </c:pt>
                <c:pt idx="1383">
                  <c:v>55800</c:v>
                </c:pt>
                <c:pt idx="1384">
                  <c:v>55230</c:v>
                </c:pt>
                <c:pt idx="1385">
                  <c:v>54000</c:v>
                </c:pt>
                <c:pt idx="1386">
                  <c:v>54870</c:v>
                </c:pt>
                <c:pt idx="1387">
                  <c:v>55120</c:v>
                </c:pt>
                <c:pt idx="1388">
                  <c:v>55160</c:v>
                </c:pt>
                <c:pt idx="1389">
                  <c:v>57130</c:v>
                </c:pt>
                <c:pt idx="1390">
                  <c:v>57130</c:v>
                </c:pt>
                <c:pt idx="1391">
                  <c:v>56660</c:v>
                </c:pt>
                <c:pt idx="1392">
                  <c:v>57230</c:v>
                </c:pt>
                <c:pt idx="1393">
                  <c:v>57010</c:v>
                </c:pt>
                <c:pt idx="1394">
                  <c:v>57640</c:v>
                </c:pt>
                <c:pt idx="1395">
                  <c:v>57070</c:v>
                </c:pt>
                <c:pt idx="1396">
                  <c:v>55510</c:v>
                </c:pt>
                <c:pt idx="1397">
                  <c:v>57900</c:v>
                </c:pt>
                <c:pt idx="1398">
                  <c:v>57030</c:v>
                </c:pt>
                <c:pt idx="1399">
                  <c:v>56560</c:v>
                </c:pt>
                <c:pt idx="1400">
                  <c:v>56560</c:v>
                </c:pt>
                <c:pt idx="1401">
                  <c:v>56010</c:v>
                </c:pt>
                <c:pt idx="1402">
                  <c:v>54590</c:v>
                </c:pt>
                <c:pt idx="1403">
                  <c:v>55050</c:v>
                </c:pt>
                <c:pt idx="1404">
                  <c:v>54220</c:v>
                </c:pt>
                <c:pt idx="1405">
                  <c:v>56390</c:v>
                </c:pt>
                <c:pt idx="1406">
                  <c:v>56390</c:v>
                </c:pt>
                <c:pt idx="1407">
                  <c:v>56780</c:v>
                </c:pt>
                <c:pt idx="1408">
                  <c:v>57950</c:v>
                </c:pt>
                <c:pt idx="1409">
                  <c:v>55720</c:v>
                </c:pt>
                <c:pt idx="1410">
                  <c:v>55840</c:v>
                </c:pt>
                <c:pt idx="1411">
                  <c:v>55540</c:v>
                </c:pt>
                <c:pt idx="1412">
                  <c:v>55300</c:v>
                </c:pt>
                <c:pt idx="1413">
                  <c:v>54810</c:v>
                </c:pt>
                <c:pt idx="1414">
                  <c:v>54520</c:v>
                </c:pt>
                <c:pt idx="1415">
                  <c:v>52730</c:v>
                </c:pt>
                <c:pt idx="1416">
                  <c:v>52130</c:v>
                </c:pt>
                <c:pt idx="1417">
                  <c:v>50640</c:v>
                </c:pt>
                <c:pt idx="1418">
                  <c:v>51030</c:v>
                </c:pt>
                <c:pt idx="1419">
                  <c:v>50890</c:v>
                </c:pt>
                <c:pt idx="1420">
                  <c:v>50540</c:v>
                </c:pt>
                <c:pt idx="1421">
                  <c:v>50580</c:v>
                </c:pt>
                <c:pt idx="1422">
                  <c:v>48270</c:v>
                </c:pt>
                <c:pt idx="1423">
                  <c:v>48930</c:v>
                </c:pt>
                <c:pt idx="1424">
                  <c:v>49720</c:v>
                </c:pt>
                <c:pt idx="1425">
                  <c:v>51040</c:v>
                </c:pt>
                <c:pt idx="1426">
                  <c:v>50930</c:v>
                </c:pt>
                <c:pt idx="1427">
                  <c:v>49500</c:v>
                </c:pt>
                <c:pt idx="1428">
                  <c:v>48730</c:v>
                </c:pt>
                <c:pt idx="1429">
                  <c:v>47480</c:v>
                </c:pt>
                <c:pt idx="1430">
                  <c:v>47210</c:v>
                </c:pt>
                <c:pt idx="1431">
                  <c:v>46300</c:v>
                </c:pt>
                <c:pt idx="1432">
                  <c:v>47120</c:v>
                </c:pt>
                <c:pt idx="1433">
                  <c:v>46760</c:v>
                </c:pt>
                <c:pt idx="1434">
                  <c:v>47940</c:v>
                </c:pt>
                <c:pt idx="1435">
                  <c:v>46710</c:v>
                </c:pt>
                <c:pt idx="1436">
                  <c:v>46240</c:v>
                </c:pt>
                <c:pt idx="1437">
                  <c:v>46400</c:v>
                </c:pt>
                <c:pt idx="1438">
                  <c:v>47140</c:v>
                </c:pt>
                <c:pt idx="1439">
                  <c:v>46520</c:v>
                </c:pt>
                <c:pt idx="1440">
                  <c:v>46420</c:v>
                </c:pt>
                <c:pt idx="1441">
                  <c:v>47150</c:v>
                </c:pt>
                <c:pt idx="1442">
                  <c:v>46980</c:v>
                </c:pt>
                <c:pt idx="1443">
                  <c:v>46570</c:v>
                </c:pt>
                <c:pt idx="1444">
                  <c:v>46100</c:v>
                </c:pt>
                <c:pt idx="1445">
                  <c:v>45830</c:v>
                </c:pt>
                <c:pt idx="1446">
                  <c:v>46140</c:v>
                </c:pt>
                <c:pt idx="1447">
                  <c:v>46580</c:v>
                </c:pt>
                <c:pt idx="1448">
                  <c:v>46580</c:v>
                </c:pt>
                <c:pt idx="1449">
                  <c:v>49260</c:v>
                </c:pt>
                <c:pt idx="1450">
                  <c:v>50670</c:v>
                </c:pt>
                <c:pt idx="1451">
                  <c:v>53260</c:v>
                </c:pt>
                <c:pt idx="1452">
                  <c:v>52850</c:v>
                </c:pt>
                <c:pt idx="1453">
                  <c:v>54170</c:v>
                </c:pt>
                <c:pt idx="1454">
                  <c:v>54170</c:v>
                </c:pt>
                <c:pt idx="1455">
                  <c:v>53510</c:v>
                </c:pt>
                <c:pt idx="1456">
                  <c:v>55080</c:v>
                </c:pt>
                <c:pt idx="1457">
                  <c:v>55760</c:v>
                </c:pt>
                <c:pt idx="1458">
                  <c:v>55590</c:v>
                </c:pt>
                <c:pt idx="1459">
                  <c:v>54890</c:v>
                </c:pt>
                <c:pt idx="1460">
                  <c:v>55710</c:v>
                </c:pt>
                <c:pt idx="1461">
                  <c:v>55850</c:v>
                </c:pt>
                <c:pt idx="1462">
                  <c:v>54460</c:v>
                </c:pt>
                <c:pt idx="1463">
                  <c:v>50270</c:v>
                </c:pt>
                <c:pt idx="1464">
                  <c:v>45800</c:v>
                </c:pt>
                <c:pt idx="1465">
                  <c:v>45030</c:v>
                </c:pt>
                <c:pt idx="1466">
                  <c:v>45030</c:v>
                </c:pt>
                <c:pt idx="1467">
                  <c:v>45030</c:v>
                </c:pt>
                <c:pt idx="1468">
                  <c:v>45210</c:v>
                </c:pt>
                <c:pt idx="1469">
                  <c:v>46940</c:v>
                </c:pt>
                <c:pt idx="1470">
                  <c:v>51130</c:v>
                </c:pt>
                <c:pt idx="1471">
                  <c:v>53910</c:v>
                </c:pt>
                <c:pt idx="1472">
                  <c:v>53280</c:v>
                </c:pt>
                <c:pt idx="1473">
                  <c:v>54980</c:v>
                </c:pt>
                <c:pt idx="1474">
                  <c:v>50660</c:v>
                </c:pt>
                <c:pt idx="1475">
                  <c:v>52810</c:v>
                </c:pt>
                <c:pt idx="1476">
                  <c:v>53020</c:v>
                </c:pt>
                <c:pt idx="1477">
                  <c:v>56810</c:v>
                </c:pt>
                <c:pt idx="1478">
                  <c:v>56010</c:v>
                </c:pt>
                <c:pt idx="1479">
                  <c:v>55360</c:v>
                </c:pt>
                <c:pt idx="1480">
                  <c:v>55680</c:v>
                </c:pt>
                <c:pt idx="1481">
                  <c:v>51120</c:v>
                </c:pt>
                <c:pt idx="1482">
                  <c:v>44980</c:v>
                </c:pt>
                <c:pt idx="1483">
                  <c:v>45140</c:v>
                </c:pt>
                <c:pt idx="1484">
                  <c:v>40470</c:v>
                </c:pt>
                <c:pt idx="1485">
                  <c:v>42070</c:v>
                </c:pt>
                <c:pt idx="1486">
                  <c:v>40790</c:v>
                </c:pt>
                <c:pt idx="1487">
                  <c:v>42300</c:v>
                </c:pt>
                <c:pt idx="1488">
                  <c:v>40470</c:v>
                </c:pt>
                <c:pt idx="1489">
                  <c:v>41990</c:v>
                </c:pt>
                <c:pt idx="1490">
                  <c:v>47710</c:v>
                </c:pt>
                <c:pt idx="1491">
                  <c:v>46760</c:v>
                </c:pt>
                <c:pt idx="1492">
                  <c:v>47180</c:v>
                </c:pt>
                <c:pt idx="1493">
                  <c:v>46600</c:v>
                </c:pt>
                <c:pt idx="1494">
                  <c:v>46540</c:v>
                </c:pt>
                <c:pt idx="1495">
                  <c:v>45880</c:v>
                </c:pt>
                <c:pt idx="1496">
                  <c:v>46770</c:v>
                </c:pt>
                <c:pt idx="1497">
                  <c:v>49910</c:v>
                </c:pt>
                <c:pt idx="1498">
                  <c:v>52130</c:v>
                </c:pt>
                <c:pt idx="1499">
                  <c:v>51640</c:v>
                </c:pt>
                <c:pt idx="1500">
                  <c:v>49920</c:v>
                </c:pt>
                <c:pt idx="1501">
                  <c:v>50680</c:v>
                </c:pt>
                <c:pt idx="1502">
                  <c:v>52540</c:v>
                </c:pt>
                <c:pt idx="1503">
                  <c:v>52610</c:v>
                </c:pt>
                <c:pt idx="1504">
                  <c:v>53210</c:v>
                </c:pt>
                <c:pt idx="1505">
                  <c:v>55270</c:v>
                </c:pt>
                <c:pt idx="1506">
                  <c:v>56630</c:v>
                </c:pt>
                <c:pt idx="1507">
                  <c:v>56630</c:v>
                </c:pt>
                <c:pt idx="1508">
                  <c:v>57000</c:v>
                </c:pt>
                <c:pt idx="1509">
                  <c:v>58150</c:v>
                </c:pt>
                <c:pt idx="1510">
                  <c:v>60860</c:v>
                </c:pt>
                <c:pt idx="1511">
                  <c:v>61090</c:v>
                </c:pt>
                <c:pt idx="1512">
                  <c:v>63100</c:v>
                </c:pt>
                <c:pt idx="1513">
                  <c:v>65040</c:v>
                </c:pt>
                <c:pt idx="1514">
                  <c:v>65720</c:v>
                </c:pt>
                <c:pt idx="1515">
                  <c:v>63910</c:v>
                </c:pt>
                <c:pt idx="1516">
                  <c:v>67620</c:v>
                </c:pt>
                <c:pt idx="1517">
                  <c:v>68460</c:v>
                </c:pt>
                <c:pt idx="1518">
                  <c:v>68470</c:v>
                </c:pt>
                <c:pt idx="1519">
                  <c:v>69040</c:v>
                </c:pt>
                <c:pt idx="1520">
                  <c:v>67550</c:v>
                </c:pt>
                <c:pt idx="1521">
                  <c:v>65370</c:v>
                </c:pt>
                <c:pt idx="1522">
                  <c:v>66220</c:v>
                </c:pt>
                <c:pt idx="1523">
                  <c:v>66390</c:v>
                </c:pt>
                <c:pt idx="1524">
                  <c:v>64170</c:v>
                </c:pt>
                <c:pt idx="1525">
                  <c:v>63680</c:v>
                </c:pt>
                <c:pt idx="1526">
                  <c:v>64940</c:v>
                </c:pt>
                <c:pt idx="1527">
                  <c:v>65130</c:v>
                </c:pt>
                <c:pt idx="1528">
                  <c:v>68250</c:v>
                </c:pt>
                <c:pt idx="1529">
                  <c:v>65750</c:v>
                </c:pt>
                <c:pt idx="1530">
                  <c:v>74220</c:v>
                </c:pt>
                <c:pt idx="1531">
                  <c:v>74420</c:v>
                </c:pt>
                <c:pt idx="1532">
                  <c:v>74040</c:v>
                </c:pt>
                <c:pt idx="1533">
                  <c:v>75500</c:v>
                </c:pt>
                <c:pt idx="1534">
                  <c:v>75030</c:v>
                </c:pt>
                <c:pt idx="1535">
                  <c:v>72140</c:v>
                </c:pt>
                <c:pt idx="1536">
                  <c:v>74670</c:v>
                </c:pt>
                <c:pt idx="1537">
                  <c:v>74670</c:v>
                </c:pt>
                <c:pt idx="1538">
                  <c:v>74670</c:v>
                </c:pt>
                <c:pt idx="1539">
                  <c:v>73340</c:v>
                </c:pt>
                <c:pt idx="1540">
                  <c:v>70510</c:v>
                </c:pt>
                <c:pt idx="1541">
                  <c:v>68530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2-41FB-B59E-2AA8E1690B02}"/>
            </c:ext>
          </c:extLst>
        </c:ser>
        <c:ser>
          <c:idx val="2"/>
          <c:order val="2"/>
          <c:tx>
            <c:strRef>
              <c:f>Portfolio!$I$24</c:f>
              <c:strCache>
                <c:ptCount val="1"/>
                <c:pt idx="0">
                  <c:v>@JYU24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Portfolio!$F$25:$F$1566</c:f>
              <c:numCache>
                <c:formatCode>General</c:formatCode>
                <c:ptCount val="1542"/>
                <c:pt idx="0">
                  <c:v>1190709</c:v>
                </c:pt>
                <c:pt idx="1">
                  <c:v>1190710</c:v>
                </c:pt>
                <c:pt idx="2">
                  <c:v>1190711</c:v>
                </c:pt>
                <c:pt idx="3">
                  <c:v>1190712</c:v>
                </c:pt>
                <c:pt idx="4">
                  <c:v>1190714</c:v>
                </c:pt>
                <c:pt idx="5">
                  <c:v>1190715</c:v>
                </c:pt>
                <c:pt idx="6">
                  <c:v>1190716</c:v>
                </c:pt>
                <c:pt idx="7">
                  <c:v>1190717</c:v>
                </c:pt>
                <c:pt idx="8">
                  <c:v>1190718</c:v>
                </c:pt>
                <c:pt idx="9">
                  <c:v>1190719</c:v>
                </c:pt>
                <c:pt idx="10">
                  <c:v>1190721</c:v>
                </c:pt>
                <c:pt idx="11">
                  <c:v>1190722</c:v>
                </c:pt>
                <c:pt idx="12">
                  <c:v>1190723</c:v>
                </c:pt>
                <c:pt idx="13">
                  <c:v>1190724</c:v>
                </c:pt>
                <c:pt idx="14">
                  <c:v>1190725</c:v>
                </c:pt>
                <c:pt idx="15">
                  <c:v>1190726</c:v>
                </c:pt>
                <c:pt idx="16">
                  <c:v>1190728</c:v>
                </c:pt>
                <c:pt idx="17">
                  <c:v>1190729</c:v>
                </c:pt>
                <c:pt idx="18">
                  <c:v>1190730</c:v>
                </c:pt>
                <c:pt idx="19">
                  <c:v>1190731</c:v>
                </c:pt>
                <c:pt idx="20">
                  <c:v>1190801</c:v>
                </c:pt>
                <c:pt idx="21">
                  <c:v>1190802</c:v>
                </c:pt>
                <c:pt idx="22">
                  <c:v>1190804</c:v>
                </c:pt>
                <c:pt idx="23">
                  <c:v>1190805</c:v>
                </c:pt>
                <c:pt idx="24">
                  <c:v>1190806</c:v>
                </c:pt>
                <c:pt idx="25">
                  <c:v>1190807</c:v>
                </c:pt>
                <c:pt idx="26">
                  <c:v>1190808</c:v>
                </c:pt>
                <c:pt idx="27">
                  <c:v>1190809</c:v>
                </c:pt>
                <c:pt idx="28">
                  <c:v>1190811</c:v>
                </c:pt>
                <c:pt idx="29">
                  <c:v>1190812</c:v>
                </c:pt>
                <c:pt idx="30">
                  <c:v>1190813</c:v>
                </c:pt>
                <c:pt idx="31">
                  <c:v>1190814</c:v>
                </c:pt>
                <c:pt idx="32">
                  <c:v>1190815</c:v>
                </c:pt>
                <c:pt idx="33">
                  <c:v>1190816</c:v>
                </c:pt>
                <c:pt idx="34">
                  <c:v>1190818</c:v>
                </c:pt>
                <c:pt idx="35">
                  <c:v>1190819</c:v>
                </c:pt>
                <c:pt idx="36">
                  <c:v>1190820</c:v>
                </c:pt>
                <c:pt idx="37">
                  <c:v>1190821</c:v>
                </c:pt>
                <c:pt idx="38">
                  <c:v>1190822</c:v>
                </c:pt>
                <c:pt idx="39">
                  <c:v>1190823</c:v>
                </c:pt>
                <c:pt idx="40">
                  <c:v>1190825</c:v>
                </c:pt>
                <c:pt idx="41">
                  <c:v>1190826</c:v>
                </c:pt>
                <c:pt idx="42">
                  <c:v>1190827</c:v>
                </c:pt>
                <c:pt idx="43">
                  <c:v>1190828</c:v>
                </c:pt>
                <c:pt idx="44">
                  <c:v>1190829</c:v>
                </c:pt>
                <c:pt idx="45">
                  <c:v>1190830</c:v>
                </c:pt>
                <c:pt idx="46">
                  <c:v>1190901</c:v>
                </c:pt>
                <c:pt idx="47">
                  <c:v>1190902</c:v>
                </c:pt>
                <c:pt idx="48">
                  <c:v>1190903</c:v>
                </c:pt>
                <c:pt idx="49">
                  <c:v>1190904</c:v>
                </c:pt>
                <c:pt idx="50">
                  <c:v>1190905</c:v>
                </c:pt>
                <c:pt idx="51">
                  <c:v>1190906</c:v>
                </c:pt>
                <c:pt idx="52">
                  <c:v>1190908</c:v>
                </c:pt>
                <c:pt idx="53">
                  <c:v>1190909</c:v>
                </c:pt>
                <c:pt idx="54">
                  <c:v>1190910</c:v>
                </c:pt>
                <c:pt idx="55">
                  <c:v>1190911</c:v>
                </c:pt>
                <c:pt idx="56">
                  <c:v>1190912</c:v>
                </c:pt>
                <c:pt idx="57">
                  <c:v>1190913</c:v>
                </c:pt>
                <c:pt idx="58">
                  <c:v>1190915</c:v>
                </c:pt>
                <c:pt idx="59">
                  <c:v>1190916</c:v>
                </c:pt>
                <c:pt idx="60">
                  <c:v>1190917</c:v>
                </c:pt>
                <c:pt idx="61">
                  <c:v>1190918</c:v>
                </c:pt>
                <c:pt idx="62">
                  <c:v>1190919</c:v>
                </c:pt>
                <c:pt idx="63">
                  <c:v>1190920</c:v>
                </c:pt>
                <c:pt idx="64">
                  <c:v>1190922</c:v>
                </c:pt>
                <c:pt idx="65">
                  <c:v>1190923</c:v>
                </c:pt>
                <c:pt idx="66">
                  <c:v>1190924</c:v>
                </c:pt>
                <c:pt idx="67">
                  <c:v>1190925</c:v>
                </c:pt>
                <c:pt idx="68">
                  <c:v>1190926</c:v>
                </c:pt>
                <c:pt idx="69">
                  <c:v>1190927</c:v>
                </c:pt>
                <c:pt idx="70">
                  <c:v>1190929</c:v>
                </c:pt>
                <c:pt idx="71">
                  <c:v>1190930</c:v>
                </c:pt>
                <c:pt idx="72">
                  <c:v>1191001</c:v>
                </c:pt>
                <c:pt idx="73">
                  <c:v>1191002</c:v>
                </c:pt>
                <c:pt idx="74">
                  <c:v>1191003</c:v>
                </c:pt>
                <c:pt idx="75">
                  <c:v>1191004</c:v>
                </c:pt>
                <c:pt idx="76">
                  <c:v>1191006</c:v>
                </c:pt>
                <c:pt idx="77">
                  <c:v>1191007</c:v>
                </c:pt>
                <c:pt idx="78">
                  <c:v>1191008</c:v>
                </c:pt>
                <c:pt idx="79">
                  <c:v>1191009</c:v>
                </c:pt>
                <c:pt idx="80">
                  <c:v>1191010</c:v>
                </c:pt>
                <c:pt idx="81">
                  <c:v>1191011</c:v>
                </c:pt>
                <c:pt idx="82">
                  <c:v>1191013</c:v>
                </c:pt>
                <c:pt idx="83">
                  <c:v>1191014</c:v>
                </c:pt>
                <c:pt idx="84">
                  <c:v>1191015</c:v>
                </c:pt>
                <c:pt idx="85">
                  <c:v>1191016</c:v>
                </c:pt>
                <c:pt idx="86">
                  <c:v>1191017</c:v>
                </c:pt>
                <c:pt idx="87">
                  <c:v>1191018</c:v>
                </c:pt>
                <c:pt idx="88">
                  <c:v>1191020</c:v>
                </c:pt>
                <c:pt idx="89">
                  <c:v>1191021</c:v>
                </c:pt>
                <c:pt idx="90">
                  <c:v>1191022</c:v>
                </c:pt>
                <c:pt idx="91">
                  <c:v>1191023</c:v>
                </c:pt>
                <c:pt idx="92">
                  <c:v>1191024</c:v>
                </c:pt>
                <c:pt idx="93">
                  <c:v>1191025</c:v>
                </c:pt>
                <c:pt idx="94">
                  <c:v>1191027</c:v>
                </c:pt>
                <c:pt idx="95">
                  <c:v>1191028</c:v>
                </c:pt>
                <c:pt idx="96">
                  <c:v>1191029</c:v>
                </c:pt>
                <c:pt idx="97">
                  <c:v>1191030</c:v>
                </c:pt>
                <c:pt idx="98">
                  <c:v>1191031</c:v>
                </c:pt>
                <c:pt idx="99">
                  <c:v>1191101</c:v>
                </c:pt>
                <c:pt idx="100">
                  <c:v>1191103</c:v>
                </c:pt>
                <c:pt idx="101">
                  <c:v>1191104</c:v>
                </c:pt>
                <c:pt idx="102">
                  <c:v>1191105</c:v>
                </c:pt>
                <c:pt idx="103">
                  <c:v>1191106</c:v>
                </c:pt>
                <c:pt idx="104">
                  <c:v>1191107</c:v>
                </c:pt>
                <c:pt idx="105">
                  <c:v>1191108</c:v>
                </c:pt>
                <c:pt idx="106">
                  <c:v>1191110</c:v>
                </c:pt>
                <c:pt idx="107">
                  <c:v>1191111</c:v>
                </c:pt>
                <c:pt idx="108">
                  <c:v>1191112</c:v>
                </c:pt>
                <c:pt idx="109">
                  <c:v>1191113</c:v>
                </c:pt>
                <c:pt idx="110">
                  <c:v>1191114</c:v>
                </c:pt>
                <c:pt idx="111">
                  <c:v>1191115</c:v>
                </c:pt>
                <c:pt idx="112">
                  <c:v>1191117</c:v>
                </c:pt>
                <c:pt idx="113">
                  <c:v>1191118</c:v>
                </c:pt>
                <c:pt idx="114">
                  <c:v>1191119</c:v>
                </c:pt>
                <c:pt idx="115">
                  <c:v>1191120</c:v>
                </c:pt>
                <c:pt idx="116">
                  <c:v>1191121</c:v>
                </c:pt>
                <c:pt idx="117">
                  <c:v>1191122</c:v>
                </c:pt>
                <c:pt idx="118">
                  <c:v>1191124</c:v>
                </c:pt>
                <c:pt idx="119">
                  <c:v>1191125</c:v>
                </c:pt>
                <c:pt idx="120">
                  <c:v>1191126</c:v>
                </c:pt>
                <c:pt idx="121">
                  <c:v>1191127</c:v>
                </c:pt>
                <c:pt idx="122">
                  <c:v>1191128</c:v>
                </c:pt>
                <c:pt idx="123">
                  <c:v>1191129</c:v>
                </c:pt>
                <c:pt idx="124">
                  <c:v>1191201</c:v>
                </c:pt>
                <c:pt idx="125">
                  <c:v>1191202</c:v>
                </c:pt>
                <c:pt idx="126">
                  <c:v>1191203</c:v>
                </c:pt>
                <c:pt idx="127">
                  <c:v>1191204</c:v>
                </c:pt>
                <c:pt idx="128">
                  <c:v>1191205</c:v>
                </c:pt>
                <c:pt idx="129">
                  <c:v>1191206</c:v>
                </c:pt>
                <c:pt idx="130">
                  <c:v>1191208</c:v>
                </c:pt>
                <c:pt idx="131">
                  <c:v>1191209</c:v>
                </c:pt>
                <c:pt idx="132">
                  <c:v>1191210</c:v>
                </c:pt>
                <c:pt idx="133">
                  <c:v>1191211</c:v>
                </c:pt>
                <c:pt idx="134">
                  <c:v>1191212</c:v>
                </c:pt>
                <c:pt idx="135">
                  <c:v>1191213</c:v>
                </c:pt>
                <c:pt idx="136">
                  <c:v>1191215</c:v>
                </c:pt>
                <c:pt idx="137">
                  <c:v>1191216</c:v>
                </c:pt>
                <c:pt idx="138">
                  <c:v>1191217</c:v>
                </c:pt>
                <c:pt idx="139">
                  <c:v>1191218</c:v>
                </c:pt>
                <c:pt idx="140">
                  <c:v>1191219</c:v>
                </c:pt>
                <c:pt idx="141">
                  <c:v>1191220</c:v>
                </c:pt>
                <c:pt idx="142">
                  <c:v>1191222</c:v>
                </c:pt>
                <c:pt idx="143">
                  <c:v>1191223</c:v>
                </c:pt>
                <c:pt idx="144">
                  <c:v>1191224</c:v>
                </c:pt>
                <c:pt idx="145">
                  <c:v>1191225</c:v>
                </c:pt>
                <c:pt idx="146">
                  <c:v>1191226</c:v>
                </c:pt>
                <c:pt idx="147">
                  <c:v>1191227</c:v>
                </c:pt>
                <c:pt idx="148">
                  <c:v>1191229</c:v>
                </c:pt>
                <c:pt idx="149">
                  <c:v>1191230</c:v>
                </c:pt>
                <c:pt idx="150">
                  <c:v>1191231</c:v>
                </c:pt>
                <c:pt idx="151">
                  <c:v>1200101</c:v>
                </c:pt>
                <c:pt idx="152">
                  <c:v>1200102</c:v>
                </c:pt>
                <c:pt idx="153">
                  <c:v>1200103</c:v>
                </c:pt>
                <c:pt idx="154">
                  <c:v>1200105</c:v>
                </c:pt>
                <c:pt idx="155">
                  <c:v>1200106</c:v>
                </c:pt>
                <c:pt idx="156">
                  <c:v>1200107</c:v>
                </c:pt>
                <c:pt idx="157">
                  <c:v>1200108</c:v>
                </c:pt>
                <c:pt idx="158">
                  <c:v>1200109</c:v>
                </c:pt>
                <c:pt idx="159">
                  <c:v>1200110</c:v>
                </c:pt>
                <c:pt idx="160">
                  <c:v>1200112</c:v>
                </c:pt>
                <c:pt idx="161">
                  <c:v>1200113</c:v>
                </c:pt>
                <c:pt idx="162">
                  <c:v>1200114</c:v>
                </c:pt>
                <c:pt idx="163">
                  <c:v>1200115</c:v>
                </c:pt>
                <c:pt idx="164">
                  <c:v>1200116</c:v>
                </c:pt>
                <c:pt idx="165">
                  <c:v>1200117</c:v>
                </c:pt>
                <c:pt idx="166">
                  <c:v>1200119</c:v>
                </c:pt>
                <c:pt idx="167">
                  <c:v>1200120</c:v>
                </c:pt>
                <c:pt idx="168">
                  <c:v>1200121</c:v>
                </c:pt>
                <c:pt idx="169">
                  <c:v>1200122</c:v>
                </c:pt>
                <c:pt idx="170">
                  <c:v>1200123</c:v>
                </c:pt>
                <c:pt idx="171">
                  <c:v>1200124</c:v>
                </c:pt>
                <c:pt idx="172">
                  <c:v>1200126</c:v>
                </c:pt>
                <c:pt idx="173">
                  <c:v>1200127</c:v>
                </c:pt>
                <c:pt idx="174">
                  <c:v>1200128</c:v>
                </c:pt>
                <c:pt idx="175">
                  <c:v>1200129</c:v>
                </c:pt>
                <c:pt idx="176">
                  <c:v>1200130</c:v>
                </c:pt>
                <c:pt idx="177">
                  <c:v>1200131</c:v>
                </c:pt>
                <c:pt idx="178">
                  <c:v>1200202</c:v>
                </c:pt>
                <c:pt idx="179">
                  <c:v>1200203</c:v>
                </c:pt>
                <c:pt idx="180">
                  <c:v>1200204</c:v>
                </c:pt>
                <c:pt idx="181">
                  <c:v>1200205</c:v>
                </c:pt>
                <c:pt idx="182">
                  <c:v>1200206</c:v>
                </c:pt>
                <c:pt idx="183">
                  <c:v>1200207</c:v>
                </c:pt>
                <c:pt idx="184">
                  <c:v>1200209</c:v>
                </c:pt>
                <c:pt idx="185">
                  <c:v>1200210</c:v>
                </c:pt>
                <c:pt idx="186">
                  <c:v>1200211</c:v>
                </c:pt>
                <c:pt idx="187">
                  <c:v>1200212</c:v>
                </c:pt>
                <c:pt idx="188">
                  <c:v>1200213</c:v>
                </c:pt>
                <c:pt idx="189">
                  <c:v>1200214</c:v>
                </c:pt>
                <c:pt idx="190">
                  <c:v>1200216</c:v>
                </c:pt>
                <c:pt idx="191">
                  <c:v>1200217</c:v>
                </c:pt>
                <c:pt idx="192">
                  <c:v>1200218</c:v>
                </c:pt>
                <c:pt idx="193">
                  <c:v>1200219</c:v>
                </c:pt>
                <c:pt idx="194">
                  <c:v>1200220</c:v>
                </c:pt>
                <c:pt idx="195">
                  <c:v>1200221</c:v>
                </c:pt>
                <c:pt idx="196">
                  <c:v>1200223</c:v>
                </c:pt>
                <c:pt idx="197">
                  <c:v>1200224</c:v>
                </c:pt>
                <c:pt idx="198">
                  <c:v>1200225</c:v>
                </c:pt>
                <c:pt idx="199">
                  <c:v>1200226</c:v>
                </c:pt>
                <c:pt idx="200">
                  <c:v>1200227</c:v>
                </c:pt>
                <c:pt idx="201">
                  <c:v>1200228</c:v>
                </c:pt>
                <c:pt idx="202">
                  <c:v>1200301</c:v>
                </c:pt>
                <c:pt idx="203">
                  <c:v>1200302</c:v>
                </c:pt>
                <c:pt idx="204">
                  <c:v>1200303</c:v>
                </c:pt>
                <c:pt idx="205">
                  <c:v>1200304</c:v>
                </c:pt>
                <c:pt idx="206">
                  <c:v>1200305</c:v>
                </c:pt>
                <c:pt idx="207">
                  <c:v>1200306</c:v>
                </c:pt>
                <c:pt idx="208">
                  <c:v>1200308</c:v>
                </c:pt>
                <c:pt idx="209">
                  <c:v>1200309</c:v>
                </c:pt>
                <c:pt idx="210">
                  <c:v>1200310</c:v>
                </c:pt>
                <c:pt idx="211">
                  <c:v>1200311</c:v>
                </c:pt>
                <c:pt idx="212">
                  <c:v>1200312</c:v>
                </c:pt>
                <c:pt idx="213">
                  <c:v>1200313</c:v>
                </c:pt>
                <c:pt idx="214">
                  <c:v>1200315</c:v>
                </c:pt>
                <c:pt idx="215">
                  <c:v>1200316</c:v>
                </c:pt>
                <c:pt idx="216">
                  <c:v>1200317</c:v>
                </c:pt>
                <c:pt idx="217">
                  <c:v>1200318</c:v>
                </c:pt>
                <c:pt idx="218">
                  <c:v>1200319</c:v>
                </c:pt>
                <c:pt idx="219">
                  <c:v>1200320</c:v>
                </c:pt>
                <c:pt idx="220">
                  <c:v>1200322</c:v>
                </c:pt>
                <c:pt idx="221">
                  <c:v>1200323</c:v>
                </c:pt>
                <c:pt idx="222">
                  <c:v>1200324</c:v>
                </c:pt>
                <c:pt idx="223">
                  <c:v>1200325</c:v>
                </c:pt>
                <c:pt idx="224">
                  <c:v>1200326</c:v>
                </c:pt>
                <c:pt idx="225">
                  <c:v>1200327</c:v>
                </c:pt>
                <c:pt idx="226">
                  <c:v>1200329</c:v>
                </c:pt>
                <c:pt idx="227">
                  <c:v>1200330</c:v>
                </c:pt>
                <c:pt idx="228">
                  <c:v>1200331</c:v>
                </c:pt>
                <c:pt idx="229">
                  <c:v>1200401</c:v>
                </c:pt>
                <c:pt idx="230">
                  <c:v>1200402</c:v>
                </c:pt>
                <c:pt idx="231">
                  <c:v>1200403</c:v>
                </c:pt>
                <c:pt idx="232">
                  <c:v>1200405</c:v>
                </c:pt>
                <c:pt idx="233">
                  <c:v>1200406</c:v>
                </c:pt>
                <c:pt idx="234">
                  <c:v>1200407</c:v>
                </c:pt>
                <c:pt idx="235">
                  <c:v>1200408</c:v>
                </c:pt>
                <c:pt idx="236">
                  <c:v>1200409</c:v>
                </c:pt>
                <c:pt idx="237">
                  <c:v>1200412</c:v>
                </c:pt>
                <c:pt idx="238">
                  <c:v>1200413</c:v>
                </c:pt>
                <c:pt idx="239">
                  <c:v>1200414</c:v>
                </c:pt>
                <c:pt idx="240">
                  <c:v>1200415</c:v>
                </c:pt>
                <c:pt idx="241">
                  <c:v>1200416</c:v>
                </c:pt>
                <c:pt idx="242">
                  <c:v>1200417</c:v>
                </c:pt>
                <c:pt idx="243">
                  <c:v>1200419</c:v>
                </c:pt>
                <c:pt idx="244">
                  <c:v>1200420</c:v>
                </c:pt>
                <c:pt idx="245">
                  <c:v>1200421</c:v>
                </c:pt>
                <c:pt idx="246">
                  <c:v>1200422</c:v>
                </c:pt>
                <c:pt idx="247">
                  <c:v>1200423</c:v>
                </c:pt>
                <c:pt idx="248">
                  <c:v>1200424</c:v>
                </c:pt>
                <c:pt idx="249">
                  <c:v>1200426</c:v>
                </c:pt>
                <c:pt idx="250">
                  <c:v>1200427</c:v>
                </c:pt>
                <c:pt idx="251">
                  <c:v>1200428</c:v>
                </c:pt>
                <c:pt idx="252">
                  <c:v>1200429</c:v>
                </c:pt>
                <c:pt idx="253">
                  <c:v>1200430</c:v>
                </c:pt>
                <c:pt idx="254">
                  <c:v>1200501</c:v>
                </c:pt>
                <c:pt idx="255">
                  <c:v>1200503</c:v>
                </c:pt>
                <c:pt idx="256">
                  <c:v>1200504</c:v>
                </c:pt>
                <c:pt idx="257">
                  <c:v>1200505</c:v>
                </c:pt>
                <c:pt idx="258">
                  <c:v>1200506</c:v>
                </c:pt>
                <c:pt idx="259">
                  <c:v>1200507</c:v>
                </c:pt>
                <c:pt idx="260">
                  <c:v>1200508</c:v>
                </c:pt>
                <c:pt idx="261">
                  <c:v>1200510</c:v>
                </c:pt>
                <c:pt idx="262">
                  <c:v>1200511</c:v>
                </c:pt>
                <c:pt idx="263">
                  <c:v>1200512</c:v>
                </c:pt>
                <c:pt idx="264">
                  <c:v>1200513</c:v>
                </c:pt>
                <c:pt idx="265">
                  <c:v>1200514</c:v>
                </c:pt>
                <c:pt idx="266">
                  <c:v>1200515</c:v>
                </c:pt>
                <c:pt idx="267">
                  <c:v>1200517</c:v>
                </c:pt>
                <c:pt idx="268">
                  <c:v>1200518</c:v>
                </c:pt>
                <c:pt idx="269">
                  <c:v>1200519</c:v>
                </c:pt>
                <c:pt idx="270">
                  <c:v>1200520</c:v>
                </c:pt>
                <c:pt idx="271">
                  <c:v>1200521</c:v>
                </c:pt>
                <c:pt idx="272">
                  <c:v>1200522</c:v>
                </c:pt>
                <c:pt idx="273">
                  <c:v>1200524</c:v>
                </c:pt>
                <c:pt idx="274">
                  <c:v>1200525</c:v>
                </c:pt>
                <c:pt idx="275">
                  <c:v>1200526</c:v>
                </c:pt>
                <c:pt idx="276">
                  <c:v>1200527</c:v>
                </c:pt>
                <c:pt idx="277">
                  <c:v>1200528</c:v>
                </c:pt>
                <c:pt idx="278">
                  <c:v>1200529</c:v>
                </c:pt>
                <c:pt idx="279">
                  <c:v>1200531</c:v>
                </c:pt>
                <c:pt idx="280">
                  <c:v>1200601</c:v>
                </c:pt>
                <c:pt idx="281">
                  <c:v>1200602</c:v>
                </c:pt>
                <c:pt idx="282">
                  <c:v>1200603</c:v>
                </c:pt>
                <c:pt idx="283">
                  <c:v>1200604</c:v>
                </c:pt>
                <c:pt idx="284">
                  <c:v>1200605</c:v>
                </c:pt>
                <c:pt idx="285">
                  <c:v>1200607</c:v>
                </c:pt>
                <c:pt idx="286">
                  <c:v>1200608</c:v>
                </c:pt>
                <c:pt idx="287">
                  <c:v>1200609</c:v>
                </c:pt>
                <c:pt idx="288">
                  <c:v>1200610</c:v>
                </c:pt>
                <c:pt idx="289">
                  <c:v>1200611</c:v>
                </c:pt>
                <c:pt idx="290">
                  <c:v>1200612</c:v>
                </c:pt>
                <c:pt idx="291">
                  <c:v>1200614</c:v>
                </c:pt>
                <c:pt idx="292">
                  <c:v>1200615</c:v>
                </c:pt>
                <c:pt idx="293">
                  <c:v>1200616</c:v>
                </c:pt>
                <c:pt idx="294">
                  <c:v>1200617</c:v>
                </c:pt>
                <c:pt idx="295">
                  <c:v>1200618</c:v>
                </c:pt>
                <c:pt idx="296">
                  <c:v>1200619</c:v>
                </c:pt>
                <c:pt idx="297">
                  <c:v>1200621</c:v>
                </c:pt>
                <c:pt idx="298">
                  <c:v>1200622</c:v>
                </c:pt>
                <c:pt idx="299">
                  <c:v>1200623</c:v>
                </c:pt>
                <c:pt idx="300">
                  <c:v>1200624</c:v>
                </c:pt>
                <c:pt idx="301">
                  <c:v>1200625</c:v>
                </c:pt>
                <c:pt idx="302">
                  <c:v>1200626</c:v>
                </c:pt>
                <c:pt idx="303">
                  <c:v>1200628</c:v>
                </c:pt>
                <c:pt idx="304">
                  <c:v>1200629</c:v>
                </c:pt>
                <c:pt idx="305">
                  <c:v>1200630</c:v>
                </c:pt>
                <c:pt idx="306">
                  <c:v>1200701</c:v>
                </c:pt>
                <c:pt idx="307">
                  <c:v>1200702</c:v>
                </c:pt>
                <c:pt idx="308">
                  <c:v>1200703</c:v>
                </c:pt>
                <c:pt idx="309">
                  <c:v>1200705</c:v>
                </c:pt>
                <c:pt idx="310">
                  <c:v>1200706</c:v>
                </c:pt>
                <c:pt idx="311">
                  <c:v>1200707</c:v>
                </c:pt>
                <c:pt idx="312">
                  <c:v>1200708</c:v>
                </c:pt>
                <c:pt idx="313">
                  <c:v>1200709</c:v>
                </c:pt>
                <c:pt idx="314">
                  <c:v>1200710</c:v>
                </c:pt>
                <c:pt idx="315">
                  <c:v>1200712</c:v>
                </c:pt>
                <c:pt idx="316">
                  <c:v>1200713</c:v>
                </c:pt>
                <c:pt idx="317">
                  <c:v>1200714</c:v>
                </c:pt>
                <c:pt idx="318">
                  <c:v>1200715</c:v>
                </c:pt>
                <c:pt idx="319">
                  <c:v>1200716</c:v>
                </c:pt>
                <c:pt idx="320">
                  <c:v>1200717</c:v>
                </c:pt>
                <c:pt idx="321">
                  <c:v>1200719</c:v>
                </c:pt>
                <c:pt idx="322">
                  <c:v>1200720</c:v>
                </c:pt>
                <c:pt idx="323">
                  <c:v>1200721</c:v>
                </c:pt>
                <c:pt idx="324">
                  <c:v>1200722</c:v>
                </c:pt>
                <c:pt idx="325">
                  <c:v>1200723</c:v>
                </c:pt>
                <c:pt idx="326">
                  <c:v>1200724</c:v>
                </c:pt>
                <c:pt idx="327">
                  <c:v>1200726</c:v>
                </c:pt>
                <c:pt idx="328">
                  <c:v>1200727</c:v>
                </c:pt>
                <c:pt idx="329">
                  <c:v>1200728</c:v>
                </c:pt>
                <c:pt idx="330">
                  <c:v>1200729</c:v>
                </c:pt>
                <c:pt idx="331">
                  <c:v>1200730</c:v>
                </c:pt>
                <c:pt idx="332">
                  <c:v>1200731</c:v>
                </c:pt>
                <c:pt idx="333">
                  <c:v>1200802</c:v>
                </c:pt>
                <c:pt idx="334">
                  <c:v>1200803</c:v>
                </c:pt>
                <c:pt idx="335">
                  <c:v>1200804</c:v>
                </c:pt>
                <c:pt idx="336">
                  <c:v>1200805</c:v>
                </c:pt>
                <c:pt idx="337">
                  <c:v>1200806</c:v>
                </c:pt>
                <c:pt idx="338">
                  <c:v>1200807</c:v>
                </c:pt>
                <c:pt idx="339">
                  <c:v>1200809</c:v>
                </c:pt>
                <c:pt idx="340">
                  <c:v>1200810</c:v>
                </c:pt>
                <c:pt idx="341">
                  <c:v>1200811</c:v>
                </c:pt>
                <c:pt idx="342">
                  <c:v>1200812</c:v>
                </c:pt>
                <c:pt idx="343">
                  <c:v>1200813</c:v>
                </c:pt>
                <c:pt idx="344">
                  <c:v>1200814</c:v>
                </c:pt>
                <c:pt idx="345">
                  <c:v>1200816</c:v>
                </c:pt>
                <c:pt idx="346">
                  <c:v>1200817</c:v>
                </c:pt>
                <c:pt idx="347">
                  <c:v>1200818</c:v>
                </c:pt>
                <c:pt idx="348">
                  <c:v>1200819</c:v>
                </c:pt>
                <c:pt idx="349">
                  <c:v>1200820</c:v>
                </c:pt>
                <c:pt idx="350">
                  <c:v>1200821</c:v>
                </c:pt>
                <c:pt idx="351">
                  <c:v>1200823</c:v>
                </c:pt>
                <c:pt idx="352">
                  <c:v>1200824</c:v>
                </c:pt>
                <c:pt idx="353">
                  <c:v>1200825</c:v>
                </c:pt>
                <c:pt idx="354">
                  <c:v>1200826</c:v>
                </c:pt>
                <c:pt idx="355">
                  <c:v>1200827</c:v>
                </c:pt>
                <c:pt idx="356">
                  <c:v>1200828</c:v>
                </c:pt>
                <c:pt idx="357">
                  <c:v>1200830</c:v>
                </c:pt>
                <c:pt idx="358">
                  <c:v>1200831</c:v>
                </c:pt>
                <c:pt idx="359">
                  <c:v>1200901</c:v>
                </c:pt>
                <c:pt idx="360">
                  <c:v>1200902</c:v>
                </c:pt>
                <c:pt idx="361">
                  <c:v>1200903</c:v>
                </c:pt>
                <c:pt idx="362">
                  <c:v>1200904</c:v>
                </c:pt>
                <c:pt idx="363">
                  <c:v>1200906</c:v>
                </c:pt>
                <c:pt idx="364">
                  <c:v>1200907</c:v>
                </c:pt>
                <c:pt idx="365">
                  <c:v>1200908</c:v>
                </c:pt>
                <c:pt idx="366">
                  <c:v>1200909</c:v>
                </c:pt>
                <c:pt idx="367">
                  <c:v>1200910</c:v>
                </c:pt>
                <c:pt idx="368">
                  <c:v>1200911</c:v>
                </c:pt>
                <c:pt idx="369">
                  <c:v>1200913</c:v>
                </c:pt>
                <c:pt idx="370">
                  <c:v>1200914</c:v>
                </c:pt>
                <c:pt idx="371">
                  <c:v>1200915</c:v>
                </c:pt>
                <c:pt idx="372">
                  <c:v>1200916</c:v>
                </c:pt>
                <c:pt idx="373">
                  <c:v>1200917</c:v>
                </c:pt>
                <c:pt idx="374">
                  <c:v>1200918</c:v>
                </c:pt>
                <c:pt idx="375">
                  <c:v>1200920</c:v>
                </c:pt>
                <c:pt idx="376">
                  <c:v>1200921</c:v>
                </c:pt>
                <c:pt idx="377">
                  <c:v>1200922</c:v>
                </c:pt>
                <c:pt idx="378">
                  <c:v>1200923</c:v>
                </c:pt>
                <c:pt idx="379">
                  <c:v>1200924</c:v>
                </c:pt>
                <c:pt idx="380">
                  <c:v>1200925</c:v>
                </c:pt>
                <c:pt idx="381">
                  <c:v>1200927</c:v>
                </c:pt>
                <c:pt idx="382">
                  <c:v>1200928</c:v>
                </c:pt>
                <c:pt idx="383">
                  <c:v>1200929</c:v>
                </c:pt>
                <c:pt idx="384">
                  <c:v>1200930</c:v>
                </c:pt>
                <c:pt idx="385">
                  <c:v>1201001</c:v>
                </c:pt>
                <c:pt idx="386">
                  <c:v>1201002</c:v>
                </c:pt>
                <c:pt idx="387">
                  <c:v>1201004</c:v>
                </c:pt>
                <c:pt idx="388">
                  <c:v>1201005</c:v>
                </c:pt>
                <c:pt idx="389">
                  <c:v>1201006</c:v>
                </c:pt>
                <c:pt idx="390">
                  <c:v>1201007</c:v>
                </c:pt>
                <c:pt idx="391">
                  <c:v>1201008</c:v>
                </c:pt>
                <c:pt idx="392">
                  <c:v>1201009</c:v>
                </c:pt>
                <c:pt idx="393">
                  <c:v>1201011</c:v>
                </c:pt>
                <c:pt idx="394">
                  <c:v>1201012</c:v>
                </c:pt>
                <c:pt idx="395">
                  <c:v>1201013</c:v>
                </c:pt>
                <c:pt idx="396">
                  <c:v>1201014</c:v>
                </c:pt>
                <c:pt idx="397">
                  <c:v>1201015</c:v>
                </c:pt>
                <c:pt idx="398">
                  <c:v>1201016</c:v>
                </c:pt>
                <c:pt idx="399">
                  <c:v>1201018</c:v>
                </c:pt>
                <c:pt idx="400">
                  <c:v>1201019</c:v>
                </c:pt>
                <c:pt idx="401">
                  <c:v>1201020</c:v>
                </c:pt>
                <c:pt idx="402">
                  <c:v>1201021</c:v>
                </c:pt>
                <c:pt idx="403">
                  <c:v>1201022</c:v>
                </c:pt>
                <c:pt idx="404">
                  <c:v>1201023</c:v>
                </c:pt>
                <c:pt idx="405">
                  <c:v>1201025</c:v>
                </c:pt>
                <c:pt idx="406">
                  <c:v>1201026</c:v>
                </c:pt>
                <c:pt idx="407">
                  <c:v>1201027</c:v>
                </c:pt>
                <c:pt idx="408">
                  <c:v>1201028</c:v>
                </c:pt>
                <c:pt idx="409">
                  <c:v>1201029</c:v>
                </c:pt>
                <c:pt idx="410">
                  <c:v>1201030</c:v>
                </c:pt>
                <c:pt idx="411">
                  <c:v>1201101</c:v>
                </c:pt>
                <c:pt idx="412">
                  <c:v>1201102</c:v>
                </c:pt>
                <c:pt idx="413">
                  <c:v>1201103</c:v>
                </c:pt>
                <c:pt idx="414">
                  <c:v>1201104</c:v>
                </c:pt>
                <c:pt idx="415">
                  <c:v>1201105</c:v>
                </c:pt>
                <c:pt idx="416">
                  <c:v>1201106</c:v>
                </c:pt>
                <c:pt idx="417">
                  <c:v>1201108</c:v>
                </c:pt>
                <c:pt idx="418">
                  <c:v>1201109</c:v>
                </c:pt>
                <c:pt idx="419">
                  <c:v>1201110</c:v>
                </c:pt>
                <c:pt idx="420">
                  <c:v>1201111</c:v>
                </c:pt>
                <c:pt idx="421">
                  <c:v>1201112</c:v>
                </c:pt>
                <c:pt idx="422">
                  <c:v>1201113</c:v>
                </c:pt>
                <c:pt idx="423">
                  <c:v>1201115</c:v>
                </c:pt>
                <c:pt idx="424">
                  <c:v>1201116</c:v>
                </c:pt>
                <c:pt idx="425">
                  <c:v>1201117</c:v>
                </c:pt>
                <c:pt idx="426">
                  <c:v>1201118</c:v>
                </c:pt>
                <c:pt idx="427">
                  <c:v>1201119</c:v>
                </c:pt>
                <c:pt idx="428">
                  <c:v>1201120</c:v>
                </c:pt>
                <c:pt idx="429">
                  <c:v>1201122</c:v>
                </c:pt>
                <c:pt idx="430">
                  <c:v>1201123</c:v>
                </c:pt>
                <c:pt idx="431">
                  <c:v>1201124</c:v>
                </c:pt>
                <c:pt idx="432">
                  <c:v>1201125</c:v>
                </c:pt>
                <c:pt idx="433">
                  <c:v>1201126</c:v>
                </c:pt>
                <c:pt idx="434">
                  <c:v>1201127</c:v>
                </c:pt>
                <c:pt idx="435">
                  <c:v>1201129</c:v>
                </c:pt>
                <c:pt idx="436">
                  <c:v>1201130</c:v>
                </c:pt>
                <c:pt idx="437">
                  <c:v>1201201</c:v>
                </c:pt>
                <c:pt idx="438">
                  <c:v>1201202</c:v>
                </c:pt>
                <c:pt idx="439">
                  <c:v>1201203</c:v>
                </c:pt>
                <c:pt idx="440">
                  <c:v>1201204</c:v>
                </c:pt>
                <c:pt idx="441">
                  <c:v>1201206</c:v>
                </c:pt>
                <c:pt idx="442">
                  <c:v>1201207</c:v>
                </c:pt>
                <c:pt idx="443">
                  <c:v>1201208</c:v>
                </c:pt>
                <c:pt idx="444">
                  <c:v>1201209</c:v>
                </c:pt>
                <c:pt idx="445">
                  <c:v>1201210</c:v>
                </c:pt>
                <c:pt idx="446">
                  <c:v>1201211</c:v>
                </c:pt>
                <c:pt idx="447">
                  <c:v>1201213</c:v>
                </c:pt>
                <c:pt idx="448">
                  <c:v>1201214</c:v>
                </c:pt>
                <c:pt idx="449">
                  <c:v>1201215</c:v>
                </c:pt>
                <c:pt idx="450">
                  <c:v>1201216</c:v>
                </c:pt>
                <c:pt idx="451">
                  <c:v>1201217</c:v>
                </c:pt>
                <c:pt idx="452">
                  <c:v>1201218</c:v>
                </c:pt>
                <c:pt idx="453">
                  <c:v>1201220</c:v>
                </c:pt>
                <c:pt idx="454">
                  <c:v>1201221</c:v>
                </c:pt>
                <c:pt idx="455">
                  <c:v>1201222</c:v>
                </c:pt>
                <c:pt idx="456">
                  <c:v>1201223</c:v>
                </c:pt>
                <c:pt idx="457">
                  <c:v>1201224</c:v>
                </c:pt>
                <c:pt idx="458">
                  <c:v>1201227</c:v>
                </c:pt>
                <c:pt idx="459">
                  <c:v>1201228</c:v>
                </c:pt>
                <c:pt idx="460">
                  <c:v>1201229</c:v>
                </c:pt>
                <c:pt idx="461">
                  <c:v>1201230</c:v>
                </c:pt>
                <c:pt idx="462">
                  <c:v>1201231</c:v>
                </c:pt>
                <c:pt idx="463">
                  <c:v>1210103</c:v>
                </c:pt>
                <c:pt idx="464">
                  <c:v>1210104</c:v>
                </c:pt>
                <c:pt idx="465">
                  <c:v>1210105</c:v>
                </c:pt>
                <c:pt idx="466">
                  <c:v>1210106</c:v>
                </c:pt>
                <c:pt idx="467">
                  <c:v>1210107</c:v>
                </c:pt>
                <c:pt idx="468">
                  <c:v>1210108</c:v>
                </c:pt>
                <c:pt idx="469">
                  <c:v>1210110</c:v>
                </c:pt>
                <c:pt idx="470">
                  <c:v>1210111</c:v>
                </c:pt>
                <c:pt idx="471">
                  <c:v>1210112</c:v>
                </c:pt>
                <c:pt idx="472">
                  <c:v>1210113</c:v>
                </c:pt>
                <c:pt idx="473">
                  <c:v>1210114</c:v>
                </c:pt>
                <c:pt idx="474">
                  <c:v>1210115</c:v>
                </c:pt>
                <c:pt idx="475">
                  <c:v>1210117</c:v>
                </c:pt>
                <c:pt idx="476">
                  <c:v>1210118</c:v>
                </c:pt>
                <c:pt idx="477">
                  <c:v>1210119</c:v>
                </c:pt>
                <c:pt idx="478">
                  <c:v>1210120</c:v>
                </c:pt>
                <c:pt idx="479">
                  <c:v>1210121</c:v>
                </c:pt>
                <c:pt idx="480">
                  <c:v>1210122</c:v>
                </c:pt>
                <c:pt idx="481">
                  <c:v>1210124</c:v>
                </c:pt>
                <c:pt idx="482">
                  <c:v>1210125</c:v>
                </c:pt>
                <c:pt idx="483">
                  <c:v>1210126</c:v>
                </c:pt>
                <c:pt idx="484">
                  <c:v>1210127</c:v>
                </c:pt>
                <c:pt idx="485">
                  <c:v>1210128</c:v>
                </c:pt>
                <c:pt idx="486">
                  <c:v>1210129</c:v>
                </c:pt>
                <c:pt idx="487">
                  <c:v>1210131</c:v>
                </c:pt>
                <c:pt idx="488">
                  <c:v>1210201</c:v>
                </c:pt>
                <c:pt idx="489">
                  <c:v>1210202</c:v>
                </c:pt>
                <c:pt idx="490">
                  <c:v>1210203</c:v>
                </c:pt>
                <c:pt idx="491">
                  <c:v>1210204</c:v>
                </c:pt>
                <c:pt idx="492">
                  <c:v>1210205</c:v>
                </c:pt>
                <c:pt idx="493">
                  <c:v>1210207</c:v>
                </c:pt>
                <c:pt idx="494">
                  <c:v>1210208</c:v>
                </c:pt>
                <c:pt idx="495">
                  <c:v>1210209</c:v>
                </c:pt>
                <c:pt idx="496">
                  <c:v>1210210</c:v>
                </c:pt>
                <c:pt idx="497">
                  <c:v>1210211</c:v>
                </c:pt>
                <c:pt idx="498">
                  <c:v>1210212</c:v>
                </c:pt>
                <c:pt idx="499">
                  <c:v>1210214</c:v>
                </c:pt>
                <c:pt idx="500">
                  <c:v>1210215</c:v>
                </c:pt>
                <c:pt idx="501">
                  <c:v>1210216</c:v>
                </c:pt>
                <c:pt idx="502">
                  <c:v>1210217</c:v>
                </c:pt>
                <c:pt idx="503">
                  <c:v>1210218</c:v>
                </c:pt>
                <c:pt idx="504">
                  <c:v>1210219</c:v>
                </c:pt>
                <c:pt idx="505">
                  <c:v>1210221</c:v>
                </c:pt>
                <c:pt idx="506">
                  <c:v>1210222</c:v>
                </c:pt>
                <c:pt idx="507">
                  <c:v>1210223</c:v>
                </c:pt>
                <c:pt idx="508">
                  <c:v>1210224</c:v>
                </c:pt>
                <c:pt idx="509">
                  <c:v>1210225</c:v>
                </c:pt>
                <c:pt idx="510">
                  <c:v>1210226</c:v>
                </c:pt>
                <c:pt idx="511">
                  <c:v>1210228</c:v>
                </c:pt>
                <c:pt idx="512">
                  <c:v>1210301</c:v>
                </c:pt>
                <c:pt idx="513">
                  <c:v>1210302</c:v>
                </c:pt>
                <c:pt idx="514">
                  <c:v>1210303</c:v>
                </c:pt>
                <c:pt idx="515">
                  <c:v>1210304</c:v>
                </c:pt>
                <c:pt idx="516">
                  <c:v>1210305</c:v>
                </c:pt>
                <c:pt idx="517">
                  <c:v>1210307</c:v>
                </c:pt>
                <c:pt idx="518">
                  <c:v>1210308</c:v>
                </c:pt>
                <c:pt idx="519">
                  <c:v>1210309</c:v>
                </c:pt>
                <c:pt idx="520">
                  <c:v>1210310</c:v>
                </c:pt>
                <c:pt idx="521">
                  <c:v>1210311</c:v>
                </c:pt>
                <c:pt idx="522">
                  <c:v>1210312</c:v>
                </c:pt>
                <c:pt idx="523">
                  <c:v>1210314</c:v>
                </c:pt>
                <c:pt idx="524">
                  <c:v>1210315</c:v>
                </c:pt>
                <c:pt idx="525">
                  <c:v>1210316</c:v>
                </c:pt>
                <c:pt idx="526">
                  <c:v>1210317</c:v>
                </c:pt>
                <c:pt idx="527">
                  <c:v>1210318</c:v>
                </c:pt>
                <c:pt idx="528">
                  <c:v>1210319</c:v>
                </c:pt>
                <c:pt idx="529">
                  <c:v>1210321</c:v>
                </c:pt>
                <c:pt idx="530">
                  <c:v>1210322</c:v>
                </c:pt>
                <c:pt idx="531">
                  <c:v>1210323</c:v>
                </c:pt>
                <c:pt idx="532">
                  <c:v>1210324</c:v>
                </c:pt>
                <c:pt idx="533">
                  <c:v>1210325</c:v>
                </c:pt>
                <c:pt idx="534">
                  <c:v>1210326</c:v>
                </c:pt>
                <c:pt idx="535">
                  <c:v>1210328</c:v>
                </c:pt>
                <c:pt idx="536">
                  <c:v>1210329</c:v>
                </c:pt>
                <c:pt idx="537">
                  <c:v>1210330</c:v>
                </c:pt>
                <c:pt idx="538">
                  <c:v>1210331</c:v>
                </c:pt>
                <c:pt idx="539">
                  <c:v>1210401</c:v>
                </c:pt>
                <c:pt idx="540">
                  <c:v>1210402</c:v>
                </c:pt>
                <c:pt idx="541">
                  <c:v>1210404</c:v>
                </c:pt>
                <c:pt idx="542">
                  <c:v>1210405</c:v>
                </c:pt>
                <c:pt idx="543">
                  <c:v>1210406</c:v>
                </c:pt>
                <c:pt idx="544">
                  <c:v>1210407</c:v>
                </c:pt>
                <c:pt idx="545">
                  <c:v>1210408</c:v>
                </c:pt>
                <c:pt idx="546">
                  <c:v>1210409</c:v>
                </c:pt>
                <c:pt idx="547">
                  <c:v>1210411</c:v>
                </c:pt>
                <c:pt idx="548">
                  <c:v>1210412</c:v>
                </c:pt>
                <c:pt idx="549">
                  <c:v>1210413</c:v>
                </c:pt>
                <c:pt idx="550">
                  <c:v>1210414</c:v>
                </c:pt>
                <c:pt idx="551">
                  <c:v>1210415</c:v>
                </c:pt>
                <c:pt idx="552">
                  <c:v>1210416</c:v>
                </c:pt>
                <c:pt idx="553">
                  <c:v>1210418</c:v>
                </c:pt>
                <c:pt idx="554">
                  <c:v>1210419</c:v>
                </c:pt>
                <c:pt idx="555">
                  <c:v>1210420</c:v>
                </c:pt>
                <c:pt idx="556">
                  <c:v>1210421</c:v>
                </c:pt>
                <c:pt idx="557">
                  <c:v>1210422</c:v>
                </c:pt>
                <c:pt idx="558">
                  <c:v>1210423</c:v>
                </c:pt>
                <c:pt idx="559">
                  <c:v>1210425</c:v>
                </c:pt>
                <c:pt idx="560">
                  <c:v>1210426</c:v>
                </c:pt>
                <c:pt idx="561">
                  <c:v>1210427</c:v>
                </c:pt>
                <c:pt idx="562">
                  <c:v>1210428</c:v>
                </c:pt>
                <c:pt idx="563">
                  <c:v>1210429</c:v>
                </c:pt>
                <c:pt idx="564">
                  <c:v>1210430</c:v>
                </c:pt>
                <c:pt idx="565">
                  <c:v>1210502</c:v>
                </c:pt>
                <c:pt idx="566">
                  <c:v>1210503</c:v>
                </c:pt>
                <c:pt idx="567">
                  <c:v>1210504</c:v>
                </c:pt>
                <c:pt idx="568">
                  <c:v>1210505</c:v>
                </c:pt>
                <c:pt idx="569">
                  <c:v>1210506</c:v>
                </c:pt>
                <c:pt idx="570">
                  <c:v>1210507</c:v>
                </c:pt>
                <c:pt idx="571">
                  <c:v>1210509</c:v>
                </c:pt>
                <c:pt idx="572">
                  <c:v>1210510</c:v>
                </c:pt>
                <c:pt idx="573">
                  <c:v>1210511</c:v>
                </c:pt>
                <c:pt idx="574">
                  <c:v>1210512</c:v>
                </c:pt>
                <c:pt idx="575">
                  <c:v>1210513</c:v>
                </c:pt>
                <c:pt idx="576">
                  <c:v>1210514</c:v>
                </c:pt>
                <c:pt idx="577">
                  <c:v>1210516</c:v>
                </c:pt>
                <c:pt idx="578">
                  <c:v>1210517</c:v>
                </c:pt>
                <c:pt idx="579">
                  <c:v>1210518</c:v>
                </c:pt>
                <c:pt idx="580">
                  <c:v>1210519</c:v>
                </c:pt>
                <c:pt idx="581">
                  <c:v>1210520</c:v>
                </c:pt>
                <c:pt idx="582">
                  <c:v>1210521</c:v>
                </c:pt>
                <c:pt idx="583">
                  <c:v>1210523</c:v>
                </c:pt>
                <c:pt idx="584">
                  <c:v>1210524</c:v>
                </c:pt>
                <c:pt idx="585">
                  <c:v>1210525</c:v>
                </c:pt>
                <c:pt idx="586">
                  <c:v>1210526</c:v>
                </c:pt>
                <c:pt idx="587">
                  <c:v>1210527</c:v>
                </c:pt>
                <c:pt idx="588">
                  <c:v>1210528</c:v>
                </c:pt>
                <c:pt idx="589">
                  <c:v>1210530</c:v>
                </c:pt>
                <c:pt idx="590">
                  <c:v>1210531</c:v>
                </c:pt>
                <c:pt idx="591">
                  <c:v>1210601</c:v>
                </c:pt>
                <c:pt idx="592">
                  <c:v>1210602</c:v>
                </c:pt>
                <c:pt idx="593">
                  <c:v>1210603</c:v>
                </c:pt>
                <c:pt idx="594">
                  <c:v>1210604</c:v>
                </c:pt>
                <c:pt idx="595">
                  <c:v>1210606</c:v>
                </c:pt>
                <c:pt idx="596">
                  <c:v>1210607</c:v>
                </c:pt>
                <c:pt idx="597">
                  <c:v>1210608</c:v>
                </c:pt>
                <c:pt idx="598">
                  <c:v>1210609</c:v>
                </c:pt>
                <c:pt idx="599">
                  <c:v>1210610</c:v>
                </c:pt>
                <c:pt idx="600">
                  <c:v>1210611</c:v>
                </c:pt>
                <c:pt idx="601">
                  <c:v>1210613</c:v>
                </c:pt>
                <c:pt idx="602">
                  <c:v>1210614</c:v>
                </c:pt>
                <c:pt idx="603">
                  <c:v>1210615</c:v>
                </c:pt>
                <c:pt idx="604">
                  <c:v>1210616</c:v>
                </c:pt>
                <c:pt idx="605">
                  <c:v>1210617</c:v>
                </c:pt>
                <c:pt idx="606">
                  <c:v>1210618</c:v>
                </c:pt>
                <c:pt idx="607">
                  <c:v>1210620</c:v>
                </c:pt>
                <c:pt idx="608">
                  <c:v>1210621</c:v>
                </c:pt>
                <c:pt idx="609">
                  <c:v>1210622</c:v>
                </c:pt>
                <c:pt idx="610">
                  <c:v>1210623</c:v>
                </c:pt>
                <c:pt idx="611">
                  <c:v>1210624</c:v>
                </c:pt>
                <c:pt idx="612">
                  <c:v>1210625</c:v>
                </c:pt>
                <c:pt idx="613">
                  <c:v>1210627</c:v>
                </c:pt>
                <c:pt idx="614">
                  <c:v>1210628</c:v>
                </c:pt>
                <c:pt idx="615">
                  <c:v>1210629</c:v>
                </c:pt>
                <c:pt idx="616">
                  <c:v>1210630</c:v>
                </c:pt>
                <c:pt idx="617">
                  <c:v>1210701</c:v>
                </c:pt>
                <c:pt idx="618">
                  <c:v>1210702</c:v>
                </c:pt>
                <c:pt idx="619">
                  <c:v>1210704</c:v>
                </c:pt>
                <c:pt idx="620">
                  <c:v>1210705</c:v>
                </c:pt>
                <c:pt idx="621">
                  <c:v>1210706</c:v>
                </c:pt>
                <c:pt idx="622">
                  <c:v>1210707</c:v>
                </c:pt>
                <c:pt idx="623">
                  <c:v>1210708</c:v>
                </c:pt>
                <c:pt idx="624">
                  <c:v>1210709</c:v>
                </c:pt>
                <c:pt idx="625">
                  <c:v>1210711</c:v>
                </c:pt>
                <c:pt idx="626">
                  <c:v>1210712</c:v>
                </c:pt>
                <c:pt idx="627">
                  <c:v>1210713</c:v>
                </c:pt>
                <c:pt idx="628">
                  <c:v>1210714</c:v>
                </c:pt>
                <c:pt idx="629">
                  <c:v>1210715</c:v>
                </c:pt>
                <c:pt idx="630">
                  <c:v>1210716</c:v>
                </c:pt>
                <c:pt idx="631">
                  <c:v>1210718</c:v>
                </c:pt>
                <c:pt idx="632">
                  <c:v>1210719</c:v>
                </c:pt>
                <c:pt idx="633">
                  <c:v>1210720</c:v>
                </c:pt>
                <c:pt idx="634">
                  <c:v>1210721</c:v>
                </c:pt>
                <c:pt idx="635">
                  <c:v>1210722</c:v>
                </c:pt>
                <c:pt idx="636">
                  <c:v>1210723</c:v>
                </c:pt>
                <c:pt idx="637">
                  <c:v>1210725</c:v>
                </c:pt>
                <c:pt idx="638">
                  <c:v>1210726</c:v>
                </c:pt>
                <c:pt idx="639">
                  <c:v>1210727</c:v>
                </c:pt>
                <c:pt idx="640">
                  <c:v>1210728</c:v>
                </c:pt>
                <c:pt idx="641">
                  <c:v>1210729</c:v>
                </c:pt>
                <c:pt idx="642">
                  <c:v>1210730</c:v>
                </c:pt>
                <c:pt idx="643">
                  <c:v>1210801</c:v>
                </c:pt>
                <c:pt idx="644">
                  <c:v>1210802</c:v>
                </c:pt>
                <c:pt idx="645">
                  <c:v>1210803</c:v>
                </c:pt>
                <c:pt idx="646">
                  <c:v>1210804</c:v>
                </c:pt>
                <c:pt idx="647">
                  <c:v>1210805</c:v>
                </c:pt>
                <c:pt idx="648">
                  <c:v>1210806</c:v>
                </c:pt>
                <c:pt idx="649">
                  <c:v>1210808</c:v>
                </c:pt>
                <c:pt idx="650">
                  <c:v>1210809</c:v>
                </c:pt>
                <c:pt idx="651">
                  <c:v>1210810</c:v>
                </c:pt>
                <c:pt idx="652">
                  <c:v>1210811</c:v>
                </c:pt>
                <c:pt idx="653">
                  <c:v>1210812</c:v>
                </c:pt>
                <c:pt idx="654">
                  <c:v>1210813</c:v>
                </c:pt>
                <c:pt idx="655">
                  <c:v>1210815</c:v>
                </c:pt>
                <c:pt idx="656">
                  <c:v>1210816</c:v>
                </c:pt>
                <c:pt idx="657">
                  <c:v>1210817</c:v>
                </c:pt>
                <c:pt idx="658">
                  <c:v>1210818</c:v>
                </c:pt>
                <c:pt idx="659">
                  <c:v>1210819</c:v>
                </c:pt>
                <c:pt idx="660">
                  <c:v>1210820</c:v>
                </c:pt>
                <c:pt idx="661">
                  <c:v>1210822</c:v>
                </c:pt>
                <c:pt idx="662">
                  <c:v>1210823</c:v>
                </c:pt>
                <c:pt idx="663">
                  <c:v>1210824</c:v>
                </c:pt>
                <c:pt idx="664">
                  <c:v>1210825</c:v>
                </c:pt>
                <c:pt idx="665">
                  <c:v>1210826</c:v>
                </c:pt>
                <c:pt idx="666">
                  <c:v>1210827</c:v>
                </c:pt>
                <c:pt idx="667">
                  <c:v>1210829</c:v>
                </c:pt>
                <c:pt idx="668">
                  <c:v>1210830</c:v>
                </c:pt>
                <c:pt idx="669">
                  <c:v>1210831</c:v>
                </c:pt>
                <c:pt idx="670">
                  <c:v>1210901</c:v>
                </c:pt>
                <c:pt idx="671">
                  <c:v>1210902</c:v>
                </c:pt>
                <c:pt idx="672">
                  <c:v>1210903</c:v>
                </c:pt>
                <c:pt idx="673">
                  <c:v>1210905</c:v>
                </c:pt>
                <c:pt idx="674">
                  <c:v>1210906</c:v>
                </c:pt>
                <c:pt idx="675">
                  <c:v>1210907</c:v>
                </c:pt>
                <c:pt idx="676">
                  <c:v>1210908</c:v>
                </c:pt>
                <c:pt idx="677">
                  <c:v>1210909</c:v>
                </c:pt>
                <c:pt idx="678">
                  <c:v>1210910</c:v>
                </c:pt>
                <c:pt idx="679">
                  <c:v>1210912</c:v>
                </c:pt>
                <c:pt idx="680">
                  <c:v>1210913</c:v>
                </c:pt>
                <c:pt idx="681">
                  <c:v>1210914</c:v>
                </c:pt>
                <c:pt idx="682">
                  <c:v>1210915</c:v>
                </c:pt>
                <c:pt idx="683">
                  <c:v>1210916</c:v>
                </c:pt>
                <c:pt idx="684">
                  <c:v>1210917</c:v>
                </c:pt>
                <c:pt idx="685">
                  <c:v>1210919</c:v>
                </c:pt>
                <c:pt idx="686">
                  <c:v>1210920</c:v>
                </c:pt>
                <c:pt idx="687">
                  <c:v>1210921</c:v>
                </c:pt>
                <c:pt idx="688">
                  <c:v>1210922</c:v>
                </c:pt>
                <c:pt idx="689">
                  <c:v>1210923</c:v>
                </c:pt>
                <c:pt idx="690">
                  <c:v>1210924</c:v>
                </c:pt>
                <c:pt idx="691">
                  <c:v>1210926</c:v>
                </c:pt>
                <c:pt idx="692">
                  <c:v>1210927</c:v>
                </c:pt>
                <c:pt idx="693">
                  <c:v>1210928</c:v>
                </c:pt>
                <c:pt idx="694">
                  <c:v>1210929</c:v>
                </c:pt>
                <c:pt idx="695">
                  <c:v>1210930</c:v>
                </c:pt>
                <c:pt idx="696">
                  <c:v>1211001</c:v>
                </c:pt>
                <c:pt idx="697">
                  <c:v>1211003</c:v>
                </c:pt>
                <c:pt idx="698">
                  <c:v>1211004</c:v>
                </c:pt>
                <c:pt idx="699">
                  <c:v>1211005</c:v>
                </c:pt>
                <c:pt idx="700">
                  <c:v>1211006</c:v>
                </c:pt>
                <c:pt idx="701">
                  <c:v>1211007</c:v>
                </c:pt>
                <c:pt idx="702">
                  <c:v>1211008</c:v>
                </c:pt>
                <c:pt idx="703">
                  <c:v>1211010</c:v>
                </c:pt>
                <c:pt idx="704">
                  <c:v>1211011</c:v>
                </c:pt>
                <c:pt idx="705">
                  <c:v>1211012</c:v>
                </c:pt>
                <c:pt idx="706">
                  <c:v>1211013</c:v>
                </c:pt>
                <c:pt idx="707">
                  <c:v>1211014</c:v>
                </c:pt>
                <c:pt idx="708">
                  <c:v>1211015</c:v>
                </c:pt>
                <c:pt idx="709">
                  <c:v>1211017</c:v>
                </c:pt>
                <c:pt idx="710">
                  <c:v>1211018</c:v>
                </c:pt>
                <c:pt idx="711">
                  <c:v>1211019</c:v>
                </c:pt>
                <c:pt idx="712">
                  <c:v>1211020</c:v>
                </c:pt>
                <c:pt idx="713">
                  <c:v>1211021</c:v>
                </c:pt>
                <c:pt idx="714">
                  <c:v>1211022</c:v>
                </c:pt>
                <c:pt idx="715">
                  <c:v>1211024</c:v>
                </c:pt>
                <c:pt idx="716">
                  <c:v>1211025</c:v>
                </c:pt>
                <c:pt idx="717">
                  <c:v>1211026</c:v>
                </c:pt>
                <c:pt idx="718">
                  <c:v>1211027</c:v>
                </c:pt>
                <c:pt idx="719">
                  <c:v>1211028</c:v>
                </c:pt>
                <c:pt idx="720">
                  <c:v>1211029</c:v>
                </c:pt>
                <c:pt idx="721">
                  <c:v>1211031</c:v>
                </c:pt>
                <c:pt idx="722">
                  <c:v>1211101</c:v>
                </c:pt>
                <c:pt idx="723">
                  <c:v>1211102</c:v>
                </c:pt>
                <c:pt idx="724">
                  <c:v>1211103</c:v>
                </c:pt>
                <c:pt idx="725">
                  <c:v>1211104</c:v>
                </c:pt>
                <c:pt idx="726">
                  <c:v>1211105</c:v>
                </c:pt>
                <c:pt idx="727">
                  <c:v>1211107</c:v>
                </c:pt>
                <c:pt idx="728">
                  <c:v>1211108</c:v>
                </c:pt>
                <c:pt idx="729">
                  <c:v>1211109</c:v>
                </c:pt>
                <c:pt idx="730">
                  <c:v>1211110</c:v>
                </c:pt>
                <c:pt idx="731">
                  <c:v>1211111</c:v>
                </c:pt>
                <c:pt idx="732">
                  <c:v>1211112</c:v>
                </c:pt>
                <c:pt idx="733">
                  <c:v>1211114</c:v>
                </c:pt>
                <c:pt idx="734">
                  <c:v>1211115</c:v>
                </c:pt>
                <c:pt idx="735">
                  <c:v>1211116</c:v>
                </c:pt>
                <c:pt idx="736">
                  <c:v>1211117</c:v>
                </c:pt>
                <c:pt idx="737">
                  <c:v>1211118</c:v>
                </c:pt>
                <c:pt idx="738">
                  <c:v>1211119</c:v>
                </c:pt>
                <c:pt idx="739">
                  <c:v>1211121</c:v>
                </c:pt>
                <c:pt idx="740">
                  <c:v>1211122</c:v>
                </c:pt>
                <c:pt idx="741">
                  <c:v>1211123</c:v>
                </c:pt>
                <c:pt idx="742">
                  <c:v>1211124</c:v>
                </c:pt>
                <c:pt idx="743">
                  <c:v>1211125</c:v>
                </c:pt>
                <c:pt idx="744">
                  <c:v>1211126</c:v>
                </c:pt>
                <c:pt idx="745">
                  <c:v>1211128</c:v>
                </c:pt>
                <c:pt idx="746">
                  <c:v>1211129</c:v>
                </c:pt>
                <c:pt idx="747">
                  <c:v>1211130</c:v>
                </c:pt>
                <c:pt idx="748">
                  <c:v>1211201</c:v>
                </c:pt>
                <c:pt idx="749">
                  <c:v>1211202</c:v>
                </c:pt>
                <c:pt idx="750">
                  <c:v>1211203</c:v>
                </c:pt>
                <c:pt idx="751">
                  <c:v>1211205</c:v>
                </c:pt>
                <c:pt idx="752">
                  <c:v>1211206</c:v>
                </c:pt>
                <c:pt idx="753">
                  <c:v>1211207</c:v>
                </c:pt>
                <c:pt idx="754">
                  <c:v>1211208</c:v>
                </c:pt>
                <c:pt idx="755">
                  <c:v>1211209</c:v>
                </c:pt>
                <c:pt idx="756">
                  <c:v>1211210</c:v>
                </c:pt>
                <c:pt idx="757">
                  <c:v>1211212</c:v>
                </c:pt>
                <c:pt idx="758">
                  <c:v>1211213</c:v>
                </c:pt>
                <c:pt idx="759">
                  <c:v>1211214</c:v>
                </c:pt>
                <c:pt idx="760">
                  <c:v>1211215</c:v>
                </c:pt>
                <c:pt idx="761">
                  <c:v>1211216</c:v>
                </c:pt>
                <c:pt idx="762">
                  <c:v>1211217</c:v>
                </c:pt>
                <c:pt idx="763">
                  <c:v>1211219</c:v>
                </c:pt>
                <c:pt idx="764">
                  <c:v>1211220</c:v>
                </c:pt>
                <c:pt idx="765">
                  <c:v>1211221</c:v>
                </c:pt>
                <c:pt idx="766">
                  <c:v>1211222</c:v>
                </c:pt>
                <c:pt idx="767">
                  <c:v>1211223</c:v>
                </c:pt>
                <c:pt idx="768">
                  <c:v>1211226</c:v>
                </c:pt>
                <c:pt idx="769">
                  <c:v>1211227</c:v>
                </c:pt>
                <c:pt idx="770">
                  <c:v>1211228</c:v>
                </c:pt>
                <c:pt idx="771">
                  <c:v>1211229</c:v>
                </c:pt>
                <c:pt idx="772">
                  <c:v>1211230</c:v>
                </c:pt>
                <c:pt idx="773">
                  <c:v>1211231</c:v>
                </c:pt>
                <c:pt idx="774">
                  <c:v>1220102</c:v>
                </c:pt>
                <c:pt idx="775">
                  <c:v>1220103</c:v>
                </c:pt>
                <c:pt idx="776">
                  <c:v>1220104</c:v>
                </c:pt>
                <c:pt idx="777">
                  <c:v>1220105</c:v>
                </c:pt>
                <c:pt idx="778">
                  <c:v>1220106</c:v>
                </c:pt>
                <c:pt idx="779">
                  <c:v>1220107</c:v>
                </c:pt>
                <c:pt idx="780">
                  <c:v>1220109</c:v>
                </c:pt>
                <c:pt idx="781">
                  <c:v>1220110</c:v>
                </c:pt>
                <c:pt idx="782">
                  <c:v>1220111</c:v>
                </c:pt>
                <c:pt idx="783">
                  <c:v>1220112</c:v>
                </c:pt>
                <c:pt idx="784">
                  <c:v>1220113</c:v>
                </c:pt>
                <c:pt idx="785">
                  <c:v>1220114</c:v>
                </c:pt>
                <c:pt idx="786">
                  <c:v>1220116</c:v>
                </c:pt>
                <c:pt idx="787">
                  <c:v>1220117</c:v>
                </c:pt>
                <c:pt idx="788">
                  <c:v>1220118</c:v>
                </c:pt>
                <c:pt idx="789">
                  <c:v>1220119</c:v>
                </c:pt>
                <c:pt idx="790">
                  <c:v>1220120</c:v>
                </c:pt>
                <c:pt idx="791">
                  <c:v>1220121</c:v>
                </c:pt>
                <c:pt idx="792">
                  <c:v>1220123</c:v>
                </c:pt>
                <c:pt idx="793">
                  <c:v>1220124</c:v>
                </c:pt>
                <c:pt idx="794">
                  <c:v>1220125</c:v>
                </c:pt>
                <c:pt idx="795">
                  <c:v>1220126</c:v>
                </c:pt>
                <c:pt idx="796">
                  <c:v>1220127</c:v>
                </c:pt>
                <c:pt idx="797">
                  <c:v>1220128</c:v>
                </c:pt>
                <c:pt idx="798">
                  <c:v>1220130</c:v>
                </c:pt>
                <c:pt idx="799">
                  <c:v>1220131</c:v>
                </c:pt>
                <c:pt idx="800">
                  <c:v>1220201</c:v>
                </c:pt>
                <c:pt idx="801">
                  <c:v>1220202</c:v>
                </c:pt>
                <c:pt idx="802">
                  <c:v>1220203</c:v>
                </c:pt>
                <c:pt idx="803">
                  <c:v>1220204</c:v>
                </c:pt>
                <c:pt idx="804">
                  <c:v>1220206</c:v>
                </c:pt>
                <c:pt idx="805">
                  <c:v>1220207</c:v>
                </c:pt>
                <c:pt idx="806">
                  <c:v>1220208</c:v>
                </c:pt>
                <c:pt idx="807">
                  <c:v>1220209</c:v>
                </c:pt>
                <c:pt idx="808">
                  <c:v>1220210</c:v>
                </c:pt>
                <c:pt idx="809">
                  <c:v>1220211</c:v>
                </c:pt>
                <c:pt idx="810">
                  <c:v>1220213</c:v>
                </c:pt>
                <c:pt idx="811">
                  <c:v>1220214</c:v>
                </c:pt>
                <c:pt idx="812">
                  <c:v>1220215</c:v>
                </c:pt>
                <c:pt idx="813">
                  <c:v>1220216</c:v>
                </c:pt>
                <c:pt idx="814">
                  <c:v>1220217</c:v>
                </c:pt>
                <c:pt idx="815">
                  <c:v>1220218</c:v>
                </c:pt>
                <c:pt idx="816">
                  <c:v>1220220</c:v>
                </c:pt>
                <c:pt idx="817">
                  <c:v>1220221</c:v>
                </c:pt>
                <c:pt idx="818">
                  <c:v>1220222</c:v>
                </c:pt>
                <c:pt idx="819">
                  <c:v>1220223</c:v>
                </c:pt>
                <c:pt idx="820">
                  <c:v>1220224</c:v>
                </c:pt>
                <c:pt idx="821">
                  <c:v>1220225</c:v>
                </c:pt>
                <c:pt idx="822">
                  <c:v>1220227</c:v>
                </c:pt>
                <c:pt idx="823">
                  <c:v>1220228</c:v>
                </c:pt>
                <c:pt idx="824">
                  <c:v>1220301</c:v>
                </c:pt>
                <c:pt idx="825">
                  <c:v>1220302</c:v>
                </c:pt>
                <c:pt idx="826">
                  <c:v>1220303</c:v>
                </c:pt>
                <c:pt idx="827">
                  <c:v>1220304</c:v>
                </c:pt>
                <c:pt idx="828">
                  <c:v>1220306</c:v>
                </c:pt>
                <c:pt idx="829">
                  <c:v>1220307</c:v>
                </c:pt>
                <c:pt idx="830">
                  <c:v>1220308</c:v>
                </c:pt>
                <c:pt idx="831">
                  <c:v>1220309</c:v>
                </c:pt>
                <c:pt idx="832">
                  <c:v>1220310</c:v>
                </c:pt>
                <c:pt idx="833">
                  <c:v>1220311</c:v>
                </c:pt>
                <c:pt idx="834">
                  <c:v>1220313</c:v>
                </c:pt>
                <c:pt idx="835">
                  <c:v>1220314</c:v>
                </c:pt>
                <c:pt idx="836">
                  <c:v>1220315</c:v>
                </c:pt>
                <c:pt idx="837">
                  <c:v>1220316</c:v>
                </c:pt>
                <c:pt idx="838">
                  <c:v>1220317</c:v>
                </c:pt>
                <c:pt idx="839">
                  <c:v>1220318</c:v>
                </c:pt>
                <c:pt idx="840">
                  <c:v>1220320</c:v>
                </c:pt>
                <c:pt idx="841">
                  <c:v>1220321</c:v>
                </c:pt>
                <c:pt idx="842">
                  <c:v>1220322</c:v>
                </c:pt>
                <c:pt idx="843">
                  <c:v>1220323</c:v>
                </c:pt>
                <c:pt idx="844">
                  <c:v>1220324</c:v>
                </c:pt>
                <c:pt idx="845">
                  <c:v>1220325</c:v>
                </c:pt>
                <c:pt idx="846">
                  <c:v>1220327</c:v>
                </c:pt>
                <c:pt idx="847">
                  <c:v>1220328</c:v>
                </c:pt>
                <c:pt idx="848">
                  <c:v>1220329</c:v>
                </c:pt>
                <c:pt idx="849">
                  <c:v>1220330</c:v>
                </c:pt>
                <c:pt idx="850">
                  <c:v>1220331</c:v>
                </c:pt>
                <c:pt idx="851">
                  <c:v>1220401</c:v>
                </c:pt>
                <c:pt idx="852">
                  <c:v>1220403</c:v>
                </c:pt>
                <c:pt idx="853">
                  <c:v>1220404</c:v>
                </c:pt>
                <c:pt idx="854">
                  <c:v>1220405</c:v>
                </c:pt>
                <c:pt idx="855">
                  <c:v>1220406</c:v>
                </c:pt>
                <c:pt idx="856">
                  <c:v>1220407</c:v>
                </c:pt>
                <c:pt idx="857">
                  <c:v>1220408</c:v>
                </c:pt>
                <c:pt idx="858">
                  <c:v>1220410</c:v>
                </c:pt>
                <c:pt idx="859">
                  <c:v>1220411</c:v>
                </c:pt>
                <c:pt idx="860">
                  <c:v>1220412</c:v>
                </c:pt>
                <c:pt idx="861">
                  <c:v>1220413</c:v>
                </c:pt>
                <c:pt idx="862">
                  <c:v>1220414</c:v>
                </c:pt>
                <c:pt idx="863">
                  <c:v>1220417</c:v>
                </c:pt>
                <c:pt idx="864">
                  <c:v>1220418</c:v>
                </c:pt>
                <c:pt idx="865">
                  <c:v>1220419</c:v>
                </c:pt>
                <c:pt idx="866">
                  <c:v>1220420</c:v>
                </c:pt>
                <c:pt idx="867">
                  <c:v>1220421</c:v>
                </c:pt>
                <c:pt idx="868">
                  <c:v>1220422</c:v>
                </c:pt>
                <c:pt idx="869">
                  <c:v>1220424</c:v>
                </c:pt>
                <c:pt idx="870">
                  <c:v>1220425</c:v>
                </c:pt>
                <c:pt idx="871">
                  <c:v>1220426</c:v>
                </c:pt>
                <c:pt idx="872">
                  <c:v>1220427</c:v>
                </c:pt>
                <c:pt idx="873">
                  <c:v>1220428</c:v>
                </c:pt>
                <c:pt idx="874">
                  <c:v>1220429</c:v>
                </c:pt>
                <c:pt idx="875">
                  <c:v>1220501</c:v>
                </c:pt>
                <c:pt idx="876">
                  <c:v>1220502</c:v>
                </c:pt>
                <c:pt idx="877">
                  <c:v>1220503</c:v>
                </c:pt>
                <c:pt idx="878">
                  <c:v>1220504</c:v>
                </c:pt>
                <c:pt idx="879">
                  <c:v>1220505</c:v>
                </c:pt>
                <c:pt idx="880">
                  <c:v>1220506</c:v>
                </c:pt>
                <c:pt idx="881">
                  <c:v>1220508</c:v>
                </c:pt>
                <c:pt idx="882">
                  <c:v>1220509</c:v>
                </c:pt>
                <c:pt idx="883">
                  <c:v>1220510</c:v>
                </c:pt>
                <c:pt idx="884">
                  <c:v>1220511</c:v>
                </c:pt>
                <c:pt idx="885">
                  <c:v>1220512</c:v>
                </c:pt>
                <c:pt idx="886">
                  <c:v>1220513</c:v>
                </c:pt>
                <c:pt idx="887">
                  <c:v>1220515</c:v>
                </c:pt>
                <c:pt idx="888">
                  <c:v>1220516</c:v>
                </c:pt>
                <c:pt idx="889">
                  <c:v>1220517</c:v>
                </c:pt>
                <c:pt idx="890">
                  <c:v>1220518</c:v>
                </c:pt>
                <c:pt idx="891">
                  <c:v>1220519</c:v>
                </c:pt>
                <c:pt idx="892">
                  <c:v>1220520</c:v>
                </c:pt>
                <c:pt idx="893">
                  <c:v>1220522</c:v>
                </c:pt>
                <c:pt idx="894">
                  <c:v>1220523</c:v>
                </c:pt>
                <c:pt idx="895">
                  <c:v>1220524</c:v>
                </c:pt>
                <c:pt idx="896">
                  <c:v>1220525</c:v>
                </c:pt>
                <c:pt idx="897">
                  <c:v>1220526</c:v>
                </c:pt>
                <c:pt idx="898">
                  <c:v>1220527</c:v>
                </c:pt>
                <c:pt idx="899">
                  <c:v>1220529</c:v>
                </c:pt>
                <c:pt idx="900">
                  <c:v>1220530</c:v>
                </c:pt>
                <c:pt idx="901">
                  <c:v>1220531</c:v>
                </c:pt>
                <c:pt idx="902">
                  <c:v>1220601</c:v>
                </c:pt>
                <c:pt idx="903">
                  <c:v>1220602</c:v>
                </c:pt>
                <c:pt idx="904">
                  <c:v>1220603</c:v>
                </c:pt>
                <c:pt idx="905">
                  <c:v>1220605</c:v>
                </c:pt>
                <c:pt idx="906">
                  <c:v>1220606</c:v>
                </c:pt>
                <c:pt idx="907">
                  <c:v>1220607</c:v>
                </c:pt>
                <c:pt idx="908">
                  <c:v>1220608</c:v>
                </c:pt>
                <c:pt idx="909">
                  <c:v>1220609</c:v>
                </c:pt>
                <c:pt idx="910">
                  <c:v>1220610</c:v>
                </c:pt>
                <c:pt idx="911">
                  <c:v>1220612</c:v>
                </c:pt>
                <c:pt idx="912">
                  <c:v>1220613</c:v>
                </c:pt>
                <c:pt idx="913">
                  <c:v>1220614</c:v>
                </c:pt>
                <c:pt idx="914">
                  <c:v>1220615</c:v>
                </c:pt>
                <c:pt idx="915">
                  <c:v>1220616</c:v>
                </c:pt>
                <c:pt idx="916">
                  <c:v>1220617</c:v>
                </c:pt>
                <c:pt idx="917">
                  <c:v>1220619</c:v>
                </c:pt>
                <c:pt idx="918">
                  <c:v>1220620</c:v>
                </c:pt>
                <c:pt idx="919">
                  <c:v>1220621</c:v>
                </c:pt>
                <c:pt idx="920">
                  <c:v>1220622</c:v>
                </c:pt>
                <c:pt idx="921">
                  <c:v>1220623</c:v>
                </c:pt>
                <c:pt idx="922">
                  <c:v>1220624</c:v>
                </c:pt>
                <c:pt idx="923">
                  <c:v>1220626</c:v>
                </c:pt>
                <c:pt idx="924">
                  <c:v>1220627</c:v>
                </c:pt>
                <c:pt idx="925">
                  <c:v>1220628</c:v>
                </c:pt>
                <c:pt idx="926">
                  <c:v>1220629</c:v>
                </c:pt>
                <c:pt idx="927">
                  <c:v>1220630</c:v>
                </c:pt>
                <c:pt idx="928">
                  <c:v>1220701</c:v>
                </c:pt>
                <c:pt idx="929">
                  <c:v>1220703</c:v>
                </c:pt>
                <c:pt idx="930">
                  <c:v>1220704</c:v>
                </c:pt>
                <c:pt idx="931">
                  <c:v>1220705</c:v>
                </c:pt>
                <c:pt idx="932">
                  <c:v>1220706</c:v>
                </c:pt>
                <c:pt idx="933">
                  <c:v>1220707</c:v>
                </c:pt>
                <c:pt idx="934">
                  <c:v>1220708</c:v>
                </c:pt>
                <c:pt idx="935">
                  <c:v>1220710</c:v>
                </c:pt>
                <c:pt idx="936">
                  <c:v>1220711</c:v>
                </c:pt>
                <c:pt idx="937">
                  <c:v>1220712</c:v>
                </c:pt>
                <c:pt idx="938">
                  <c:v>1220713</c:v>
                </c:pt>
                <c:pt idx="939">
                  <c:v>1220714</c:v>
                </c:pt>
                <c:pt idx="940">
                  <c:v>1220715</c:v>
                </c:pt>
                <c:pt idx="941">
                  <c:v>1220717</c:v>
                </c:pt>
                <c:pt idx="942">
                  <c:v>1220718</c:v>
                </c:pt>
                <c:pt idx="943">
                  <c:v>1220719</c:v>
                </c:pt>
                <c:pt idx="944">
                  <c:v>1220720</c:v>
                </c:pt>
                <c:pt idx="945">
                  <c:v>1220721</c:v>
                </c:pt>
                <c:pt idx="946">
                  <c:v>1220722</c:v>
                </c:pt>
                <c:pt idx="947">
                  <c:v>1220724</c:v>
                </c:pt>
                <c:pt idx="948">
                  <c:v>1220725</c:v>
                </c:pt>
                <c:pt idx="949">
                  <c:v>1220726</c:v>
                </c:pt>
                <c:pt idx="950">
                  <c:v>1220727</c:v>
                </c:pt>
                <c:pt idx="951">
                  <c:v>1220728</c:v>
                </c:pt>
                <c:pt idx="952">
                  <c:v>1220729</c:v>
                </c:pt>
                <c:pt idx="953">
                  <c:v>1220731</c:v>
                </c:pt>
                <c:pt idx="954">
                  <c:v>1220801</c:v>
                </c:pt>
                <c:pt idx="955">
                  <c:v>1220802</c:v>
                </c:pt>
                <c:pt idx="956">
                  <c:v>1220803</c:v>
                </c:pt>
                <c:pt idx="957">
                  <c:v>1220804</c:v>
                </c:pt>
                <c:pt idx="958">
                  <c:v>1220805</c:v>
                </c:pt>
                <c:pt idx="959">
                  <c:v>1220807</c:v>
                </c:pt>
                <c:pt idx="960">
                  <c:v>1220808</c:v>
                </c:pt>
                <c:pt idx="961">
                  <c:v>1220809</c:v>
                </c:pt>
                <c:pt idx="962">
                  <c:v>1220810</c:v>
                </c:pt>
                <c:pt idx="963">
                  <c:v>1220811</c:v>
                </c:pt>
                <c:pt idx="964">
                  <c:v>1220812</c:v>
                </c:pt>
                <c:pt idx="965">
                  <c:v>1220814</c:v>
                </c:pt>
                <c:pt idx="966">
                  <c:v>1220815</c:v>
                </c:pt>
                <c:pt idx="967">
                  <c:v>1220816</c:v>
                </c:pt>
                <c:pt idx="968">
                  <c:v>1220817</c:v>
                </c:pt>
                <c:pt idx="969">
                  <c:v>1220818</c:v>
                </c:pt>
                <c:pt idx="970">
                  <c:v>1220819</c:v>
                </c:pt>
                <c:pt idx="971">
                  <c:v>1220821</c:v>
                </c:pt>
                <c:pt idx="972">
                  <c:v>1220822</c:v>
                </c:pt>
                <c:pt idx="973">
                  <c:v>1220823</c:v>
                </c:pt>
                <c:pt idx="974">
                  <c:v>1220824</c:v>
                </c:pt>
                <c:pt idx="975">
                  <c:v>1220825</c:v>
                </c:pt>
                <c:pt idx="976">
                  <c:v>1220826</c:v>
                </c:pt>
                <c:pt idx="977">
                  <c:v>1220828</c:v>
                </c:pt>
                <c:pt idx="978">
                  <c:v>1220829</c:v>
                </c:pt>
                <c:pt idx="979">
                  <c:v>1220830</c:v>
                </c:pt>
                <c:pt idx="980">
                  <c:v>1220831</c:v>
                </c:pt>
                <c:pt idx="981">
                  <c:v>1220901</c:v>
                </c:pt>
                <c:pt idx="982">
                  <c:v>1220902</c:v>
                </c:pt>
                <c:pt idx="983">
                  <c:v>1220904</c:v>
                </c:pt>
                <c:pt idx="984">
                  <c:v>1220905</c:v>
                </c:pt>
                <c:pt idx="985">
                  <c:v>1220906</c:v>
                </c:pt>
                <c:pt idx="986">
                  <c:v>1220907</c:v>
                </c:pt>
                <c:pt idx="987">
                  <c:v>1220908</c:v>
                </c:pt>
                <c:pt idx="988">
                  <c:v>1220909</c:v>
                </c:pt>
                <c:pt idx="989">
                  <c:v>1220911</c:v>
                </c:pt>
                <c:pt idx="990">
                  <c:v>1220912</c:v>
                </c:pt>
                <c:pt idx="991">
                  <c:v>1220913</c:v>
                </c:pt>
                <c:pt idx="992">
                  <c:v>1220914</c:v>
                </c:pt>
                <c:pt idx="993">
                  <c:v>1220915</c:v>
                </c:pt>
                <c:pt idx="994">
                  <c:v>1220916</c:v>
                </c:pt>
                <c:pt idx="995">
                  <c:v>1220918</c:v>
                </c:pt>
                <c:pt idx="996">
                  <c:v>1220919</c:v>
                </c:pt>
                <c:pt idx="997">
                  <c:v>1220920</c:v>
                </c:pt>
                <c:pt idx="998">
                  <c:v>1220921</c:v>
                </c:pt>
                <c:pt idx="999">
                  <c:v>1220922</c:v>
                </c:pt>
                <c:pt idx="1000">
                  <c:v>1220923</c:v>
                </c:pt>
                <c:pt idx="1001">
                  <c:v>1220925</c:v>
                </c:pt>
                <c:pt idx="1002">
                  <c:v>1220926</c:v>
                </c:pt>
                <c:pt idx="1003">
                  <c:v>1220927</c:v>
                </c:pt>
                <c:pt idx="1004">
                  <c:v>1220928</c:v>
                </c:pt>
                <c:pt idx="1005">
                  <c:v>1220929</c:v>
                </c:pt>
                <c:pt idx="1006">
                  <c:v>1220930</c:v>
                </c:pt>
                <c:pt idx="1007">
                  <c:v>1221002</c:v>
                </c:pt>
                <c:pt idx="1008">
                  <c:v>1221003</c:v>
                </c:pt>
                <c:pt idx="1009">
                  <c:v>1221004</c:v>
                </c:pt>
                <c:pt idx="1010">
                  <c:v>1221005</c:v>
                </c:pt>
                <c:pt idx="1011">
                  <c:v>1221006</c:v>
                </c:pt>
                <c:pt idx="1012">
                  <c:v>1221007</c:v>
                </c:pt>
                <c:pt idx="1013">
                  <c:v>1221009</c:v>
                </c:pt>
                <c:pt idx="1014">
                  <c:v>1221010</c:v>
                </c:pt>
                <c:pt idx="1015">
                  <c:v>1221011</c:v>
                </c:pt>
                <c:pt idx="1016">
                  <c:v>1221012</c:v>
                </c:pt>
                <c:pt idx="1017">
                  <c:v>1221013</c:v>
                </c:pt>
                <c:pt idx="1018">
                  <c:v>1221014</c:v>
                </c:pt>
                <c:pt idx="1019">
                  <c:v>1221016</c:v>
                </c:pt>
                <c:pt idx="1020">
                  <c:v>1221017</c:v>
                </c:pt>
                <c:pt idx="1021">
                  <c:v>1221018</c:v>
                </c:pt>
                <c:pt idx="1022">
                  <c:v>1221019</c:v>
                </c:pt>
                <c:pt idx="1023">
                  <c:v>1221020</c:v>
                </c:pt>
                <c:pt idx="1024">
                  <c:v>1221021</c:v>
                </c:pt>
                <c:pt idx="1025">
                  <c:v>1221023</c:v>
                </c:pt>
                <c:pt idx="1026">
                  <c:v>1221024</c:v>
                </c:pt>
                <c:pt idx="1027">
                  <c:v>1221025</c:v>
                </c:pt>
                <c:pt idx="1028">
                  <c:v>1221026</c:v>
                </c:pt>
                <c:pt idx="1029">
                  <c:v>1221027</c:v>
                </c:pt>
                <c:pt idx="1030">
                  <c:v>1221028</c:v>
                </c:pt>
                <c:pt idx="1031">
                  <c:v>1221030</c:v>
                </c:pt>
                <c:pt idx="1032">
                  <c:v>1221031</c:v>
                </c:pt>
                <c:pt idx="1033">
                  <c:v>1221101</c:v>
                </c:pt>
                <c:pt idx="1034">
                  <c:v>1221102</c:v>
                </c:pt>
                <c:pt idx="1035">
                  <c:v>1221103</c:v>
                </c:pt>
                <c:pt idx="1036">
                  <c:v>1221104</c:v>
                </c:pt>
                <c:pt idx="1037">
                  <c:v>1221106</c:v>
                </c:pt>
                <c:pt idx="1038">
                  <c:v>1221107</c:v>
                </c:pt>
                <c:pt idx="1039">
                  <c:v>1221108</c:v>
                </c:pt>
                <c:pt idx="1040">
                  <c:v>1221109</c:v>
                </c:pt>
                <c:pt idx="1041">
                  <c:v>1221110</c:v>
                </c:pt>
                <c:pt idx="1042">
                  <c:v>1221111</c:v>
                </c:pt>
                <c:pt idx="1043">
                  <c:v>1221113</c:v>
                </c:pt>
                <c:pt idx="1044">
                  <c:v>1221114</c:v>
                </c:pt>
                <c:pt idx="1045">
                  <c:v>1221115</c:v>
                </c:pt>
                <c:pt idx="1046">
                  <c:v>1221116</c:v>
                </c:pt>
                <c:pt idx="1047">
                  <c:v>1221117</c:v>
                </c:pt>
                <c:pt idx="1048">
                  <c:v>1221118</c:v>
                </c:pt>
                <c:pt idx="1049">
                  <c:v>1221120</c:v>
                </c:pt>
                <c:pt idx="1050">
                  <c:v>1221121</c:v>
                </c:pt>
                <c:pt idx="1051">
                  <c:v>1221122</c:v>
                </c:pt>
                <c:pt idx="1052">
                  <c:v>1221123</c:v>
                </c:pt>
                <c:pt idx="1053">
                  <c:v>1221124</c:v>
                </c:pt>
                <c:pt idx="1054">
                  <c:v>1221125</c:v>
                </c:pt>
                <c:pt idx="1055">
                  <c:v>1221127</c:v>
                </c:pt>
                <c:pt idx="1056">
                  <c:v>1221128</c:v>
                </c:pt>
                <c:pt idx="1057">
                  <c:v>1221129</c:v>
                </c:pt>
                <c:pt idx="1058">
                  <c:v>1221130</c:v>
                </c:pt>
                <c:pt idx="1059">
                  <c:v>1221201</c:v>
                </c:pt>
                <c:pt idx="1060">
                  <c:v>1221202</c:v>
                </c:pt>
                <c:pt idx="1061">
                  <c:v>1221204</c:v>
                </c:pt>
                <c:pt idx="1062">
                  <c:v>1221205</c:v>
                </c:pt>
                <c:pt idx="1063">
                  <c:v>1221206</c:v>
                </c:pt>
                <c:pt idx="1064">
                  <c:v>1221207</c:v>
                </c:pt>
                <c:pt idx="1065">
                  <c:v>1221208</c:v>
                </c:pt>
                <c:pt idx="1066">
                  <c:v>1221209</c:v>
                </c:pt>
                <c:pt idx="1067">
                  <c:v>1221211</c:v>
                </c:pt>
                <c:pt idx="1068">
                  <c:v>1221212</c:v>
                </c:pt>
                <c:pt idx="1069">
                  <c:v>1221213</c:v>
                </c:pt>
                <c:pt idx="1070">
                  <c:v>1221214</c:v>
                </c:pt>
                <c:pt idx="1071">
                  <c:v>1221215</c:v>
                </c:pt>
                <c:pt idx="1072">
                  <c:v>1221216</c:v>
                </c:pt>
                <c:pt idx="1073">
                  <c:v>1221218</c:v>
                </c:pt>
                <c:pt idx="1074">
                  <c:v>1221219</c:v>
                </c:pt>
                <c:pt idx="1075">
                  <c:v>1221220</c:v>
                </c:pt>
                <c:pt idx="1076">
                  <c:v>1221221</c:v>
                </c:pt>
                <c:pt idx="1077">
                  <c:v>1221222</c:v>
                </c:pt>
                <c:pt idx="1078">
                  <c:v>1221223</c:v>
                </c:pt>
                <c:pt idx="1079">
                  <c:v>1221226</c:v>
                </c:pt>
                <c:pt idx="1080">
                  <c:v>1221227</c:v>
                </c:pt>
                <c:pt idx="1081">
                  <c:v>1221228</c:v>
                </c:pt>
                <c:pt idx="1082">
                  <c:v>1221229</c:v>
                </c:pt>
                <c:pt idx="1083">
                  <c:v>1221230</c:v>
                </c:pt>
                <c:pt idx="1084">
                  <c:v>1230102</c:v>
                </c:pt>
                <c:pt idx="1085">
                  <c:v>1230103</c:v>
                </c:pt>
                <c:pt idx="1086">
                  <c:v>1230104</c:v>
                </c:pt>
                <c:pt idx="1087">
                  <c:v>1230105</c:v>
                </c:pt>
                <c:pt idx="1088">
                  <c:v>1230106</c:v>
                </c:pt>
                <c:pt idx="1089">
                  <c:v>1230108</c:v>
                </c:pt>
                <c:pt idx="1090">
                  <c:v>1230109</c:v>
                </c:pt>
                <c:pt idx="1091">
                  <c:v>1230110</c:v>
                </c:pt>
                <c:pt idx="1092">
                  <c:v>1230111</c:v>
                </c:pt>
                <c:pt idx="1093">
                  <c:v>1230112</c:v>
                </c:pt>
                <c:pt idx="1094">
                  <c:v>1230113</c:v>
                </c:pt>
                <c:pt idx="1095">
                  <c:v>1230115</c:v>
                </c:pt>
                <c:pt idx="1096">
                  <c:v>1230116</c:v>
                </c:pt>
                <c:pt idx="1097">
                  <c:v>1230117</c:v>
                </c:pt>
                <c:pt idx="1098">
                  <c:v>1230118</c:v>
                </c:pt>
                <c:pt idx="1099">
                  <c:v>1230119</c:v>
                </c:pt>
                <c:pt idx="1100">
                  <c:v>1230120</c:v>
                </c:pt>
                <c:pt idx="1101">
                  <c:v>1230122</c:v>
                </c:pt>
                <c:pt idx="1102">
                  <c:v>1230123</c:v>
                </c:pt>
                <c:pt idx="1103">
                  <c:v>1230124</c:v>
                </c:pt>
                <c:pt idx="1104">
                  <c:v>1230125</c:v>
                </c:pt>
                <c:pt idx="1105">
                  <c:v>1230126</c:v>
                </c:pt>
                <c:pt idx="1106">
                  <c:v>1230127</c:v>
                </c:pt>
                <c:pt idx="1107">
                  <c:v>1230129</c:v>
                </c:pt>
                <c:pt idx="1108">
                  <c:v>1230130</c:v>
                </c:pt>
                <c:pt idx="1109">
                  <c:v>1230131</c:v>
                </c:pt>
                <c:pt idx="1110">
                  <c:v>1230201</c:v>
                </c:pt>
                <c:pt idx="1111">
                  <c:v>1230202</c:v>
                </c:pt>
                <c:pt idx="1112">
                  <c:v>1230203</c:v>
                </c:pt>
                <c:pt idx="1113">
                  <c:v>1230205</c:v>
                </c:pt>
                <c:pt idx="1114">
                  <c:v>1230206</c:v>
                </c:pt>
                <c:pt idx="1115">
                  <c:v>1230207</c:v>
                </c:pt>
                <c:pt idx="1116">
                  <c:v>1230208</c:v>
                </c:pt>
                <c:pt idx="1117">
                  <c:v>1230209</c:v>
                </c:pt>
                <c:pt idx="1118">
                  <c:v>1230210</c:v>
                </c:pt>
                <c:pt idx="1119">
                  <c:v>1230212</c:v>
                </c:pt>
                <c:pt idx="1120">
                  <c:v>1230213</c:v>
                </c:pt>
                <c:pt idx="1121">
                  <c:v>1230214</c:v>
                </c:pt>
                <c:pt idx="1122">
                  <c:v>1230215</c:v>
                </c:pt>
                <c:pt idx="1123">
                  <c:v>1230216</c:v>
                </c:pt>
                <c:pt idx="1124">
                  <c:v>1230217</c:v>
                </c:pt>
                <c:pt idx="1125">
                  <c:v>1230219</c:v>
                </c:pt>
                <c:pt idx="1126">
                  <c:v>1230220</c:v>
                </c:pt>
                <c:pt idx="1127">
                  <c:v>1230221</c:v>
                </c:pt>
                <c:pt idx="1128">
                  <c:v>1230222</c:v>
                </c:pt>
                <c:pt idx="1129">
                  <c:v>1230223</c:v>
                </c:pt>
                <c:pt idx="1130">
                  <c:v>1230224</c:v>
                </c:pt>
                <c:pt idx="1131">
                  <c:v>1230226</c:v>
                </c:pt>
                <c:pt idx="1132">
                  <c:v>1230227</c:v>
                </c:pt>
                <c:pt idx="1133">
                  <c:v>1230228</c:v>
                </c:pt>
                <c:pt idx="1134">
                  <c:v>1230301</c:v>
                </c:pt>
                <c:pt idx="1135">
                  <c:v>1230302</c:v>
                </c:pt>
                <c:pt idx="1136">
                  <c:v>1230303</c:v>
                </c:pt>
                <c:pt idx="1137">
                  <c:v>1230305</c:v>
                </c:pt>
                <c:pt idx="1138">
                  <c:v>1230306</c:v>
                </c:pt>
                <c:pt idx="1139">
                  <c:v>1230307</c:v>
                </c:pt>
                <c:pt idx="1140">
                  <c:v>1230308</c:v>
                </c:pt>
                <c:pt idx="1141">
                  <c:v>1230309</c:v>
                </c:pt>
                <c:pt idx="1142">
                  <c:v>1230310</c:v>
                </c:pt>
                <c:pt idx="1143">
                  <c:v>1230312</c:v>
                </c:pt>
                <c:pt idx="1144">
                  <c:v>1230313</c:v>
                </c:pt>
                <c:pt idx="1145">
                  <c:v>1230314</c:v>
                </c:pt>
                <c:pt idx="1146">
                  <c:v>1230315</c:v>
                </c:pt>
                <c:pt idx="1147">
                  <c:v>1230316</c:v>
                </c:pt>
                <c:pt idx="1148">
                  <c:v>1230317</c:v>
                </c:pt>
                <c:pt idx="1149">
                  <c:v>1230319</c:v>
                </c:pt>
                <c:pt idx="1150">
                  <c:v>1230320</c:v>
                </c:pt>
                <c:pt idx="1151">
                  <c:v>1230321</c:v>
                </c:pt>
                <c:pt idx="1152">
                  <c:v>1230322</c:v>
                </c:pt>
                <c:pt idx="1153">
                  <c:v>1230323</c:v>
                </c:pt>
                <c:pt idx="1154">
                  <c:v>1230324</c:v>
                </c:pt>
                <c:pt idx="1155">
                  <c:v>1230326</c:v>
                </c:pt>
                <c:pt idx="1156">
                  <c:v>1230327</c:v>
                </c:pt>
                <c:pt idx="1157">
                  <c:v>1230328</c:v>
                </c:pt>
                <c:pt idx="1158">
                  <c:v>1230329</c:v>
                </c:pt>
                <c:pt idx="1159">
                  <c:v>1230330</c:v>
                </c:pt>
                <c:pt idx="1160">
                  <c:v>1230331</c:v>
                </c:pt>
                <c:pt idx="1161">
                  <c:v>1230402</c:v>
                </c:pt>
                <c:pt idx="1162">
                  <c:v>1230403</c:v>
                </c:pt>
                <c:pt idx="1163">
                  <c:v>1230404</c:v>
                </c:pt>
                <c:pt idx="1164">
                  <c:v>1230405</c:v>
                </c:pt>
                <c:pt idx="1165">
                  <c:v>1230406</c:v>
                </c:pt>
                <c:pt idx="1166">
                  <c:v>1230407</c:v>
                </c:pt>
                <c:pt idx="1167">
                  <c:v>1230409</c:v>
                </c:pt>
                <c:pt idx="1168">
                  <c:v>1230410</c:v>
                </c:pt>
                <c:pt idx="1169">
                  <c:v>1230411</c:v>
                </c:pt>
                <c:pt idx="1170">
                  <c:v>1230412</c:v>
                </c:pt>
                <c:pt idx="1171">
                  <c:v>1230413</c:v>
                </c:pt>
                <c:pt idx="1172">
                  <c:v>1230414</c:v>
                </c:pt>
                <c:pt idx="1173">
                  <c:v>1230416</c:v>
                </c:pt>
                <c:pt idx="1174">
                  <c:v>1230417</c:v>
                </c:pt>
                <c:pt idx="1175">
                  <c:v>1230418</c:v>
                </c:pt>
                <c:pt idx="1176">
                  <c:v>1230419</c:v>
                </c:pt>
                <c:pt idx="1177">
                  <c:v>1230420</c:v>
                </c:pt>
                <c:pt idx="1178">
                  <c:v>1230421</c:v>
                </c:pt>
                <c:pt idx="1179">
                  <c:v>1230423</c:v>
                </c:pt>
                <c:pt idx="1180">
                  <c:v>1230424</c:v>
                </c:pt>
                <c:pt idx="1181">
                  <c:v>1230425</c:v>
                </c:pt>
                <c:pt idx="1182">
                  <c:v>1230426</c:v>
                </c:pt>
                <c:pt idx="1183">
                  <c:v>1230427</c:v>
                </c:pt>
                <c:pt idx="1184">
                  <c:v>1230428</c:v>
                </c:pt>
                <c:pt idx="1185">
                  <c:v>1230430</c:v>
                </c:pt>
                <c:pt idx="1186">
                  <c:v>1230501</c:v>
                </c:pt>
                <c:pt idx="1187">
                  <c:v>1230502</c:v>
                </c:pt>
                <c:pt idx="1188">
                  <c:v>1230503</c:v>
                </c:pt>
                <c:pt idx="1189">
                  <c:v>1230504</c:v>
                </c:pt>
                <c:pt idx="1190">
                  <c:v>1230505</c:v>
                </c:pt>
                <c:pt idx="1191">
                  <c:v>1230507</c:v>
                </c:pt>
                <c:pt idx="1192">
                  <c:v>1230508</c:v>
                </c:pt>
                <c:pt idx="1193">
                  <c:v>1230509</c:v>
                </c:pt>
                <c:pt idx="1194">
                  <c:v>1230510</c:v>
                </c:pt>
                <c:pt idx="1195">
                  <c:v>1230511</c:v>
                </c:pt>
                <c:pt idx="1196">
                  <c:v>1230512</c:v>
                </c:pt>
                <c:pt idx="1197">
                  <c:v>1230514</c:v>
                </c:pt>
                <c:pt idx="1198">
                  <c:v>1230515</c:v>
                </c:pt>
                <c:pt idx="1199">
                  <c:v>1230516</c:v>
                </c:pt>
                <c:pt idx="1200">
                  <c:v>1230517</c:v>
                </c:pt>
                <c:pt idx="1201">
                  <c:v>1230518</c:v>
                </c:pt>
                <c:pt idx="1202">
                  <c:v>1230519</c:v>
                </c:pt>
                <c:pt idx="1203">
                  <c:v>1230521</c:v>
                </c:pt>
                <c:pt idx="1204">
                  <c:v>1230522</c:v>
                </c:pt>
                <c:pt idx="1205">
                  <c:v>1230523</c:v>
                </c:pt>
                <c:pt idx="1206">
                  <c:v>1230524</c:v>
                </c:pt>
                <c:pt idx="1207">
                  <c:v>1230525</c:v>
                </c:pt>
                <c:pt idx="1208">
                  <c:v>1230526</c:v>
                </c:pt>
                <c:pt idx="1209">
                  <c:v>1230528</c:v>
                </c:pt>
                <c:pt idx="1210">
                  <c:v>1230529</c:v>
                </c:pt>
                <c:pt idx="1211">
                  <c:v>1230530</c:v>
                </c:pt>
                <c:pt idx="1212">
                  <c:v>1230531</c:v>
                </c:pt>
                <c:pt idx="1213">
                  <c:v>1230601</c:v>
                </c:pt>
                <c:pt idx="1214">
                  <c:v>1230602</c:v>
                </c:pt>
                <c:pt idx="1215">
                  <c:v>1230604</c:v>
                </c:pt>
                <c:pt idx="1216">
                  <c:v>1230605</c:v>
                </c:pt>
                <c:pt idx="1217">
                  <c:v>1230606</c:v>
                </c:pt>
                <c:pt idx="1218">
                  <c:v>1230607</c:v>
                </c:pt>
                <c:pt idx="1219">
                  <c:v>1230608</c:v>
                </c:pt>
                <c:pt idx="1220">
                  <c:v>1230609</c:v>
                </c:pt>
                <c:pt idx="1221">
                  <c:v>1230611</c:v>
                </c:pt>
                <c:pt idx="1222">
                  <c:v>1230612</c:v>
                </c:pt>
                <c:pt idx="1223">
                  <c:v>1230613</c:v>
                </c:pt>
                <c:pt idx="1224">
                  <c:v>1230614</c:v>
                </c:pt>
                <c:pt idx="1225">
                  <c:v>1230615</c:v>
                </c:pt>
                <c:pt idx="1226">
                  <c:v>1230616</c:v>
                </c:pt>
                <c:pt idx="1227">
                  <c:v>1230618</c:v>
                </c:pt>
                <c:pt idx="1228">
                  <c:v>1230619</c:v>
                </c:pt>
                <c:pt idx="1229">
                  <c:v>1230620</c:v>
                </c:pt>
                <c:pt idx="1230">
                  <c:v>1230621</c:v>
                </c:pt>
                <c:pt idx="1231">
                  <c:v>1230622</c:v>
                </c:pt>
                <c:pt idx="1232">
                  <c:v>1230623</c:v>
                </c:pt>
                <c:pt idx="1233">
                  <c:v>1230625</c:v>
                </c:pt>
                <c:pt idx="1234">
                  <c:v>1230626</c:v>
                </c:pt>
                <c:pt idx="1235">
                  <c:v>1230627</c:v>
                </c:pt>
                <c:pt idx="1236">
                  <c:v>1230628</c:v>
                </c:pt>
                <c:pt idx="1237">
                  <c:v>1230629</c:v>
                </c:pt>
                <c:pt idx="1238">
                  <c:v>1230630</c:v>
                </c:pt>
                <c:pt idx="1239">
                  <c:v>1230702</c:v>
                </c:pt>
                <c:pt idx="1240">
                  <c:v>1230703</c:v>
                </c:pt>
                <c:pt idx="1241">
                  <c:v>1230704</c:v>
                </c:pt>
                <c:pt idx="1242">
                  <c:v>1230705</c:v>
                </c:pt>
                <c:pt idx="1243">
                  <c:v>1230706</c:v>
                </c:pt>
                <c:pt idx="1244">
                  <c:v>1230707</c:v>
                </c:pt>
                <c:pt idx="1245">
                  <c:v>1230709</c:v>
                </c:pt>
                <c:pt idx="1246">
                  <c:v>1230710</c:v>
                </c:pt>
                <c:pt idx="1247">
                  <c:v>1230711</c:v>
                </c:pt>
                <c:pt idx="1248">
                  <c:v>1230712</c:v>
                </c:pt>
                <c:pt idx="1249">
                  <c:v>1230713</c:v>
                </c:pt>
                <c:pt idx="1250">
                  <c:v>1230714</c:v>
                </c:pt>
                <c:pt idx="1251">
                  <c:v>1230716</c:v>
                </c:pt>
                <c:pt idx="1252">
                  <c:v>1230717</c:v>
                </c:pt>
                <c:pt idx="1253">
                  <c:v>1230718</c:v>
                </c:pt>
                <c:pt idx="1254">
                  <c:v>1230719</c:v>
                </c:pt>
                <c:pt idx="1255">
                  <c:v>1230720</c:v>
                </c:pt>
                <c:pt idx="1256">
                  <c:v>1230721</c:v>
                </c:pt>
                <c:pt idx="1257">
                  <c:v>1230723</c:v>
                </c:pt>
                <c:pt idx="1258">
                  <c:v>1230724</c:v>
                </c:pt>
                <c:pt idx="1259">
                  <c:v>1230725</c:v>
                </c:pt>
                <c:pt idx="1260">
                  <c:v>1230726</c:v>
                </c:pt>
                <c:pt idx="1261">
                  <c:v>1230727</c:v>
                </c:pt>
                <c:pt idx="1262">
                  <c:v>1230728</c:v>
                </c:pt>
                <c:pt idx="1263">
                  <c:v>1230730</c:v>
                </c:pt>
                <c:pt idx="1264">
                  <c:v>1230731</c:v>
                </c:pt>
                <c:pt idx="1265">
                  <c:v>1230801</c:v>
                </c:pt>
                <c:pt idx="1266">
                  <c:v>1230802</c:v>
                </c:pt>
                <c:pt idx="1267">
                  <c:v>1230803</c:v>
                </c:pt>
                <c:pt idx="1268">
                  <c:v>1230804</c:v>
                </c:pt>
                <c:pt idx="1269">
                  <c:v>1230806</c:v>
                </c:pt>
                <c:pt idx="1270">
                  <c:v>1230807</c:v>
                </c:pt>
                <c:pt idx="1271">
                  <c:v>1230808</c:v>
                </c:pt>
                <c:pt idx="1272">
                  <c:v>1230809</c:v>
                </c:pt>
                <c:pt idx="1273">
                  <c:v>1230810</c:v>
                </c:pt>
                <c:pt idx="1274">
                  <c:v>1230811</c:v>
                </c:pt>
                <c:pt idx="1275">
                  <c:v>1230813</c:v>
                </c:pt>
                <c:pt idx="1276">
                  <c:v>1230814</c:v>
                </c:pt>
                <c:pt idx="1277">
                  <c:v>1230815</c:v>
                </c:pt>
                <c:pt idx="1278">
                  <c:v>1230816</c:v>
                </c:pt>
                <c:pt idx="1279">
                  <c:v>1230817</c:v>
                </c:pt>
                <c:pt idx="1280">
                  <c:v>1230818</c:v>
                </c:pt>
                <c:pt idx="1281">
                  <c:v>1230820</c:v>
                </c:pt>
                <c:pt idx="1282">
                  <c:v>1230821</c:v>
                </c:pt>
                <c:pt idx="1283">
                  <c:v>1230822</c:v>
                </c:pt>
                <c:pt idx="1284">
                  <c:v>1230823</c:v>
                </c:pt>
                <c:pt idx="1285">
                  <c:v>1230824</c:v>
                </c:pt>
                <c:pt idx="1286">
                  <c:v>1230825</c:v>
                </c:pt>
                <c:pt idx="1287">
                  <c:v>1230827</c:v>
                </c:pt>
                <c:pt idx="1288">
                  <c:v>1230828</c:v>
                </c:pt>
                <c:pt idx="1289">
                  <c:v>1230829</c:v>
                </c:pt>
                <c:pt idx="1290">
                  <c:v>1230830</c:v>
                </c:pt>
                <c:pt idx="1291">
                  <c:v>1230831</c:v>
                </c:pt>
                <c:pt idx="1292">
                  <c:v>1230901</c:v>
                </c:pt>
                <c:pt idx="1293">
                  <c:v>1230903</c:v>
                </c:pt>
                <c:pt idx="1294">
                  <c:v>1230904</c:v>
                </c:pt>
                <c:pt idx="1295">
                  <c:v>1230905</c:v>
                </c:pt>
                <c:pt idx="1296">
                  <c:v>1230906</c:v>
                </c:pt>
                <c:pt idx="1297">
                  <c:v>1230907</c:v>
                </c:pt>
                <c:pt idx="1298">
                  <c:v>1230908</c:v>
                </c:pt>
                <c:pt idx="1299">
                  <c:v>1230910</c:v>
                </c:pt>
                <c:pt idx="1300">
                  <c:v>1230911</c:v>
                </c:pt>
                <c:pt idx="1301">
                  <c:v>1230912</c:v>
                </c:pt>
                <c:pt idx="1302">
                  <c:v>1230913</c:v>
                </c:pt>
                <c:pt idx="1303">
                  <c:v>1230914</c:v>
                </c:pt>
                <c:pt idx="1304">
                  <c:v>1230915</c:v>
                </c:pt>
                <c:pt idx="1305">
                  <c:v>1230917</c:v>
                </c:pt>
                <c:pt idx="1306">
                  <c:v>1230918</c:v>
                </c:pt>
                <c:pt idx="1307">
                  <c:v>1230919</c:v>
                </c:pt>
                <c:pt idx="1308">
                  <c:v>1230920</c:v>
                </c:pt>
                <c:pt idx="1309">
                  <c:v>1230921</c:v>
                </c:pt>
                <c:pt idx="1310">
                  <c:v>1230922</c:v>
                </c:pt>
                <c:pt idx="1311">
                  <c:v>1230924</c:v>
                </c:pt>
                <c:pt idx="1312">
                  <c:v>1230925</c:v>
                </c:pt>
                <c:pt idx="1313">
                  <c:v>1230926</c:v>
                </c:pt>
                <c:pt idx="1314">
                  <c:v>1230927</c:v>
                </c:pt>
                <c:pt idx="1315">
                  <c:v>1230928</c:v>
                </c:pt>
                <c:pt idx="1316">
                  <c:v>1230929</c:v>
                </c:pt>
                <c:pt idx="1317">
                  <c:v>1231001</c:v>
                </c:pt>
                <c:pt idx="1318">
                  <c:v>1231002</c:v>
                </c:pt>
                <c:pt idx="1319">
                  <c:v>1231003</c:v>
                </c:pt>
                <c:pt idx="1320">
                  <c:v>1231004</c:v>
                </c:pt>
                <c:pt idx="1321">
                  <c:v>1231005</c:v>
                </c:pt>
                <c:pt idx="1322">
                  <c:v>1231006</c:v>
                </c:pt>
                <c:pt idx="1323">
                  <c:v>1231008</c:v>
                </c:pt>
                <c:pt idx="1324">
                  <c:v>1231009</c:v>
                </c:pt>
                <c:pt idx="1325">
                  <c:v>1231010</c:v>
                </c:pt>
                <c:pt idx="1326">
                  <c:v>1231011</c:v>
                </c:pt>
                <c:pt idx="1327">
                  <c:v>1231012</c:v>
                </c:pt>
                <c:pt idx="1328">
                  <c:v>1231013</c:v>
                </c:pt>
                <c:pt idx="1329">
                  <c:v>1231015</c:v>
                </c:pt>
                <c:pt idx="1330">
                  <c:v>1231016</c:v>
                </c:pt>
                <c:pt idx="1331">
                  <c:v>1231017</c:v>
                </c:pt>
                <c:pt idx="1332">
                  <c:v>1231018</c:v>
                </c:pt>
                <c:pt idx="1333">
                  <c:v>1231019</c:v>
                </c:pt>
                <c:pt idx="1334">
                  <c:v>1231020</c:v>
                </c:pt>
                <c:pt idx="1335">
                  <c:v>1231022</c:v>
                </c:pt>
                <c:pt idx="1336">
                  <c:v>1231023</c:v>
                </c:pt>
                <c:pt idx="1337">
                  <c:v>1231024</c:v>
                </c:pt>
                <c:pt idx="1338">
                  <c:v>1231025</c:v>
                </c:pt>
                <c:pt idx="1339">
                  <c:v>1231026</c:v>
                </c:pt>
                <c:pt idx="1340">
                  <c:v>1231027</c:v>
                </c:pt>
                <c:pt idx="1341">
                  <c:v>1231029</c:v>
                </c:pt>
                <c:pt idx="1342">
                  <c:v>1231030</c:v>
                </c:pt>
                <c:pt idx="1343">
                  <c:v>1231031</c:v>
                </c:pt>
                <c:pt idx="1344">
                  <c:v>1231101</c:v>
                </c:pt>
                <c:pt idx="1345">
                  <c:v>1231102</c:v>
                </c:pt>
                <c:pt idx="1346">
                  <c:v>1231103</c:v>
                </c:pt>
                <c:pt idx="1347">
                  <c:v>1231105</c:v>
                </c:pt>
                <c:pt idx="1348">
                  <c:v>1231106</c:v>
                </c:pt>
                <c:pt idx="1349">
                  <c:v>1231107</c:v>
                </c:pt>
                <c:pt idx="1350">
                  <c:v>1231108</c:v>
                </c:pt>
                <c:pt idx="1351">
                  <c:v>1231109</c:v>
                </c:pt>
                <c:pt idx="1352">
                  <c:v>1231110</c:v>
                </c:pt>
                <c:pt idx="1353">
                  <c:v>1231112</c:v>
                </c:pt>
                <c:pt idx="1354">
                  <c:v>1231113</c:v>
                </c:pt>
                <c:pt idx="1355">
                  <c:v>1231114</c:v>
                </c:pt>
                <c:pt idx="1356">
                  <c:v>1231115</c:v>
                </c:pt>
                <c:pt idx="1357">
                  <c:v>1231116</c:v>
                </c:pt>
                <c:pt idx="1358">
                  <c:v>1231117</c:v>
                </c:pt>
                <c:pt idx="1359">
                  <c:v>1231119</c:v>
                </c:pt>
                <c:pt idx="1360">
                  <c:v>1231120</c:v>
                </c:pt>
                <c:pt idx="1361">
                  <c:v>1231121</c:v>
                </c:pt>
                <c:pt idx="1362">
                  <c:v>1231122</c:v>
                </c:pt>
                <c:pt idx="1363">
                  <c:v>1231123</c:v>
                </c:pt>
                <c:pt idx="1364">
                  <c:v>1231124</c:v>
                </c:pt>
                <c:pt idx="1365">
                  <c:v>1231126</c:v>
                </c:pt>
                <c:pt idx="1366">
                  <c:v>1231127</c:v>
                </c:pt>
                <c:pt idx="1367">
                  <c:v>1231128</c:v>
                </c:pt>
                <c:pt idx="1368">
                  <c:v>1231129</c:v>
                </c:pt>
                <c:pt idx="1369">
                  <c:v>1231130</c:v>
                </c:pt>
                <c:pt idx="1370">
                  <c:v>1231201</c:v>
                </c:pt>
                <c:pt idx="1371">
                  <c:v>1231203</c:v>
                </c:pt>
                <c:pt idx="1372">
                  <c:v>1231204</c:v>
                </c:pt>
                <c:pt idx="1373">
                  <c:v>1231205</c:v>
                </c:pt>
                <c:pt idx="1374">
                  <c:v>1231206</c:v>
                </c:pt>
                <c:pt idx="1375">
                  <c:v>1231207</c:v>
                </c:pt>
                <c:pt idx="1376">
                  <c:v>1231208</c:v>
                </c:pt>
                <c:pt idx="1377">
                  <c:v>1231210</c:v>
                </c:pt>
                <c:pt idx="1378">
                  <c:v>1231211</c:v>
                </c:pt>
                <c:pt idx="1379">
                  <c:v>1231212</c:v>
                </c:pt>
                <c:pt idx="1380">
                  <c:v>1231213</c:v>
                </c:pt>
                <c:pt idx="1381">
                  <c:v>1231214</c:v>
                </c:pt>
                <c:pt idx="1382">
                  <c:v>1231215</c:v>
                </c:pt>
                <c:pt idx="1383">
                  <c:v>1231217</c:v>
                </c:pt>
                <c:pt idx="1384">
                  <c:v>1231218</c:v>
                </c:pt>
                <c:pt idx="1385">
                  <c:v>1231219</c:v>
                </c:pt>
                <c:pt idx="1386">
                  <c:v>1231220</c:v>
                </c:pt>
                <c:pt idx="1387">
                  <c:v>1231221</c:v>
                </c:pt>
                <c:pt idx="1388">
                  <c:v>1231222</c:v>
                </c:pt>
                <c:pt idx="1389">
                  <c:v>1231225</c:v>
                </c:pt>
                <c:pt idx="1390">
                  <c:v>1231226</c:v>
                </c:pt>
                <c:pt idx="1391">
                  <c:v>1231227</c:v>
                </c:pt>
                <c:pt idx="1392">
                  <c:v>1231228</c:v>
                </c:pt>
                <c:pt idx="1393">
                  <c:v>1231229</c:v>
                </c:pt>
                <c:pt idx="1394">
                  <c:v>1240101</c:v>
                </c:pt>
                <c:pt idx="1395">
                  <c:v>1240102</c:v>
                </c:pt>
                <c:pt idx="1396">
                  <c:v>1240103</c:v>
                </c:pt>
                <c:pt idx="1397">
                  <c:v>1240104</c:v>
                </c:pt>
                <c:pt idx="1398">
                  <c:v>1240105</c:v>
                </c:pt>
                <c:pt idx="1399">
                  <c:v>1240107</c:v>
                </c:pt>
                <c:pt idx="1400">
                  <c:v>1240108</c:v>
                </c:pt>
                <c:pt idx="1401">
                  <c:v>1240109</c:v>
                </c:pt>
                <c:pt idx="1402">
                  <c:v>1240110</c:v>
                </c:pt>
                <c:pt idx="1403">
                  <c:v>1240111</c:v>
                </c:pt>
                <c:pt idx="1404">
                  <c:v>1240112</c:v>
                </c:pt>
                <c:pt idx="1405">
                  <c:v>1240114</c:v>
                </c:pt>
                <c:pt idx="1406">
                  <c:v>1240115</c:v>
                </c:pt>
                <c:pt idx="1407">
                  <c:v>1240116</c:v>
                </c:pt>
                <c:pt idx="1408">
                  <c:v>1240117</c:v>
                </c:pt>
                <c:pt idx="1409">
                  <c:v>1240118</c:v>
                </c:pt>
                <c:pt idx="1410">
                  <c:v>1240119</c:v>
                </c:pt>
                <c:pt idx="1411">
                  <c:v>1240121</c:v>
                </c:pt>
                <c:pt idx="1412">
                  <c:v>1240122</c:v>
                </c:pt>
                <c:pt idx="1413">
                  <c:v>1240123</c:v>
                </c:pt>
                <c:pt idx="1414">
                  <c:v>1240124</c:v>
                </c:pt>
                <c:pt idx="1415">
                  <c:v>1240125</c:v>
                </c:pt>
                <c:pt idx="1416">
                  <c:v>1240126</c:v>
                </c:pt>
                <c:pt idx="1417">
                  <c:v>1240128</c:v>
                </c:pt>
                <c:pt idx="1418">
                  <c:v>1240129</c:v>
                </c:pt>
                <c:pt idx="1419">
                  <c:v>1240130</c:v>
                </c:pt>
                <c:pt idx="1420">
                  <c:v>1240131</c:v>
                </c:pt>
                <c:pt idx="1421">
                  <c:v>1240201</c:v>
                </c:pt>
                <c:pt idx="1422">
                  <c:v>1240202</c:v>
                </c:pt>
                <c:pt idx="1423">
                  <c:v>1240204</c:v>
                </c:pt>
                <c:pt idx="1424">
                  <c:v>1240205</c:v>
                </c:pt>
                <c:pt idx="1425">
                  <c:v>1240206</c:v>
                </c:pt>
                <c:pt idx="1426">
                  <c:v>1240207</c:v>
                </c:pt>
                <c:pt idx="1427">
                  <c:v>1240208</c:v>
                </c:pt>
                <c:pt idx="1428">
                  <c:v>1240209</c:v>
                </c:pt>
                <c:pt idx="1429">
                  <c:v>1240211</c:v>
                </c:pt>
                <c:pt idx="1430">
                  <c:v>1240212</c:v>
                </c:pt>
                <c:pt idx="1431">
                  <c:v>1240213</c:v>
                </c:pt>
                <c:pt idx="1432">
                  <c:v>1240214</c:v>
                </c:pt>
                <c:pt idx="1433">
                  <c:v>1240215</c:v>
                </c:pt>
                <c:pt idx="1434">
                  <c:v>1240216</c:v>
                </c:pt>
                <c:pt idx="1435">
                  <c:v>1240218</c:v>
                </c:pt>
                <c:pt idx="1436">
                  <c:v>1240219</c:v>
                </c:pt>
                <c:pt idx="1437">
                  <c:v>1240220</c:v>
                </c:pt>
                <c:pt idx="1438">
                  <c:v>1240221</c:v>
                </c:pt>
                <c:pt idx="1439">
                  <c:v>1240222</c:v>
                </c:pt>
                <c:pt idx="1440">
                  <c:v>1240223</c:v>
                </c:pt>
                <c:pt idx="1441">
                  <c:v>1240225</c:v>
                </c:pt>
                <c:pt idx="1442">
                  <c:v>1240226</c:v>
                </c:pt>
                <c:pt idx="1443">
                  <c:v>1240227</c:v>
                </c:pt>
                <c:pt idx="1444">
                  <c:v>1240228</c:v>
                </c:pt>
                <c:pt idx="1445">
                  <c:v>1240229</c:v>
                </c:pt>
                <c:pt idx="1446">
                  <c:v>1240301</c:v>
                </c:pt>
                <c:pt idx="1447">
                  <c:v>1240303</c:v>
                </c:pt>
                <c:pt idx="1448">
                  <c:v>1240304</c:v>
                </c:pt>
                <c:pt idx="1449">
                  <c:v>1240305</c:v>
                </c:pt>
                <c:pt idx="1450">
                  <c:v>1240306</c:v>
                </c:pt>
                <c:pt idx="1451">
                  <c:v>1240307</c:v>
                </c:pt>
                <c:pt idx="1452">
                  <c:v>1240308</c:v>
                </c:pt>
                <c:pt idx="1453">
                  <c:v>1240310</c:v>
                </c:pt>
                <c:pt idx="1454">
                  <c:v>1240311</c:v>
                </c:pt>
                <c:pt idx="1455">
                  <c:v>1240312</c:v>
                </c:pt>
                <c:pt idx="1456">
                  <c:v>1240313</c:v>
                </c:pt>
                <c:pt idx="1457">
                  <c:v>1240314</c:v>
                </c:pt>
                <c:pt idx="1458">
                  <c:v>1240315</c:v>
                </c:pt>
                <c:pt idx="1459">
                  <c:v>1240317</c:v>
                </c:pt>
                <c:pt idx="1460">
                  <c:v>1240318</c:v>
                </c:pt>
                <c:pt idx="1461">
                  <c:v>1240319</c:v>
                </c:pt>
                <c:pt idx="1462">
                  <c:v>1240320</c:v>
                </c:pt>
                <c:pt idx="1463">
                  <c:v>1240321</c:v>
                </c:pt>
                <c:pt idx="1464">
                  <c:v>1240322</c:v>
                </c:pt>
                <c:pt idx="1465">
                  <c:v>1240324</c:v>
                </c:pt>
                <c:pt idx="1466">
                  <c:v>1240325</c:v>
                </c:pt>
                <c:pt idx="1467">
                  <c:v>1240326</c:v>
                </c:pt>
                <c:pt idx="1468">
                  <c:v>1240327</c:v>
                </c:pt>
                <c:pt idx="1469">
                  <c:v>1240328</c:v>
                </c:pt>
                <c:pt idx="1470">
                  <c:v>1240331</c:v>
                </c:pt>
                <c:pt idx="1471">
                  <c:v>1240401</c:v>
                </c:pt>
                <c:pt idx="1472">
                  <c:v>1240402</c:v>
                </c:pt>
                <c:pt idx="1473">
                  <c:v>1240403</c:v>
                </c:pt>
                <c:pt idx="1474">
                  <c:v>1240404</c:v>
                </c:pt>
                <c:pt idx="1475">
                  <c:v>1240405</c:v>
                </c:pt>
                <c:pt idx="1476">
                  <c:v>1240407</c:v>
                </c:pt>
                <c:pt idx="1477">
                  <c:v>1240408</c:v>
                </c:pt>
                <c:pt idx="1478">
                  <c:v>1240409</c:v>
                </c:pt>
                <c:pt idx="1479">
                  <c:v>1240410</c:v>
                </c:pt>
                <c:pt idx="1480">
                  <c:v>1240411</c:v>
                </c:pt>
                <c:pt idx="1481">
                  <c:v>1240412</c:v>
                </c:pt>
                <c:pt idx="1482">
                  <c:v>1240414</c:v>
                </c:pt>
                <c:pt idx="1483">
                  <c:v>1240415</c:v>
                </c:pt>
                <c:pt idx="1484">
                  <c:v>1240416</c:v>
                </c:pt>
                <c:pt idx="1485">
                  <c:v>1240417</c:v>
                </c:pt>
                <c:pt idx="1486">
                  <c:v>1240418</c:v>
                </c:pt>
                <c:pt idx="1487">
                  <c:v>1240419</c:v>
                </c:pt>
                <c:pt idx="1488">
                  <c:v>1240421</c:v>
                </c:pt>
                <c:pt idx="1489">
                  <c:v>1240422</c:v>
                </c:pt>
                <c:pt idx="1490">
                  <c:v>1240423</c:v>
                </c:pt>
                <c:pt idx="1491">
                  <c:v>1240424</c:v>
                </c:pt>
                <c:pt idx="1492">
                  <c:v>1240425</c:v>
                </c:pt>
                <c:pt idx="1493">
                  <c:v>1240426</c:v>
                </c:pt>
                <c:pt idx="1494">
                  <c:v>1240428</c:v>
                </c:pt>
                <c:pt idx="1495">
                  <c:v>1240429</c:v>
                </c:pt>
                <c:pt idx="1496">
                  <c:v>1240430</c:v>
                </c:pt>
                <c:pt idx="1497">
                  <c:v>1240501</c:v>
                </c:pt>
                <c:pt idx="1498">
                  <c:v>1240502</c:v>
                </c:pt>
                <c:pt idx="1499">
                  <c:v>1240503</c:v>
                </c:pt>
                <c:pt idx="1500">
                  <c:v>1240505</c:v>
                </c:pt>
                <c:pt idx="1501">
                  <c:v>1240506</c:v>
                </c:pt>
                <c:pt idx="1502">
                  <c:v>1240507</c:v>
                </c:pt>
                <c:pt idx="1503">
                  <c:v>1240508</c:v>
                </c:pt>
                <c:pt idx="1504">
                  <c:v>1240509</c:v>
                </c:pt>
                <c:pt idx="1505">
                  <c:v>1240510</c:v>
                </c:pt>
                <c:pt idx="1506">
                  <c:v>1240512</c:v>
                </c:pt>
                <c:pt idx="1507">
                  <c:v>1240513</c:v>
                </c:pt>
                <c:pt idx="1508">
                  <c:v>1240514</c:v>
                </c:pt>
                <c:pt idx="1509">
                  <c:v>1240515</c:v>
                </c:pt>
                <c:pt idx="1510">
                  <c:v>1240516</c:v>
                </c:pt>
                <c:pt idx="1511">
                  <c:v>1240517</c:v>
                </c:pt>
                <c:pt idx="1512">
                  <c:v>1240519</c:v>
                </c:pt>
                <c:pt idx="1513">
                  <c:v>1240520</c:v>
                </c:pt>
                <c:pt idx="1514">
                  <c:v>1240521</c:v>
                </c:pt>
                <c:pt idx="1515">
                  <c:v>1240522</c:v>
                </c:pt>
                <c:pt idx="1516">
                  <c:v>1240523</c:v>
                </c:pt>
                <c:pt idx="1517">
                  <c:v>1240524</c:v>
                </c:pt>
                <c:pt idx="1518">
                  <c:v>1240526</c:v>
                </c:pt>
                <c:pt idx="1519">
                  <c:v>1240527</c:v>
                </c:pt>
                <c:pt idx="1520">
                  <c:v>1240528</c:v>
                </c:pt>
                <c:pt idx="1521">
                  <c:v>1240529</c:v>
                </c:pt>
                <c:pt idx="1522">
                  <c:v>1240530</c:v>
                </c:pt>
                <c:pt idx="1523">
                  <c:v>1240531</c:v>
                </c:pt>
                <c:pt idx="1524">
                  <c:v>1240602</c:v>
                </c:pt>
                <c:pt idx="1525">
                  <c:v>1240603</c:v>
                </c:pt>
                <c:pt idx="1526">
                  <c:v>1240604</c:v>
                </c:pt>
                <c:pt idx="1527">
                  <c:v>1240605</c:v>
                </c:pt>
                <c:pt idx="1528">
                  <c:v>1240606</c:v>
                </c:pt>
                <c:pt idx="1529">
                  <c:v>1240607</c:v>
                </c:pt>
                <c:pt idx="1530">
                  <c:v>1240609</c:v>
                </c:pt>
                <c:pt idx="1531">
                  <c:v>1240610</c:v>
                </c:pt>
                <c:pt idx="1532">
                  <c:v>1240611</c:v>
                </c:pt>
                <c:pt idx="1533">
                  <c:v>1240612</c:v>
                </c:pt>
                <c:pt idx="1534">
                  <c:v>1240613</c:v>
                </c:pt>
                <c:pt idx="1535">
                  <c:v>1240614</c:v>
                </c:pt>
                <c:pt idx="1536">
                  <c:v>1240616</c:v>
                </c:pt>
                <c:pt idx="1537">
                  <c:v>1240617</c:v>
                </c:pt>
                <c:pt idx="1538">
                  <c:v>1240618</c:v>
                </c:pt>
                <c:pt idx="1539">
                  <c:v>1240619</c:v>
                </c:pt>
                <c:pt idx="1540">
                  <c:v>1240620</c:v>
                </c:pt>
                <c:pt idx="1541">
                  <c:v>1240621</c:v>
                </c:pt>
              </c:numCache>
            </c:numRef>
          </c:cat>
          <c:val>
            <c:numRef>
              <c:f>Portfolio!$I$25:$I$1566</c:f>
              <c:numCache>
                <c:formatCode>General</c:formatCode>
                <c:ptCount val="1542"/>
                <c:pt idx="0">
                  <c:v>68.75</c:v>
                </c:pt>
                <c:pt idx="1">
                  <c:v>-281.25</c:v>
                </c:pt>
                <c:pt idx="2">
                  <c:v>668.75</c:v>
                </c:pt>
                <c:pt idx="3">
                  <c:v>518.75</c:v>
                </c:pt>
                <c:pt idx="4">
                  <c:v>843.75</c:v>
                </c:pt>
                <c:pt idx="5">
                  <c:v>668.75</c:v>
                </c:pt>
                <c:pt idx="6">
                  <c:v>662.5</c:v>
                </c:pt>
                <c:pt idx="7">
                  <c:v>906.25</c:v>
                </c:pt>
                <c:pt idx="8">
                  <c:v>1356.25</c:v>
                </c:pt>
                <c:pt idx="9">
                  <c:v>956.25</c:v>
                </c:pt>
                <c:pt idx="10">
                  <c:v>950</c:v>
                </c:pt>
                <c:pt idx="11">
                  <c:v>1118.75</c:v>
                </c:pt>
                <c:pt idx="12">
                  <c:v>1031.25</c:v>
                </c:pt>
                <c:pt idx="13">
                  <c:v>543.75</c:v>
                </c:pt>
                <c:pt idx="14">
                  <c:v>131.25</c:v>
                </c:pt>
                <c:pt idx="15">
                  <c:v>493.75</c:v>
                </c:pt>
                <c:pt idx="16">
                  <c:v>362.5</c:v>
                </c:pt>
                <c:pt idx="17">
                  <c:v>337.5</c:v>
                </c:pt>
                <c:pt idx="18">
                  <c:v>156.25</c:v>
                </c:pt>
                <c:pt idx="19">
                  <c:v>-175</c:v>
                </c:pt>
                <c:pt idx="20">
                  <c:v>312.5</c:v>
                </c:pt>
                <c:pt idx="21">
                  <c:v>2031.25</c:v>
                </c:pt>
                <c:pt idx="22">
                  <c:v>1543.75</c:v>
                </c:pt>
                <c:pt idx="23">
                  <c:v>2206.25</c:v>
                </c:pt>
                <c:pt idx="24">
                  <c:v>2231.25</c:v>
                </c:pt>
                <c:pt idx="25">
                  <c:v>2062.5</c:v>
                </c:pt>
                <c:pt idx="26">
                  <c:v>1681.25</c:v>
                </c:pt>
                <c:pt idx="27">
                  <c:v>700</c:v>
                </c:pt>
                <c:pt idx="28">
                  <c:v>1106.25</c:v>
                </c:pt>
                <c:pt idx="29">
                  <c:v>1362.5</c:v>
                </c:pt>
                <c:pt idx="30">
                  <c:v>993.75</c:v>
                </c:pt>
                <c:pt idx="31">
                  <c:v>2262.5</c:v>
                </c:pt>
                <c:pt idx="32">
                  <c:v>1975</c:v>
                </c:pt>
                <c:pt idx="33">
                  <c:v>1718.75</c:v>
                </c:pt>
                <c:pt idx="34">
                  <c:v>1318.75</c:v>
                </c:pt>
                <c:pt idx="35">
                  <c:v>1456.25</c:v>
                </c:pt>
                <c:pt idx="36">
                  <c:v>1006.25</c:v>
                </c:pt>
                <c:pt idx="37">
                  <c:v>487.5</c:v>
                </c:pt>
                <c:pt idx="38">
                  <c:v>-337.5</c:v>
                </c:pt>
                <c:pt idx="39">
                  <c:v>-162.5</c:v>
                </c:pt>
                <c:pt idx="40">
                  <c:v>1706.25</c:v>
                </c:pt>
                <c:pt idx="41">
                  <c:v>1237.5</c:v>
                </c:pt>
                <c:pt idx="42">
                  <c:v>168.75</c:v>
                </c:pt>
                <c:pt idx="43">
                  <c:v>293.75</c:v>
                </c:pt>
                <c:pt idx="44">
                  <c:v>400</c:v>
                </c:pt>
                <c:pt idx="45">
                  <c:v>943.75</c:v>
                </c:pt>
                <c:pt idx="46">
                  <c:v>1093.75</c:v>
                </c:pt>
                <c:pt idx="47">
                  <c:v>1018.75</c:v>
                </c:pt>
                <c:pt idx="48">
                  <c:v>887.5</c:v>
                </c:pt>
                <c:pt idx="49">
                  <c:v>506.25</c:v>
                </c:pt>
                <c:pt idx="50">
                  <c:v>106.25</c:v>
                </c:pt>
                <c:pt idx="51">
                  <c:v>581.25</c:v>
                </c:pt>
                <c:pt idx="52">
                  <c:v>568.75</c:v>
                </c:pt>
                <c:pt idx="53">
                  <c:v>568.75</c:v>
                </c:pt>
                <c:pt idx="54">
                  <c:v>750</c:v>
                </c:pt>
                <c:pt idx="55">
                  <c:v>787.5</c:v>
                </c:pt>
                <c:pt idx="56">
                  <c:v>831.25</c:v>
                </c:pt>
                <c:pt idx="57">
                  <c:v>475</c:v>
                </c:pt>
                <c:pt idx="58">
                  <c:v>18.75</c:v>
                </c:pt>
                <c:pt idx="59">
                  <c:v>25</c:v>
                </c:pt>
                <c:pt idx="60">
                  <c:v>193.75</c:v>
                </c:pt>
                <c:pt idx="61">
                  <c:v>-456.25</c:v>
                </c:pt>
                <c:pt idx="62">
                  <c:v>-318.75</c:v>
                </c:pt>
                <c:pt idx="63">
                  <c:v>-268.75</c:v>
                </c:pt>
                <c:pt idx="64">
                  <c:v>-681.25</c:v>
                </c:pt>
                <c:pt idx="65">
                  <c:v>-718.75</c:v>
                </c:pt>
                <c:pt idx="66">
                  <c:v>-606.25</c:v>
                </c:pt>
                <c:pt idx="67">
                  <c:v>-312.5</c:v>
                </c:pt>
                <c:pt idx="68">
                  <c:v>-68.75</c:v>
                </c:pt>
                <c:pt idx="69">
                  <c:v>-412.5</c:v>
                </c:pt>
                <c:pt idx="70">
                  <c:v>-181.25</c:v>
                </c:pt>
                <c:pt idx="71">
                  <c:v>-175</c:v>
                </c:pt>
                <c:pt idx="72">
                  <c:v>206.25</c:v>
                </c:pt>
                <c:pt idx="73">
                  <c:v>587.5</c:v>
                </c:pt>
                <c:pt idx="74">
                  <c:v>1275</c:v>
                </c:pt>
                <c:pt idx="75">
                  <c:v>1643.75</c:v>
                </c:pt>
                <c:pt idx="76">
                  <c:v>1431.25</c:v>
                </c:pt>
                <c:pt idx="77">
                  <c:v>1443.75</c:v>
                </c:pt>
                <c:pt idx="78">
                  <c:v>2031.25</c:v>
                </c:pt>
                <c:pt idx="79">
                  <c:v>1181.25</c:v>
                </c:pt>
                <c:pt idx="80">
                  <c:v>356.25</c:v>
                </c:pt>
                <c:pt idx="81">
                  <c:v>450</c:v>
                </c:pt>
                <c:pt idx="82">
                  <c:v>1037.5</c:v>
                </c:pt>
                <c:pt idx="83">
                  <c:v>825</c:v>
                </c:pt>
                <c:pt idx="84">
                  <c:v>868.75</c:v>
                </c:pt>
                <c:pt idx="85">
                  <c:v>1212.5</c:v>
                </c:pt>
                <c:pt idx="86">
                  <c:v>968.75</c:v>
                </c:pt>
                <c:pt idx="87">
                  <c:v>1081.25</c:v>
                </c:pt>
                <c:pt idx="88">
                  <c:v>1312.5</c:v>
                </c:pt>
                <c:pt idx="89">
                  <c:v>1125</c:v>
                </c:pt>
                <c:pt idx="90">
                  <c:v>950</c:v>
                </c:pt>
                <c:pt idx="91">
                  <c:v>712.5</c:v>
                </c:pt>
                <c:pt idx="92">
                  <c:v>712.5</c:v>
                </c:pt>
                <c:pt idx="93">
                  <c:v>681.25</c:v>
                </c:pt>
                <c:pt idx="94">
                  <c:v>656.25</c:v>
                </c:pt>
                <c:pt idx="95">
                  <c:v>731.25</c:v>
                </c:pt>
                <c:pt idx="96">
                  <c:v>981.25</c:v>
                </c:pt>
                <c:pt idx="97">
                  <c:v>775</c:v>
                </c:pt>
                <c:pt idx="98">
                  <c:v>337.5</c:v>
                </c:pt>
                <c:pt idx="99">
                  <c:v>1018.75</c:v>
                </c:pt>
                <c:pt idx="100">
                  <c:v>843.75</c:v>
                </c:pt>
                <c:pt idx="101">
                  <c:v>868.75</c:v>
                </c:pt>
                <c:pt idx="102">
                  <c:v>1437.5</c:v>
                </c:pt>
                <c:pt idx="103">
                  <c:v>1762.5</c:v>
                </c:pt>
                <c:pt idx="104">
                  <c:v>1556.25</c:v>
                </c:pt>
                <c:pt idx="105">
                  <c:v>1143.75</c:v>
                </c:pt>
                <c:pt idx="106">
                  <c:v>1150</c:v>
                </c:pt>
                <c:pt idx="107">
                  <c:v>1343.75</c:v>
                </c:pt>
                <c:pt idx="108">
                  <c:v>1543.75</c:v>
                </c:pt>
                <c:pt idx="109">
                  <c:v>1518.75</c:v>
                </c:pt>
                <c:pt idx="110">
                  <c:v>1875</c:v>
                </c:pt>
                <c:pt idx="111">
                  <c:v>2025</c:v>
                </c:pt>
                <c:pt idx="112">
                  <c:v>1925</c:v>
                </c:pt>
                <c:pt idx="113">
                  <c:v>2050</c:v>
                </c:pt>
                <c:pt idx="114">
                  <c:v>2450</c:v>
                </c:pt>
                <c:pt idx="115">
                  <c:v>2543.75</c:v>
                </c:pt>
                <c:pt idx="116">
                  <c:v>2443.75</c:v>
                </c:pt>
                <c:pt idx="117">
                  <c:v>2493.75</c:v>
                </c:pt>
                <c:pt idx="118">
                  <c:v>2618.75</c:v>
                </c:pt>
                <c:pt idx="119">
                  <c:v>2756.25</c:v>
                </c:pt>
                <c:pt idx="120">
                  <c:v>2731.25</c:v>
                </c:pt>
                <c:pt idx="121">
                  <c:v>2931.25</c:v>
                </c:pt>
                <c:pt idx="122">
                  <c:v>3237.5</c:v>
                </c:pt>
                <c:pt idx="123">
                  <c:v>3293.75</c:v>
                </c:pt>
                <c:pt idx="124">
                  <c:v>3256.25</c:v>
                </c:pt>
                <c:pt idx="125">
                  <c:v>3281.25</c:v>
                </c:pt>
                <c:pt idx="126">
                  <c:v>3506.25</c:v>
                </c:pt>
                <c:pt idx="127">
                  <c:v>4100</c:v>
                </c:pt>
                <c:pt idx="128">
                  <c:v>3906.25</c:v>
                </c:pt>
                <c:pt idx="129">
                  <c:v>4162.5</c:v>
                </c:pt>
                <c:pt idx="130">
                  <c:v>3956.25</c:v>
                </c:pt>
                <c:pt idx="131">
                  <c:v>4012.5</c:v>
                </c:pt>
                <c:pt idx="132">
                  <c:v>4081.25</c:v>
                </c:pt>
                <c:pt idx="133">
                  <c:v>4218.75</c:v>
                </c:pt>
                <c:pt idx="134">
                  <c:v>4150</c:v>
                </c:pt>
                <c:pt idx="135">
                  <c:v>4975</c:v>
                </c:pt>
                <c:pt idx="136">
                  <c:v>5175</c:v>
                </c:pt>
                <c:pt idx="137">
                  <c:v>5175</c:v>
                </c:pt>
                <c:pt idx="138">
                  <c:v>5143.75</c:v>
                </c:pt>
                <c:pt idx="139">
                  <c:v>5156.25</c:v>
                </c:pt>
                <c:pt idx="140">
                  <c:v>5193.75</c:v>
                </c:pt>
                <c:pt idx="141">
                  <c:v>5193.75</c:v>
                </c:pt>
                <c:pt idx="142">
                  <c:v>5212.5</c:v>
                </c:pt>
                <c:pt idx="143">
                  <c:v>5131.25</c:v>
                </c:pt>
                <c:pt idx="144">
                  <c:v>4962.5</c:v>
                </c:pt>
                <c:pt idx="145">
                  <c:v>4837.5</c:v>
                </c:pt>
                <c:pt idx="146">
                  <c:v>4931.25</c:v>
                </c:pt>
                <c:pt idx="147">
                  <c:v>4993.75</c:v>
                </c:pt>
                <c:pt idx="148">
                  <c:v>4812.5</c:v>
                </c:pt>
                <c:pt idx="149">
                  <c:v>5106.25</c:v>
                </c:pt>
                <c:pt idx="150">
                  <c:v>5425</c:v>
                </c:pt>
                <c:pt idx="151">
                  <c:v>5500</c:v>
                </c:pt>
                <c:pt idx="152">
                  <c:v>5512.5</c:v>
                </c:pt>
                <c:pt idx="153">
                  <c:v>6218.75</c:v>
                </c:pt>
                <c:pt idx="154">
                  <c:v>5943.75</c:v>
                </c:pt>
                <c:pt idx="155">
                  <c:v>5843.75</c:v>
                </c:pt>
                <c:pt idx="156">
                  <c:v>6100</c:v>
                </c:pt>
                <c:pt idx="157">
                  <c:v>5962.5</c:v>
                </c:pt>
                <c:pt idx="158">
                  <c:v>6018.75</c:v>
                </c:pt>
                <c:pt idx="159">
                  <c:v>6325</c:v>
                </c:pt>
                <c:pt idx="160">
                  <c:v>6131.25</c:v>
                </c:pt>
                <c:pt idx="161">
                  <c:v>6012.5</c:v>
                </c:pt>
                <c:pt idx="162">
                  <c:v>6462.5</c:v>
                </c:pt>
                <c:pt idx="163">
                  <c:v>6231.25</c:v>
                </c:pt>
                <c:pt idx="164">
                  <c:v>6212.5</c:v>
                </c:pt>
                <c:pt idx="165">
                  <c:v>6206.25</c:v>
                </c:pt>
                <c:pt idx="166">
                  <c:v>5981.25</c:v>
                </c:pt>
                <c:pt idx="167">
                  <c:v>5993.75</c:v>
                </c:pt>
                <c:pt idx="168">
                  <c:v>6068.75</c:v>
                </c:pt>
                <c:pt idx="169">
                  <c:v>5568.75</c:v>
                </c:pt>
                <c:pt idx="170">
                  <c:v>5812.5</c:v>
                </c:pt>
                <c:pt idx="171">
                  <c:v>5531.25</c:v>
                </c:pt>
                <c:pt idx="172">
                  <c:v>6312.5</c:v>
                </c:pt>
                <c:pt idx="173">
                  <c:v>6056.25</c:v>
                </c:pt>
                <c:pt idx="174">
                  <c:v>6068.75</c:v>
                </c:pt>
                <c:pt idx="175">
                  <c:v>6075</c:v>
                </c:pt>
                <c:pt idx="176">
                  <c:v>5731.25</c:v>
                </c:pt>
                <c:pt idx="177">
                  <c:v>5418.75</c:v>
                </c:pt>
                <c:pt idx="178">
                  <c:v>5743.75</c:v>
                </c:pt>
                <c:pt idx="179">
                  <c:v>5587.5</c:v>
                </c:pt>
                <c:pt idx="180">
                  <c:v>5650</c:v>
                </c:pt>
                <c:pt idx="181">
                  <c:v>6300</c:v>
                </c:pt>
                <c:pt idx="182">
                  <c:v>6825</c:v>
                </c:pt>
                <c:pt idx="183">
                  <c:v>6806.25</c:v>
                </c:pt>
                <c:pt idx="184">
                  <c:v>6643.75</c:v>
                </c:pt>
                <c:pt idx="185">
                  <c:v>6475</c:v>
                </c:pt>
                <c:pt idx="186">
                  <c:v>6450</c:v>
                </c:pt>
                <c:pt idx="187">
                  <c:v>6106.25</c:v>
                </c:pt>
                <c:pt idx="188">
                  <c:v>6118.75</c:v>
                </c:pt>
                <c:pt idx="189">
                  <c:v>6125</c:v>
                </c:pt>
                <c:pt idx="190">
                  <c:v>5962.5</c:v>
                </c:pt>
                <c:pt idx="191">
                  <c:v>5850</c:v>
                </c:pt>
                <c:pt idx="192">
                  <c:v>5887.5</c:v>
                </c:pt>
                <c:pt idx="193">
                  <c:v>6162.5</c:v>
                </c:pt>
                <c:pt idx="194">
                  <c:v>7550</c:v>
                </c:pt>
                <c:pt idx="195">
                  <c:v>8118.75</c:v>
                </c:pt>
                <c:pt idx="196">
                  <c:v>7600</c:v>
                </c:pt>
                <c:pt idx="197">
                  <c:v>7575</c:v>
                </c:pt>
                <c:pt idx="198">
                  <c:v>8343.75</c:v>
                </c:pt>
                <c:pt idx="199">
                  <c:v>8787.5</c:v>
                </c:pt>
                <c:pt idx="200">
                  <c:v>8125</c:v>
                </c:pt>
                <c:pt idx="201">
                  <c:v>8518.75</c:v>
                </c:pt>
                <c:pt idx="202">
                  <c:v>9812.5</c:v>
                </c:pt>
                <c:pt idx="203">
                  <c:v>9181.25</c:v>
                </c:pt>
                <c:pt idx="204">
                  <c:v>8225</c:v>
                </c:pt>
                <c:pt idx="205">
                  <c:v>8793.75</c:v>
                </c:pt>
                <c:pt idx="206">
                  <c:v>7800</c:v>
                </c:pt>
                <c:pt idx="207">
                  <c:v>9518.75</c:v>
                </c:pt>
                <c:pt idx="208">
                  <c:v>11850</c:v>
                </c:pt>
                <c:pt idx="209">
                  <c:v>12975</c:v>
                </c:pt>
                <c:pt idx="210">
                  <c:v>14675</c:v>
                </c:pt>
                <c:pt idx="211">
                  <c:v>11512.5</c:v>
                </c:pt>
                <c:pt idx="212">
                  <c:v>11762.5</c:v>
                </c:pt>
                <c:pt idx="213">
                  <c:v>13475</c:v>
                </c:pt>
                <c:pt idx="214">
                  <c:v>14306.25</c:v>
                </c:pt>
                <c:pt idx="215">
                  <c:v>14725</c:v>
                </c:pt>
                <c:pt idx="216">
                  <c:v>12462.5</c:v>
                </c:pt>
                <c:pt idx="217">
                  <c:v>13193.75</c:v>
                </c:pt>
                <c:pt idx="218">
                  <c:v>15087.5</c:v>
                </c:pt>
                <c:pt idx="219">
                  <c:v>15950</c:v>
                </c:pt>
                <c:pt idx="220">
                  <c:v>17187.5</c:v>
                </c:pt>
                <c:pt idx="221">
                  <c:v>16181.25</c:v>
                </c:pt>
                <c:pt idx="222">
                  <c:v>14875</c:v>
                </c:pt>
                <c:pt idx="223">
                  <c:v>15881.25</c:v>
                </c:pt>
                <c:pt idx="224">
                  <c:v>15312.5</c:v>
                </c:pt>
                <c:pt idx="225">
                  <c:v>17762.5</c:v>
                </c:pt>
                <c:pt idx="226">
                  <c:v>18518.75</c:v>
                </c:pt>
                <c:pt idx="227">
                  <c:v>18550</c:v>
                </c:pt>
                <c:pt idx="228">
                  <c:v>17962.5</c:v>
                </c:pt>
                <c:pt idx="229">
                  <c:v>18437.5</c:v>
                </c:pt>
                <c:pt idx="230">
                  <c:v>18681.25</c:v>
                </c:pt>
                <c:pt idx="231">
                  <c:v>19293.75</c:v>
                </c:pt>
                <c:pt idx="232">
                  <c:v>19850</c:v>
                </c:pt>
                <c:pt idx="233">
                  <c:v>20375</c:v>
                </c:pt>
                <c:pt idx="234">
                  <c:v>20868.75</c:v>
                </c:pt>
                <c:pt idx="235">
                  <c:v>20756.25</c:v>
                </c:pt>
                <c:pt idx="236">
                  <c:v>20493.75</c:v>
                </c:pt>
                <c:pt idx="237">
                  <c:v>20606.25</c:v>
                </c:pt>
                <c:pt idx="238">
                  <c:v>21075</c:v>
                </c:pt>
                <c:pt idx="239">
                  <c:v>21287.5</c:v>
                </c:pt>
                <c:pt idx="240">
                  <c:v>21931.25</c:v>
                </c:pt>
                <c:pt idx="241">
                  <c:v>21893.75</c:v>
                </c:pt>
                <c:pt idx="242">
                  <c:v>21162.5</c:v>
                </c:pt>
                <c:pt idx="243">
                  <c:v>21031.25</c:v>
                </c:pt>
                <c:pt idx="244">
                  <c:v>20818.75</c:v>
                </c:pt>
                <c:pt idx="245">
                  <c:v>21143.75</c:v>
                </c:pt>
                <c:pt idx="246">
                  <c:v>21287.5</c:v>
                </c:pt>
                <c:pt idx="247">
                  <c:v>21481.25</c:v>
                </c:pt>
                <c:pt idx="248">
                  <c:v>20456.25</c:v>
                </c:pt>
                <c:pt idx="249">
                  <c:v>20650</c:v>
                </c:pt>
                <c:pt idx="250">
                  <c:v>20843.75</c:v>
                </c:pt>
                <c:pt idx="251">
                  <c:v>20862.5</c:v>
                </c:pt>
                <c:pt idx="252">
                  <c:v>20175</c:v>
                </c:pt>
                <c:pt idx="253">
                  <c:v>20100</c:v>
                </c:pt>
                <c:pt idx="254">
                  <c:v>20331.25</c:v>
                </c:pt>
                <c:pt idx="255">
                  <c:v>19818.75</c:v>
                </c:pt>
                <c:pt idx="256">
                  <c:v>19950</c:v>
                </c:pt>
                <c:pt idx="257">
                  <c:v>19731.25</c:v>
                </c:pt>
                <c:pt idx="258">
                  <c:v>20031.25</c:v>
                </c:pt>
                <c:pt idx="259">
                  <c:v>20156.25</c:v>
                </c:pt>
                <c:pt idx="260">
                  <c:v>19543.75</c:v>
                </c:pt>
                <c:pt idx="261">
                  <c:v>19768.75</c:v>
                </c:pt>
                <c:pt idx="262">
                  <c:v>19843.75</c:v>
                </c:pt>
                <c:pt idx="263">
                  <c:v>20350</c:v>
                </c:pt>
                <c:pt idx="264">
                  <c:v>20618.75</c:v>
                </c:pt>
                <c:pt idx="265">
                  <c:v>20912.5</c:v>
                </c:pt>
                <c:pt idx="266">
                  <c:v>20881.25</c:v>
                </c:pt>
                <c:pt idx="267">
                  <c:v>20406.25</c:v>
                </c:pt>
                <c:pt idx="268">
                  <c:v>20256.25</c:v>
                </c:pt>
                <c:pt idx="269">
                  <c:v>20600</c:v>
                </c:pt>
                <c:pt idx="270">
                  <c:v>20937.5</c:v>
                </c:pt>
                <c:pt idx="271">
                  <c:v>20718.75</c:v>
                </c:pt>
                <c:pt idx="272">
                  <c:v>20931.25</c:v>
                </c:pt>
                <c:pt idx="273">
                  <c:v>20981.25</c:v>
                </c:pt>
                <c:pt idx="274">
                  <c:v>20950</c:v>
                </c:pt>
                <c:pt idx="275">
                  <c:v>20943.75</c:v>
                </c:pt>
                <c:pt idx="276">
                  <c:v>20925</c:v>
                </c:pt>
                <c:pt idx="277">
                  <c:v>20725</c:v>
                </c:pt>
                <c:pt idx="278">
                  <c:v>21193.75</c:v>
                </c:pt>
                <c:pt idx="279">
                  <c:v>21475</c:v>
                </c:pt>
                <c:pt idx="280">
                  <c:v>21237.5</c:v>
                </c:pt>
                <c:pt idx="281">
                  <c:v>21425</c:v>
                </c:pt>
                <c:pt idx="282">
                  <c:v>22300</c:v>
                </c:pt>
                <c:pt idx="283">
                  <c:v>22381.25</c:v>
                </c:pt>
                <c:pt idx="284">
                  <c:v>21881.25</c:v>
                </c:pt>
                <c:pt idx="285">
                  <c:v>21868.75</c:v>
                </c:pt>
                <c:pt idx="286">
                  <c:v>21675</c:v>
                </c:pt>
                <c:pt idx="287">
                  <c:v>22875</c:v>
                </c:pt>
                <c:pt idx="288">
                  <c:v>22568.75</c:v>
                </c:pt>
                <c:pt idx="289">
                  <c:v>22700</c:v>
                </c:pt>
                <c:pt idx="290">
                  <c:v>22318.75</c:v>
                </c:pt>
                <c:pt idx="291">
                  <c:v>22675</c:v>
                </c:pt>
                <c:pt idx="292">
                  <c:v>22200</c:v>
                </c:pt>
                <c:pt idx="293">
                  <c:v>20550</c:v>
                </c:pt>
                <c:pt idx="294">
                  <c:v>19975</c:v>
                </c:pt>
                <c:pt idx="295">
                  <c:v>20393.75</c:v>
                </c:pt>
                <c:pt idx="296">
                  <c:v>20356.25</c:v>
                </c:pt>
                <c:pt idx="297">
                  <c:v>20118.75</c:v>
                </c:pt>
                <c:pt idx="298">
                  <c:v>20043.75</c:v>
                </c:pt>
                <c:pt idx="299">
                  <c:v>20068.75</c:v>
                </c:pt>
                <c:pt idx="300">
                  <c:v>20418.75</c:v>
                </c:pt>
                <c:pt idx="301">
                  <c:v>20887.5</c:v>
                </c:pt>
                <c:pt idx="302">
                  <c:v>20825</c:v>
                </c:pt>
                <c:pt idx="303">
                  <c:v>20287.5</c:v>
                </c:pt>
                <c:pt idx="304">
                  <c:v>20200</c:v>
                </c:pt>
                <c:pt idx="305">
                  <c:v>20893.75</c:v>
                </c:pt>
                <c:pt idx="306">
                  <c:v>20450</c:v>
                </c:pt>
                <c:pt idx="307">
                  <c:v>20687.5</c:v>
                </c:pt>
                <c:pt idx="308">
                  <c:v>20506.25</c:v>
                </c:pt>
                <c:pt idx="309">
                  <c:v>20537.5</c:v>
                </c:pt>
                <c:pt idx="310">
                  <c:v>20656.25</c:v>
                </c:pt>
                <c:pt idx="311">
                  <c:v>20693.75</c:v>
                </c:pt>
                <c:pt idx="312">
                  <c:v>20531.25</c:v>
                </c:pt>
                <c:pt idx="313">
                  <c:v>20400</c:v>
                </c:pt>
                <c:pt idx="314">
                  <c:v>20756.25</c:v>
                </c:pt>
                <c:pt idx="315">
                  <c:v>20800</c:v>
                </c:pt>
                <c:pt idx="316">
                  <c:v>20775</c:v>
                </c:pt>
                <c:pt idx="317">
                  <c:v>21168.75</c:v>
                </c:pt>
                <c:pt idx="318">
                  <c:v>21156.25</c:v>
                </c:pt>
                <c:pt idx="319">
                  <c:v>21562.5</c:v>
                </c:pt>
                <c:pt idx="320">
                  <c:v>21225</c:v>
                </c:pt>
                <c:pt idx="321">
                  <c:v>21200</c:v>
                </c:pt>
                <c:pt idx="322">
                  <c:v>21081.25</c:v>
                </c:pt>
                <c:pt idx="323">
                  <c:v>20493.75</c:v>
                </c:pt>
                <c:pt idx="324">
                  <c:v>20725</c:v>
                </c:pt>
                <c:pt idx="325">
                  <c:v>20600</c:v>
                </c:pt>
                <c:pt idx="326">
                  <c:v>21231.25</c:v>
                </c:pt>
                <c:pt idx="327">
                  <c:v>21712.5</c:v>
                </c:pt>
                <c:pt idx="328">
                  <c:v>22131.25</c:v>
                </c:pt>
                <c:pt idx="329">
                  <c:v>22050</c:v>
                </c:pt>
                <c:pt idx="330">
                  <c:v>21637.5</c:v>
                </c:pt>
                <c:pt idx="331">
                  <c:v>21250</c:v>
                </c:pt>
                <c:pt idx="332">
                  <c:v>21925</c:v>
                </c:pt>
                <c:pt idx="333">
                  <c:v>22343.75</c:v>
                </c:pt>
                <c:pt idx="334">
                  <c:v>22387.5</c:v>
                </c:pt>
                <c:pt idx="335">
                  <c:v>22637.5</c:v>
                </c:pt>
                <c:pt idx="336">
                  <c:v>22700</c:v>
                </c:pt>
                <c:pt idx="337">
                  <c:v>22300</c:v>
                </c:pt>
                <c:pt idx="338">
                  <c:v>22250</c:v>
                </c:pt>
                <c:pt idx="339">
                  <c:v>22250</c:v>
                </c:pt>
                <c:pt idx="340">
                  <c:v>22087.5</c:v>
                </c:pt>
                <c:pt idx="341">
                  <c:v>21812.5</c:v>
                </c:pt>
                <c:pt idx="342">
                  <c:v>22093.75</c:v>
                </c:pt>
                <c:pt idx="343">
                  <c:v>21668.75</c:v>
                </c:pt>
                <c:pt idx="344">
                  <c:v>21593.75</c:v>
                </c:pt>
                <c:pt idx="345">
                  <c:v>21437.5</c:v>
                </c:pt>
                <c:pt idx="346">
                  <c:v>21437.5</c:v>
                </c:pt>
                <c:pt idx="347">
                  <c:v>22500</c:v>
                </c:pt>
                <c:pt idx="348">
                  <c:v>22587.5</c:v>
                </c:pt>
                <c:pt idx="349">
                  <c:v>23081.25</c:v>
                </c:pt>
                <c:pt idx="350">
                  <c:v>23200</c:v>
                </c:pt>
                <c:pt idx="351">
                  <c:v>23225</c:v>
                </c:pt>
                <c:pt idx="352">
                  <c:v>23200</c:v>
                </c:pt>
                <c:pt idx="353">
                  <c:v>22962.5</c:v>
                </c:pt>
                <c:pt idx="354">
                  <c:v>23406.25</c:v>
                </c:pt>
                <c:pt idx="355">
                  <c:v>23387.5</c:v>
                </c:pt>
                <c:pt idx="356">
                  <c:v>22950</c:v>
                </c:pt>
                <c:pt idx="357">
                  <c:v>21031.25</c:v>
                </c:pt>
                <c:pt idx="358">
                  <c:v>21006.25</c:v>
                </c:pt>
                <c:pt idx="359">
                  <c:v>20181.25</c:v>
                </c:pt>
                <c:pt idx="360">
                  <c:v>20162.5</c:v>
                </c:pt>
                <c:pt idx="361">
                  <c:v>20450</c:v>
                </c:pt>
                <c:pt idx="362">
                  <c:v>20356.25</c:v>
                </c:pt>
                <c:pt idx="363">
                  <c:v>20262.5</c:v>
                </c:pt>
                <c:pt idx="364">
                  <c:v>20243.75</c:v>
                </c:pt>
                <c:pt idx="365">
                  <c:v>20268.75</c:v>
                </c:pt>
                <c:pt idx="366">
                  <c:v>20531.25</c:v>
                </c:pt>
                <c:pt idx="367">
                  <c:v>20162.5</c:v>
                </c:pt>
                <c:pt idx="368">
                  <c:v>19956.25</c:v>
                </c:pt>
                <c:pt idx="369">
                  <c:v>19987.5</c:v>
                </c:pt>
                <c:pt idx="370">
                  <c:v>20062.5</c:v>
                </c:pt>
                <c:pt idx="371">
                  <c:v>20468.75</c:v>
                </c:pt>
                <c:pt idx="372">
                  <c:v>20887.5</c:v>
                </c:pt>
                <c:pt idx="373">
                  <c:v>21137.5</c:v>
                </c:pt>
                <c:pt idx="374">
                  <c:v>21300</c:v>
                </c:pt>
                <c:pt idx="375">
                  <c:v>20962.5</c:v>
                </c:pt>
                <c:pt idx="376">
                  <c:v>20681.25</c:v>
                </c:pt>
                <c:pt idx="377">
                  <c:v>20856.25</c:v>
                </c:pt>
                <c:pt idx="378">
                  <c:v>21468.75</c:v>
                </c:pt>
                <c:pt idx="379">
                  <c:v>21912.5</c:v>
                </c:pt>
                <c:pt idx="380">
                  <c:v>21850</c:v>
                </c:pt>
                <c:pt idx="381">
                  <c:v>22043.75</c:v>
                </c:pt>
                <c:pt idx="382">
                  <c:v>21743.75</c:v>
                </c:pt>
                <c:pt idx="383">
                  <c:v>22043.75</c:v>
                </c:pt>
                <c:pt idx="384">
                  <c:v>21625</c:v>
                </c:pt>
                <c:pt idx="385">
                  <c:v>21350</c:v>
                </c:pt>
                <c:pt idx="386">
                  <c:v>21062.5</c:v>
                </c:pt>
                <c:pt idx="387">
                  <c:v>21018.75</c:v>
                </c:pt>
                <c:pt idx="388">
                  <c:v>21081.25</c:v>
                </c:pt>
                <c:pt idx="389">
                  <c:v>20881.25</c:v>
                </c:pt>
                <c:pt idx="390">
                  <c:v>20593.75</c:v>
                </c:pt>
                <c:pt idx="391">
                  <c:v>20875</c:v>
                </c:pt>
                <c:pt idx="392">
                  <c:v>20893.75</c:v>
                </c:pt>
                <c:pt idx="393">
                  <c:v>21131.25</c:v>
                </c:pt>
                <c:pt idx="394">
                  <c:v>21306.25</c:v>
                </c:pt>
                <c:pt idx="395">
                  <c:v>21368.75</c:v>
                </c:pt>
                <c:pt idx="396">
                  <c:v>21025</c:v>
                </c:pt>
                <c:pt idx="397">
                  <c:v>21206.25</c:v>
                </c:pt>
                <c:pt idx="398">
                  <c:v>21006.25</c:v>
                </c:pt>
                <c:pt idx="399">
                  <c:v>21212.5</c:v>
                </c:pt>
                <c:pt idx="400">
                  <c:v>21243.75</c:v>
                </c:pt>
                <c:pt idx="401">
                  <c:v>20950</c:v>
                </c:pt>
                <c:pt idx="402">
                  <c:v>21100</c:v>
                </c:pt>
                <c:pt idx="403">
                  <c:v>21756.25</c:v>
                </c:pt>
                <c:pt idx="404">
                  <c:v>21593.75</c:v>
                </c:pt>
                <c:pt idx="405">
                  <c:v>21593.75</c:v>
                </c:pt>
                <c:pt idx="406">
                  <c:v>21818.75</c:v>
                </c:pt>
                <c:pt idx="407">
                  <c:v>21737.5</c:v>
                </c:pt>
                <c:pt idx="408">
                  <c:v>22331.25</c:v>
                </c:pt>
                <c:pt idx="409">
                  <c:v>22337.5</c:v>
                </c:pt>
                <c:pt idx="410">
                  <c:v>22250</c:v>
                </c:pt>
                <c:pt idx="411">
                  <c:v>22506.25</c:v>
                </c:pt>
                <c:pt idx="412">
                  <c:v>22637.5</c:v>
                </c:pt>
                <c:pt idx="413">
                  <c:v>22587.5</c:v>
                </c:pt>
                <c:pt idx="414">
                  <c:v>22081.25</c:v>
                </c:pt>
                <c:pt idx="415">
                  <c:v>21687.5</c:v>
                </c:pt>
                <c:pt idx="416">
                  <c:v>22575</c:v>
                </c:pt>
                <c:pt idx="417">
                  <c:v>22175</c:v>
                </c:pt>
                <c:pt idx="418">
                  <c:v>22512.5</c:v>
                </c:pt>
                <c:pt idx="419">
                  <c:v>24143.75</c:v>
                </c:pt>
                <c:pt idx="420">
                  <c:v>24443.75</c:v>
                </c:pt>
                <c:pt idx="421">
                  <c:v>24762.5</c:v>
                </c:pt>
                <c:pt idx="422">
                  <c:v>25143.75</c:v>
                </c:pt>
                <c:pt idx="423">
                  <c:v>25381.25</c:v>
                </c:pt>
                <c:pt idx="424">
                  <c:v>25487.5</c:v>
                </c:pt>
                <c:pt idx="425">
                  <c:v>25568.75</c:v>
                </c:pt>
                <c:pt idx="426">
                  <c:v>26156.25</c:v>
                </c:pt>
                <c:pt idx="427">
                  <c:v>25956.25</c:v>
                </c:pt>
                <c:pt idx="428">
                  <c:v>25937.5</c:v>
                </c:pt>
                <c:pt idx="429">
                  <c:v>25893.75</c:v>
                </c:pt>
                <c:pt idx="430">
                  <c:v>25981.25</c:v>
                </c:pt>
                <c:pt idx="431">
                  <c:v>26506.25</c:v>
                </c:pt>
                <c:pt idx="432">
                  <c:v>26637.5</c:v>
                </c:pt>
                <c:pt idx="433">
                  <c:v>26462.5</c:v>
                </c:pt>
                <c:pt idx="434">
                  <c:v>26937.5</c:v>
                </c:pt>
                <c:pt idx="435">
                  <c:v>26637.5</c:v>
                </c:pt>
                <c:pt idx="436">
                  <c:v>26606.25</c:v>
                </c:pt>
                <c:pt idx="437">
                  <c:v>26087.5</c:v>
                </c:pt>
                <c:pt idx="438">
                  <c:v>26150</c:v>
                </c:pt>
                <c:pt idx="439">
                  <c:v>26287.5</c:v>
                </c:pt>
                <c:pt idx="440">
                  <c:v>26837.5</c:v>
                </c:pt>
                <c:pt idx="441">
                  <c:v>26462.5</c:v>
                </c:pt>
                <c:pt idx="442">
                  <c:v>26325</c:v>
                </c:pt>
                <c:pt idx="443">
                  <c:v>26506.25</c:v>
                </c:pt>
                <c:pt idx="444">
                  <c:v>26493.75</c:v>
                </c:pt>
                <c:pt idx="445">
                  <c:v>26831.25</c:v>
                </c:pt>
                <c:pt idx="446">
                  <c:v>27331.25</c:v>
                </c:pt>
                <c:pt idx="447">
                  <c:v>26893.75</c:v>
                </c:pt>
                <c:pt idx="448">
                  <c:v>26818.75</c:v>
                </c:pt>
                <c:pt idx="449">
                  <c:v>27037.5</c:v>
                </c:pt>
                <c:pt idx="450">
                  <c:v>27356.25</c:v>
                </c:pt>
                <c:pt idx="451">
                  <c:v>27100</c:v>
                </c:pt>
                <c:pt idx="452">
                  <c:v>27456.25</c:v>
                </c:pt>
                <c:pt idx="453">
                  <c:v>27187.5</c:v>
                </c:pt>
                <c:pt idx="454">
                  <c:v>27212.5</c:v>
                </c:pt>
                <c:pt idx="455">
                  <c:v>27218.75</c:v>
                </c:pt>
                <c:pt idx="456">
                  <c:v>27237.5</c:v>
                </c:pt>
                <c:pt idx="457">
                  <c:v>27425</c:v>
                </c:pt>
                <c:pt idx="458">
                  <c:v>27456.25</c:v>
                </c:pt>
                <c:pt idx="459">
                  <c:v>27537.5</c:v>
                </c:pt>
                <c:pt idx="460">
                  <c:v>27262.5</c:v>
                </c:pt>
                <c:pt idx="461">
                  <c:v>27468.75</c:v>
                </c:pt>
                <c:pt idx="462">
                  <c:v>27700</c:v>
                </c:pt>
                <c:pt idx="463">
                  <c:v>27700</c:v>
                </c:pt>
                <c:pt idx="464">
                  <c:v>27406.25</c:v>
                </c:pt>
                <c:pt idx="465">
                  <c:v>27556.25</c:v>
                </c:pt>
                <c:pt idx="466">
                  <c:v>27393.75</c:v>
                </c:pt>
                <c:pt idx="467">
                  <c:v>27662.5</c:v>
                </c:pt>
                <c:pt idx="468">
                  <c:v>28475</c:v>
                </c:pt>
                <c:pt idx="469">
                  <c:v>28000</c:v>
                </c:pt>
                <c:pt idx="470">
                  <c:v>28112.5</c:v>
                </c:pt>
                <c:pt idx="471">
                  <c:v>28175</c:v>
                </c:pt>
                <c:pt idx="472">
                  <c:v>28568.75</c:v>
                </c:pt>
                <c:pt idx="473">
                  <c:v>28193.75</c:v>
                </c:pt>
                <c:pt idx="474">
                  <c:v>28318.75</c:v>
                </c:pt>
                <c:pt idx="475">
                  <c:v>28550</c:v>
                </c:pt>
                <c:pt idx="476">
                  <c:v>28331.25</c:v>
                </c:pt>
                <c:pt idx="477">
                  <c:v>28362.5</c:v>
                </c:pt>
                <c:pt idx="478">
                  <c:v>28556.25</c:v>
                </c:pt>
                <c:pt idx="479">
                  <c:v>28706.25</c:v>
                </c:pt>
                <c:pt idx="480">
                  <c:v>28518.75</c:v>
                </c:pt>
                <c:pt idx="481">
                  <c:v>28768.75</c:v>
                </c:pt>
                <c:pt idx="482">
                  <c:v>28681.25</c:v>
                </c:pt>
                <c:pt idx="483">
                  <c:v>28293.75</c:v>
                </c:pt>
                <c:pt idx="484">
                  <c:v>28343.75</c:v>
                </c:pt>
                <c:pt idx="485">
                  <c:v>28556.25</c:v>
                </c:pt>
                <c:pt idx="486">
                  <c:v>28512.5</c:v>
                </c:pt>
                <c:pt idx="487">
                  <c:v>28800</c:v>
                </c:pt>
                <c:pt idx="488">
                  <c:v>28731.25</c:v>
                </c:pt>
                <c:pt idx="489">
                  <c:v>29087.5</c:v>
                </c:pt>
                <c:pt idx="490">
                  <c:v>29125</c:v>
                </c:pt>
                <c:pt idx="491">
                  <c:v>29062.5</c:v>
                </c:pt>
                <c:pt idx="492">
                  <c:v>29481.25</c:v>
                </c:pt>
                <c:pt idx="493">
                  <c:v>29343.75</c:v>
                </c:pt>
                <c:pt idx="494">
                  <c:v>29468.75</c:v>
                </c:pt>
                <c:pt idx="495">
                  <c:v>30043.75</c:v>
                </c:pt>
                <c:pt idx="496">
                  <c:v>30418.75</c:v>
                </c:pt>
                <c:pt idx="497">
                  <c:v>30375</c:v>
                </c:pt>
                <c:pt idx="498">
                  <c:v>30318.75</c:v>
                </c:pt>
                <c:pt idx="499">
                  <c:v>30531.25</c:v>
                </c:pt>
                <c:pt idx="500">
                  <c:v>30512.5</c:v>
                </c:pt>
                <c:pt idx="501">
                  <c:v>30975</c:v>
                </c:pt>
                <c:pt idx="502">
                  <c:v>31443.75</c:v>
                </c:pt>
                <c:pt idx="503">
                  <c:v>31425</c:v>
                </c:pt>
                <c:pt idx="504">
                  <c:v>31175</c:v>
                </c:pt>
                <c:pt idx="505">
                  <c:v>31043.75</c:v>
                </c:pt>
                <c:pt idx="506">
                  <c:v>31181.25</c:v>
                </c:pt>
                <c:pt idx="507">
                  <c:v>31468.75</c:v>
                </c:pt>
                <c:pt idx="508">
                  <c:v>30881.25</c:v>
                </c:pt>
                <c:pt idx="509">
                  <c:v>31275</c:v>
                </c:pt>
                <c:pt idx="510">
                  <c:v>31250</c:v>
                </c:pt>
                <c:pt idx="511">
                  <c:v>31568.75</c:v>
                </c:pt>
                <c:pt idx="512">
                  <c:v>31618.75</c:v>
                </c:pt>
                <c:pt idx="513">
                  <c:v>31500</c:v>
                </c:pt>
                <c:pt idx="514">
                  <c:v>31450</c:v>
                </c:pt>
                <c:pt idx="515">
                  <c:v>31325</c:v>
                </c:pt>
                <c:pt idx="516">
                  <c:v>32450</c:v>
                </c:pt>
                <c:pt idx="517">
                  <c:v>32375</c:v>
                </c:pt>
                <c:pt idx="518">
                  <c:v>32437.5</c:v>
                </c:pt>
                <c:pt idx="519">
                  <c:v>32787.5</c:v>
                </c:pt>
                <c:pt idx="520">
                  <c:v>31775</c:v>
                </c:pt>
                <c:pt idx="521">
                  <c:v>31525</c:v>
                </c:pt>
                <c:pt idx="522">
                  <c:v>31500</c:v>
                </c:pt>
                <c:pt idx="523">
                  <c:v>31531.25</c:v>
                </c:pt>
                <c:pt idx="524">
                  <c:v>31456.25</c:v>
                </c:pt>
                <c:pt idx="525">
                  <c:v>31456.25</c:v>
                </c:pt>
                <c:pt idx="526">
                  <c:v>31368.75</c:v>
                </c:pt>
                <c:pt idx="527">
                  <c:v>31275</c:v>
                </c:pt>
                <c:pt idx="528">
                  <c:v>31337.5</c:v>
                </c:pt>
                <c:pt idx="529">
                  <c:v>30681.25</c:v>
                </c:pt>
                <c:pt idx="530">
                  <c:v>30587.5</c:v>
                </c:pt>
                <c:pt idx="531">
                  <c:v>30518.75</c:v>
                </c:pt>
                <c:pt idx="532">
                  <c:v>30275</c:v>
                </c:pt>
                <c:pt idx="533">
                  <c:v>30725</c:v>
                </c:pt>
                <c:pt idx="534">
                  <c:v>31100</c:v>
                </c:pt>
                <c:pt idx="535">
                  <c:v>31600</c:v>
                </c:pt>
                <c:pt idx="536">
                  <c:v>31362.5</c:v>
                </c:pt>
                <c:pt idx="537">
                  <c:v>31625</c:v>
                </c:pt>
                <c:pt idx="538">
                  <c:v>32575</c:v>
                </c:pt>
                <c:pt idx="539">
                  <c:v>31937.5</c:v>
                </c:pt>
                <c:pt idx="540">
                  <c:v>31881.25</c:v>
                </c:pt>
                <c:pt idx="541">
                  <c:v>32075</c:v>
                </c:pt>
                <c:pt idx="542">
                  <c:v>32006.25</c:v>
                </c:pt>
                <c:pt idx="543">
                  <c:v>32225</c:v>
                </c:pt>
                <c:pt idx="544">
                  <c:v>32775</c:v>
                </c:pt>
                <c:pt idx="545">
                  <c:v>32381.25</c:v>
                </c:pt>
                <c:pt idx="546">
                  <c:v>32687.5</c:v>
                </c:pt>
                <c:pt idx="547">
                  <c:v>32287.5</c:v>
                </c:pt>
                <c:pt idx="548">
                  <c:v>32062.5</c:v>
                </c:pt>
                <c:pt idx="549">
                  <c:v>31637.5</c:v>
                </c:pt>
                <c:pt idx="550">
                  <c:v>31418.75</c:v>
                </c:pt>
                <c:pt idx="551">
                  <c:v>31068.75</c:v>
                </c:pt>
                <c:pt idx="552">
                  <c:v>30912.5</c:v>
                </c:pt>
                <c:pt idx="553">
                  <c:v>30881.25</c:v>
                </c:pt>
                <c:pt idx="554">
                  <c:v>30843.75</c:v>
                </c:pt>
                <c:pt idx="555">
                  <c:v>31375</c:v>
                </c:pt>
                <c:pt idx="556">
                  <c:v>31481.25</c:v>
                </c:pt>
                <c:pt idx="557">
                  <c:v>31575</c:v>
                </c:pt>
                <c:pt idx="558">
                  <c:v>31018.75</c:v>
                </c:pt>
                <c:pt idx="559">
                  <c:v>30831.25</c:v>
                </c:pt>
                <c:pt idx="560">
                  <c:v>30918.75</c:v>
                </c:pt>
                <c:pt idx="561">
                  <c:v>31206.25</c:v>
                </c:pt>
                <c:pt idx="562">
                  <c:v>31437.5</c:v>
                </c:pt>
                <c:pt idx="563">
                  <c:v>31706.25</c:v>
                </c:pt>
                <c:pt idx="564">
                  <c:v>30806.25</c:v>
                </c:pt>
                <c:pt idx="565">
                  <c:v>30681.25</c:v>
                </c:pt>
                <c:pt idx="566">
                  <c:v>30962.5</c:v>
                </c:pt>
                <c:pt idx="567">
                  <c:v>30900</c:v>
                </c:pt>
                <c:pt idx="568">
                  <c:v>30850</c:v>
                </c:pt>
                <c:pt idx="569">
                  <c:v>30781.25</c:v>
                </c:pt>
                <c:pt idx="570">
                  <c:v>30475</c:v>
                </c:pt>
                <c:pt idx="571">
                  <c:v>30793.75</c:v>
                </c:pt>
                <c:pt idx="572">
                  <c:v>30475</c:v>
                </c:pt>
                <c:pt idx="573">
                  <c:v>30531.25</c:v>
                </c:pt>
                <c:pt idx="574">
                  <c:v>30481.25</c:v>
                </c:pt>
                <c:pt idx="575">
                  <c:v>31400</c:v>
                </c:pt>
                <c:pt idx="576">
                  <c:v>31131.25</c:v>
                </c:pt>
                <c:pt idx="577">
                  <c:v>31200</c:v>
                </c:pt>
                <c:pt idx="578">
                  <c:v>31187.5</c:v>
                </c:pt>
                <c:pt idx="579">
                  <c:v>30987.5</c:v>
                </c:pt>
                <c:pt idx="580">
                  <c:v>30250</c:v>
                </c:pt>
                <c:pt idx="581">
                  <c:v>29800</c:v>
                </c:pt>
                <c:pt idx="582">
                  <c:v>29606.25</c:v>
                </c:pt>
                <c:pt idx="583">
                  <c:v>29687.5</c:v>
                </c:pt>
                <c:pt idx="584">
                  <c:v>29581.25</c:v>
                </c:pt>
                <c:pt idx="585">
                  <c:v>29406.25</c:v>
                </c:pt>
                <c:pt idx="586">
                  <c:v>28962.5</c:v>
                </c:pt>
                <c:pt idx="587">
                  <c:v>29300</c:v>
                </c:pt>
                <c:pt idx="588">
                  <c:v>30087.5</c:v>
                </c:pt>
                <c:pt idx="589">
                  <c:v>29956.25</c:v>
                </c:pt>
                <c:pt idx="590">
                  <c:v>30168.75</c:v>
                </c:pt>
                <c:pt idx="591">
                  <c:v>30331.25</c:v>
                </c:pt>
                <c:pt idx="592">
                  <c:v>29637.5</c:v>
                </c:pt>
                <c:pt idx="593">
                  <c:v>29587.5</c:v>
                </c:pt>
                <c:pt idx="594">
                  <c:v>29887.5</c:v>
                </c:pt>
                <c:pt idx="595">
                  <c:v>30250</c:v>
                </c:pt>
                <c:pt idx="596">
                  <c:v>30412.5</c:v>
                </c:pt>
                <c:pt idx="597">
                  <c:v>30431.25</c:v>
                </c:pt>
                <c:pt idx="598">
                  <c:v>30356.25</c:v>
                </c:pt>
                <c:pt idx="599">
                  <c:v>30400</c:v>
                </c:pt>
                <c:pt idx="600">
                  <c:v>29818.75</c:v>
                </c:pt>
                <c:pt idx="601">
                  <c:v>29793.75</c:v>
                </c:pt>
                <c:pt idx="602">
                  <c:v>29831.25</c:v>
                </c:pt>
                <c:pt idx="603">
                  <c:v>30168.75</c:v>
                </c:pt>
                <c:pt idx="604">
                  <c:v>30150</c:v>
                </c:pt>
                <c:pt idx="605">
                  <c:v>30450</c:v>
                </c:pt>
                <c:pt idx="606">
                  <c:v>30656.25</c:v>
                </c:pt>
                <c:pt idx="607">
                  <c:v>30600</c:v>
                </c:pt>
                <c:pt idx="608">
                  <c:v>30493.75</c:v>
                </c:pt>
                <c:pt idx="609">
                  <c:v>30450</c:v>
                </c:pt>
                <c:pt idx="610">
                  <c:v>30800</c:v>
                </c:pt>
                <c:pt idx="611">
                  <c:v>30437.5</c:v>
                </c:pt>
                <c:pt idx="612">
                  <c:v>30050</c:v>
                </c:pt>
                <c:pt idx="613">
                  <c:v>29718.75</c:v>
                </c:pt>
                <c:pt idx="614">
                  <c:v>29625</c:v>
                </c:pt>
                <c:pt idx="615">
                  <c:v>29437.5</c:v>
                </c:pt>
                <c:pt idx="616">
                  <c:v>29518.75</c:v>
                </c:pt>
                <c:pt idx="617">
                  <c:v>29968.75</c:v>
                </c:pt>
                <c:pt idx="618">
                  <c:v>30450</c:v>
                </c:pt>
                <c:pt idx="619">
                  <c:v>30525</c:v>
                </c:pt>
                <c:pt idx="620">
                  <c:v>30531.25</c:v>
                </c:pt>
                <c:pt idx="621">
                  <c:v>30831.25</c:v>
                </c:pt>
                <c:pt idx="622">
                  <c:v>31150</c:v>
                </c:pt>
                <c:pt idx="623">
                  <c:v>30706.25</c:v>
                </c:pt>
                <c:pt idx="624">
                  <c:v>31262.5</c:v>
                </c:pt>
                <c:pt idx="625">
                  <c:v>31156.25</c:v>
                </c:pt>
                <c:pt idx="626">
                  <c:v>31137.5</c:v>
                </c:pt>
                <c:pt idx="627">
                  <c:v>31393.75</c:v>
                </c:pt>
                <c:pt idx="628">
                  <c:v>31043.75</c:v>
                </c:pt>
                <c:pt idx="629">
                  <c:v>31568.75</c:v>
                </c:pt>
                <c:pt idx="630">
                  <c:v>31493.75</c:v>
                </c:pt>
                <c:pt idx="631">
                  <c:v>31468.75</c:v>
                </c:pt>
                <c:pt idx="632">
                  <c:v>31443.75</c:v>
                </c:pt>
                <c:pt idx="633">
                  <c:v>31912.5</c:v>
                </c:pt>
                <c:pt idx="634">
                  <c:v>31750</c:v>
                </c:pt>
                <c:pt idx="635">
                  <c:v>32031.25</c:v>
                </c:pt>
                <c:pt idx="636">
                  <c:v>31831.25</c:v>
                </c:pt>
                <c:pt idx="637">
                  <c:v>31625</c:v>
                </c:pt>
                <c:pt idx="638">
                  <c:v>31412.5</c:v>
                </c:pt>
                <c:pt idx="639">
                  <c:v>31287.5</c:v>
                </c:pt>
                <c:pt idx="640">
                  <c:v>31243.75</c:v>
                </c:pt>
                <c:pt idx="641">
                  <c:v>30793.75</c:v>
                </c:pt>
                <c:pt idx="642">
                  <c:v>30718.75</c:v>
                </c:pt>
                <c:pt idx="643">
                  <c:v>30706.25</c:v>
                </c:pt>
                <c:pt idx="644">
                  <c:v>30693.75</c:v>
                </c:pt>
                <c:pt idx="645">
                  <c:v>30812.5</c:v>
                </c:pt>
                <c:pt idx="646">
                  <c:v>30918.75</c:v>
                </c:pt>
                <c:pt idx="647">
                  <c:v>31212.5</c:v>
                </c:pt>
                <c:pt idx="648">
                  <c:v>30806.25</c:v>
                </c:pt>
                <c:pt idx="649">
                  <c:v>31268.75</c:v>
                </c:pt>
                <c:pt idx="650">
                  <c:v>31212.5</c:v>
                </c:pt>
                <c:pt idx="651">
                  <c:v>31068.75</c:v>
                </c:pt>
                <c:pt idx="652">
                  <c:v>31425</c:v>
                </c:pt>
                <c:pt idx="653">
                  <c:v>31775</c:v>
                </c:pt>
                <c:pt idx="654">
                  <c:v>31406.25</c:v>
                </c:pt>
                <c:pt idx="655">
                  <c:v>31812.5</c:v>
                </c:pt>
                <c:pt idx="656">
                  <c:v>32050</c:v>
                </c:pt>
                <c:pt idx="657">
                  <c:v>32143.75</c:v>
                </c:pt>
                <c:pt idx="658">
                  <c:v>32250</c:v>
                </c:pt>
                <c:pt idx="659">
                  <c:v>32831.25</c:v>
                </c:pt>
                <c:pt idx="660">
                  <c:v>32387.5</c:v>
                </c:pt>
                <c:pt idx="661">
                  <c:v>32487.5</c:v>
                </c:pt>
                <c:pt idx="662">
                  <c:v>32512.5</c:v>
                </c:pt>
                <c:pt idx="663">
                  <c:v>32562.5</c:v>
                </c:pt>
                <c:pt idx="664">
                  <c:v>32581.25</c:v>
                </c:pt>
                <c:pt idx="665">
                  <c:v>32625</c:v>
                </c:pt>
                <c:pt idx="666">
                  <c:v>32431.25</c:v>
                </c:pt>
                <c:pt idx="667">
                  <c:v>32137.5</c:v>
                </c:pt>
                <c:pt idx="668">
                  <c:v>32250</c:v>
                </c:pt>
                <c:pt idx="669">
                  <c:v>32162.5</c:v>
                </c:pt>
                <c:pt idx="670">
                  <c:v>32131.25</c:v>
                </c:pt>
                <c:pt idx="671">
                  <c:v>32281.25</c:v>
                </c:pt>
                <c:pt idx="672">
                  <c:v>32012.5</c:v>
                </c:pt>
                <c:pt idx="673">
                  <c:v>32287.5</c:v>
                </c:pt>
                <c:pt idx="674">
                  <c:v>32250</c:v>
                </c:pt>
                <c:pt idx="675">
                  <c:v>32243.75</c:v>
                </c:pt>
                <c:pt idx="676">
                  <c:v>32362.5</c:v>
                </c:pt>
                <c:pt idx="677">
                  <c:v>32175</c:v>
                </c:pt>
                <c:pt idx="678">
                  <c:v>32462.5</c:v>
                </c:pt>
                <c:pt idx="679">
                  <c:v>32475</c:v>
                </c:pt>
                <c:pt idx="680">
                  <c:v>32337.5</c:v>
                </c:pt>
                <c:pt idx="681">
                  <c:v>32437.5</c:v>
                </c:pt>
                <c:pt idx="682">
                  <c:v>32506.25</c:v>
                </c:pt>
                <c:pt idx="683">
                  <c:v>32856.25</c:v>
                </c:pt>
                <c:pt idx="684">
                  <c:v>33118.75</c:v>
                </c:pt>
                <c:pt idx="685">
                  <c:v>33256.25</c:v>
                </c:pt>
                <c:pt idx="686">
                  <c:v>33212.5</c:v>
                </c:pt>
                <c:pt idx="687">
                  <c:v>32675</c:v>
                </c:pt>
                <c:pt idx="688">
                  <c:v>32731.25</c:v>
                </c:pt>
                <c:pt idx="689">
                  <c:v>32856.25</c:v>
                </c:pt>
                <c:pt idx="690">
                  <c:v>33500</c:v>
                </c:pt>
                <c:pt idx="691">
                  <c:v>33875</c:v>
                </c:pt>
                <c:pt idx="692">
                  <c:v>33625</c:v>
                </c:pt>
                <c:pt idx="693">
                  <c:v>34243.75</c:v>
                </c:pt>
                <c:pt idx="694">
                  <c:v>34587.5</c:v>
                </c:pt>
                <c:pt idx="695">
                  <c:v>35025</c:v>
                </c:pt>
                <c:pt idx="696">
                  <c:v>35550</c:v>
                </c:pt>
                <c:pt idx="697">
                  <c:v>35731.25</c:v>
                </c:pt>
                <c:pt idx="698">
                  <c:v>35681.25</c:v>
                </c:pt>
                <c:pt idx="699">
                  <c:v>35531.25</c:v>
                </c:pt>
                <c:pt idx="700">
                  <c:v>35968.75</c:v>
                </c:pt>
                <c:pt idx="701">
                  <c:v>35518.75</c:v>
                </c:pt>
                <c:pt idx="702">
                  <c:v>35812.5</c:v>
                </c:pt>
                <c:pt idx="703">
                  <c:v>35725</c:v>
                </c:pt>
                <c:pt idx="704">
                  <c:v>36131.25</c:v>
                </c:pt>
                <c:pt idx="705">
                  <c:v>36781.25</c:v>
                </c:pt>
                <c:pt idx="706">
                  <c:v>36906.25</c:v>
                </c:pt>
                <c:pt idx="707">
                  <c:v>36856.25</c:v>
                </c:pt>
                <c:pt idx="708">
                  <c:v>37375</c:v>
                </c:pt>
                <c:pt idx="709">
                  <c:v>37131.25</c:v>
                </c:pt>
                <c:pt idx="710">
                  <c:v>36993.75</c:v>
                </c:pt>
                <c:pt idx="711">
                  <c:v>36931.25</c:v>
                </c:pt>
                <c:pt idx="712">
                  <c:v>37275</c:v>
                </c:pt>
                <c:pt idx="713">
                  <c:v>37237.5</c:v>
                </c:pt>
                <c:pt idx="714">
                  <c:v>36762.5</c:v>
                </c:pt>
                <c:pt idx="715">
                  <c:v>36675</c:v>
                </c:pt>
                <c:pt idx="716">
                  <c:v>36575</c:v>
                </c:pt>
                <c:pt idx="717">
                  <c:v>36700</c:v>
                </c:pt>
                <c:pt idx="718">
                  <c:v>36756.25</c:v>
                </c:pt>
                <c:pt idx="719">
                  <c:v>36281.25</c:v>
                </c:pt>
                <c:pt idx="720">
                  <c:v>36212.5</c:v>
                </c:pt>
                <c:pt idx="721">
                  <c:v>36431.25</c:v>
                </c:pt>
                <c:pt idx="722">
                  <c:v>36531.25</c:v>
                </c:pt>
                <c:pt idx="723">
                  <c:v>36931.25</c:v>
                </c:pt>
                <c:pt idx="724">
                  <c:v>36956.25</c:v>
                </c:pt>
                <c:pt idx="725">
                  <c:v>36787.5</c:v>
                </c:pt>
                <c:pt idx="726">
                  <c:v>36756.25</c:v>
                </c:pt>
                <c:pt idx="727">
                  <c:v>36506.25</c:v>
                </c:pt>
                <c:pt idx="728">
                  <c:v>36406.25</c:v>
                </c:pt>
                <c:pt idx="729">
                  <c:v>37187.5</c:v>
                </c:pt>
                <c:pt idx="730">
                  <c:v>36306.25</c:v>
                </c:pt>
                <c:pt idx="731">
                  <c:v>36612.5</c:v>
                </c:pt>
                <c:pt idx="732">
                  <c:v>36481.25</c:v>
                </c:pt>
                <c:pt idx="733">
                  <c:v>36187.5</c:v>
                </c:pt>
                <c:pt idx="734">
                  <c:v>36350</c:v>
                </c:pt>
                <c:pt idx="735">
                  <c:v>36306.25</c:v>
                </c:pt>
                <c:pt idx="736">
                  <c:v>37031.25</c:v>
                </c:pt>
                <c:pt idx="737">
                  <c:v>37343.75</c:v>
                </c:pt>
                <c:pt idx="738">
                  <c:v>37412.5</c:v>
                </c:pt>
                <c:pt idx="739">
                  <c:v>36575</c:v>
                </c:pt>
                <c:pt idx="740">
                  <c:v>36581.25</c:v>
                </c:pt>
                <c:pt idx="741">
                  <c:v>37293.75</c:v>
                </c:pt>
                <c:pt idx="742">
                  <c:v>37112.5</c:v>
                </c:pt>
                <c:pt idx="743">
                  <c:v>37550</c:v>
                </c:pt>
                <c:pt idx="744">
                  <c:v>37937.5</c:v>
                </c:pt>
                <c:pt idx="745">
                  <c:v>38831.25</c:v>
                </c:pt>
                <c:pt idx="746">
                  <c:v>39256.25</c:v>
                </c:pt>
                <c:pt idx="747">
                  <c:v>38662.5</c:v>
                </c:pt>
                <c:pt idx="748">
                  <c:v>38806.25</c:v>
                </c:pt>
                <c:pt idx="749">
                  <c:v>38825</c:v>
                </c:pt>
                <c:pt idx="750">
                  <c:v>38731.25</c:v>
                </c:pt>
                <c:pt idx="751">
                  <c:v>38356.25</c:v>
                </c:pt>
                <c:pt idx="752">
                  <c:v>38356.25</c:v>
                </c:pt>
                <c:pt idx="753">
                  <c:v>38381.25</c:v>
                </c:pt>
                <c:pt idx="754">
                  <c:v>37750</c:v>
                </c:pt>
                <c:pt idx="755">
                  <c:v>37300</c:v>
                </c:pt>
                <c:pt idx="756">
                  <c:v>36462.5</c:v>
                </c:pt>
                <c:pt idx="757">
                  <c:v>36418.75</c:v>
                </c:pt>
                <c:pt idx="758">
                  <c:v>36431.25</c:v>
                </c:pt>
                <c:pt idx="759">
                  <c:v>36350</c:v>
                </c:pt>
                <c:pt idx="760">
                  <c:v>36156.25</c:v>
                </c:pt>
                <c:pt idx="761">
                  <c:v>36568.75</c:v>
                </c:pt>
                <c:pt idx="762">
                  <c:v>36937.5</c:v>
                </c:pt>
                <c:pt idx="763">
                  <c:v>36650</c:v>
                </c:pt>
                <c:pt idx="764">
                  <c:v>36593.75</c:v>
                </c:pt>
                <c:pt idx="765">
                  <c:v>36231.25</c:v>
                </c:pt>
                <c:pt idx="766">
                  <c:v>36612.5</c:v>
                </c:pt>
                <c:pt idx="767">
                  <c:v>36250</c:v>
                </c:pt>
                <c:pt idx="768">
                  <c:v>35912.5</c:v>
                </c:pt>
                <c:pt idx="769">
                  <c:v>36006.25</c:v>
                </c:pt>
                <c:pt idx="770">
                  <c:v>36425</c:v>
                </c:pt>
                <c:pt idx="771">
                  <c:v>36200</c:v>
                </c:pt>
                <c:pt idx="772">
                  <c:v>36037.5</c:v>
                </c:pt>
                <c:pt idx="773">
                  <c:v>35837.5</c:v>
                </c:pt>
                <c:pt idx="774">
                  <c:v>35762.5</c:v>
                </c:pt>
                <c:pt idx="775">
                  <c:v>35925</c:v>
                </c:pt>
                <c:pt idx="776">
                  <c:v>35743.75</c:v>
                </c:pt>
                <c:pt idx="777">
                  <c:v>35981.25</c:v>
                </c:pt>
                <c:pt idx="778">
                  <c:v>35850</c:v>
                </c:pt>
                <c:pt idx="779">
                  <c:v>35406.25</c:v>
                </c:pt>
                <c:pt idx="780">
                  <c:v>35393.75</c:v>
                </c:pt>
                <c:pt idx="781">
                  <c:v>35218.75</c:v>
                </c:pt>
                <c:pt idx="782">
                  <c:v>35725</c:v>
                </c:pt>
                <c:pt idx="783">
                  <c:v>35406.25</c:v>
                </c:pt>
                <c:pt idx="784">
                  <c:v>36043.75</c:v>
                </c:pt>
                <c:pt idx="785">
                  <c:v>36843.75</c:v>
                </c:pt>
                <c:pt idx="786">
                  <c:v>36893.75</c:v>
                </c:pt>
                <c:pt idx="787">
                  <c:v>37075</c:v>
                </c:pt>
                <c:pt idx="788">
                  <c:v>37381.25</c:v>
                </c:pt>
                <c:pt idx="789">
                  <c:v>37331.25</c:v>
                </c:pt>
                <c:pt idx="790">
                  <c:v>36981.25</c:v>
                </c:pt>
                <c:pt idx="791">
                  <c:v>37018.75</c:v>
                </c:pt>
                <c:pt idx="792">
                  <c:v>37093.75</c:v>
                </c:pt>
                <c:pt idx="793">
                  <c:v>37087.5</c:v>
                </c:pt>
                <c:pt idx="794">
                  <c:v>37050</c:v>
                </c:pt>
                <c:pt idx="795">
                  <c:v>36981.25</c:v>
                </c:pt>
                <c:pt idx="796">
                  <c:v>37056.25</c:v>
                </c:pt>
                <c:pt idx="797">
                  <c:v>37781.25</c:v>
                </c:pt>
                <c:pt idx="798">
                  <c:v>37968.75</c:v>
                </c:pt>
                <c:pt idx="799">
                  <c:v>37806.25</c:v>
                </c:pt>
                <c:pt idx="800">
                  <c:v>38212.5</c:v>
                </c:pt>
                <c:pt idx="801">
                  <c:v>38443.75</c:v>
                </c:pt>
                <c:pt idx="802">
                  <c:v>38656.25</c:v>
                </c:pt>
                <c:pt idx="803">
                  <c:v>38418.75</c:v>
                </c:pt>
                <c:pt idx="804">
                  <c:v>38112.5</c:v>
                </c:pt>
                <c:pt idx="805">
                  <c:v>38237.5</c:v>
                </c:pt>
                <c:pt idx="806">
                  <c:v>37693.75</c:v>
                </c:pt>
                <c:pt idx="807">
                  <c:v>37712.5</c:v>
                </c:pt>
                <c:pt idx="808">
                  <c:v>37837.5</c:v>
                </c:pt>
                <c:pt idx="809">
                  <c:v>38268.75</c:v>
                </c:pt>
                <c:pt idx="810">
                  <c:v>38350</c:v>
                </c:pt>
                <c:pt idx="811">
                  <c:v>38493.75</c:v>
                </c:pt>
                <c:pt idx="812">
                  <c:v>38456.25</c:v>
                </c:pt>
                <c:pt idx="813">
                  <c:v>38806.25</c:v>
                </c:pt>
                <c:pt idx="814">
                  <c:v>39075</c:v>
                </c:pt>
                <c:pt idx="815">
                  <c:v>39093.75</c:v>
                </c:pt>
                <c:pt idx="816">
                  <c:v>39325</c:v>
                </c:pt>
                <c:pt idx="817">
                  <c:v>39318.75</c:v>
                </c:pt>
                <c:pt idx="818">
                  <c:v>39550</c:v>
                </c:pt>
                <c:pt idx="819">
                  <c:v>39150</c:v>
                </c:pt>
                <c:pt idx="820">
                  <c:v>39187.5</c:v>
                </c:pt>
                <c:pt idx="821">
                  <c:v>39275</c:v>
                </c:pt>
                <c:pt idx="822">
                  <c:v>39650</c:v>
                </c:pt>
                <c:pt idx="823">
                  <c:v>39600</c:v>
                </c:pt>
                <c:pt idx="824">
                  <c:v>39881.25</c:v>
                </c:pt>
                <c:pt idx="825">
                  <c:v>39856.25</c:v>
                </c:pt>
                <c:pt idx="826">
                  <c:v>40425</c:v>
                </c:pt>
                <c:pt idx="827">
                  <c:v>40618.75</c:v>
                </c:pt>
                <c:pt idx="828">
                  <c:v>40768.75</c:v>
                </c:pt>
                <c:pt idx="829">
                  <c:v>40762.5</c:v>
                </c:pt>
                <c:pt idx="830">
                  <c:v>40943.75</c:v>
                </c:pt>
                <c:pt idx="831">
                  <c:v>41218.75</c:v>
                </c:pt>
                <c:pt idx="832">
                  <c:v>41118.75</c:v>
                </c:pt>
                <c:pt idx="833">
                  <c:v>41681.25</c:v>
                </c:pt>
                <c:pt idx="834">
                  <c:v>42437.5</c:v>
                </c:pt>
                <c:pt idx="835">
                  <c:v>42550</c:v>
                </c:pt>
                <c:pt idx="836">
                  <c:v>43212.5</c:v>
                </c:pt>
                <c:pt idx="837">
                  <c:v>43087.5</c:v>
                </c:pt>
                <c:pt idx="838">
                  <c:v>43287.5</c:v>
                </c:pt>
                <c:pt idx="839">
                  <c:v>42806.25</c:v>
                </c:pt>
                <c:pt idx="840">
                  <c:v>42612.5</c:v>
                </c:pt>
                <c:pt idx="841">
                  <c:v>42587.5</c:v>
                </c:pt>
                <c:pt idx="842">
                  <c:v>43362.5</c:v>
                </c:pt>
                <c:pt idx="843">
                  <c:v>43943.75</c:v>
                </c:pt>
                <c:pt idx="844">
                  <c:v>43568.75</c:v>
                </c:pt>
                <c:pt idx="845">
                  <c:v>43775</c:v>
                </c:pt>
                <c:pt idx="846">
                  <c:v>43775</c:v>
                </c:pt>
                <c:pt idx="847">
                  <c:v>44418.75</c:v>
                </c:pt>
                <c:pt idx="848">
                  <c:v>44531.25</c:v>
                </c:pt>
                <c:pt idx="849">
                  <c:v>45737.5</c:v>
                </c:pt>
                <c:pt idx="850">
                  <c:v>45793.75</c:v>
                </c:pt>
                <c:pt idx="851">
                  <c:v>44600</c:v>
                </c:pt>
                <c:pt idx="852">
                  <c:v>44650</c:v>
                </c:pt>
                <c:pt idx="853">
                  <c:v>43868.75</c:v>
                </c:pt>
                <c:pt idx="854">
                  <c:v>43743.75</c:v>
                </c:pt>
                <c:pt idx="855">
                  <c:v>44087.5</c:v>
                </c:pt>
                <c:pt idx="856">
                  <c:v>43800</c:v>
                </c:pt>
                <c:pt idx="857">
                  <c:v>43750</c:v>
                </c:pt>
                <c:pt idx="858">
                  <c:v>44050</c:v>
                </c:pt>
                <c:pt idx="859">
                  <c:v>44512.5</c:v>
                </c:pt>
                <c:pt idx="860">
                  <c:v>44200</c:v>
                </c:pt>
                <c:pt idx="861">
                  <c:v>44143.75</c:v>
                </c:pt>
                <c:pt idx="862">
                  <c:v>44406.25</c:v>
                </c:pt>
                <c:pt idx="863">
                  <c:v>45125</c:v>
                </c:pt>
                <c:pt idx="864">
                  <c:v>45212.5</c:v>
                </c:pt>
                <c:pt idx="865">
                  <c:v>45987.5</c:v>
                </c:pt>
                <c:pt idx="866">
                  <c:v>46293.75</c:v>
                </c:pt>
                <c:pt idx="867">
                  <c:v>44981.25</c:v>
                </c:pt>
                <c:pt idx="868">
                  <c:v>44993.75</c:v>
                </c:pt>
                <c:pt idx="869">
                  <c:v>45418.75</c:v>
                </c:pt>
                <c:pt idx="870">
                  <c:v>45250</c:v>
                </c:pt>
                <c:pt idx="871">
                  <c:v>44587.5</c:v>
                </c:pt>
                <c:pt idx="872">
                  <c:v>44931.25</c:v>
                </c:pt>
                <c:pt idx="873">
                  <c:v>46043.75</c:v>
                </c:pt>
                <c:pt idx="874">
                  <c:v>46556.25</c:v>
                </c:pt>
                <c:pt idx="875">
                  <c:v>45706.25</c:v>
                </c:pt>
                <c:pt idx="876">
                  <c:v>45525</c:v>
                </c:pt>
                <c:pt idx="877">
                  <c:v>45450</c:v>
                </c:pt>
                <c:pt idx="878">
                  <c:v>45312.5</c:v>
                </c:pt>
                <c:pt idx="879">
                  <c:v>45650</c:v>
                </c:pt>
                <c:pt idx="880">
                  <c:v>45775</c:v>
                </c:pt>
                <c:pt idx="881">
                  <c:v>44712.5</c:v>
                </c:pt>
                <c:pt idx="882">
                  <c:v>44943.75</c:v>
                </c:pt>
                <c:pt idx="883">
                  <c:v>45387.5</c:v>
                </c:pt>
                <c:pt idx="884">
                  <c:v>45293.75</c:v>
                </c:pt>
                <c:pt idx="885">
                  <c:v>44581.25</c:v>
                </c:pt>
                <c:pt idx="886">
                  <c:v>44668.75</c:v>
                </c:pt>
                <c:pt idx="887">
                  <c:v>45012.5</c:v>
                </c:pt>
                <c:pt idx="888">
                  <c:v>44725</c:v>
                </c:pt>
                <c:pt idx="889">
                  <c:v>45012.5</c:v>
                </c:pt>
                <c:pt idx="890">
                  <c:v>44437.5</c:v>
                </c:pt>
                <c:pt idx="891">
                  <c:v>44618.75</c:v>
                </c:pt>
                <c:pt idx="892">
                  <c:v>45425</c:v>
                </c:pt>
                <c:pt idx="893">
                  <c:v>45268.75</c:v>
                </c:pt>
                <c:pt idx="894">
                  <c:v>45687.5</c:v>
                </c:pt>
                <c:pt idx="895">
                  <c:v>45350</c:v>
                </c:pt>
                <c:pt idx="896">
                  <c:v>45000</c:v>
                </c:pt>
                <c:pt idx="897">
                  <c:v>44787.5</c:v>
                </c:pt>
                <c:pt idx="898">
                  <c:v>44368.75</c:v>
                </c:pt>
                <c:pt idx="899">
                  <c:v>44325</c:v>
                </c:pt>
                <c:pt idx="900">
                  <c:v>44112.5</c:v>
                </c:pt>
                <c:pt idx="901">
                  <c:v>44218.75</c:v>
                </c:pt>
                <c:pt idx="902">
                  <c:v>45143.75</c:v>
                </c:pt>
                <c:pt idx="903">
                  <c:v>45312.5</c:v>
                </c:pt>
                <c:pt idx="904">
                  <c:v>44118.75</c:v>
                </c:pt>
                <c:pt idx="905">
                  <c:v>44312.5</c:v>
                </c:pt>
                <c:pt idx="906">
                  <c:v>44200</c:v>
                </c:pt>
                <c:pt idx="907">
                  <c:v>45843.75</c:v>
                </c:pt>
                <c:pt idx="908">
                  <c:v>45650</c:v>
                </c:pt>
                <c:pt idx="909">
                  <c:v>46312.5</c:v>
                </c:pt>
                <c:pt idx="910">
                  <c:v>46343.75</c:v>
                </c:pt>
                <c:pt idx="911">
                  <c:v>46650</c:v>
                </c:pt>
                <c:pt idx="912">
                  <c:v>46881.25</c:v>
                </c:pt>
                <c:pt idx="913">
                  <c:v>46012.5</c:v>
                </c:pt>
                <c:pt idx="914">
                  <c:v>46243.75</c:v>
                </c:pt>
                <c:pt idx="915">
                  <c:v>44618.75</c:v>
                </c:pt>
                <c:pt idx="916">
                  <c:v>43906.25</c:v>
                </c:pt>
                <c:pt idx="917">
                  <c:v>44850</c:v>
                </c:pt>
                <c:pt idx="918">
                  <c:v>44675</c:v>
                </c:pt>
                <c:pt idx="919">
                  <c:v>44787.5</c:v>
                </c:pt>
                <c:pt idx="920">
                  <c:v>45537.5</c:v>
                </c:pt>
                <c:pt idx="921">
                  <c:v>45500</c:v>
                </c:pt>
                <c:pt idx="922">
                  <c:v>45931.25</c:v>
                </c:pt>
                <c:pt idx="923">
                  <c:v>45631.25</c:v>
                </c:pt>
                <c:pt idx="924">
                  <c:v>45350</c:v>
                </c:pt>
                <c:pt idx="925">
                  <c:v>45787.5</c:v>
                </c:pt>
                <c:pt idx="926">
                  <c:v>46281.25</c:v>
                </c:pt>
                <c:pt idx="927">
                  <c:v>46618.75</c:v>
                </c:pt>
                <c:pt idx="928">
                  <c:v>46825</c:v>
                </c:pt>
                <c:pt idx="929">
                  <c:v>46781.25</c:v>
                </c:pt>
                <c:pt idx="930">
                  <c:v>46793.75</c:v>
                </c:pt>
                <c:pt idx="931">
                  <c:v>46981.25</c:v>
                </c:pt>
                <c:pt idx="932">
                  <c:v>46643.75</c:v>
                </c:pt>
                <c:pt idx="933">
                  <c:v>46400</c:v>
                </c:pt>
                <c:pt idx="934">
                  <c:v>46618.75</c:v>
                </c:pt>
                <c:pt idx="935">
                  <c:v>46393.75</c:v>
                </c:pt>
                <c:pt idx="936">
                  <c:v>46943.75</c:v>
                </c:pt>
                <c:pt idx="937">
                  <c:v>47150</c:v>
                </c:pt>
                <c:pt idx="938">
                  <c:v>46650</c:v>
                </c:pt>
                <c:pt idx="939">
                  <c:v>47162.5</c:v>
                </c:pt>
                <c:pt idx="940">
                  <c:v>47693.75</c:v>
                </c:pt>
                <c:pt idx="941">
                  <c:v>47456.25</c:v>
                </c:pt>
                <c:pt idx="942">
                  <c:v>47531.25</c:v>
                </c:pt>
                <c:pt idx="943">
                  <c:v>47387.5</c:v>
                </c:pt>
                <c:pt idx="944">
                  <c:v>46593.75</c:v>
                </c:pt>
                <c:pt idx="945">
                  <c:v>46150</c:v>
                </c:pt>
                <c:pt idx="946">
                  <c:v>46506.25</c:v>
                </c:pt>
                <c:pt idx="947">
                  <c:v>47543.75</c:v>
                </c:pt>
                <c:pt idx="948">
                  <c:v>47618.75</c:v>
                </c:pt>
                <c:pt idx="949">
                  <c:v>47487.5</c:v>
                </c:pt>
                <c:pt idx="950">
                  <c:v>47293.75</c:v>
                </c:pt>
                <c:pt idx="951">
                  <c:v>47656.25</c:v>
                </c:pt>
                <c:pt idx="952">
                  <c:v>49087.5</c:v>
                </c:pt>
                <c:pt idx="953">
                  <c:v>48800</c:v>
                </c:pt>
                <c:pt idx="954">
                  <c:v>48181.25</c:v>
                </c:pt>
                <c:pt idx="955">
                  <c:v>49537.5</c:v>
                </c:pt>
                <c:pt idx="956">
                  <c:v>50312.5</c:v>
                </c:pt>
                <c:pt idx="957">
                  <c:v>51031.25</c:v>
                </c:pt>
                <c:pt idx="958">
                  <c:v>51643.75</c:v>
                </c:pt>
                <c:pt idx="959">
                  <c:v>52843.75</c:v>
                </c:pt>
                <c:pt idx="960">
                  <c:v>52906.25</c:v>
                </c:pt>
                <c:pt idx="961">
                  <c:v>52487.5</c:v>
                </c:pt>
                <c:pt idx="962">
                  <c:v>52400</c:v>
                </c:pt>
                <c:pt idx="963">
                  <c:v>53150</c:v>
                </c:pt>
                <c:pt idx="964">
                  <c:v>53787.5</c:v>
                </c:pt>
                <c:pt idx="965">
                  <c:v>53975</c:v>
                </c:pt>
                <c:pt idx="966">
                  <c:v>53712.5</c:v>
                </c:pt>
                <c:pt idx="967">
                  <c:v>53525</c:v>
                </c:pt>
                <c:pt idx="968">
                  <c:v>52912.5</c:v>
                </c:pt>
                <c:pt idx="969">
                  <c:v>53568.75</c:v>
                </c:pt>
                <c:pt idx="970">
                  <c:v>53950</c:v>
                </c:pt>
                <c:pt idx="971">
                  <c:v>54456.25</c:v>
                </c:pt>
                <c:pt idx="972">
                  <c:v>54612.5</c:v>
                </c:pt>
                <c:pt idx="973">
                  <c:v>54650</c:v>
                </c:pt>
                <c:pt idx="974">
                  <c:v>54843.75</c:v>
                </c:pt>
                <c:pt idx="975">
                  <c:v>54487.5</c:v>
                </c:pt>
                <c:pt idx="976">
                  <c:v>54612.5</c:v>
                </c:pt>
                <c:pt idx="977">
                  <c:v>54893.75</c:v>
                </c:pt>
                <c:pt idx="978">
                  <c:v>55537.5</c:v>
                </c:pt>
                <c:pt idx="979">
                  <c:v>55112.5</c:v>
                </c:pt>
                <c:pt idx="980">
                  <c:v>54918.75</c:v>
                </c:pt>
                <c:pt idx="981">
                  <c:v>55612.5</c:v>
                </c:pt>
                <c:pt idx="982">
                  <c:v>56150</c:v>
                </c:pt>
                <c:pt idx="983">
                  <c:v>55475</c:v>
                </c:pt>
                <c:pt idx="984">
                  <c:v>55150</c:v>
                </c:pt>
                <c:pt idx="985">
                  <c:v>55181.25</c:v>
                </c:pt>
                <c:pt idx="986">
                  <c:v>57075</c:v>
                </c:pt>
                <c:pt idx="987">
                  <c:v>56875</c:v>
                </c:pt>
                <c:pt idx="988">
                  <c:v>56687.5</c:v>
                </c:pt>
                <c:pt idx="989">
                  <c:v>56712.5</c:v>
                </c:pt>
                <c:pt idx="990">
                  <c:v>57050</c:v>
                </c:pt>
                <c:pt idx="991">
                  <c:v>56593.75</c:v>
                </c:pt>
                <c:pt idx="992">
                  <c:v>57456.25</c:v>
                </c:pt>
                <c:pt idx="993">
                  <c:v>56487.5</c:v>
                </c:pt>
                <c:pt idx="994">
                  <c:v>56606.25</c:v>
                </c:pt>
                <c:pt idx="995">
                  <c:v>56868.75</c:v>
                </c:pt>
                <c:pt idx="996">
                  <c:v>56637.5</c:v>
                </c:pt>
                <c:pt idx="997">
                  <c:v>56175</c:v>
                </c:pt>
                <c:pt idx="998">
                  <c:v>55993.75</c:v>
                </c:pt>
                <c:pt idx="999">
                  <c:v>56493.75</c:v>
                </c:pt>
                <c:pt idx="1000">
                  <c:v>52881.25</c:v>
                </c:pt>
                <c:pt idx="1001">
                  <c:v>52412.5</c:v>
                </c:pt>
                <c:pt idx="1002">
                  <c:v>52825</c:v>
                </c:pt>
                <c:pt idx="1003">
                  <c:v>53056.25</c:v>
                </c:pt>
                <c:pt idx="1004">
                  <c:v>53150</c:v>
                </c:pt>
                <c:pt idx="1005">
                  <c:v>53006.25</c:v>
                </c:pt>
                <c:pt idx="1006">
                  <c:v>52937.5</c:v>
                </c:pt>
                <c:pt idx="1007">
                  <c:v>53118.75</c:v>
                </c:pt>
                <c:pt idx="1008">
                  <c:v>53231.25</c:v>
                </c:pt>
                <c:pt idx="1009">
                  <c:v>53218.75</c:v>
                </c:pt>
                <c:pt idx="1010">
                  <c:v>53268.75</c:v>
                </c:pt>
                <c:pt idx="1011">
                  <c:v>53006.25</c:v>
                </c:pt>
                <c:pt idx="1012">
                  <c:v>53325</c:v>
                </c:pt>
                <c:pt idx="1013">
                  <c:v>53156.25</c:v>
                </c:pt>
                <c:pt idx="1014">
                  <c:v>53175</c:v>
                </c:pt>
                <c:pt idx="1015">
                  <c:v>53381.25</c:v>
                </c:pt>
                <c:pt idx="1016">
                  <c:v>52993.75</c:v>
                </c:pt>
                <c:pt idx="1017">
                  <c:v>53381.25</c:v>
                </c:pt>
                <c:pt idx="1018">
                  <c:v>53362.5</c:v>
                </c:pt>
                <c:pt idx="1019">
                  <c:v>54062.5</c:v>
                </c:pt>
                <c:pt idx="1020">
                  <c:v>54143.75</c:v>
                </c:pt>
                <c:pt idx="1021">
                  <c:v>53787.5</c:v>
                </c:pt>
                <c:pt idx="1022">
                  <c:v>54087.5</c:v>
                </c:pt>
                <c:pt idx="1023">
                  <c:v>54450</c:v>
                </c:pt>
                <c:pt idx="1024">
                  <c:v>54200</c:v>
                </c:pt>
                <c:pt idx="1025">
                  <c:v>54775</c:v>
                </c:pt>
                <c:pt idx="1026">
                  <c:v>54987.5</c:v>
                </c:pt>
                <c:pt idx="1027">
                  <c:v>54975</c:v>
                </c:pt>
                <c:pt idx="1028">
                  <c:v>55337.5</c:v>
                </c:pt>
                <c:pt idx="1029">
                  <c:v>56725</c:v>
                </c:pt>
                <c:pt idx="1030">
                  <c:v>56231.25</c:v>
                </c:pt>
                <c:pt idx="1031">
                  <c:v>57087.5</c:v>
                </c:pt>
                <c:pt idx="1032">
                  <c:v>57225</c:v>
                </c:pt>
                <c:pt idx="1033">
                  <c:v>57493.75</c:v>
                </c:pt>
                <c:pt idx="1034">
                  <c:v>57068.75</c:v>
                </c:pt>
                <c:pt idx="1035">
                  <c:v>56137.5</c:v>
                </c:pt>
                <c:pt idx="1036">
                  <c:v>56500</c:v>
                </c:pt>
                <c:pt idx="1037">
                  <c:v>55731.25</c:v>
                </c:pt>
                <c:pt idx="1038">
                  <c:v>55550</c:v>
                </c:pt>
                <c:pt idx="1039">
                  <c:v>55775</c:v>
                </c:pt>
                <c:pt idx="1040">
                  <c:v>56312.5</c:v>
                </c:pt>
                <c:pt idx="1041">
                  <c:v>56406.25</c:v>
                </c:pt>
                <c:pt idx="1042">
                  <c:v>59081.25</c:v>
                </c:pt>
                <c:pt idx="1043">
                  <c:v>60381.25</c:v>
                </c:pt>
                <c:pt idx="1044">
                  <c:v>60393.75</c:v>
                </c:pt>
                <c:pt idx="1045">
                  <c:v>59862.5</c:v>
                </c:pt>
                <c:pt idx="1046">
                  <c:v>60287.5</c:v>
                </c:pt>
                <c:pt idx="1047">
                  <c:v>59450</c:v>
                </c:pt>
                <c:pt idx="1048">
                  <c:v>59687.5</c:v>
                </c:pt>
                <c:pt idx="1049">
                  <c:v>59300</c:v>
                </c:pt>
                <c:pt idx="1050">
                  <c:v>59481.25</c:v>
                </c:pt>
                <c:pt idx="1051">
                  <c:v>60300</c:v>
                </c:pt>
                <c:pt idx="1052">
                  <c:v>59662.5</c:v>
                </c:pt>
                <c:pt idx="1053">
                  <c:v>61175</c:v>
                </c:pt>
                <c:pt idx="1054">
                  <c:v>61331.25</c:v>
                </c:pt>
                <c:pt idx="1055">
                  <c:v>60856.25</c:v>
                </c:pt>
                <c:pt idx="1056">
                  <c:v>61518.75</c:v>
                </c:pt>
                <c:pt idx="1057">
                  <c:v>61606.25</c:v>
                </c:pt>
                <c:pt idx="1058">
                  <c:v>61581.25</c:v>
                </c:pt>
                <c:pt idx="1059">
                  <c:v>62900</c:v>
                </c:pt>
                <c:pt idx="1060">
                  <c:v>63743.75</c:v>
                </c:pt>
                <c:pt idx="1061">
                  <c:v>63762.5</c:v>
                </c:pt>
                <c:pt idx="1062">
                  <c:v>63806.25</c:v>
                </c:pt>
                <c:pt idx="1063">
                  <c:v>65462.5</c:v>
                </c:pt>
                <c:pt idx="1064">
                  <c:v>64750</c:v>
                </c:pt>
                <c:pt idx="1065">
                  <c:v>64843.75</c:v>
                </c:pt>
                <c:pt idx="1066">
                  <c:v>65468.75</c:v>
                </c:pt>
                <c:pt idx="1067">
                  <c:v>65431.25</c:v>
                </c:pt>
                <c:pt idx="1068">
                  <c:v>65625</c:v>
                </c:pt>
                <c:pt idx="1069">
                  <c:v>66012.5</c:v>
                </c:pt>
                <c:pt idx="1070">
                  <c:v>67193.75</c:v>
                </c:pt>
                <c:pt idx="1071">
                  <c:v>67118.75</c:v>
                </c:pt>
                <c:pt idx="1072">
                  <c:v>68331.25</c:v>
                </c:pt>
                <c:pt idx="1073">
                  <c:v>68131.25</c:v>
                </c:pt>
                <c:pt idx="1074">
                  <c:v>68393.75</c:v>
                </c:pt>
                <c:pt idx="1075">
                  <c:v>69856.25</c:v>
                </c:pt>
                <c:pt idx="1076">
                  <c:v>69437.5</c:v>
                </c:pt>
                <c:pt idx="1077">
                  <c:v>69600</c:v>
                </c:pt>
                <c:pt idx="1078">
                  <c:v>70162.5</c:v>
                </c:pt>
                <c:pt idx="1079">
                  <c:v>69843.75</c:v>
                </c:pt>
                <c:pt idx="1080">
                  <c:v>69881.25</c:v>
                </c:pt>
                <c:pt idx="1081">
                  <c:v>70800</c:v>
                </c:pt>
                <c:pt idx="1082">
                  <c:v>69906.25</c:v>
                </c:pt>
                <c:pt idx="1083">
                  <c:v>70637.5</c:v>
                </c:pt>
                <c:pt idx="1084">
                  <c:v>71050</c:v>
                </c:pt>
                <c:pt idx="1085">
                  <c:v>71781.25</c:v>
                </c:pt>
                <c:pt idx="1086">
                  <c:v>69556.25</c:v>
                </c:pt>
                <c:pt idx="1087">
                  <c:v>70800</c:v>
                </c:pt>
                <c:pt idx="1088">
                  <c:v>72000</c:v>
                </c:pt>
                <c:pt idx="1089">
                  <c:v>73662.5</c:v>
                </c:pt>
                <c:pt idx="1090">
                  <c:v>73637.5</c:v>
                </c:pt>
                <c:pt idx="1091">
                  <c:v>73681.25</c:v>
                </c:pt>
                <c:pt idx="1092">
                  <c:v>73387.5</c:v>
                </c:pt>
                <c:pt idx="1093">
                  <c:v>73862.5</c:v>
                </c:pt>
                <c:pt idx="1094">
                  <c:v>75681.25</c:v>
                </c:pt>
                <c:pt idx="1095">
                  <c:v>75468.75</c:v>
                </c:pt>
                <c:pt idx="1096">
                  <c:v>75812.5</c:v>
                </c:pt>
                <c:pt idx="1097">
                  <c:v>74687.5</c:v>
                </c:pt>
                <c:pt idx="1098">
                  <c:v>75200</c:v>
                </c:pt>
                <c:pt idx="1099">
                  <c:v>74343.75</c:v>
                </c:pt>
                <c:pt idx="1100">
                  <c:v>74125</c:v>
                </c:pt>
                <c:pt idx="1101">
                  <c:v>74300</c:v>
                </c:pt>
                <c:pt idx="1102">
                  <c:v>74650</c:v>
                </c:pt>
                <c:pt idx="1103">
                  <c:v>74881.25</c:v>
                </c:pt>
                <c:pt idx="1104">
                  <c:v>75118.75</c:v>
                </c:pt>
                <c:pt idx="1105">
                  <c:v>74743.75</c:v>
                </c:pt>
                <c:pt idx="1106">
                  <c:v>74225</c:v>
                </c:pt>
                <c:pt idx="1107">
                  <c:v>73637.5</c:v>
                </c:pt>
                <c:pt idx="1108">
                  <c:v>73500</c:v>
                </c:pt>
                <c:pt idx="1109">
                  <c:v>73000</c:v>
                </c:pt>
                <c:pt idx="1110">
                  <c:v>72731.25</c:v>
                </c:pt>
                <c:pt idx="1111">
                  <c:v>73968.75</c:v>
                </c:pt>
                <c:pt idx="1112">
                  <c:v>73943.75</c:v>
                </c:pt>
                <c:pt idx="1113">
                  <c:v>76337.5</c:v>
                </c:pt>
                <c:pt idx="1114">
                  <c:v>76100</c:v>
                </c:pt>
                <c:pt idx="1115">
                  <c:v>76493.75</c:v>
                </c:pt>
                <c:pt idx="1116">
                  <c:v>76525</c:v>
                </c:pt>
                <c:pt idx="1117">
                  <c:v>76893.75</c:v>
                </c:pt>
                <c:pt idx="1118">
                  <c:v>76418.75</c:v>
                </c:pt>
                <c:pt idx="1119">
                  <c:v>76443.75</c:v>
                </c:pt>
                <c:pt idx="1120">
                  <c:v>76893.75</c:v>
                </c:pt>
                <c:pt idx="1121">
                  <c:v>77025</c:v>
                </c:pt>
                <c:pt idx="1122">
                  <c:v>77231.25</c:v>
                </c:pt>
                <c:pt idx="1123">
                  <c:v>77843.75</c:v>
                </c:pt>
                <c:pt idx="1124">
                  <c:v>78431.25</c:v>
                </c:pt>
                <c:pt idx="1125">
                  <c:v>78675</c:v>
                </c:pt>
                <c:pt idx="1126">
                  <c:v>78831.25</c:v>
                </c:pt>
                <c:pt idx="1127">
                  <c:v>78618.75</c:v>
                </c:pt>
                <c:pt idx="1128">
                  <c:v>78975</c:v>
                </c:pt>
                <c:pt idx="1129">
                  <c:v>78693.75</c:v>
                </c:pt>
                <c:pt idx="1130">
                  <c:v>78543.75</c:v>
                </c:pt>
                <c:pt idx="1131">
                  <c:v>78637.5</c:v>
                </c:pt>
                <c:pt idx="1132">
                  <c:v>78581.25</c:v>
                </c:pt>
                <c:pt idx="1133">
                  <c:v>78125</c:v>
                </c:pt>
                <c:pt idx="1134">
                  <c:v>77712.5</c:v>
                </c:pt>
                <c:pt idx="1135">
                  <c:v>78368.75</c:v>
                </c:pt>
                <c:pt idx="1136">
                  <c:v>78393.75</c:v>
                </c:pt>
                <c:pt idx="1137">
                  <c:v>77918.75</c:v>
                </c:pt>
                <c:pt idx="1138">
                  <c:v>78081.25</c:v>
                </c:pt>
                <c:pt idx="1139">
                  <c:v>77681.25</c:v>
                </c:pt>
                <c:pt idx="1140">
                  <c:v>78850</c:v>
                </c:pt>
                <c:pt idx="1141">
                  <c:v>78731.25</c:v>
                </c:pt>
                <c:pt idx="1142">
                  <c:v>78512.5</c:v>
                </c:pt>
                <c:pt idx="1143">
                  <c:v>79268.75</c:v>
                </c:pt>
                <c:pt idx="1144">
                  <c:v>79450</c:v>
                </c:pt>
                <c:pt idx="1145">
                  <c:v>79631.25</c:v>
                </c:pt>
                <c:pt idx="1146">
                  <c:v>79481.25</c:v>
                </c:pt>
                <c:pt idx="1147">
                  <c:v>79062.5</c:v>
                </c:pt>
                <c:pt idx="1148">
                  <c:v>78662.5</c:v>
                </c:pt>
                <c:pt idx="1149">
                  <c:v>78837.5</c:v>
                </c:pt>
                <c:pt idx="1150">
                  <c:v>79081.25</c:v>
                </c:pt>
                <c:pt idx="1151">
                  <c:v>79225</c:v>
                </c:pt>
                <c:pt idx="1152">
                  <c:v>80143.75</c:v>
                </c:pt>
                <c:pt idx="1153">
                  <c:v>81131.25</c:v>
                </c:pt>
                <c:pt idx="1154">
                  <c:v>80481.25</c:v>
                </c:pt>
                <c:pt idx="1155">
                  <c:v>80456.25</c:v>
                </c:pt>
                <c:pt idx="1156">
                  <c:v>80393.75</c:v>
                </c:pt>
                <c:pt idx="1157">
                  <c:v>80687.5</c:v>
                </c:pt>
                <c:pt idx="1158">
                  <c:v>80493.75</c:v>
                </c:pt>
                <c:pt idx="1159">
                  <c:v>81168.75</c:v>
                </c:pt>
                <c:pt idx="1160">
                  <c:v>81306.25</c:v>
                </c:pt>
                <c:pt idx="1161">
                  <c:v>80981.25</c:v>
                </c:pt>
                <c:pt idx="1162">
                  <c:v>80843.75</c:v>
                </c:pt>
                <c:pt idx="1163">
                  <c:v>81356.25</c:v>
                </c:pt>
                <c:pt idx="1164">
                  <c:v>81287.5</c:v>
                </c:pt>
                <c:pt idx="1165">
                  <c:v>81631.25</c:v>
                </c:pt>
                <c:pt idx="1166">
                  <c:v>80856.25</c:v>
                </c:pt>
                <c:pt idx="1167">
                  <c:v>80493.75</c:v>
                </c:pt>
                <c:pt idx="1168">
                  <c:v>80975</c:v>
                </c:pt>
                <c:pt idx="1169">
                  <c:v>81512.5</c:v>
                </c:pt>
                <c:pt idx="1170">
                  <c:v>80962.5</c:v>
                </c:pt>
                <c:pt idx="1171">
                  <c:v>80962.5</c:v>
                </c:pt>
                <c:pt idx="1172">
                  <c:v>80968.75</c:v>
                </c:pt>
                <c:pt idx="1173">
                  <c:v>81806.25</c:v>
                </c:pt>
                <c:pt idx="1174">
                  <c:v>81925</c:v>
                </c:pt>
                <c:pt idx="1175">
                  <c:v>81725</c:v>
                </c:pt>
                <c:pt idx="1176">
                  <c:v>81175</c:v>
                </c:pt>
                <c:pt idx="1177">
                  <c:v>80825</c:v>
                </c:pt>
                <c:pt idx="1178">
                  <c:v>81437.5</c:v>
                </c:pt>
                <c:pt idx="1179">
                  <c:v>81262.5</c:v>
                </c:pt>
                <c:pt idx="1180">
                  <c:v>81462.5</c:v>
                </c:pt>
                <c:pt idx="1181">
                  <c:v>81175</c:v>
                </c:pt>
                <c:pt idx="1182">
                  <c:v>81662.5</c:v>
                </c:pt>
                <c:pt idx="1183">
                  <c:v>80987.5</c:v>
                </c:pt>
                <c:pt idx="1184">
                  <c:v>80687.5</c:v>
                </c:pt>
                <c:pt idx="1185">
                  <c:v>81743.75</c:v>
                </c:pt>
                <c:pt idx="1186">
                  <c:v>82181.25</c:v>
                </c:pt>
                <c:pt idx="1187">
                  <c:v>82750</c:v>
                </c:pt>
                <c:pt idx="1188">
                  <c:v>83381.25</c:v>
                </c:pt>
                <c:pt idx="1189">
                  <c:v>84412.5</c:v>
                </c:pt>
                <c:pt idx="1190">
                  <c:v>84156.25</c:v>
                </c:pt>
                <c:pt idx="1191">
                  <c:v>84468.75</c:v>
                </c:pt>
                <c:pt idx="1192">
                  <c:v>84250</c:v>
                </c:pt>
                <c:pt idx="1193">
                  <c:v>84012.5</c:v>
                </c:pt>
                <c:pt idx="1194">
                  <c:v>83743.75</c:v>
                </c:pt>
                <c:pt idx="1195">
                  <c:v>84237.5</c:v>
                </c:pt>
                <c:pt idx="1196">
                  <c:v>83993.75</c:v>
                </c:pt>
                <c:pt idx="1197">
                  <c:v>84375</c:v>
                </c:pt>
                <c:pt idx="1198">
                  <c:v>84587.5</c:v>
                </c:pt>
                <c:pt idx="1199">
                  <c:v>84287.5</c:v>
                </c:pt>
                <c:pt idx="1200">
                  <c:v>84825</c:v>
                </c:pt>
                <c:pt idx="1201">
                  <c:v>85550</c:v>
                </c:pt>
                <c:pt idx="1202">
                  <c:v>86125</c:v>
                </c:pt>
                <c:pt idx="1203">
                  <c:v>85987.5</c:v>
                </c:pt>
                <c:pt idx="1204">
                  <c:v>85925</c:v>
                </c:pt>
                <c:pt idx="1205">
                  <c:v>86062.5</c:v>
                </c:pt>
                <c:pt idx="1206">
                  <c:v>86081.25</c:v>
                </c:pt>
                <c:pt idx="1207">
                  <c:v>86456.25</c:v>
                </c:pt>
                <c:pt idx="1208">
                  <c:v>86118.75</c:v>
                </c:pt>
                <c:pt idx="1209">
                  <c:v>86812.5</c:v>
                </c:pt>
                <c:pt idx="1210">
                  <c:v>86581.25</c:v>
                </c:pt>
                <c:pt idx="1211">
                  <c:v>85875</c:v>
                </c:pt>
                <c:pt idx="1212">
                  <c:v>86187.5</c:v>
                </c:pt>
                <c:pt idx="1213">
                  <c:v>85625</c:v>
                </c:pt>
                <c:pt idx="1214">
                  <c:v>85400</c:v>
                </c:pt>
                <c:pt idx="1215">
                  <c:v>85868.75</c:v>
                </c:pt>
                <c:pt idx="1216">
                  <c:v>85887.5</c:v>
                </c:pt>
                <c:pt idx="1217">
                  <c:v>86425</c:v>
                </c:pt>
                <c:pt idx="1218">
                  <c:v>86300</c:v>
                </c:pt>
                <c:pt idx="1219">
                  <c:v>86256.25</c:v>
                </c:pt>
                <c:pt idx="1220">
                  <c:v>86400</c:v>
                </c:pt>
                <c:pt idx="1221">
                  <c:v>86287.5</c:v>
                </c:pt>
                <c:pt idx="1222">
                  <c:v>86262.5</c:v>
                </c:pt>
                <c:pt idx="1223">
                  <c:v>86075</c:v>
                </c:pt>
                <c:pt idx="1224">
                  <c:v>86262.5</c:v>
                </c:pt>
                <c:pt idx="1225">
                  <c:v>86200</c:v>
                </c:pt>
                <c:pt idx="1226">
                  <c:v>86100</c:v>
                </c:pt>
                <c:pt idx="1227">
                  <c:v>85906.25</c:v>
                </c:pt>
                <c:pt idx="1228">
                  <c:v>85681.25</c:v>
                </c:pt>
                <c:pt idx="1229">
                  <c:v>85562.5</c:v>
                </c:pt>
                <c:pt idx="1230">
                  <c:v>84837.5</c:v>
                </c:pt>
                <c:pt idx="1231">
                  <c:v>84268.75</c:v>
                </c:pt>
                <c:pt idx="1232">
                  <c:v>84681.25</c:v>
                </c:pt>
                <c:pt idx="1233">
                  <c:v>84106.25</c:v>
                </c:pt>
                <c:pt idx="1234">
                  <c:v>84050</c:v>
                </c:pt>
                <c:pt idx="1235">
                  <c:v>84137.5</c:v>
                </c:pt>
                <c:pt idx="1236">
                  <c:v>83793.75</c:v>
                </c:pt>
                <c:pt idx="1237">
                  <c:v>84200</c:v>
                </c:pt>
                <c:pt idx="1238">
                  <c:v>83643.75</c:v>
                </c:pt>
                <c:pt idx="1239">
                  <c:v>83668.75</c:v>
                </c:pt>
                <c:pt idx="1240">
                  <c:v>83612.5</c:v>
                </c:pt>
                <c:pt idx="1241">
                  <c:v>83050</c:v>
                </c:pt>
                <c:pt idx="1242">
                  <c:v>83118.75</c:v>
                </c:pt>
                <c:pt idx="1243">
                  <c:v>83043.75</c:v>
                </c:pt>
                <c:pt idx="1244">
                  <c:v>82775</c:v>
                </c:pt>
                <c:pt idx="1245">
                  <c:v>82587.5</c:v>
                </c:pt>
                <c:pt idx="1246">
                  <c:v>82100</c:v>
                </c:pt>
                <c:pt idx="1247">
                  <c:v>83487.5</c:v>
                </c:pt>
                <c:pt idx="1248">
                  <c:v>83431.25</c:v>
                </c:pt>
                <c:pt idx="1249">
                  <c:v>84018.75</c:v>
                </c:pt>
                <c:pt idx="1250">
                  <c:v>84037.5</c:v>
                </c:pt>
                <c:pt idx="1251">
                  <c:v>83231.25</c:v>
                </c:pt>
                <c:pt idx="1252">
                  <c:v>83143.75</c:v>
                </c:pt>
                <c:pt idx="1253">
                  <c:v>83043.75</c:v>
                </c:pt>
                <c:pt idx="1254">
                  <c:v>83243.75</c:v>
                </c:pt>
                <c:pt idx="1255">
                  <c:v>82993.75</c:v>
                </c:pt>
                <c:pt idx="1256">
                  <c:v>83075</c:v>
                </c:pt>
                <c:pt idx="1257">
                  <c:v>84131.25</c:v>
                </c:pt>
                <c:pt idx="1258">
                  <c:v>83937.5</c:v>
                </c:pt>
                <c:pt idx="1259">
                  <c:v>83268.75</c:v>
                </c:pt>
                <c:pt idx="1260">
                  <c:v>82750</c:v>
                </c:pt>
                <c:pt idx="1261">
                  <c:v>83375</c:v>
                </c:pt>
                <c:pt idx="1262">
                  <c:v>83062.5</c:v>
                </c:pt>
                <c:pt idx="1263">
                  <c:v>82700</c:v>
                </c:pt>
                <c:pt idx="1264">
                  <c:v>83362.5</c:v>
                </c:pt>
                <c:pt idx="1265">
                  <c:v>83900</c:v>
                </c:pt>
                <c:pt idx="1266">
                  <c:v>84081.25</c:v>
                </c:pt>
                <c:pt idx="1267">
                  <c:v>84550</c:v>
                </c:pt>
                <c:pt idx="1268">
                  <c:v>84131.25</c:v>
                </c:pt>
                <c:pt idx="1269">
                  <c:v>84087.5</c:v>
                </c:pt>
                <c:pt idx="1270">
                  <c:v>83906.25</c:v>
                </c:pt>
                <c:pt idx="1271">
                  <c:v>84193.75</c:v>
                </c:pt>
                <c:pt idx="1272">
                  <c:v>84225</c:v>
                </c:pt>
                <c:pt idx="1273">
                  <c:v>84750</c:v>
                </c:pt>
                <c:pt idx="1274">
                  <c:v>84868.75</c:v>
                </c:pt>
                <c:pt idx="1275">
                  <c:v>84500</c:v>
                </c:pt>
                <c:pt idx="1276">
                  <c:v>84487.5</c:v>
                </c:pt>
                <c:pt idx="1277">
                  <c:v>84875</c:v>
                </c:pt>
                <c:pt idx="1278">
                  <c:v>84881.25</c:v>
                </c:pt>
                <c:pt idx="1279">
                  <c:v>85231.25</c:v>
                </c:pt>
                <c:pt idx="1280">
                  <c:v>85193.75</c:v>
                </c:pt>
                <c:pt idx="1281">
                  <c:v>84706.25</c:v>
                </c:pt>
                <c:pt idx="1282">
                  <c:v>84375</c:v>
                </c:pt>
                <c:pt idx="1283">
                  <c:v>84756.25</c:v>
                </c:pt>
                <c:pt idx="1284">
                  <c:v>84556.25</c:v>
                </c:pt>
                <c:pt idx="1285">
                  <c:v>84337.5</c:v>
                </c:pt>
                <c:pt idx="1286">
                  <c:v>84506.25</c:v>
                </c:pt>
                <c:pt idx="1287">
                  <c:v>84231.25</c:v>
                </c:pt>
                <c:pt idx="1288">
                  <c:v>84187.5</c:v>
                </c:pt>
                <c:pt idx="1289">
                  <c:v>84212.5</c:v>
                </c:pt>
                <c:pt idx="1290">
                  <c:v>84187.5</c:v>
                </c:pt>
                <c:pt idx="1291">
                  <c:v>84337.5</c:v>
                </c:pt>
                <c:pt idx="1292">
                  <c:v>84175</c:v>
                </c:pt>
                <c:pt idx="1293">
                  <c:v>84293.75</c:v>
                </c:pt>
                <c:pt idx="1294">
                  <c:v>84287.5</c:v>
                </c:pt>
                <c:pt idx="1295">
                  <c:v>84606.25</c:v>
                </c:pt>
                <c:pt idx="1296">
                  <c:v>85043.75</c:v>
                </c:pt>
                <c:pt idx="1297">
                  <c:v>84762.5</c:v>
                </c:pt>
                <c:pt idx="1298">
                  <c:v>84456.25</c:v>
                </c:pt>
                <c:pt idx="1299">
                  <c:v>83675</c:v>
                </c:pt>
                <c:pt idx="1300">
                  <c:v>84212.5</c:v>
                </c:pt>
                <c:pt idx="1301">
                  <c:v>83668.75</c:v>
                </c:pt>
                <c:pt idx="1302">
                  <c:v>84062.5</c:v>
                </c:pt>
                <c:pt idx="1303">
                  <c:v>83406.25</c:v>
                </c:pt>
                <c:pt idx="1304">
                  <c:v>82525</c:v>
                </c:pt>
                <c:pt idx="1305">
                  <c:v>82512.5</c:v>
                </c:pt>
                <c:pt idx="1306">
                  <c:v>82600</c:v>
                </c:pt>
                <c:pt idx="1307">
                  <c:v>81825</c:v>
                </c:pt>
                <c:pt idx="1308">
                  <c:v>81881.25</c:v>
                </c:pt>
                <c:pt idx="1309">
                  <c:v>81800</c:v>
                </c:pt>
                <c:pt idx="1310">
                  <c:v>81256.25</c:v>
                </c:pt>
                <c:pt idx="1311">
                  <c:v>81006.25</c:v>
                </c:pt>
                <c:pt idx="1312">
                  <c:v>80987.5</c:v>
                </c:pt>
                <c:pt idx="1313">
                  <c:v>81300</c:v>
                </c:pt>
                <c:pt idx="1314">
                  <c:v>81393.75</c:v>
                </c:pt>
                <c:pt idx="1315">
                  <c:v>81606.25</c:v>
                </c:pt>
                <c:pt idx="1316">
                  <c:v>81118.75</c:v>
                </c:pt>
                <c:pt idx="1317">
                  <c:v>81256.25</c:v>
                </c:pt>
                <c:pt idx="1318">
                  <c:v>81331.25</c:v>
                </c:pt>
                <c:pt idx="1319">
                  <c:v>81431.25</c:v>
                </c:pt>
                <c:pt idx="1320">
                  <c:v>80581.25</c:v>
                </c:pt>
                <c:pt idx="1321">
                  <c:v>80881.25</c:v>
                </c:pt>
                <c:pt idx="1322">
                  <c:v>80362.5</c:v>
                </c:pt>
                <c:pt idx="1323">
                  <c:v>80231.25</c:v>
                </c:pt>
                <c:pt idx="1324">
                  <c:v>80243.75</c:v>
                </c:pt>
                <c:pt idx="1325">
                  <c:v>80356.25</c:v>
                </c:pt>
                <c:pt idx="1326">
                  <c:v>79875</c:v>
                </c:pt>
                <c:pt idx="1327">
                  <c:v>80000</c:v>
                </c:pt>
                <c:pt idx="1328">
                  <c:v>80112.5</c:v>
                </c:pt>
                <c:pt idx="1329">
                  <c:v>80037.5</c:v>
                </c:pt>
                <c:pt idx="1330">
                  <c:v>80131.25</c:v>
                </c:pt>
                <c:pt idx="1331">
                  <c:v>80000</c:v>
                </c:pt>
                <c:pt idx="1332">
                  <c:v>80087.5</c:v>
                </c:pt>
                <c:pt idx="1333">
                  <c:v>80206.25</c:v>
                </c:pt>
                <c:pt idx="1334">
                  <c:v>80081.25</c:v>
                </c:pt>
                <c:pt idx="1335">
                  <c:v>80087.5</c:v>
                </c:pt>
                <c:pt idx="1336">
                  <c:v>80131.25</c:v>
                </c:pt>
                <c:pt idx="1337">
                  <c:v>80193.75</c:v>
                </c:pt>
                <c:pt idx="1338">
                  <c:v>80131.25</c:v>
                </c:pt>
                <c:pt idx="1339">
                  <c:v>80400</c:v>
                </c:pt>
                <c:pt idx="1340">
                  <c:v>80268.75</c:v>
                </c:pt>
                <c:pt idx="1341">
                  <c:v>80518.75</c:v>
                </c:pt>
                <c:pt idx="1342">
                  <c:v>80600</c:v>
                </c:pt>
                <c:pt idx="1343">
                  <c:v>80318.75</c:v>
                </c:pt>
                <c:pt idx="1344">
                  <c:v>81025</c:v>
                </c:pt>
                <c:pt idx="1345">
                  <c:v>81300</c:v>
                </c:pt>
                <c:pt idx="1346">
                  <c:v>81387.5</c:v>
                </c:pt>
                <c:pt idx="1347">
                  <c:v>81831.25</c:v>
                </c:pt>
                <c:pt idx="1348">
                  <c:v>81787.5</c:v>
                </c:pt>
                <c:pt idx="1349">
                  <c:v>82006.25</c:v>
                </c:pt>
                <c:pt idx="1350">
                  <c:v>82218.75</c:v>
                </c:pt>
                <c:pt idx="1351">
                  <c:v>82481.25</c:v>
                </c:pt>
                <c:pt idx="1352">
                  <c:v>82337.5</c:v>
                </c:pt>
                <c:pt idx="1353">
                  <c:v>82200</c:v>
                </c:pt>
                <c:pt idx="1354">
                  <c:v>82368.75</c:v>
                </c:pt>
                <c:pt idx="1355">
                  <c:v>82293.75</c:v>
                </c:pt>
                <c:pt idx="1356">
                  <c:v>82706.25</c:v>
                </c:pt>
                <c:pt idx="1357">
                  <c:v>83056.25</c:v>
                </c:pt>
                <c:pt idx="1358">
                  <c:v>83237.5</c:v>
                </c:pt>
                <c:pt idx="1359">
                  <c:v>83600</c:v>
                </c:pt>
                <c:pt idx="1360">
                  <c:v>84100</c:v>
                </c:pt>
                <c:pt idx="1361">
                  <c:v>84812.5</c:v>
                </c:pt>
                <c:pt idx="1362">
                  <c:v>85387.5</c:v>
                </c:pt>
                <c:pt idx="1363">
                  <c:v>84781.25</c:v>
                </c:pt>
                <c:pt idx="1364">
                  <c:v>84943.75</c:v>
                </c:pt>
                <c:pt idx="1365">
                  <c:v>85143.75</c:v>
                </c:pt>
                <c:pt idx="1366">
                  <c:v>85137.5</c:v>
                </c:pt>
                <c:pt idx="1367">
                  <c:v>85600</c:v>
                </c:pt>
                <c:pt idx="1368">
                  <c:v>86243.75</c:v>
                </c:pt>
                <c:pt idx="1369">
                  <c:v>85525</c:v>
                </c:pt>
                <c:pt idx="1370">
                  <c:v>85281.25</c:v>
                </c:pt>
                <c:pt idx="1371">
                  <c:v>85818.75</c:v>
                </c:pt>
                <c:pt idx="1372">
                  <c:v>85562.5</c:v>
                </c:pt>
                <c:pt idx="1373">
                  <c:v>85343.75</c:v>
                </c:pt>
                <c:pt idx="1374">
                  <c:v>84862.5</c:v>
                </c:pt>
                <c:pt idx="1375">
                  <c:v>84881.25</c:v>
                </c:pt>
                <c:pt idx="1376">
                  <c:v>86412.5</c:v>
                </c:pt>
                <c:pt idx="1377">
                  <c:v>86168.75</c:v>
                </c:pt>
                <c:pt idx="1378">
                  <c:v>86512.5</c:v>
                </c:pt>
                <c:pt idx="1379">
                  <c:v>87100</c:v>
                </c:pt>
                <c:pt idx="1380">
                  <c:v>86925</c:v>
                </c:pt>
                <c:pt idx="1381">
                  <c:v>89468.75</c:v>
                </c:pt>
                <c:pt idx="1382">
                  <c:v>88962.5</c:v>
                </c:pt>
                <c:pt idx="1383">
                  <c:v>88506.25</c:v>
                </c:pt>
                <c:pt idx="1384">
                  <c:v>88418.75</c:v>
                </c:pt>
                <c:pt idx="1385">
                  <c:v>89243.75</c:v>
                </c:pt>
                <c:pt idx="1386">
                  <c:v>89987.5</c:v>
                </c:pt>
                <c:pt idx="1387">
                  <c:v>89837.5</c:v>
                </c:pt>
                <c:pt idx="1388">
                  <c:v>90187.5</c:v>
                </c:pt>
                <c:pt idx="1389">
                  <c:v>89575</c:v>
                </c:pt>
                <c:pt idx="1390">
                  <c:v>89606.25</c:v>
                </c:pt>
                <c:pt idx="1391">
                  <c:v>89293.75</c:v>
                </c:pt>
                <c:pt idx="1392">
                  <c:v>89943.75</c:v>
                </c:pt>
                <c:pt idx="1393">
                  <c:v>89612.5</c:v>
                </c:pt>
                <c:pt idx="1394">
                  <c:v>89762.5</c:v>
                </c:pt>
                <c:pt idx="1395">
                  <c:v>89606.25</c:v>
                </c:pt>
                <c:pt idx="1396">
                  <c:v>89425</c:v>
                </c:pt>
                <c:pt idx="1397">
                  <c:v>90506.25</c:v>
                </c:pt>
                <c:pt idx="1398">
                  <c:v>91100</c:v>
                </c:pt>
                <c:pt idx="1399">
                  <c:v>91250</c:v>
                </c:pt>
                <c:pt idx="1400">
                  <c:v>91475</c:v>
                </c:pt>
                <c:pt idx="1401">
                  <c:v>91287.5</c:v>
                </c:pt>
                <c:pt idx="1402">
                  <c:v>91262.5</c:v>
                </c:pt>
                <c:pt idx="1403">
                  <c:v>91737.5</c:v>
                </c:pt>
                <c:pt idx="1404">
                  <c:v>91381.25</c:v>
                </c:pt>
                <c:pt idx="1405">
                  <c:v>90925</c:v>
                </c:pt>
                <c:pt idx="1406">
                  <c:v>90875</c:v>
                </c:pt>
                <c:pt idx="1407">
                  <c:v>91418.75</c:v>
                </c:pt>
                <c:pt idx="1408">
                  <c:v>92262.5</c:v>
                </c:pt>
                <c:pt idx="1409">
                  <c:v>92475</c:v>
                </c:pt>
                <c:pt idx="1410">
                  <c:v>92931.25</c:v>
                </c:pt>
                <c:pt idx="1411">
                  <c:v>92650</c:v>
                </c:pt>
                <c:pt idx="1412">
                  <c:v>92331.25</c:v>
                </c:pt>
                <c:pt idx="1413">
                  <c:v>91968.75</c:v>
                </c:pt>
                <c:pt idx="1414">
                  <c:v>91956.25</c:v>
                </c:pt>
                <c:pt idx="1415">
                  <c:v>91462.5</c:v>
                </c:pt>
                <c:pt idx="1416">
                  <c:v>91018.75</c:v>
                </c:pt>
                <c:pt idx="1417">
                  <c:v>90700</c:v>
                </c:pt>
                <c:pt idx="1418">
                  <c:v>90612.5</c:v>
                </c:pt>
                <c:pt idx="1419">
                  <c:v>90600</c:v>
                </c:pt>
                <c:pt idx="1420">
                  <c:v>90212.5</c:v>
                </c:pt>
                <c:pt idx="1421">
                  <c:v>90306.25</c:v>
                </c:pt>
                <c:pt idx="1422">
                  <c:v>90168.75</c:v>
                </c:pt>
                <c:pt idx="1423">
                  <c:v>90950</c:v>
                </c:pt>
                <c:pt idx="1424">
                  <c:v>90856.25</c:v>
                </c:pt>
                <c:pt idx="1425">
                  <c:v>90925</c:v>
                </c:pt>
                <c:pt idx="1426">
                  <c:v>91262.5</c:v>
                </c:pt>
                <c:pt idx="1427">
                  <c:v>91050</c:v>
                </c:pt>
                <c:pt idx="1428">
                  <c:v>91525</c:v>
                </c:pt>
                <c:pt idx="1429">
                  <c:v>91493.75</c:v>
                </c:pt>
                <c:pt idx="1430">
                  <c:v>91487.5</c:v>
                </c:pt>
                <c:pt idx="1431">
                  <c:v>91700</c:v>
                </c:pt>
                <c:pt idx="1432">
                  <c:v>91887.5</c:v>
                </c:pt>
                <c:pt idx="1433">
                  <c:v>91887.5</c:v>
                </c:pt>
                <c:pt idx="1434">
                  <c:v>91537.5</c:v>
                </c:pt>
                <c:pt idx="1435">
                  <c:v>91318.75</c:v>
                </c:pt>
                <c:pt idx="1436">
                  <c:v>91387.5</c:v>
                </c:pt>
                <c:pt idx="1437">
                  <c:v>91650</c:v>
                </c:pt>
                <c:pt idx="1438">
                  <c:v>91493.75</c:v>
                </c:pt>
                <c:pt idx="1439">
                  <c:v>91431.25</c:v>
                </c:pt>
                <c:pt idx="1440">
                  <c:v>91612.5</c:v>
                </c:pt>
                <c:pt idx="1441">
                  <c:v>91581.25</c:v>
                </c:pt>
                <c:pt idx="1442">
                  <c:v>91618.75</c:v>
                </c:pt>
                <c:pt idx="1443">
                  <c:v>91375</c:v>
                </c:pt>
                <c:pt idx="1444">
                  <c:v>91150</c:v>
                </c:pt>
                <c:pt idx="1445">
                  <c:v>91268.75</c:v>
                </c:pt>
                <c:pt idx="1446">
                  <c:v>90762.5</c:v>
                </c:pt>
                <c:pt idx="1447">
                  <c:v>90768.75</c:v>
                </c:pt>
                <c:pt idx="1448">
                  <c:v>90675</c:v>
                </c:pt>
                <c:pt idx="1449">
                  <c:v>90606.25</c:v>
                </c:pt>
                <c:pt idx="1450">
                  <c:v>90756.25</c:v>
                </c:pt>
                <c:pt idx="1451">
                  <c:v>91437.5</c:v>
                </c:pt>
                <c:pt idx="1452">
                  <c:v>91187.5</c:v>
                </c:pt>
                <c:pt idx="1453">
                  <c:v>90543.75</c:v>
                </c:pt>
                <c:pt idx="1454">
                  <c:v>90618.75</c:v>
                </c:pt>
                <c:pt idx="1455">
                  <c:v>90775</c:v>
                </c:pt>
                <c:pt idx="1456">
                  <c:v>90218.75</c:v>
                </c:pt>
                <c:pt idx="1457">
                  <c:v>89912.5</c:v>
                </c:pt>
                <c:pt idx="1458">
                  <c:v>89581.25</c:v>
                </c:pt>
                <c:pt idx="1459">
                  <c:v>89993.75</c:v>
                </c:pt>
                <c:pt idx="1460">
                  <c:v>90068.75</c:v>
                </c:pt>
                <c:pt idx="1461">
                  <c:v>89968.75</c:v>
                </c:pt>
                <c:pt idx="1462">
                  <c:v>90825</c:v>
                </c:pt>
                <c:pt idx="1463">
                  <c:v>91025</c:v>
                </c:pt>
                <c:pt idx="1464">
                  <c:v>90718.75</c:v>
                </c:pt>
                <c:pt idx="1465">
                  <c:v>90543.75</c:v>
                </c:pt>
                <c:pt idx="1466">
                  <c:v>90500</c:v>
                </c:pt>
                <c:pt idx="1467">
                  <c:v>90418.75</c:v>
                </c:pt>
                <c:pt idx="1468">
                  <c:v>90612.5</c:v>
                </c:pt>
                <c:pt idx="1469">
                  <c:v>90043.75</c:v>
                </c:pt>
                <c:pt idx="1470">
                  <c:v>90018.75</c:v>
                </c:pt>
                <c:pt idx="1471">
                  <c:v>90012.5</c:v>
                </c:pt>
                <c:pt idx="1472">
                  <c:v>90193.75</c:v>
                </c:pt>
                <c:pt idx="1473">
                  <c:v>89818.75</c:v>
                </c:pt>
                <c:pt idx="1474">
                  <c:v>89425</c:v>
                </c:pt>
                <c:pt idx="1475">
                  <c:v>89581.25</c:v>
                </c:pt>
                <c:pt idx="1476">
                  <c:v>89593.75</c:v>
                </c:pt>
                <c:pt idx="1477">
                  <c:v>89650</c:v>
                </c:pt>
                <c:pt idx="1478">
                  <c:v>89543.75</c:v>
                </c:pt>
                <c:pt idx="1479">
                  <c:v>89406.25</c:v>
                </c:pt>
                <c:pt idx="1480">
                  <c:v>89931.25</c:v>
                </c:pt>
                <c:pt idx="1481">
                  <c:v>89631.25</c:v>
                </c:pt>
                <c:pt idx="1482">
                  <c:v>89600</c:v>
                </c:pt>
                <c:pt idx="1483">
                  <c:v>89768.75</c:v>
                </c:pt>
                <c:pt idx="1484">
                  <c:v>90043.75</c:v>
                </c:pt>
                <c:pt idx="1485">
                  <c:v>89993.75</c:v>
                </c:pt>
                <c:pt idx="1486">
                  <c:v>89950</c:v>
                </c:pt>
                <c:pt idx="1487">
                  <c:v>89468.75</c:v>
                </c:pt>
                <c:pt idx="1488">
                  <c:v>89650</c:v>
                </c:pt>
                <c:pt idx="1489">
                  <c:v>89693.75</c:v>
                </c:pt>
                <c:pt idx="1490">
                  <c:v>89718.75</c:v>
                </c:pt>
                <c:pt idx="1491">
                  <c:v>89662.5</c:v>
                </c:pt>
                <c:pt idx="1492">
                  <c:v>89875</c:v>
                </c:pt>
                <c:pt idx="1493">
                  <c:v>89831.25</c:v>
                </c:pt>
                <c:pt idx="1494">
                  <c:v>90862.5</c:v>
                </c:pt>
                <c:pt idx="1495">
                  <c:v>89875</c:v>
                </c:pt>
                <c:pt idx="1496">
                  <c:v>90125</c:v>
                </c:pt>
                <c:pt idx="1497">
                  <c:v>90743.75</c:v>
                </c:pt>
                <c:pt idx="1498">
                  <c:v>91775</c:v>
                </c:pt>
                <c:pt idx="1499">
                  <c:v>93318.75</c:v>
                </c:pt>
                <c:pt idx="1500">
                  <c:v>93143.75</c:v>
                </c:pt>
                <c:pt idx="1501">
                  <c:v>93400</c:v>
                </c:pt>
                <c:pt idx="1502">
                  <c:v>93475</c:v>
                </c:pt>
                <c:pt idx="1503">
                  <c:v>93856.25</c:v>
                </c:pt>
                <c:pt idx="1504">
                  <c:v>94100</c:v>
                </c:pt>
                <c:pt idx="1505">
                  <c:v>94187.5</c:v>
                </c:pt>
                <c:pt idx="1506">
                  <c:v>93987.5</c:v>
                </c:pt>
                <c:pt idx="1507">
                  <c:v>93831.25</c:v>
                </c:pt>
                <c:pt idx="1508">
                  <c:v>94018.75</c:v>
                </c:pt>
                <c:pt idx="1509">
                  <c:v>93781.25</c:v>
                </c:pt>
                <c:pt idx="1510">
                  <c:v>94206.25</c:v>
                </c:pt>
                <c:pt idx="1511">
                  <c:v>94268.75</c:v>
                </c:pt>
                <c:pt idx="1512">
                  <c:v>94118.75</c:v>
                </c:pt>
                <c:pt idx="1513">
                  <c:v>94087.5</c:v>
                </c:pt>
                <c:pt idx="1514">
                  <c:v>94425</c:v>
                </c:pt>
                <c:pt idx="1515">
                  <c:v>94118.75</c:v>
                </c:pt>
                <c:pt idx="1516">
                  <c:v>94212.5</c:v>
                </c:pt>
                <c:pt idx="1517">
                  <c:v>93900</c:v>
                </c:pt>
                <c:pt idx="1518">
                  <c:v>93856.25</c:v>
                </c:pt>
                <c:pt idx="1519">
                  <c:v>93900</c:v>
                </c:pt>
                <c:pt idx="1520">
                  <c:v>93781.25</c:v>
                </c:pt>
                <c:pt idx="1521">
                  <c:v>93756.25</c:v>
                </c:pt>
                <c:pt idx="1522">
                  <c:v>93762.5</c:v>
                </c:pt>
                <c:pt idx="1523">
                  <c:v>93325</c:v>
                </c:pt>
                <c:pt idx="1524">
                  <c:v>92968.75</c:v>
                </c:pt>
                <c:pt idx="1525">
                  <c:v>93025</c:v>
                </c:pt>
                <c:pt idx="1526">
                  <c:v>92887.5</c:v>
                </c:pt>
                <c:pt idx="1527">
                  <c:v>93243.75</c:v>
                </c:pt>
                <c:pt idx="1528">
                  <c:v>92675</c:v>
                </c:pt>
                <c:pt idx="1529">
                  <c:v>92256.25</c:v>
                </c:pt>
                <c:pt idx="1530">
                  <c:v>92912.5</c:v>
                </c:pt>
                <c:pt idx="1531">
                  <c:v>93031.25</c:v>
                </c:pt>
                <c:pt idx="1532">
                  <c:v>93106.25</c:v>
                </c:pt>
                <c:pt idx="1533">
                  <c:v>92593.75</c:v>
                </c:pt>
                <c:pt idx="1534">
                  <c:v>92656.25</c:v>
                </c:pt>
                <c:pt idx="1535">
                  <c:v>92631.25</c:v>
                </c:pt>
                <c:pt idx="1536">
                  <c:v>92425</c:v>
                </c:pt>
                <c:pt idx="1537">
                  <c:v>92362.5</c:v>
                </c:pt>
                <c:pt idx="1538">
                  <c:v>92537.5</c:v>
                </c:pt>
                <c:pt idx="1539">
                  <c:v>92687.5</c:v>
                </c:pt>
                <c:pt idx="1540">
                  <c:v>92806.25</c:v>
                </c:pt>
                <c:pt idx="1541">
                  <c:v>93187.5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72-41FB-B59E-2AA8E1690B02}"/>
            </c:ext>
          </c:extLst>
        </c:ser>
        <c:ser>
          <c:idx val="3"/>
          <c:order val="3"/>
          <c:tx>
            <c:strRef>
              <c:f>Portfolio!$J$24</c:f>
              <c:strCache>
                <c:ptCount val="1"/>
                <c:pt idx="0">
                  <c:v>@TYU24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Portfolio!$F$25:$F$1566</c:f>
              <c:numCache>
                <c:formatCode>General</c:formatCode>
                <c:ptCount val="1542"/>
                <c:pt idx="0">
                  <c:v>1190709</c:v>
                </c:pt>
                <c:pt idx="1">
                  <c:v>1190710</c:v>
                </c:pt>
                <c:pt idx="2">
                  <c:v>1190711</c:v>
                </c:pt>
                <c:pt idx="3">
                  <c:v>1190712</c:v>
                </c:pt>
                <c:pt idx="4">
                  <c:v>1190714</c:v>
                </c:pt>
                <c:pt idx="5">
                  <c:v>1190715</c:v>
                </c:pt>
                <c:pt idx="6">
                  <c:v>1190716</c:v>
                </c:pt>
                <c:pt idx="7">
                  <c:v>1190717</c:v>
                </c:pt>
                <c:pt idx="8">
                  <c:v>1190718</c:v>
                </c:pt>
                <c:pt idx="9">
                  <c:v>1190719</c:v>
                </c:pt>
                <c:pt idx="10">
                  <c:v>1190721</c:v>
                </c:pt>
                <c:pt idx="11">
                  <c:v>1190722</c:v>
                </c:pt>
                <c:pt idx="12">
                  <c:v>1190723</c:v>
                </c:pt>
                <c:pt idx="13">
                  <c:v>1190724</c:v>
                </c:pt>
                <c:pt idx="14">
                  <c:v>1190725</c:v>
                </c:pt>
                <c:pt idx="15">
                  <c:v>1190726</c:v>
                </c:pt>
                <c:pt idx="16">
                  <c:v>1190728</c:v>
                </c:pt>
                <c:pt idx="17">
                  <c:v>1190729</c:v>
                </c:pt>
                <c:pt idx="18">
                  <c:v>1190730</c:v>
                </c:pt>
                <c:pt idx="19">
                  <c:v>1190731</c:v>
                </c:pt>
                <c:pt idx="20">
                  <c:v>1190801</c:v>
                </c:pt>
                <c:pt idx="21">
                  <c:v>1190802</c:v>
                </c:pt>
                <c:pt idx="22">
                  <c:v>1190804</c:v>
                </c:pt>
                <c:pt idx="23">
                  <c:v>1190805</c:v>
                </c:pt>
                <c:pt idx="24">
                  <c:v>1190806</c:v>
                </c:pt>
                <c:pt idx="25">
                  <c:v>1190807</c:v>
                </c:pt>
                <c:pt idx="26">
                  <c:v>1190808</c:v>
                </c:pt>
                <c:pt idx="27">
                  <c:v>1190809</c:v>
                </c:pt>
                <c:pt idx="28">
                  <c:v>1190811</c:v>
                </c:pt>
                <c:pt idx="29">
                  <c:v>1190812</c:v>
                </c:pt>
                <c:pt idx="30">
                  <c:v>1190813</c:v>
                </c:pt>
                <c:pt idx="31">
                  <c:v>1190814</c:v>
                </c:pt>
                <c:pt idx="32">
                  <c:v>1190815</c:v>
                </c:pt>
                <c:pt idx="33">
                  <c:v>1190816</c:v>
                </c:pt>
                <c:pt idx="34">
                  <c:v>1190818</c:v>
                </c:pt>
                <c:pt idx="35">
                  <c:v>1190819</c:v>
                </c:pt>
                <c:pt idx="36">
                  <c:v>1190820</c:v>
                </c:pt>
                <c:pt idx="37">
                  <c:v>1190821</c:v>
                </c:pt>
                <c:pt idx="38">
                  <c:v>1190822</c:v>
                </c:pt>
                <c:pt idx="39">
                  <c:v>1190823</c:v>
                </c:pt>
                <c:pt idx="40">
                  <c:v>1190825</c:v>
                </c:pt>
                <c:pt idx="41">
                  <c:v>1190826</c:v>
                </c:pt>
                <c:pt idx="42">
                  <c:v>1190827</c:v>
                </c:pt>
                <c:pt idx="43">
                  <c:v>1190828</c:v>
                </c:pt>
                <c:pt idx="44">
                  <c:v>1190829</c:v>
                </c:pt>
                <c:pt idx="45">
                  <c:v>1190830</c:v>
                </c:pt>
                <c:pt idx="46">
                  <c:v>1190901</c:v>
                </c:pt>
                <c:pt idx="47">
                  <c:v>1190902</c:v>
                </c:pt>
                <c:pt idx="48">
                  <c:v>1190903</c:v>
                </c:pt>
                <c:pt idx="49">
                  <c:v>1190904</c:v>
                </c:pt>
                <c:pt idx="50">
                  <c:v>1190905</c:v>
                </c:pt>
                <c:pt idx="51">
                  <c:v>1190906</c:v>
                </c:pt>
                <c:pt idx="52">
                  <c:v>1190908</c:v>
                </c:pt>
                <c:pt idx="53">
                  <c:v>1190909</c:v>
                </c:pt>
                <c:pt idx="54">
                  <c:v>1190910</c:v>
                </c:pt>
                <c:pt idx="55">
                  <c:v>1190911</c:v>
                </c:pt>
                <c:pt idx="56">
                  <c:v>1190912</c:v>
                </c:pt>
                <c:pt idx="57">
                  <c:v>1190913</c:v>
                </c:pt>
                <c:pt idx="58">
                  <c:v>1190915</c:v>
                </c:pt>
                <c:pt idx="59">
                  <c:v>1190916</c:v>
                </c:pt>
                <c:pt idx="60">
                  <c:v>1190917</c:v>
                </c:pt>
                <c:pt idx="61">
                  <c:v>1190918</c:v>
                </c:pt>
                <c:pt idx="62">
                  <c:v>1190919</c:v>
                </c:pt>
                <c:pt idx="63">
                  <c:v>1190920</c:v>
                </c:pt>
                <c:pt idx="64">
                  <c:v>1190922</c:v>
                </c:pt>
                <c:pt idx="65">
                  <c:v>1190923</c:v>
                </c:pt>
                <c:pt idx="66">
                  <c:v>1190924</c:v>
                </c:pt>
                <c:pt idx="67">
                  <c:v>1190925</c:v>
                </c:pt>
                <c:pt idx="68">
                  <c:v>1190926</c:v>
                </c:pt>
                <c:pt idx="69">
                  <c:v>1190927</c:v>
                </c:pt>
                <c:pt idx="70">
                  <c:v>1190929</c:v>
                </c:pt>
                <c:pt idx="71">
                  <c:v>1190930</c:v>
                </c:pt>
                <c:pt idx="72">
                  <c:v>1191001</c:v>
                </c:pt>
                <c:pt idx="73">
                  <c:v>1191002</c:v>
                </c:pt>
                <c:pt idx="74">
                  <c:v>1191003</c:v>
                </c:pt>
                <c:pt idx="75">
                  <c:v>1191004</c:v>
                </c:pt>
                <c:pt idx="76">
                  <c:v>1191006</c:v>
                </c:pt>
                <c:pt idx="77">
                  <c:v>1191007</c:v>
                </c:pt>
                <c:pt idx="78">
                  <c:v>1191008</c:v>
                </c:pt>
                <c:pt idx="79">
                  <c:v>1191009</c:v>
                </c:pt>
                <c:pt idx="80">
                  <c:v>1191010</c:v>
                </c:pt>
                <c:pt idx="81">
                  <c:v>1191011</c:v>
                </c:pt>
                <c:pt idx="82">
                  <c:v>1191013</c:v>
                </c:pt>
                <c:pt idx="83">
                  <c:v>1191014</c:v>
                </c:pt>
                <c:pt idx="84">
                  <c:v>1191015</c:v>
                </c:pt>
                <c:pt idx="85">
                  <c:v>1191016</c:v>
                </c:pt>
                <c:pt idx="86">
                  <c:v>1191017</c:v>
                </c:pt>
                <c:pt idx="87">
                  <c:v>1191018</c:v>
                </c:pt>
                <c:pt idx="88">
                  <c:v>1191020</c:v>
                </c:pt>
                <c:pt idx="89">
                  <c:v>1191021</c:v>
                </c:pt>
                <c:pt idx="90">
                  <c:v>1191022</c:v>
                </c:pt>
                <c:pt idx="91">
                  <c:v>1191023</c:v>
                </c:pt>
                <c:pt idx="92">
                  <c:v>1191024</c:v>
                </c:pt>
                <c:pt idx="93">
                  <c:v>1191025</c:v>
                </c:pt>
                <c:pt idx="94">
                  <c:v>1191027</c:v>
                </c:pt>
                <c:pt idx="95">
                  <c:v>1191028</c:v>
                </c:pt>
                <c:pt idx="96">
                  <c:v>1191029</c:v>
                </c:pt>
                <c:pt idx="97">
                  <c:v>1191030</c:v>
                </c:pt>
                <c:pt idx="98">
                  <c:v>1191031</c:v>
                </c:pt>
                <c:pt idx="99">
                  <c:v>1191101</c:v>
                </c:pt>
                <c:pt idx="100">
                  <c:v>1191103</c:v>
                </c:pt>
                <c:pt idx="101">
                  <c:v>1191104</c:v>
                </c:pt>
                <c:pt idx="102">
                  <c:v>1191105</c:v>
                </c:pt>
                <c:pt idx="103">
                  <c:v>1191106</c:v>
                </c:pt>
                <c:pt idx="104">
                  <c:v>1191107</c:v>
                </c:pt>
                <c:pt idx="105">
                  <c:v>1191108</c:v>
                </c:pt>
                <c:pt idx="106">
                  <c:v>1191110</c:v>
                </c:pt>
                <c:pt idx="107">
                  <c:v>1191111</c:v>
                </c:pt>
                <c:pt idx="108">
                  <c:v>1191112</c:v>
                </c:pt>
                <c:pt idx="109">
                  <c:v>1191113</c:v>
                </c:pt>
                <c:pt idx="110">
                  <c:v>1191114</c:v>
                </c:pt>
                <c:pt idx="111">
                  <c:v>1191115</c:v>
                </c:pt>
                <c:pt idx="112">
                  <c:v>1191117</c:v>
                </c:pt>
                <c:pt idx="113">
                  <c:v>1191118</c:v>
                </c:pt>
                <c:pt idx="114">
                  <c:v>1191119</c:v>
                </c:pt>
                <c:pt idx="115">
                  <c:v>1191120</c:v>
                </c:pt>
                <c:pt idx="116">
                  <c:v>1191121</c:v>
                </c:pt>
                <c:pt idx="117">
                  <c:v>1191122</c:v>
                </c:pt>
                <c:pt idx="118">
                  <c:v>1191124</c:v>
                </c:pt>
                <c:pt idx="119">
                  <c:v>1191125</c:v>
                </c:pt>
                <c:pt idx="120">
                  <c:v>1191126</c:v>
                </c:pt>
                <c:pt idx="121">
                  <c:v>1191127</c:v>
                </c:pt>
                <c:pt idx="122">
                  <c:v>1191128</c:v>
                </c:pt>
                <c:pt idx="123">
                  <c:v>1191129</c:v>
                </c:pt>
                <c:pt idx="124">
                  <c:v>1191201</c:v>
                </c:pt>
                <c:pt idx="125">
                  <c:v>1191202</c:v>
                </c:pt>
                <c:pt idx="126">
                  <c:v>1191203</c:v>
                </c:pt>
                <c:pt idx="127">
                  <c:v>1191204</c:v>
                </c:pt>
                <c:pt idx="128">
                  <c:v>1191205</c:v>
                </c:pt>
                <c:pt idx="129">
                  <c:v>1191206</c:v>
                </c:pt>
                <c:pt idx="130">
                  <c:v>1191208</c:v>
                </c:pt>
                <c:pt idx="131">
                  <c:v>1191209</c:v>
                </c:pt>
                <c:pt idx="132">
                  <c:v>1191210</c:v>
                </c:pt>
                <c:pt idx="133">
                  <c:v>1191211</c:v>
                </c:pt>
                <c:pt idx="134">
                  <c:v>1191212</c:v>
                </c:pt>
                <c:pt idx="135">
                  <c:v>1191213</c:v>
                </c:pt>
                <c:pt idx="136">
                  <c:v>1191215</c:v>
                </c:pt>
                <c:pt idx="137">
                  <c:v>1191216</c:v>
                </c:pt>
                <c:pt idx="138">
                  <c:v>1191217</c:v>
                </c:pt>
                <c:pt idx="139">
                  <c:v>1191218</c:v>
                </c:pt>
                <c:pt idx="140">
                  <c:v>1191219</c:v>
                </c:pt>
                <c:pt idx="141">
                  <c:v>1191220</c:v>
                </c:pt>
                <c:pt idx="142">
                  <c:v>1191222</c:v>
                </c:pt>
                <c:pt idx="143">
                  <c:v>1191223</c:v>
                </c:pt>
                <c:pt idx="144">
                  <c:v>1191224</c:v>
                </c:pt>
                <c:pt idx="145">
                  <c:v>1191225</c:v>
                </c:pt>
                <c:pt idx="146">
                  <c:v>1191226</c:v>
                </c:pt>
                <c:pt idx="147">
                  <c:v>1191227</c:v>
                </c:pt>
                <c:pt idx="148">
                  <c:v>1191229</c:v>
                </c:pt>
                <c:pt idx="149">
                  <c:v>1191230</c:v>
                </c:pt>
                <c:pt idx="150">
                  <c:v>1191231</c:v>
                </c:pt>
                <c:pt idx="151">
                  <c:v>1200101</c:v>
                </c:pt>
                <c:pt idx="152">
                  <c:v>1200102</c:v>
                </c:pt>
                <c:pt idx="153">
                  <c:v>1200103</c:v>
                </c:pt>
                <c:pt idx="154">
                  <c:v>1200105</c:v>
                </c:pt>
                <c:pt idx="155">
                  <c:v>1200106</c:v>
                </c:pt>
                <c:pt idx="156">
                  <c:v>1200107</c:v>
                </c:pt>
                <c:pt idx="157">
                  <c:v>1200108</c:v>
                </c:pt>
                <c:pt idx="158">
                  <c:v>1200109</c:v>
                </c:pt>
                <c:pt idx="159">
                  <c:v>1200110</c:v>
                </c:pt>
                <c:pt idx="160">
                  <c:v>1200112</c:v>
                </c:pt>
                <c:pt idx="161">
                  <c:v>1200113</c:v>
                </c:pt>
                <c:pt idx="162">
                  <c:v>1200114</c:v>
                </c:pt>
                <c:pt idx="163">
                  <c:v>1200115</c:v>
                </c:pt>
                <c:pt idx="164">
                  <c:v>1200116</c:v>
                </c:pt>
                <c:pt idx="165">
                  <c:v>1200117</c:v>
                </c:pt>
                <c:pt idx="166">
                  <c:v>1200119</c:v>
                </c:pt>
                <c:pt idx="167">
                  <c:v>1200120</c:v>
                </c:pt>
                <c:pt idx="168">
                  <c:v>1200121</c:v>
                </c:pt>
                <c:pt idx="169">
                  <c:v>1200122</c:v>
                </c:pt>
                <c:pt idx="170">
                  <c:v>1200123</c:v>
                </c:pt>
                <c:pt idx="171">
                  <c:v>1200124</c:v>
                </c:pt>
                <c:pt idx="172">
                  <c:v>1200126</c:v>
                </c:pt>
                <c:pt idx="173">
                  <c:v>1200127</c:v>
                </c:pt>
                <c:pt idx="174">
                  <c:v>1200128</c:v>
                </c:pt>
                <c:pt idx="175">
                  <c:v>1200129</c:v>
                </c:pt>
                <c:pt idx="176">
                  <c:v>1200130</c:v>
                </c:pt>
                <c:pt idx="177">
                  <c:v>1200131</c:v>
                </c:pt>
                <c:pt idx="178">
                  <c:v>1200202</c:v>
                </c:pt>
                <c:pt idx="179">
                  <c:v>1200203</c:v>
                </c:pt>
                <c:pt idx="180">
                  <c:v>1200204</c:v>
                </c:pt>
                <c:pt idx="181">
                  <c:v>1200205</c:v>
                </c:pt>
                <c:pt idx="182">
                  <c:v>1200206</c:v>
                </c:pt>
                <c:pt idx="183">
                  <c:v>1200207</c:v>
                </c:pt>
                <c:pt idx="184">
                  <c:v>1200209</c:v>
                </c:pt>
                <c:pt idx="185">
                  <c:v>1200210</c:v>
                </c:pt>
                <c:pt idx="186">
                  <c:v>1200211</c:v>
                </c:pt>
                <c:pt idx="187">
                  <c:v>1200212</c:v>
                </c:pt>
                <c:pt idx="188">
                  <c:v>1200213</c:v>
                </c:pt>
                <c:pt idx="189">
                  <c:v>1200214</c:v>
                </c:pt>
                <c:pt idx="190">
                  <c:v>1200216</c:v>
                </c:pt>
                <c:pt idx="191">
                  <c:v>1200217</c:v>
                </c:pt>
                <c:pt idx="192">
                  <c:v>1200218</c:v>
                </c:pt>
                <c:pt idx="193">
                  <c:v>1200219</c:v>
                </c:pt>
                <c:pt idx="194">
                  <c:v>1200220</c:v>
                </c:pt>
                <c:pt idx="195">
                  <c:v>1200221</c:v>
                </c:pt>
                <c:pt idx="196">
                  <c:v>1200223</c:v>
                </c:pt>
                <c:pt idx="197">
                  <c:v>1200224</c:v>
                </c:pt>
                <c:pt idx="198">
                  <c:v>1200225</c:v>
                </c:pt>
                <c:pt idx="199">
                  <c:v>1200226</c:v>
                </c:pt>
                <c:pt idx="200">
                  <c:v>1200227</c:v>
                </c:pt>
                <c:pt idx="201">
                  <c:v>1200228</c:v>
                </c:pt>
                <c:pt idx="202">
                  <c:v>1200301</c:v>
                </c:pt>
                <c:pt idx="203">
                  <c:v>1200302</c:v>
                </c:pt>
                <c:pt idx="204">
                  <c:v>1200303</c:v>
                </c:pt>
                <c:pt idx="205">
                  <c:v>1200304</c:v>
                </c:pt>
                <c:pt idx="206">
                  <c:v>1200305</c:v>
                </c:pt>
                <c:pt idx="207">
                  <c:v>1200306</c:v>
                </c:pt>
                <c:pt idx="208">
                  <c:v>1200308</c:v>
                </c:pt>
                <c:pt idx="209">
                  <c:v>1200309</c:v>
                </c:pt>
                <c:pt idx="210">
                  <c:v>1200310</c:v>
                </c:pt>
                <c:pt idx="211">
                  <c:v>1200311</c:v>
                </c:pt>
                <c:pt idx="212">
                  <c:v>1200312</c:v>
                </c:pt>
                <c:pt idx="213">
                  <c:v>1200313</c:v>
                </c:pt>
                <c:pt idx="214">
                  <c:v>1200315</c:v>
                </c:pt>
                <c:pt idx="215">
                  <c:v>1200316</c:v>
                </c:pt>
                <c:pt idx="216">
                  <c:v>1200317</c:v>
                </c:pt>
                <c:pt idx="217">
                  <c:v>1200318</c:v>
                </c:pt>
                <c:pt idx="218">
                  <c:v>1200319</c:v>
                </c:pt>
                <c:pt idx="219">
                  <c:v>1200320</c:v>
                </c:pt>
                <c:pt idx="220">
                  <c:v>1200322</c:v>
                </c:pt>
                <c:pt idx="221">
                  <c:v>1200323</c:v>
                </c:pt>
                <c:pt idx="222">
                  <c:v>1200324</c:v>
                </c:pt>
                <c:pt idx="223">
                  <c:v>1200325</c:v>
                </c:pt>
                <c:pt idx="224">
                  <c:v>1200326</c:v>
                </c:pt>
                <c:pt idx="225">
                  <c:v>1200327</c:v>
                </c:pt>
                <c:pt idx="226">
                  <c:v>1200329</c:v>
                </c:pt>
                <c:pt idx="227">
                  <c:v>1200330</c:v>
                </c:pt>
                <c:pt idx="228">
                  <c:v>1200331</c:v>
                </c:pt>
                <c:pt idx="229">
                  <c:v>1200401</c:v>
                </c:pt>
                <c:pt idx="230">
                  <c:v>1200402</c:v>
                </c:pt>
                <c:pt idx="231">
                  <c:v>1200403</c:v>
                </c:pt>
                <c:pt idx="232">
                  <c:v>1200405</c:v>
                </c:pt>
                <c:pt idx="233">
                  <c:v>1200406</c:v>
                </c:pt>
                <c:pt idx="234">
                  <c:v>1200407</c:v>
                </c:pt>
                <c:pt idx="235">
                  <c:v>1200408</c:v>
                </c:pt>
                <c:pt idx="236">
                  <c:v>1200409</c:v>
                </c:pt>
                <c:pt idx="237">
                  <c:v>1200412</c:v>
                </c:pt>
                <c:pt idx="238">
                  <c:v>1200413</c:v>
                </c:pt>
                <c:pt idx="239">
                  <c:v>1200414</c:v>
                </c:pt>
                <c:pt idx="240">
                  <c:v>1200415</c:v>
                </c:pt>
                <c:pt idx="241">
                  <c:v>1200416</c:v>
                </c:pt>
                <c:pt idx="242">
                  <c:v>1200417</c:v>
                </c:pt>
                <c:pt idx="243">
                  <c:v>1200419</c:v>
                </c:pt>
                <c:pt idx="244">
                  <c:v>1200420</c:v>
                </c:pt>
                <c:pt idx="245">
                  <c:v>1200421</c:v>
                </c:pt>
                <c:pt idx="246">
                  <c:v>1200422</c:v>
                </c:pt>
                <c:pt idx="247">
                  <c:v>1200423</c:v>
                </c:pt>
                <c:pt idx="248">
                  <c:v>1200424</c:v>
                </c:pt>
                <c:pt idx="249">
                  <c:v>1200426</c:v>
                </c:pt>
                <c:pt idx="250">
                  <c:v>1200427</c:v>
                </c:pt>
                <c:pt idx="251">
                  <c:v>1200428</c:v>
                </c:pt>
                <c:pt idx="252">
                  <c:v>1200429</c:v>
                </c:pt>
                <c:pt idx="253">
                  <c:v>1200430</c:v>
                </c:pt>
                <c:pt idx="254">
                  <c:v>1200501</c:v>
                </c:pt>
                <c:pt idx="255">
                  <c:v>1200503</c:v>
                </c:pt>
                <c:pt idx="256">
                  <c:v>1200504</c:v>
                </c:pt>
                <c:pt idx="257">
                  <c:v>1200505</c:v>
                </c:pt>
                <c:pt idx="258">
                  <c:v>1200506</c:v>
                </c:pt>
                <c:pt idx="259">
                  <c:v>1200507</c:v>
                </c:pt>
                <c:pt idx="260">
                  <c:v>1200508</c:v>
                </c:pt>
                <c:pt idx="261">
                  <c:v>1200510</c:v>
                </c:pt>
                <c:pt idx="262">
                  <c:v>1200511</c:v>
                </c:pt>
                <c:pt idx="263">
                  <c:v>1200512</c:v>
                </c:pt>
                <c:pt idx="264">
                  <c:v>1200513</c:v>
                </c:pt>
                <c:pt idx="265">
                  <c:v>1200514</c:v>
                </c:pt>
                <c:pt idx="266">
                  <c:v>1200515</c:v>
                </c:pt>
                <c:pt idx="267">
                  <c:v>1200517</c:v>
                </c:pt>
                <c:pt idx="268">
                  <c:v>1200518</c:v>
                </c:pt>
                <c:pt idx="269">
                  <c:v>1200519</c:v>
                </c:pt>
                <c:pt idx="270">
                  <c:v>1200520</c:v>
                </c:pt>
                <c:pt idx="271">
                  <c:v>1200521</c:v>
                </c:pt>
                <c:pt idx="272">
                  <c:v>1200522</c:v>
                </c:pt>
                <c:pt idx="273">
                  <c:v>1200524</c:v>
                </c:pt>
                <c:pt idx="274">
                  <c:v>1200525</c:v>
                </c:pt>
                <c:pt idx="275">
                  <c:v>1200526</c:v>
                </c:pt>
                <c:pt idx="276">
                  <c:v>1200527</c:v>
                </c:pt>
                <c:pt idx="277">
                  <c:v>1200528</c:v>
                </c:pt>
                <c:pt idx="278">
                  <c:v>1200529</c:v>
                </c:pt>
                <c:pt idx="279">
                  <c:v>1200531</c:v>
                </c:pt>
                <c:pt idx="280">
                  <c:v>1200601</c:v>
                </c:pt>
                <c:pt idx="281">
                  <c:v>1200602</c:v>
                </c:pt>
                <c:pt idx="282">
                  <c:v>1200603</c:v>
                </c:pt>
                <c:pt idx="283">
                  <c:v>1200604</c:v>
                </c:pt>
                <c:pt idx="284">
                  <c:v>1200605</c:v>
                </c:pt>
                <c:pt idx="285">
                  <c:v>1200607</c:v>
                </c:pt>
                <c:pt idx="286">
                  <c:v>1200608</c:v>
                </c:pt>
                <c:pt idx="287">
                  <c:v>1200609</c:v>
                </c:pt>
                <c:pt idx="288">
                  <c:v>1200610</c:v>
                </c:pt>
                <c:pt idx="289">
                  <c:v>1200611</c:v>
                </c:pt>
                <c:pt idx="290">
                  <c:v>1200612</c:v>
                </c:pt>
                <c:pt idx="291">
                  <c:v>1200614</c:v>
                </c:pt>
                <c:pt idx="292">
                  <c:v>1200615</c:v>
                </c:pt>
                <c:pt idx="293">
                  <c:v>1200616</c:v>
                </c:pt>
                <c:pt idx="294">
                  <c:v>1200617</c:v>
                </c:pt>
                <c:pt idx="295">
                  <c:v>1200618</c:v>
                </c:pt>
                <c:pt idx="296">
                  <c:v>1200619</c:v>
                </c:pt>
                <c:pt idx="297">
                  <c:v>1200621</c:v>
                </c:pt>
                <c:pt idx="298">
                  <c:v>1200622</c:v>
                </c:pt>
                <c:pt idx="299">
                  <c:v>1200623</c:v>
                </c:pt>
                <c:pt idx="300">
                  <c:v>1200624</c:v>
                </c:pt>
                <c:pt idx="301">
                  <c:v>1200625</c:v>
                </c:pt>
                <c:pt idx="302">
                  <c:v>1200626</c:v>
                </c:pt>
                <c:pt idx="303">
                  <c:v>1200628</c:v>
                </c:pt>
                <c:pt idx="304">
                  <c:v>1200629</c:v>
                </c:pt>
                <c:pt idx="305">
                  <c:v>1200630</c:v>
                </c:pt>
                <c:pt idx="306">
                  <c:v>1200701</c:v>
                </c:pt>
                <c:pt idx="307">
                  <c:v>1200702</c:v>
                </c:pt>
                <c:pt idx="308">
                  <c:v>1200703</c:v>
                </c:pt>
                <c:pt idx="309">
                  <c:v>1200705</c:v>
                </c:pt>
                <c:pt idx="310">
                  <c:v>1200706</c:v>
                </c:pt>
                <c:pt idx="311">
                  <c:v>1200707</c:v>
                </c:pt>
                <c:pt idx="312">
                  <c:v>1200708</c:v>
                </c:pt>
                <c:pt idx="313">
                  <c:v>1200709</c:v>
                </c:pt>
                <c:pt idx="314">
                  <c:v>1200710</c:v>
                </c:pt>
                <c:pt idx="315">
                  <c:v>1200712</c:v>
                </c:pt>
                <c:pt idx="316">
                  <c:v>1200713</c:v>
                </c:pt>
                <c:pt idx="317">
                  <c:v>1200714</c:v>
                </c:pt>
                <c:pt idx="318">
                  <c:v>1200715</c:v>
                </c:pt>
                <c:pt idx="319">
                  <c:v>1200716</c:v>
                </c:pt>
                <c:pt idx="320">
                  <c:v>1200717</c:v>
                </c:pt>
                <c:pt idx="321">
                  <c:v>1200719</c:v>
                </c:pt>
                <c:pt idx="322">
                  <c:v>1200720</c:v>
                </c:pt>
                <c:pt idx="323">
                  <c:v>1200721</c:v>
                </c:pt>
                <c:pt idx="324">
                  <c:v>1200722</c:v>
                </c:pt>
                <c:pt idx="325">
                  <c:v>1200723</c:v>
                </c:pt>
                <c:pt idx="326">
                  <c:v>1200724</c:v>
                </c:pt>
                <c:pt idx="327">
                  <c:v>1200726</c:v>
                </c:pt>
                <c:pt idx="328">
                  <c:v>1200727</c:v>
                </c:pt>
                <c:pt idx="329">
                  <c:v>1200728</c:v>
                </c:pt>
                <c:pt idx="330">
                  <c:v>1200729</c:v>
                </c:pt>
                <c:pt idx="331">
                  <c:v>1200730</c:v>
                </c:pt>
                <c:pt idx="332">
                  <c:v>1200731</c:v>
                </c:pt>
                <c:pt idx="333">
                  <c:v>1200802</c:v>
                </c:pt>
                <c:pt idx="334">
                  <c:v>1200803</c:v>
                </c:pt>
                <c:pt idx="335">
                  <c:v>1200804</c:v>
                </c:pt>
                <c:pt idx="336">
                  <c:v>1200805</c:v>
                </c:pt>
                <c:pt idx="337">
                  <c:v>1200806</c:v>
                </c:pt>
                <c:pt idx="338">
                  <c:v>1200807</c:v>
                </c:pt>
                <c:pt idx="339">
                  <c:v>1200809</c:v>
                </c:pt>
                <c:pt idx="340">
                  <c:v>1200810</c:v>
                </c:pt>
                <c:pt idx="341">
                  <c:v>1200811</c:v>
                </c:pt>
                <c:pt idx="342">
                  <c:v>1200812</c:v>
                </c:pt>
                <c:pt idx="343">
                  <c:v>1200813</c:v>
                </c:pt>
                <c:pt idx="344">
                  <c:v>1200814</c:v>
                </c:pt>
                <c:pt idx="345">
                  <c:v>1200816</c:v>
                </c:pt>
                <c:pt idx="346">
                  <c:v>1200817</c:v>
                </c:pt>
                <c:pt idx="347">
                  <c:v>1200818</c:v>
                </c:pt>
                <c:pt idx="348">
                  <c:v>1200819</c:v>
                </c:pt>
                <c:pt idx="349">
                  <c:v>1200820</c:v>
                </c:pt>
                <c:pt idx="350">
                  <c:v>1200821</c:v>
                </c:pt>
                <c:pt idx="351">
                  <c:v>1200823</c:v>
                </c:pt>
                <c:pt idx="352">
                  <c:v>1200824</c:v>
                </c:pt>
                <c:pt idx="353">
                  <c:v>1200825</c:v>
                </c:pt>
                <c:pt idx="354">
                  <c:v>1200826</c:v>
                </c:pt>
                <c:pt idx="355">
                  <c:v>1200827</c:v>
                </c:pt>
                <c:pt idx="356">
                  <c:v>1200828</c:v>
                </c:pt>
                <c:pt idx="357">
                  <c:v>1200830</c:v>
                </c:pt>
                <c:pt idx="358">
                  <c:v>1200831</c:v>
                </c:pt>
                <c:pt idx="359">
                  <c:v>1200901</c:v>
                </c:pt>
                <c:pt idx="360">
                  <c:v>1200902</c:v>
                </c:pt>
                <c:pt idx="361">
                  <c:v>1200903</c:v>
                </c:pt>
                <c:pt idx="362">
                  <c:v>1200904</c:v>
                </c:pt>
                <c:pt idx="363">
                  <c:v>1200906</c:v>
                </c:pt>
                <c:pt idx="364">
                  <c:v>1200907</c:v>
                </c:pt>
                <c:pt idx="365">
                  <c:v>1200908</c:v>
                </c:pt>
                <c:pt idx="366">
                  <c:v>1200909</c:v>
                </c:pt>
                <c:pt idx="367">
                  <c:v>1200910</c:v>
                </c:pt>
                <c:pt idx="368">
                  <c:v>1200911</c:v>
                </c:pt>
                <c:pt idx="369">
                  <c:v>1200913</c:v>
                </c:pt>
                <c:pt idx="370">
                  <c:v>1200914</c:v>
                </c:pt>
                <c:pt idx="371">
                  <c:v>1200915</c:v>
                </c:pt>
                <c:pt idx="372">
                  <c:v>1200916</c:v>
                </c:pt>
                <c:pt idx="373">
                  <c:v>1200917</c:v>
                </c:pt>
                <c:pt idx="374">
                  <c:v>1200918</c:v>
                </c:pt>
                <c:pt idx="375">
                  <c:v>1200920</c:v>
                </c:pt>
                <c:pt idx="376">
                  <c:v>1200921</c:v>
                </c:pt>
                <c:pt idx="377">
                  <c:v>1200922</c:v>
                </c:pt>
                <c:pt idx="378">
                  <c:v>1200923</c:v>
                </c:pt>
                <c:pt idx="379">
                  <c:v>1200924</c:v>
                </c:pt>
                <c:pt idx="380">
                  <c:v>1200925</c:v>
                </c:pt>
                <c:pt idx="381">
                  <c:v>1200927</c:v>
                </c:pt>
                <c:pt idx="382">
                  <c:v>1200928</c:v>
                </c:pt>
                <c:pt idx="383">
                  <c:v>1200929</c:v>
                </c:pt>
                <c:pt idx="384">
                  <c:v>1200930</c:v>
                </c:pt>
                <c:pt idx="385">
                  <c:v>1201001</c:v>
                </c:pt>
                <c:pt idx="386">
                  <c:v>1201002</c:v>
                </c:pt>
                <c:pt idx="387">
                  <c:v>1201004</c:v>
                </c:pt>
                <c:pt idx="388">
                  <c:v>1201005</c:v>
                </c:pt>
                <c:pt idx="389">
                  <c:v>1201006</c:v>
                </c:pt>
                <c:pt idx="390">
                  <c:v>1201007</c:v>
                </c:pt>
                <c:pt idx="391">
                  <c:v>1201008</c:v>
                </c:pt>
                <c:pt idx="392">
                  <c:v>1201009</c:v>
                </c:pt>
                <c:pt idx="393">
                  <c:v>1201011</c:v>
                </c:pt>
                <c:pt idx="394">
                  <c:v>1201012</c:v>
                </c:pt>
                <c:pt idx="395">
                  <c:v>1201013</c:v>
                </c:pt>
                <c:pt idx="396">
                  <c:v>1201014</c:v>
                </c:pt>
                <c:pt idx="397">
                  <c:v>1201015</c:v>
                </c:pt>
                <c:pt idx="398">
                  <c:v>1201016</c:v>
                </c:pt>
                <c:pt idx="399">
                  <c:v>1201018</c:v>
                </c:pt>
                <c:pt idx="400">
                  <c:v>1201019</c:v>
                </c:pt>
                <c:pt idx="401">
                  <c:v>1201020</c:v>
                </c:pt>
                <c:pt idx="402">
                  <c:v>1201021</c:v>
                </c:pt>
                <c:pt idx="403">
                  <c:v>1201022</c:v>
                </c:pt>
                <c:pt idx="404">
                  <c:v>1201023</c:v>
                </c:pt>
                <c:pt idx="405">
                  <c:v>1201025</c:v>
                </c:pt>
                <c:pt idx="406">
                  <c:v>1201026</c:v>
                </c:pt>
                <c:pt idx="407">
                  <c:v>1201027</c:v>
                </c:pt>
                <c:pt idx="408">
                  <c:v>1201028</c:v>
                </c:pt>
                <c:pt idx="409">
                  <c:v>1201029</c:v>
                </c:pt>
                <c:pt idx="410">
                  <c:v>1201030</c:v>
                </c:pt>
                <c:pt idx="411">
                  <c:v>1201101</c:v>
                </c:pt>
                <c:pt idx="412">
                  <c:v>1201102</c:v>
                </c:pt>
                <c:pt idx="413">
                  <c:v>1201103</c:v>
                </c:pt>
                <c:pt idx="414">
                  <c:v>1201104</c:v>
                </c:pt>
                <c:pt idx="415">
                  <c:v>1201105</c:v>
                </c:pt>
                <c:pt idx="416">
                  <c:v>1201106</c:v>
                </c:pt>
                <c:pt idx="417">
                  <c:v>1201108</c:v>
                </c:pt>
                <c:pt idx="418">
                  <c:v>1201109</c:v>
                </c:pt>
                <c:pt idx="419">
                  <c:v>1201110</c:v>
                </c:pt>
                <c:pt idx="420">
                  <c:v>1201111</c:v>
                </c:pt>
                <c:pt idx="421">
                  <c:v>1201112</c:v>
                </c:pt>
                <c:pt idx="422">
                  <c:v>1201113</c:v>
                </c:pt>
                <c:pt idx="423">
                  <c:v>1201115</c:v>
                </c:pt>
                <c:pt idx="424">
                  <c:v>1201116</c:v>
                </c:pt>
                <c:pt idx="425">
                  <c:v>1201117</c:v>
                </c:pt>
                <c:pt idx="426">
                  <c:v>1201118</c:v>
                </c:pt>
                <c:pt idx="427">
                  <c:v>1201119</c:v>
                </c:pt>
                <c:pt idx="428">
                  <c:v>1201120</c:v>
                </c:pt>
                <c:pt idx="429">
                  <c:v>1201122</c:v>
                </c:pt>
                <c:pt idx="430">
                  <c:v>1201123</c:v>
                </c:pt>
                <c:pt idx="431">
                  <c:v>1201124</c:v>
                </c:pt>
                <c:pt idx="432">
                  <c:v>1201125</c:v>
                </c:pt>
                <c:pt idx="433">
                  <c:v>1201126</c:v>
                </c:pt>
                <c:pt idx="434">
                  <c:v>1201127</c:v>
                </c:pt>
                <c:pt idx="435">
                  <c:v>1201129</c:v>
                </c:pt>
                <c:pt idx="436">
                  <c:v>1201130</c:v>
                </c:pt>
                <c:pt idx="437">
                  <c:v>1201201</c:v>
                </c:pt>
                <c:pt idx="438">
                  <c:v>1201202</c:v>
                </c:pt>
                <c:pt idx="439">
                  <c:v>1201203</c:v>
                </c:pt>
                <c:pt idx="440">
                  <c:v>1201204</c:v>
                </c:pt>
                <c:pt idx="441">
                  <c:v>1201206</c:v>
                </c:pt>
                <c:pt idx="442">
                  <c:v>1201207</c:v>
                </c:pt>
                <c:pt idx="443">
                  <c:v>1201208</c:v>
                </c:pt>
                <c:pt idx="444">
                  <c:v>1201209</c:v>
                </c:pt>
                <c:pt idx="445">
                  <c:v>1201210</c:v>
                </c:pt>
                <c:pt idx="446">
                  <c:v>1201211</c:v>
                </c:pt>
                <c:pt idx="447">
                  <c:v>1201213</c:v>
                </c:pt>
                <c:pt idx="448">
                  <c:v>1201214</c:v>
                </c:pt>
                <c:pt idx="449">
                  <c:v>1201215</c:v>
                </c:pt>
                <c:pt idx="450">
                  <c:v>1201216</c:v>
                </c:pt>
                <c:pt idx="451">
                  <c:v>1201217</c:v>
                </c:pt>
                <c:pt idx="452">
                  <c:v>1201218</c:v>
                </c:pt>
                <c:pt idx="453">
                  <c:v>1201220</c:v>
                </c:pt>
                <c:pt idx="454">
                  <c:v>1201221</c:v>
                </c:pt>
                <c:pt idx="455">
                  <c:v>1201222</c:v>
                </c:pt>
                <c:pt idx="456">
                  <c:v>1201223</c:v>
                </c:pt>
                <c:pt idx="457">
                  <c:v>1201224</c:v>
                </c:pt>
                <c:pt idx="458">
                  <c:v>1201227</c:v>
                </c:pt>
                <c:pt idx="459">
                  <c:v>1201228</c:v>
                </c:pt>
                <c:pt idx="460">
                  <c:v>1201229</c:v>
                </c:pt>
                <c:pt idx="461">
                  <c:v>1201230</c:v>
                </c:pt>
                <c:pt idx="462">
                  <c:v>1201231</c:v>
                </c:pt>
                <c:pt idx="463">
                  <c:v>1210103</c:v>
                </c:pt>
                <c:pt idx="464">
                  <c:v>1210104</c:v>
                </c:pt>
                <c:pt idx="465">
                  <c:v>1210105</c:v>
                </c:pt>
                <c:pt idx="466">
                  <c:v>1210106</c:v>
                </c:pt>
                <c:pt idx="467">
                  <c:v>1210107</c:v>
                </c:pt>
                <c:pt idx="468">
                  <c:v>1210108</c:v>
                </c:pt>
                <c:pt idx="469">
                  <c:v>1210110</c:v>
                </c:pt>
                <c:pt idx="470">
                  <c:v>1210111</c:v>
                </c:pt>
                <c:pt idx="471">
                  <c:v>1210112</c:v>
                </c:pt>
                <c:pt idx="472">
                  <c:v>1210113</c:v>
                </c:pt>
                <c:pt idx="473">
                  <c:v>1210114</c:v>
                </c:pt>
                <c:pt idx="474">
                  <c:v>1210115</c:v>
                </c:pt>
                <c:pt idx="475">
                  <c:v>1210117</c:v>
                </c:pt>
                <c:pt idx="476">
                  <c:v>1210118</c:v>
                </c:pt>
                <c:pt idx="477">
                  <c:v>1210119</c:v>
                </c:pt>
                <c:pt idx="478">
                  <c:v>1210120</c:v>
                </c:pt>
                <c:pt idx="479">
                  <c:v>1210121</c:v>
                </c:pt>
                <c:pt idx="480">
                  <c:v>1210122</c:v>
                </c:pt>
                <c:pt idx="481">
                  <c:v>1210124</c:v>
                </c:pt>
                <c:pt idx="482">
                  <c:v>1210125</c:v>
                </c:pt>
                <c:pt idx="483">
                  <c:v>1210126</c:v>
                </c:pt>
                <c:pt idx="484">
                  <c:v>1210127</c:v>
                </c:pt>
                <c:pt idx="485">
                  <c:v>1210128</c:v>
                </c:pt>
                <c:pt idx="486">
                  <c:v>1210129</c:v>
                </c:pt>
                <c:pt idx="487">
                  <c:v>1210131</c:v>
                </c:pt>
                <c:pt idx="488">
                  <c:v>1210201</c:v>
                </c:pt>
                <c:pt idx="489">
                  <c:v>1210202</c:v>
                </c:pt>
                <c:pt idx="490">
                  <c:v>1210203</c:v>
                </c:pt>
                <c:pt idx="491">
                  <c:v>1210204</c:v>
                </c:pt>
                <c:pt idx="492">
                  <c:v>1210205</c:v>
                </c:pt>
                <c:pt idx="493">
                  <c:v>1210207</c:v>
                </c:pt>
                <c:pt idx="494">
                  <c:v>1210208</c:v>
                </c:pt>
                <c:pt idx="495">
                  <c:v>1210209</c:v>
                </c:pt>
                <c:pt idx="496">
                  <c:v>1210210</c:v>
                </c:pt>
                <c:pt idx="497">
                  <c:v>1210211</c:v>
                </c:pt>
                <c:pt idx="498">
                  <c:v>1210212</c:v>
                </c:pt>
                <c:pt idx="499">
                  <c:v>1210214</c:v>
                </c:pt>
                <c:pt idx="500">
                  <c:v>1210215</c:v>
                </c:pt>
                <c:pt idx="501">
                  <c:v>1210216</c:v>
                </c:pt>
                <c:pt idx="502">
                  <c:v>1210217</c:v>
                </c:pt>
                <c:pt idx="503">
                  <c:v>1210218</c:v>
                </c:pt>
                <c:pt idx="504">
                  <c:v>1210219</c:v>
                </c:pt>
                <c:pt idx="505">
                  <c:v>1210221</c:v>
                </c:pt>
                <c:pt idx="506">
                  <c:v>1210222</c:v>
                </c:pt>
                <c:pt idx="507">
                  <c:v>1210223</c:v>
                </c:pt>
                <c:pt idx="508">
                  <c:v>1210224</c:v>
                </c:pt>
                <c:pt idx="509">
                  <c:v>1210225</c:v>
                </c:pt>
                <c:pt idx="510">
                  <c:v>1210226</c:v>
                </c:pt>
                <c:pt idx="511">
                  <c:v>1210228</c:v>
                </c:pt>
                <c:pt idx="512">
                  <c:v>1210301</c:v>
                </c:pt>
                <c:pt idx="513">
                  <c:v>1210302</c:v>
                </c:pt>
                <c:pt idx="514">
                  <c:v>1210303</c:v>
                </c:pt>
                <c:pt idx="515">
                  <c:v>1210304</c:v>
                </c:pt>
                <c:pt idx="516">
                  <c:v>1210305</c:v>
                </c:pt>
                <c:pt idx="517">
                  <c:v>1210307</c:v>
                </c:pt>
                <c:pt idx="518">
                  <c:v>1210308</c:v>
                </c:pt>
                <c:pt idx="519">
                  <c:v>1210309</c:v>
                </c:pt>
                <c:pt idx="520">
                  <c:v>1210310</c:v>
                </c:pt>
                <c:pt idx="521">
                  <c:v>1210311</c:v>
                </c:pt>
                <c:pt idx="522">
                  <c:v>1210312</c:v>
                </c:pt>
                <c:pt idx="523">
                  <c:v>1210314</c:v>
                </c:pt>
                <c:pt idx="524">
                  <c:v>1210315</c:v>
                </c:pt>
                <c:pt idx="525">
                  <c:v>1210316</c:v>
                </c:pt>
                <c:pt idx="526">
                  <c:v>1210317</c:v>
                </c:pt>
                <c:pt idx="527">
                  <c:v>1210318</c:v>
                </c:pt>
                <c:pt idx="528">
                  <c:v>1210319</c:v>
                </c:pt>
                <c:pt idx="529">
                  <c:v>1210321</c:v>
                </c:pt>
                <c:pt idx="530">
                  <c:v>1210322</c:v>
                </c:pt>
                <c:pt idx="531">
                  <c:v>1210323</c:v>
                </c:pt>
                <c:pt idx="532">
                  <c:v>1210324</c:v>
                </c:pt>
                <c:pt idx="533">
                  <c:v>1210325</c:v>
                </c:pt>
                <c:pt idx="534">
                  <c:v>1210326</c:v>
                </c:pt>
                <c:pt idx="535">
                  <c:v>1210328</c:v>
                </c:pt>
                <c:pt idx="536">
                  <c:v>1210329</c:v>
                </c:pt>
                <c:pt idx="537">
                  <c:v>1210330</c:v>
                </c:pt>
                <c:pt idx="538">
                  <c:v>1210331</c:v>
                </c:pt>
                <c:pt idx="539">
                  <c:v>1210401</c:v>
                </c:pt>
                <c:pt idx="540">
                  <c:v>1210402</c:v>
                </c:pt>
                <c:pt idx="541">
                  <c:v>1210404</c:v>
                </c:pt>
                <c:pt idx="542">
                  <c:v>1210405</c:v>
                </c:pt>
                <c:pt idx="543">
                  <c:v>1210406</c:v>
                </c:pt>
                <c:pt idx="544">
                  <c:v>1210407</c:v>
                </c:pt>
                <c:pt idx="545">
                  <c:v>1210408</c:v>
                </c:pt>
                <c:pt idx="546">
                  <c:v>1210409</c:v>
                </c:pt>
                <c:pt idx="547">
                  <c:v>1210411</c:v>
                </c:pt>
                <c:pt idx="548">
                  <c:v>1210412</c:v>
                </c:pt>
                <c:pt idx="549">
                  <c:v>1210413</c:v>
                </c:pt>
                <c:pt idx="550">
                  <c:v>1210414</c:v>
                </c:pt>
                <c:pt idx="551">
                  <c:v>1210415</c:v>
                </c:pt>
                <c:pt idx="552">
                  <c:v>1210416</c:v>
                </c:pt>
                <c:pt idx="553">
                  <c:v>1210418</c:v>
                </c:pt>
                <c:pt idx="554">
                  <c:v>1210419</c:v>
                </c:pt>
                <c:pt idx="555">
                  <c:v>1210420</c:v>
                </c:pt>
                <c:pt idx="556">
                  <c:v>1210421</c:v>
                </c:pt>
                <c:pt idx="557">
                  <c:v>1210422</c:v>
                </c:pt>
                <c:pt idx="558">
                  <c:v>1210423</c:v>
                </c:pt>
                <c:pt idx="559">
                  <c:v>1210425</c:v>
                </c:pt>
                <c:pt idx="560">
                  <c:v>1210426</c:v>
                </c:pt>
                <c:pt idx="561">
                  <c:v>1210427</c:v>
                </c:pt>
                <c:pt idx="562">
                  <c:v>1210428</c:v>
                </c:pt>
                <c:pt idx="563">
                  <c:v>1210429</c:v>
                </c:pt>
                <c:pt idx="564">
                  <c:v>1210430</c:v>
                </c:pt>
                <c:pt idx="565">
                  <c:v>1210502</c:v>
                </c:pt>
                <c:pt idx="566">
                  <c:v>1210503</c:v>
                </c:pt>
                <c:pt idx="567">
                  <c:v>1210504</c:v>
                </c:pt>
                <c:pt idx="568">
                  <c:v>1210505</c:v>
                </c:pt>
                <c:pt idx="569">
                  <c:v>1210506</c:v>
                </c:pt>
                <c:pt idx="570">
                  <c:v>1210507</c:v>
                </c:pt>
                <c:pt idx="571">
                  <c:v>1210509</c:v>
                </c:pt>
                <c:pt idx="572">
                  <c:v>1210510</c:v>
                </c:pt>
                <c:pt idx="573">
                  <c:v>1210511</c:v>
                </c:pt>
                <c:pt idx="574">
                  <c:v>1210512</c:v>
                </c:pt>
                <c:pt idx="575">
                  <c:v>1210513</c:v>
                </c:pt>
                <c:pt idx="576">
                  <c:v>1210514</c:v>
                </c:pt>
                <c:pt idx="577">
                  <c:v>1210516</c:v>
                </c:pt>
                <c:pt idx="578">
                  <c:v>1210517</c:v>
                </c:pt>
                <c:pt idx="579">
                  <c:v>1210518</c:v>
                </c:pt>
                <c:pt idx="580">
                  <c:v>1210519</c:v>
                </c:pt>
                <c:pt idx="581">
                  <c:v>1210520</c:v>
                </c:pt>
                <c:pt idx="582">
                  <c:v>1210521</c:v>
                </c:pt>
                <c:pt idx="583">
                  <c:v>1210523</c:v>
                </c:pt>
                <c:pt idx="584">
                  <c:v>1210524</c:v>
                </c:pt>
                <c:pt idx="585">
                  <c:v>1210525</c:v>
                </c:pt>
                <c:pt idx="586">
                  <c:v>1210526</c:v>
                </c:pt>
                <c:pt idx="587">
                  <c:v>1210527</c:v>
                </c:pt>
                <c:pt idx="588">
                  <c:v>1210528</c:v>
                </c:pt>
                <c:pt idx="589">
                  <c:v>1210530</c:v>
                </c:pt>
                <c:pt idx="590">
                  <c:v>1210531</c:v>
                </c:pt>
                <c:pt idx="591">
                  <c:v>1210601</c:v>
                </c:pt>
                <c:pt idx="592">
                  <c:v>1210602</c:v>
                </c:pt>
                <c:pt idx="593">
                  <c:v>1210603</c:v>
                </c:pt>
                <c:pt idx="594">
                  <c:v>1210604</c:v>
                </c:pt>
                <c:pt idx="595">
                  <c:v>1210606</c:v>
                </c:pt>
                <c:pt idx="596">
                  <c:v>1210607</c:v>
                </c:pt>
                <c:pt idx="597">
                  <c:v>1210608</c:v>
                </c:pt>
                <c:pt idx="598">
                  <c:v>1210609</c:v>
                </c:pt>
                <c:pt idx="599">
                  <c:v>1210610</c:v>
                </c:pt>
                <c:pt idx="600">
                  <c:v>1210611</c:v>
                </c:pt>
                <c:pt idx="601">
                  <c:v>1210613</c:v>
                </c:pt>
                <c:pt idx="602">
                  <c:v>1210614</c:v>
                </c:pt>
                <c:pt idx="603">
                  <c:v>1210615</c:v>
                </c:pt>
                <c:pt idx="604">
                  <c:v>1210616</c:v>
                </c:pt>
                <c:pt idx="605">
                  <c:v>1210617</c:v>
                </c:pt>
                <c:pt idx="606">
                  <c:v>1210618</c:v>
                </c:pt>
                <c:pt idx="607">
                  <c:v>1210620</c:v>
                </c:pt>
                <c:pt idx="608">
                  <c:v>1210621</c:v>
                </c:pt>
                <c:pt idx="609">
                  <c:v>1210622</c:v>
                </c:pt>
                <c:pt idx="610">
                  <c:v>1210623</c:v>
                </c:pt>
                <c:pt idx="611">
                  <c:v>1210624</c:v>
                </c:pt>
                <c:pt idx="612">
                  <c:v>1210625</c:v>
                </c:pt>
                <c:pt idx="613">
                  <c:v>1210627</c:v>
                </c:pt>
                <c:pt idx="614">
                  <c:v>1210628</c:v>
                </c:pt>
                <c:pt idx="615">
                  <c:v>1210629</c:v>
                </c:pt>
                <c:pt idx="616">
                  <c:v>1210630</c:v>
                </c:pt>
                <c:pt idx="617">
                  <c:v>1210701</c:v>
                </c:pt>
                <c:pt idx="618">
                  <c:v>1210702</c:v>
                </c:pt>
                <c:pt idx="619">
                  <c:v>1210704</c:v>
                </c:pt>
                <c:pt idx="620">
                  <c:v>1210705</c:v>
                </c:pt>
                <c:pt idx="621">
                  <c:v>1210706</c:v>
                </c:pt>
                <c:pt idx="622">
                  <c:v>1210707</c:v>
                </c:pt>
                <c:pt idx="623">
                  <c:v>1210708</c:v>
                </c:pt>
                <c:pt idx="624">
                  <c:v>1210709</c:v>
                </c:pt>
                <c:pt idx="625">
                  <c:v>1210711</c:v>
                </c:pt>
                <c:pt idx="626">
                  <c:v>1210712</c:v>
                </c:pt>
                <c:pt idx="627">
                  <c:v>1210713</c:v>
                </c:pt>
                <c:pt idx="628">
                  <c:v>1210714</c:v>
                </c:pt>
                <c:pt idx="629">
                  <c:v>1210715</c:v>
                </c:pt>
                <c:pt idx="630">
                  <c:v>1210716</c:v>
                </c:pt>
                <c:pt idx="631">
                  <c:v>1210718</c:v>
                </c:pt>
                <c:pt idx="632">
                  <c:v>1210719</c:v>
                </c:pt>
                <c:pt idx="633">
                  <c:v>1210720</c:v>
                </c:pt>
                <c:pt idx="634">
                  <c:v>1210721</c:v>
                </c:pt>
                <c:pt idx="635">
                  <c:v>1210722</c:v>
                </c:pt>
                <c:pt idx="636">
                  <c:v>1210723</c:v>
                </c:pt>
                <c:pt idx="637">
                  <c:v>1210725</c:v>
                </c:pt>
                <c:pt idx="638">
                  <c:v>1210726</c:v>
                </c:pt>
                <c:pt idx="639">
                  <c:v>1210727</c:v>
                </c:pt>
                <c:pt idx="640">
                  <c:v>1210728</c:v>
                </c:pt>
                <c:pt idx="641">
                  <c:v>1210729</c:v>
                </c:pt>
                <c:pt idx="642">
                  <c:v>1210730</c:v>
                </c:pt>
                <c:pt idx="643">
                  <c:v>1210801</c:v>
                </c:pt>
                <c:pt idx="644">
                  <c:v>1210802</c:v>
                </c:pt>
                <c:pt idx="645">
                  <c:v>1210803</c:v>
                </c:pt>
                <c:pt idx="646">
                  <c:v>1210804</c:v>
                </c:pt>
                <c:pt idx="647">
                  <c:v>1210805</c:v>
                </c:pt>
                <c:pt idx="648">
                  <c:v>1210806</c:v>
                </c:pt>
                <c:pt idx="649">
                  <c:v>1210808</c:v>
                </c:pt>
                <c:pt idx="650">
                  <c:v>1210809</c:v>
                </c:pt>
                <c:pt idx="651">
                  <c:v>1210810</c:v>
                </c:pt>
                <c:pt idx="652">
                  <c:v>1210811</c:v>
                </c:pt>
                <c:pt idx="653">
                  <c:v>1210812</c:v>
                </c:pt>
                <c:pt idx="654">
                  <c:v>1210813</c:v>
                </c:pt>
                <c:pt idx="655">
                  <c:v>1210815</c:v>
                </c:pt>
                <c:pt idx="656">
                  <c:v>1210816</c:v>
                </c:pt>
                <c:pt idx="657">
                  <c:v>1210817</c:v>
                </c:pt>
                <c:pt idx="658">
                  <c:v>1210818</c:v>
                </c:pt>
                <c:pt idx="659">
                  <c:v>1210819</c:v>
                </c:pt>
                <c:pt idx="660">
                  <c:v>1210820</c:v>
                </c:pt>
                <c:pt idx="661">
                  <c:v>1210822</c:v>
                </c:pt>
                <c:pt idx="662">
                  <c:v>1210823</c:v>
                </c:pt>
                <c:pt idx="663">
                  <c:v>1210824</c:v>
                </c:pt>
                <c:pt idx="664">
                  <c:v>1210825</c:v>
                </c:pt>
                <c:pt idx="665">
                  <c:v>1210826</c:v>
                </c:pt>
                <c:pt idx="666">
                  <c:v>1210827</c:v>
                </c:pt>
                <c:pt idx="667">
                  <c:v>1210829</c:v>
                </c:pt>
                <c:pt idx="668">
                  <c:v>1210830</c:v>
                </c:pt>
                <c:pt idx="669">
                  <c:v>1210831</c:v>
                </c:pt>
                <c:pt idx="670">
                  <c:v>1210901</c:v>
                </c:pt>
                <c:pt idx="671">
                  <c:v>1210902</c:v>
                </c:pt>
                <c:pt idx="672">
                  <c:v>1210903</c:v>
                </c:pt>
                <c:pt idx="673">
                  <c:v>1210905</c:v>
                </c:pt>
                <c:pt idx="674">
                  <c:v>1210906</c:v>
                </c:pt>
                <c:pt idx="675">
                  <c:v>1210907</c:v>
                </c:pt>
                <c:pt idx="676">
                  <c:v>1210908</c:v>
                </c:pt>
                <c:pt idx="677">
                  <c:v>1210909</c:v>
                </c:pt>
                <c:pt idx="678">
                  <c:v>1210910</c:v>
                </c:pt>
                <c:pt idx="679">
                  <c:v>1210912</c:v>
                </c:pt>
                <c:pt idx="680">
                  <c:v>1210913</c:v>
                </c:pt>
                <c:pt idx="681">
                  <c:v>1210914</c:v>
                </c:pt>
                <c:pt idx="682">
                  <c:v>1210915</c:v>
                </c:pt>
                <c:pt idx="683">
                  <c:v>1210916</c:v>
                </c:pt>
                <c:pt idx="684">
                  <c:v>1210917</c:v>
                </c:pt>
                <c:pt idx="685">
                  <c:v>1210919</c:v>
                </c:pt>
                <c:pt idx="686">
                  <c:v>1210920</c:v>
                </c:pt>
                <c:pt idx="687">
                  <c:v>1210921</c:v>
                </c:pt>
                <c:pt idx="688">
                  <c:v>1210922</c:v>
                </c:pt>
                <c:pt idx="689">
                  <c:v>1210923</c:v>
                </c:pt>
                <c:pt idx="690">
                  <c:v>1210924</c:v>
                </c:pt>
                <c:pt idx="691">
                  <c:v>1210926</c:v>
                </c:pt>
                <c:pt idx="692">
                  <c:v>1210927</c:v>
                </c:pt>
                <c:pt idx="693">
                  <c:v>1210928</c:v>
                </c:pt>
                <c:pt idx="694">
                  <c:v>1210929</c:v>
                </c:pt>
                <c:pt idx="695">
                  <c:v>1210930</c:v>
                </c:pt>
                <c:pt idx="696">
                  <c:v>1211001</c:v>
                </c:pt>
                <c:pt idx="697">
                  <c:v>1211003</c:v>
                </c:pt>
                <c:pt idx="698">
                  <c:v>1211004</c:v>
                </c:pt>
                <c:pt idx="699">
                  <c:v>1211005</c:v>
                </c:pt>
                <c:pt idx="700">
                  <c:v>1211006</c:v>
                </c:pt>
                <c:pt idx="701">
                  <c:v>1211007</c:v>
                </c:pt>
                <c:pt idx="702">
                  <c:v>1211008</c:v>
                </c:pt>
                <c:pt idx="703">
                  <c:v>1211010</c:v>
                </c:pt>
                <c:pt idx="704">
                  <c:v>1211011</c:v>
                </c:pt>
                <c:pt idx="705">
                  <c:v>1211012</c:v>
                </c:pt>
                <c:pt idx="706">
                  <c:v>1211013</c:v>
                </c:pt>
                <c:pt idx="707">
                  <c:v>1211014</c:v>
                </c:pt>
                <c:pt idx="708">
                  <c:v>1211015</c:v>
                </c:pt>
                <c:pt idx="709">
                  <c:v>1211017</c:v>
                </c:pt>
                <c:pt idx="710">
                  <c:v>1211018</c:v>
                </c:pt>
                <c:pt idx="711">
                  <c:v>1211019</c:v>
                </c:pt>
                <c:pt idx="712">
                  <c:v>1211020</c:v>
                </c:pt>
                <c:pt idx="713">
                  <c:v>1211021</c:v>
                </c:pt>
                <c:pt idx="714">
                  <c:v>1211022</c:v>
                </c:pt>
                <c:pt idx="715">
                  <c:v>1211024</c:v>
                </c:pt>
                <c:pt idx="716">
                  <c:v>1211025</c:v>
                </c:pt>
                <c:pt idx="717">
                  <c:v>1211026</c:v>
                </c:pt>
                <c:pt idx="718">
                  <c:v>1211027</c:v>
                </c:pt>
                <c:pt idx="719">
                  <c:v>1211028</c:v>
                </c:pt>
                <c:pt idx="720">
                  <c:v>1211029</c:v>
                </c:pt>
                <c:pt idx="721">
                  <c:v>1211031</c:v>
                </c:pt>
                <c:pt idx="722">
                  <c:v>1211101</c:v>
                </c:pt>
                <c:pt idx="723">
                  <c:v>1211102</c:v>
                </c:pt>
                <c:pt idx="724">
                  <c:v>1211103</c:v>
                </c:pt>
                <c:pt idx="725">
                  <c:v>1211104</c:v>
                </c:pt>
                <c:pt idx="726">
                  <c:v>1211105</c:v>
                </c:pt>
                <c:pt idx="727">
                  <c:v>1211107</c:v>
                </c:pt>
                <c:pt idx="728">
                  <c:v>1211108</c:v>
                </c:pt>
                <c:pt idx="729">
                  <c:v>1211109</c:v>
                </c:pt>
                <c:pt idx="730">
                  <c:v>1211110</c:v>
                </c:pt>
                <c:pt idx="731">
                  <c:v>1211111</c:v>
                </c:pt>
                <c:pt idx="732">
                  <c:v>1211112</c:v>
                </c:pt>
                <c:pt idx="733">
                  <c:v>1211114</c:v>
                </c:pt>
                <c:pt idx="734">
                  <c:v>1211115</c:v>
                </c:pt>
                <c:pt idx="735">
                  <c:v>1211116</c:v>
                </c:pt>
                <c:pt idx="736">
                  <c:v>1211117</c:v>
                </c:pt>
                <c:pt idx="737">
                  <c:v>1211118</c:v>
                </c:pt>
                <c:pt idx="738">
                  <c:v>1211119</c:v>
                </c:pt>
                <c:pt idx="739">
                  <c:v>1211121</c:v>
                </c:pt>
                <c:pt idx="740">
                  <c:v>1211122</c:v>
                </c:pt>
                <c:pt idx="741">
                  <c:v>1211123</c:v>
                </c:pt>
                <c:pt idx="742">
                  <c:v>1211124</c:v>
                </c:pt>
                <c:pt idx="743">
                  <c:v>1211125</c:v>
                </c:pt>
                <c:pt idx="744">
                  <c:v>1211126</c:v>
                </c:pt>
                <c:pt idx="745">
                  <c:v>1211128</c:v>
                </c:pt>
                <c:pt idx="746">
                  <c:v>1211129</c:v>
                </c:pt>
                <c:pt idx="747">
                  <c:v>1211130</c:v>
                </c:pt>
                <c:pt idx="748">
                  <c:v>1211201</c:v>
                </c:pt>
                <c:pt idx="749">
                  <c:v>1211202</c:v>
                </c:pt>
                <c:pt idx="750">
                  <c:v>1211203</c:v>
                </c:pt>
                <c:pt idx="751">
                  <c:v>1211205</c:v>
                </c:pt>
                <c:pt idx="752">
                  <c:v>1211206</c:v>
                </c:pt>
                <c:pt idx="753">
                  <c:v>1211207</c:v>
                </c:pt>
                <c:pt idx="754">
                  <c:v>1211208</c:v>
                </c:pt>
                <c:pt idx="755">
                  <c:v>1211209</c:v>
                </c:pt>
                <c:pt idx="756">
                  <c:v>1211210</c:v>
                </c:pt>
                <c:pt idx="757">
                  <c:v>1211212</c:v>
                </c:pt>
                <c:pt idx="758">
                  <c:v>1211213</c:v>
                </c:pt>
                <c:pt idx="759">
                  <c:v>1211214</c:v>
                </c:pt>
                <c:pt idx="760">
                  <c:v>1211215</c:v>
                </c:pt>
                <c:pt idx="761">
                  <c:v>1211216</c:v>
                </c:pt>
                <c:pt idx="762">
                  <c:v>1211217</c:v>
                </c:pt>
                <c:pt idx="763">
                  <c:v>1211219</c:v>
                </c:pt>
                <c:pt idx="764">
                  <c:v>1211220</c:v>
                </c:pt>
                <c:pt idx="765">
                  <c:v>1211221</c:v>
                </c:pt>
                <c:pt idx="766">
                  <c:v>1211222</c:v>
                </c:pt>
                <c:pt idx="767">
                  <c:v>1211223</c:v>
                </c:pt>
                <c:pt idx="768">
                  <c:v>1211226</c:v>
                </c:pt>
                <c:pt idx="769">
                  <c:v>1211227</c:v>
                </c:pt>
                <c:pt idx="770">
                  <c:v>1211228</c:v>
                </c:pt>
                <c:pt idx="771">
                  <c:v>1211229</c:v>
                </c:pt>
                <c:pt idx="772">
                  <c:v>1211230</c:v>
                </c:pt>
                <c:pt idx="773">
                  <c:v>1211231</c:v>
                </c:pt>
                <c:pt idx="774">
                  <c:v>1220102</c:v>
                </c:pt>
                <c:pt idx="775">
                  <c:v>1220103</c:v>
                </c:pt>
                <c:pt idx="776">
                  <c:v>1220104</c:v>
                </c:pt>
                <c:pt idx="777">
                  <c:v>1220105</c:v>
                </c:pt>
                <c:pt idx="778">
                  <c:v>1220106</c:v>
                </c:pt>
                <c:pt idx="779">
                  <c:v>1220107</c:v>
                </c:pt>
                <c:pt idx="780">
                  <c:v>1220109</c:v>
                </c:pt>
                <c:pt idx="781">
                  <c:v>1220110</c:v>
                </c:pt>
                <c:pt idx="782">
                  <c:v>1220111</c:v>
                </c:pt>
                <c:pt idx="783">
                  <c:v>1220112</c:v>
                </c:pt>
                <c:pt idx="784">
                  <c:v>1220113</c:v>
                </c:pt>
                <c:pt idx="785">
                  <c:v>1220114</c:v>
                </c:pt>
                <c:pt idx="786">
                  <c:v>1220116</c:v>
                </c:pt>
                <c:pt idx="787">
                  <c:v>1220117</c:v>
                </c:pt>
                <c:pt idx="788">
                  <c:v>1220118</c:v>
                </c:pt>
                <c:pt idx="789">
                  <c:v>1220119</c:v>
                </c:pt>
                <c:pt idx="790">
                  <c:v>1220120</c:v>
                </c:pt>
                <c:pt idx="791">
                  <c:v>1220121</c:v>
                </c:pt>
                <c:pt idx="792">
                  <c:v>1220123</c:v>
                </c:pt>
                <c:pt idx="793">
                  <c:v>1220124</c:v>
                </c:pt>
                <c:pt idx="794">
                  <c:v>1220125</c:v>
                </c:pt>
                <c:pt idx="795">
                  <c:v>1220126</c:v>
                </c:pt>
                <c:pt idx="796">
                  <c:v>1220127</c:v>
                </c:pt>
                <c:pt idx="797">
                  <c:v>1220128</c:v>
                </c:pt>
                <c:pt idx="798">
                  <c:v>1220130</c:v>
                </c:pt>
                <c:pt idx="799">
                  <c:v>1220131</c:v>
                </c:pt>
                <c:pt idx="800">
                  <c:v>1220201</c:v>
                </c:pt>
                <c:pt idx="801">
                  <c:v>1220202</c:v>
                </c:pt>
                <c:pt idx="802">
                  <c:v>1220203</c:v>
                </c:pt>
                <c:pt idx="803">
                  <c:v>1220204</c:v>
                </c:pt>
                <c:pt idx="804">
                  <c:v>1220206</c:v>
                </c:pt>
                <c:pt idx="805">
                  <c:v>1220207</c:v>
                </c:pt>
                <c:pt idx="806">
                  <c:v>1220208</c:v>
                </c:pt>
                <c:pt idx="807">
                  <c:v>1220209</c:v>
                </c:pt>
                <c:pt idx="808">
                  <c:v>1220210</c:v>
                </c:pt>
                <c:pt idx="809">
                  <c:v>1220211</c:v>
                </c:pt>
                <c:pt idx="810">
                  <c:v>1220213</c:v>
                </c:pt>
                <c:pt idx="811">
                  <c:v>1220214</c:v>
                </c:pt>
                <c:pt idx="812">
                  <c:v>1220215</c:v>
                </c:pt>
                <c:pt idx="813">
                  <c:v>1220216</c:v>
                </c:pt>
                <c:pt idx="814">
                  <c:v>1220217</c:v>
                </c:pt>
                <c:pt idx="815">
                  <c:v>1220218</c:v>
                </c:pt>
                <c:pt idx="816">
                  <c:v>1220220</c:v>
                </c:pt>
                <c:pt idx="817">
                  <c:v>1220221</c:v>
                </c:pt>
                <c:pt idx="818">
                  <c:v>1220222</c:v>
                </c:pt>
                <c:pt idx="819">
                  <c:v>1220223</c:v>
                </c:pt>
                <c:pt idx="820">
                  <c:v>1220224</c:v>
                </c:pt>
                <c:pt idx="821">
                  <c:v>1220225</c:v>
                </c:pt>
                <c:pt idx="822">
                  <c:v>1220227</c:v>
                </c:pt>
                <c:pt idx="823">
                  <c:v>1220228</c:v>
                </c:pt>
                <c:pt idx="824">
                  <c:v>1220301</c:v>
                </c:pt>
                <c:pt idx="825">
                  <c:v>1220302</c:v>
                </c:pt>
                <c:pt idx="826">
                  <c:v>1220303</c:v>
                </c:pt>
                <c:pt idx="827">
                  <c:v>1220304</c:v>
                </c:pt>
                <c:pt idx="828">
                  <c:v>1220306</c:v>
                </c:pt>
                <c:pt idx="829">
                  <c:v>1220307</c:v>
                </c:pt>
                <c:pt idx="830">
                  <c:v>1220308</c:v>
                </c:pt>
                <c:pt idx="831">
                  <c:v>1220309</c:v>
                </c:pt>
                <c:pt idx="832">
                  <c:v>1220310</c:v>
                </c:pt>
                <c:pt idx="833">
                  <c:v>1220311</c:v>
                </c:pt>
                <c:pt idx="834">
                  <c:v>1220313</c:v>
                </c:pt>
                <c:pt idx="835">
                  <c:v>1220314</c:v>
                </c:pt>
                <c:pt idx="836">
                  <c:v>1220315</c:v>
                </c:pt>
                <c:pt idx="837">
                  <c:v>1220316</c:v>
                </c:pt>
                <c:pt idx="838">
                  <c:v>1220317</c:v>
                </c:pt>
                <c:pt idx="839">
                  <c:v>1220318</c:v>
                </c:pt>
                <c:pt idx="840">
                  <c:v>1220320</c:v>
                </c:pt>
                <c:pt idx="841">
                  <c:v>1220321</c:v>
                </c:pt>
                <c:pt idx="842">
                  <c:v>1220322</c:v>
                </c:pt>
                <c:pt idx="843">
                  <c:v>1220323</c:v>
                </c:pt>
                <c:pt idx="844">
                  <c:v>1220324</c:v>
                </c:pt>
                <c:pt idx="845">
                  <c:v>1220325</c:v>
                </c:pt>
                <c:pt idx="846">
                  <c:v>1220327</c:v>
                </c:pt>
                <c:pt idx="847">
                  <c:v>1220328</c:v>
                </c:pt>
                <c:pt idx="848">
                  <c:v>1220329</c:v>
                </c:pt>
                <c:pt idx="849">
                  <c:v>1220330</c:v>
                </c:pt>
                <c:pt idx="850">
                  <c:v>1220331</c:v>
                </c:pt>
                <c:pt idx="851">
                  <c:v>1220401</c:v>
                </c:pt>
                <c:pt idx="852">
                  <c:v>1220403</c:v>
                </c:pt>
                <c:pt idx="853">
                  <c:v>1220404</c:v>
                </c:pt>
                <c:pt idx="854">
                  <c:v>1220405</c:v>
                </c:pt>
                <c:pt idx="855">
                  <c:v>1220406</c:v>
                </c:pt>
                <c:pt idx="856">
                  <c:v>1220407</c:v>
                </c:pt>
                <c:pt idx="857">
                  <c:v>1220408</c:v>
                </c:pt>
                <c:pt idx="858">
                  <c:v>1220410</c:v>
                </c:pt>
                <c:pt idx="859">
                  <c:v>1220411</c:v>
                </c:pt>
                <c:pt idx="860">
                  <c:v>1220412</c:v>
                </c:pt>
                <c:pt idx="861">
                  <c:v>1220413</c:v>
                </c:pt>
                <c:pt idx="862">
                  <c:v>1220414</c:v>
                </c:pt>
                <c:pt idx="863">
                  <c:v>1220417</c:v>
                </c:pt>
                <c:pt idx="864">
                  <c:v>1220418</c:v>
                </c:pt>
                <c:pt idx="865">
                  <c:v>1220419</c:v>
                </c:pt>
                <c:pt idx="866">
                  <c:v>1220420</c:v>
                </c:pt>
                <c:pt idx="867">
                  <c:v>1220421</c:v>
                </c:pt>
                <c:pt idx="868">
                  <c:v>1220422</c:v>
                </c:pt>
                <c:pt idx="869">
                  <c:v>1220424</c:v>
                </c:pt>
                <c:pt idx="870">
                  <c:v>1220425</c:v>
                </c:pt>
                <c:pt idx="871">
                  <c:v>1220426</c:v>
                </c:pt>
                <c:pt idx="872">
                  <c:v>1220427</c:v>
                </c:pt>
                <c:pt idx="873">
                  <c:v>1220428</c:v>
                </c:pt>
                <c:pt idx="874">
                  <c:v>1220429</c:v>
                </c:pt>
                <c:pt idx="875">
                  <c:v>1220501</c:v>
                </c:pt>
                <c:pt idx="876">
                  <c:v>1220502</c:v>
                </c:pt>
                <c:pt idx="877">
                  <c:v>1220503</c:v>
                </c:pt>
                <c:pt idx="878">
                  <c:v>1220504</c:v>
                </c:pt>
                <c:pt idx="879">
                  <c:v>1220505</c:v>
                </c:pt>
                <c:pt idx="880">
                  <c:v>1220506</c:v>
                </c:pt>
                <c:pt idx="881">
                  <c:v>1220508</c:v>
                </c:pt>
                <c:pt idx="882">
                  <c:v>1220509</c:v>
                </c:pt>
                <c:pt idx="883">
                  <c:v>1220510</c:v>
                </c:pt>
                <c:pt idx="884">
                  <c:v>1220511</c:v>
                </c:pt>
                <c:pt idx="885">
                  <c:v>1220512</c:v>
                </c:pt>
                <c:pt idx="886">
                  <c:v>1220513</c:v>
                </c:pt>
                <c:pt idx="887">
                  <c:v>1220515</c:v>
                </c:pt>
                <c:pt idx="888">
                  <c:v>1220516</c:v>
                </c:pt>
                <c:pt idx="889">
                  <c:v>1220517</c:v>
                </c:pt>
                <c:pt idx="890">
                  <c:v>1220518</c:v>
                </c:pt>
                <c:pt idx="891">
                  <c:v>1220519</c:v>
                </c:pt>
                <c:pt idx="892">
                  <c:v>1220520</c:v>
                </c:pt>
                <c:pt idx="893">
                  <c:v>1220522</c:v>
                </c:pt>
                <c:pt idx="894">
                  <c:v>1220523</c:v>
                </c:pt>
                <c:pt idx="895">
                  <c:v>1220524</c:v>
                </c:pt>
                <c:pt idx="896">
                  <c:v>1220525</c:v>
                </c:pt>
                <c:pt idx="897">
                  <c:v>1220526</c:v>
                </c:pt>
                <c:pt idx="898">
                  <c:v>1220527</c:v>
                </c:pt>
                <c:pt idx="899">
                  <c:v>1220529</c:v>
                </c:pt>
                <c:pt idx="900">
                  <c:v>1220530</c:v>
                </c:pt>
                <c:pt idx="901">
                  <c:v>1220531</c:v>
                </c:pt>
                <c:pt idx="902">
                  <c:v>1220601</c:v>
                </c:pt>
                <c:pt idx="903">
                  <c:v>1220602</c:v>
                </c:pt>
                <c:pt idx="904">
                  <c:v>1220603</c:v>
                </c:pt>
                <c:pt idx="905">
                  <c:v>1220605</c:v>
                </c:pt>
                <c:pt idx="906">
                  <c:v>1220606</c:v>
                </c:pt>
                <c:pt idx="907">
                  <c:v>1220607</c:v>
                </c:pt>
                <c:pt idx="908">
                  <c:v>1220608</c:v>
                </c:pt>
                <c:pt idx="909">
                  <c:v>1220609</c:v>
                </c:pt>
                <c:pt idx="910">
                  <c:v>1220610</c:v>
                </c:pt>
                <c:pt idx="911">
                  <c:v>1220612</c:v>
                </c:pt>
                <c:pt idx="912">
                  <c:v>1220613</c:v>
                </c:pt>
                <c:pt idx="913">
                  <c:v>1220614</c:v>
                </c:pt>
                <c:pt idx="914">
                  <c:v>1220615</c:v>
                </c:pt>
                <c:pt idx="915">
                  <c:v>1220616</c:v>
                </c:pt>
                <c:pt idx="916">
                  <c:v>1220617</c:v>
                </c:pt>
                <c:pt idx="917">
                  <c:v>1220619</c:v>
                </c:pt>
                <c:pt idx="918">
                  <c:v>1220620</c:v>
                </c:pt>
                <c:pt idx="919">
                  <c:v>1220621</c:v>
                </c:pt>
                <c:pt idx="920">
                  <c:v>1220622</c:v>
                </c:pt>
                <c:pt idx="921">
                  <c:v>1220623</c:v>
                </c:pt>
                <c:pt idx="922">
                  <c:v>1220624</c:v>
                </c:pt>
                <c:pt idx="923">
                  <c:v>1220626</c:v>
                </c:pt>
                <c:pt idx="924">
                  <c:v>1220627</c:v>
                </c:pt>
                <c:pt idx="925">
                  <c:v>1220628</c:v>
                </c:pt>
                <c:pt idx="926">
                  <c:v>1220629</c:v>
                </c:pt>
                <c:pt idx="927">
                  <c:v>1220630</c:v>
                </c:pt>
                <c:pt idx="928">
                  <c:v>1220701</c:v>
                </c:pt>
                <c:pt idx="929">
                  <c:v>1220703</c:v>
                </c:pt>
                <c:pt idx="930">
                  <c:v>1220704</c:v>
                </c:pt>
                <c:pt idx="931">
                  <c:v>1220705</c:v>
                </c:pt>
                <c:pt idx="932">
                  <c:v>1220706</c:v>
                </c:pt>
                <c:pt idx="933">
                  <c:v>1220707</c:v>
                </c:pt>
                <c:pt idx="934">
                  <c:v>1220708</c:v>
                </c:pt>
                <c:pt idx="935">
                  <c:v>1220710</c:v>
                </c:pt>
                <c:pt idx="936">
                  <c:v>1220711</c:v>
                </c:pt>
                <c:pt idx="937">
                  <c:v>1220712</c:v>
                </c:pt>
                <c:pt idx="938">
                  <c:v>1220713</c:v>
                </c:pt>
                <c:pt idx="939">
                  <c:v>1220714</c:v>
                </c:pt>
                <c:pt idx="940">
                  <c:v>1220715</c:v>
                </c:pt>
                <c:pt idx="941">
                  <c:v>1220717</c:v>
                </c:pt>
                <c:pt idx="942">
                  <c:v>1220718</c:v>
                </c:pt>
                <c:pt idx="943">
                  <c:v>1220719</c:v>
                </c:pt>
                <c:pt idx="944">
                  <c:v>1220720</c:v>
                </c:pt>
                <c:pt idx="945">
                  <c:v>1220721</c:v>
                </c:pt>
                <c:pt idx="946">
                  <c:v>1220722</c:v>
                </c:pt>
                <c:pt idx="947">
                  <c:v>1220724</c:v>
                </c:pt>
                <c:pt idx="948">
                  <c:v>1220725</c:v>
                </c:pt>
                <c:pt idx="949">
                  <c:v>1220726</c:v>
                </c:pt>
                <c:pt idx="950">
                  <c:v>1220727</c:v>
                </c:pt>
                <c:pt idx="951">
                  <c:v>1220728</c:v>
                </c:pt>
                <c:pt idx="952">
                  <c:v>1220729</c:v>
                </c:pt>
                <c:pt idx="953">
                  <c:v>1220731</c:v>
                </c:pt>
                <c:pt idx="954">
                  <c:v>1220801</c:v>
                </c:pt>
                <c:pt idx="955">
                  <c:v>1220802</c:v>
                </c:pt>
                <c:pt idx="956">
                  <c:v>1220803</c:v>
                </c:pt>
                <c:pt idx="957">
                  <c:v>1220804</c:v>
                </c:pt>
                <c:pt idx="958">
                  <c:v>1220805</c:v>
                </c:pt>
                <c:pt idx="959">
                  <c:v>1220807</c:v>
                </c:pt>
                <c:pt idx="960">
                  <c:v>1220808</c:v>
                </c:pt>
                <c:pt idx="961">
                  <c:v>1220809</c:v>
                </c:pt>
                <c:pt idx="962">
                  <c:v>1220810</c:v>
                </c:pt>
                <c:pt idx="963">
                  <c:v>1220811</c:v>
                </c:pt>
                <c:pt idx="964">
                  <c:v>1220812</c:v>
                </c:pt>
                <c:pt idx="965">
                  <c:v>1220814</c:v>
                </c:pt>
                <c:pt idx="966">
                  <c:v>1220815</c:v>
                </c:pt>
                <c:pt idx="967">
                  <c:v>1220816</c:v>
                </c:pt>
                <c:pt idx="968">
                  <c:v>1220817</c:v>
                </c:pt>
                <c:pt idx="969">
                  <c:v>1220818</c:v>
                </c:pt>
                <c:pt idx="970">
                  <c:v>1220819</c:v>
                </c:pt>
                <c:pt idx="971">
                  <c:v>1220821</c:v>
                </c:pt>
                <c:pt idx="972">
                  <c:v>1220822</c:v>
                </c:pt>
                <c:pt idx="973">
                  <c:v>1220823</c:v>
                </c:pt>
                <c:pt idx="974">
                  <c:v>1220824</c:v>
                </c:pt>
                <c:pt idx="975">
                  <c:v>1220825</c:v>
                </c:pt>
                <c:pt idx="976">
                  <c:v>1220826</c:v>
                </c:pt>
                <c:pt idx="977">
                  <c:v>1220828</c:v>
                </c:pt>
                <c:pt idx="978">
                  <c:v>1220829</c:v>
                </c:pt>
                <c:pt idx="979">
                  <c:v>1220830</c:v>
                </c:pt>
                <c:pt idx="980">
                  <c:v>1220831</c:v>
                </c:pt>
                <c:pt idx="981">
                  <c:v>1220901</c:v>
                </c:pt>
                <c:pt idx="982">
                  <c:v>1220902</c:v>
                </c:pt>
                <c:pt idx="983">
                  <c:v>1220904</c:v>
                </c:pt>
                <c:pt idx="984">
                  <c:v>1220905</c:v>
                </c:pt>
                <c:pt idx="985">
                  <c:v>1220906</c:v>
                </c:pt>
                <c:pt idx="986">
                  <c:v>1220907</c:v>
                </c:pt>
                <c:pt idx="987">
                  <c:v>1220908</c:v>
                </c:pt>
                <c:pt idx="988">
                  <c:v>1220909</c:v>
                </c:pt>
                <c:pt idx="989">
                  <c:v>1220911</c:v>
                </c:pt>
                <c:pt idx="990">
                  <c:v>1220912</c:v>
                </c:pt>
                <c:pt idx="991">
                  <c:v>1220913</c:v>
                </c:pt>
                <c:pt idx="992">
                  <c:v>1220914</c:v>
                </c:pt>
                <c:pt idx="993">
                  <c:v>1220915</c:v>
                </c:pt>
                <c:pt idx="994">
                  <c:v>1220916</c:v>
                </c:pt>
                <c:pt idx="995">
                  <c:v>1220918</c:v>
                </c:pt>
                <c:pt idx="996">
                  <c:v>1220919</c:v>
                </c:pt>
                <c:pt idx="997">
                  <c:v>1220920</c:v>
                </c:pt>
                <c:pt idx="998">
                  <c:v>1220921</c:v>
                </c:pt>
                <c:pt idx="999">
                  <c:v>1220922</c:v>
                </c:pt>
                <c:pt idx="1000">
                  <c:v>1220923</c:v>
                </c:pt>
                <c:pt idx="1001">
                  <c:v>1220925</c:v>
                </c:pt>
                <c:pt idx="1002">
                  <c:v>1220926</c:v>
                </c:pt>
                <c:pt idx="1003">
                  <c:v>1220927</c:v>
                </c:pt>
                <c:pt idx="1004">
                  <c:v>1220928</c:v>
                </c:pt>
                <c:pt idx="1005">
                  <c:v>1220929</c:v>
                </c:pt>
                <c:pt idx="1006">
                  <c:v>1220930</c:v>
                </c:pt>
                <c:pt idx="1007">
                  <c:v>1221002</c:v>
                </c:pt>
                <c:pt idx="1008">
                  <c:v>1221003</c:v>
                </c:pt>
                <c:pt idx="1009">
                  <c:v>1221004</c:v>
                </c:pt>
                <c:pt idx="1010">
                  <c:v>1221005</c:v>
                </c:pt>
                <c:pt idx="1011">
                  <c:v>1221006</c:v>
                </c:pt>
                <c:pt idx="1012">
                  <c:v>1221007</c:v>
                </c:pt>
                <c:pt idx="1013">
                  <c:v>1221009</c:v>
                </c:pt>
                <c:pt idx="1014">
                  <c:v>1221010</c:v>
                </c:pt>
                <c:pt idx="1015">
                  <c:v>1221011</c:v>
                </c:pt>
                <c:pt idx="1016">
                  <c:v>1221012</c:v>
                </c:pt>
                <c:pt idx="1017">
                  <c:v>1221013</c:v>
                </c:pt>
                <c:pt idx="1018">
                  <c:v>1221014</c:v>
                </c:pt>
                <c:pt idx="1019">
                  <c:v>1221016</c:v>
                </c:pt>
                <c:pt idx="1020">
                  <c:v>1221017</c:v>
                </c:pt>
                <c:pt idx="1021">
                  <c:v>1221018</c:v>
                </c:pt>
                <c:pt idx="1022">
                  <c:v>1221019</c:v>
                </c:pt>
                <c:pt idx="1023">
                  <c:v>1221020</c:v>
                </c:pt>
                <c:pt idx="1024">
                  <c:v>1221021</c:v>
                </c:pt>
                <c:pt idx="1025">
                  <c:v>1221023</c:v>
                </c:pt>
                <c:pt idx="1026">
                  <c:v>1221024</c:v>
                </c:pt>
                <c:pt idx="1027">
                  <c:v>1221025</c:v>
                </c:pt>
                <c:pt idx="1028">
                  <c:v>1221026</c:v>
                </c:pt>
                <c:pt idx="1029">
                  <c:v>1221027</c:v>
                </c:pt>
                <c:pt idx="1030">
                  <c:v>1221028</c:v>
                </c:pt>
                <c:pt idx="1031">
                  <c:v>1221030</c:v>
                </c:pt>
                <c:pt idx="1032">
                  <c:v>1221031</c:v>
                </c:pt>
                <c:pt idx="1033">
                  <c:v>1221101</c:v>
                </c:pt>
                <c:pt idx="1034">
                  <c:v>1221102</c:v>
                </c:pt>
                <c:pt idx="1035">
                  <c:v>1221103</c:v>
                </c:pt>
                <c:pt idx="1036">
                  <c:v>1221104</c:v>
                </c:pt>
                <c:pt idx="1037">
                  <c:v>1221106</c:v>
                </c:pt>
                <c:pt idx="1038">
                  <c:v>1221107</c:v>
                </c:pt>
                <c:pt idx="1039">
                  <c:v>1221108</c:v>
                </c:pt>
                <c:pt idx="1040">
                  <c:v>1221109</c:v>
                </c:pt>
                <c:pt idx="1041">
                  <c:v>1221110</c:v>
                </c:pt>
                <c:pt idx="1042">
                  <c:v>1221111</c:v>
                </c:pt>
                <c:pt idx="1043">
                  <c:v>1221113</c:v>
                </c:pt>
                <c:pt idx="1044">
                  <c:v>1221114</c:v>
                </c:pt>
                <c:pt idx="1045">
                  <c:v>1221115</c:v>
                </c:pt>
                <c:pt idx="1046">
                  <c:v>1221116</c:v>
                </c:pt>
                <c:pt idx="1047">
                  <c:v>1221117</c:v>
                </c:pt>
                <c:pt idx="1048">
                  <c:v>1221118</c:v>
                </c:pt>
                <c:pt idx="1049">
                  <c:v>1221120</c:v>
                </c:pt>
                <c:pt idx="1050">
                  <c:v>1221121</c:v>
                </c:pt>
                <c:pt idx="1051">
                  <c:v>1221122</c:v>
                </c:pt>
                <c:pt idx="1052">
                  <c:v>1221123</c:v>
                </c:pt>
                <c:pt idx="1053">
                  <c:v>1221124</c:v>
                </c:pt>
                <c:pt idx="1054">
                  <c:v>1221125</c:v>
                </c:pt>
                <c:pt idx="1055">
                  <c:v>1221127</c:v>
                </c:pt>
                <c:pt idx="1056">
                  <c:v>1221128</c:v>
                </c:pt>
                <c:pt idx="1057">
                  <c:v>1221129</c:v>
                </c:pt>
                <c:pt idx="1058">
                  <c:v>1221130</c:v>
                </c:pt>
                <c:pt idx="1059">
                  <c:v>1221201</c:v>
                </c:pt>
                <c:pt idx="1060">
                  <c:v>1221202</c:v>
                </c:pt>
                <c:pt idx="1061">
                  <c:v>1221204</c:v>
                </c:pt>
                <c:pt idx="1062">
                  <c:v>1221205</c:v>
                </c:pt>
                <c:pt idx="1063">
                  <c:v>1221206</c:v>
                </c:pt>
                <c:pt idx="1064">
                  <c:v>1221207</c:v>
                </c:pt>
                <c:pt idx="1065">
                  <c:v>1221208</c:v>
                </c:pt>
                <c:pt idx="1066">
                  <c:v>1221209</c:v>
                </c:pt>
                <c:pt idx="1067">
                  <c:v>1221211</c:v>
                </c:pt>
                <c:pt idx="1068">
                  <c:v>1221212</c:v>
                </c:pt>
                <c:pt idx="1069">
                  <c:v>1221213</c:v>
                </c:pt>
                <c:pt idx="1070">
                  <c:v>1221214</c:v>
                </c:pt>
                <c:pt idx="1071">
                  <c:v>1221215</c:v>
                </c:pt>
                <c:pt idx="1072">
                  <c:v>1221216</c:v>
                </c:pt>
                <c:pt idx="1073">
                  <c:v>1221218</c:v>
                </c:pt>
                <c:pt idx="1074">
                  <c:v>1221219</c:v>
                </c:pt>
                <c:pt idx="1075">
                  <c:v>1221220</c:v>
                </c:pt>
                <c:pt idx="1076">
                  <c:v>1221221</c:v>
                </c:pt>
                <c:pt idx="1077">
                  <c:v>1221222</c:v>
                </c:pt>
                <c:pt idx="1078">
                  <c:v>1221223</c:v>
                </c:pt>
                <c:pt idx="1079">
                  <c:v>1221226</c:v>
                </c:pt>
                <c:pt idx="1080">
                  <c:v>1221227</c:v>
                </c:pt>
                <c:pt idx="1081">
                  <c:v>1221228</c:v>
                </c:pt>
                <c:pt idx="1082">
                  <c:v>1221229</c:v>
                </c:pt>
                <c:pt idx="1083">
                  <c:v>1221230</c:v>
                </c:pt>
                <c:pt idx="1084">
                  <c:v>1230102</c:v>
                </c:pt>
                <c:pt idx="1085">
                  <c:v>1230103</c:v>
                </c:pt>
                <c:pt idx="1086">
                  <c:v>1230104</c:v>
                </c:pt>
                <c:pt idx="1087">
                  <c:v>1230105</c:v>
                </c:pt>
                <c:pt idx="1088">
                  <c:v>1230106</c:v>
                </c:pt>
                <c:pt idx="1089">
                  <c:v>1230108</c:v>
                </c:pt>
                <c:pt idx="1090">
                  <c:v>1230109</c:v>
                </c:pt>
                <c:pt idx="1091">
                  <c:v>1230110</c:v>
                </c:pt>
                <c:pt idx="1092">
                  <c:v>1230111</c:v>
                </c:pt>
                <c:pt idx="1093">
                  <c:v>1230112</c:v>
                </c:pt>
                <c:pt idx="1094">
                  <c:v>1230113</c:v>
                </c:pt>
                <c:pt idx="1095">
                  <c:v>1230115</c:v>
                </c:pt>
                <c:pt idx="1096">
                  <c:v>1230116</c:v>
                </c:pt>
                <c:pt idx="1097">
                  <c:v>1230117</c:v>
                </c:pt>
                <c:pt idx="1098">
                  <c:v>1230118</c:v>
                </c:pt>
                <c:pt idx="1099">
                  <c:v>1230119</c:v>
                </c:pt>
                <c:pt idx="1100">
                  <c:v>1230120</c:v>
                </c:pt>
                <c:pt idx="1101">
                  <c:v>1230122</c:v>
                </c:pt>
                <c:pt idx="1102">
                  <c:v>1230123</c:v>
                </c:pt>
                <c:pt idx="1103">
                  <c:v>1230124</c:v>
                </c:pt>
                <c:pt idx="1104">
                  <c:v>1230125</c:v>
                </c:pt>
                <c:pt idx="1105">
                  <c:v>1230126</c:v>
                </c:pt>
                <c:pt idx="1106">
                  <c:v>1230127</c:v>
                </c:pt>
                <c:pt idx="1107">
                  <c:v>1230129</c:v>
                </c:pt>
                <c:pt idx="1108">
                  <c:v>1230130</c:v>
                </c:pt>
                <c:pt idx="1109">
                  <c:v>1230131</c:v>
                </c:pt>
                <c:pt idx="1110">
                  <c:v>1230201</c:v>
                </c:pt>
                <c:pt idx="1111">
                  <c:v>1230202</c:v>
                </c:pt>
                <c:pt idx="1112">
                  <c:v>1230203</c:v>
                </c:pt>
                <c:pt idx="1113">
                  <c:v>1230205</c:v>
                </c:pt>
                <c:pt idx="1114">
                  <c:v>1230206</c:v>
                </c:pt>
                <c:pt idx="1115">
                  <c:v>1230207</c:v>
                </c:pt>
                <c:pt idx="1116">
                  <c:v>1230208</c:v>
                </c:pt>
                <c:pt idx="1117">
                  <c:v>1230209</c:v>
                </c:pt>
                <c:pt idx="1118">
                  <c:v>1230210</c:v>
                </c:pt>
                <c:pt idx="1119">
                  <c:v>1230212</c:v>
                </c:pt>
                <c:pt idx="1120">
                  <c:v>1230213</c:v>
                </c:pt>
                <c:pt idx="1121">
                  <c:v>1230214</c:v>
                </c:pt>
                <c:pt idx="1122">
                  <c:v>1230215</c:v>
                </c:pt>
                <c:pt idx="1123">
                  <c:v>1230216</c:v>
                </c:pt>
                <c:pt idx="1124">
                  <c:v>1230217</c:v>
                </c:pt>
                <c:pt idx="1125">
                  <c:v>1230219</c:v>
                </c:pt>
                <c:pt idx="1126">
                  <c:v>1230220</c:v>
                </c:pt>
                <c:pt idx="1127">
                  <c:v>1230221</c:v>
                </c:pt>
                <c:pt idx="1128">
                  <c:v>1230222</c:v>
                </c:pt>
                <c:pt idx="1129">
                  <c:v>1230223</c:v>
                </c:pt>
                <c:pt idx="1130">
                  <c:v>1230224</c:v>
                </c:pt>
                <c:pt idx="1131">
                  <c:v>1230226</c:v>
                </c:pt>
                <c:pt idx="1132">
                  <c:v>1230227</c:v>
                </c:pt>
                <c:pt idx="1133">
                  <c:v>1230228</c:v>
                </c:pt>
                <c:pt idx="1134">
                  <c:v>1230301</c:v>
                </c:pt>
                <c:pt idx="1135">
                  <c:v>1230302</c:v>
                </c:pt>
                <c:pt idx="1136">
                  <c:v>1230303</c:v>
                </c:pt>
                <c:pt idx="1137">
                  <c:v>1230305</c:v>
                </c:pt>
                <c:pt idx="1138">
                  <c:v>1230306</c:v>
                </c:pt>
                <c:pt idx="1139">
                  <c:v>1230307</c:v>
                </c:pt>
                <c:pt idx="1140">
                  <c:v>1230308</c:v>
                </c:pt>
                <c:pt idx="1141">
                  <c:v>1230309</c:v>
                </c:pt>
                <c:pt idx="1142">
                  <c:v>1230310</c:v>
                </c:pt>
                <c:pt idx="1143">
                  <c:v>1230312</c:v>
                </c:pt>
                <c:pt idx="1144">
                  <c:v>1230313</c:v>
                </c:pt>
                <c:pt idx="1145">
                  <c:v>1230314</c:v>
                </c:pt>
                <c:pt idx="1146">
                  <c:v>1230315</c:v>
                </c:pt>
                <c:pt idx="1147">
                  <c:v>1230316</c:v>
                </c:pt>
                <c:pt idx="1148">
                  <c:v>1230317</c:v>
                </c:pt>
                <c:pt idx="1149">
                  <c:v>1230319</c:v>
                </c:pt>
                <c:pt idx="1150">
                  <c:v>1230320</c:v>
                </c:pt>
                <c:pt idx="1151">
                  <c:v>1230321</c:v>
                </c:pt>
                <c:pt idx="1152">
                  <c:v>1230322</c:v>
                </c:pt>
                <c:pt idx="1153">
                  <c:v>1230323</c:v>
                </c:pt>
                <c:pt idx="1154">
                  <c:v>1230324</c:v>
                </c:pt>
                <c:pt idx="1155">
                  <c:v>1230326</c:v>
                </c:pt>
                <c:pt idx="1156">
                  <c:v>1230327</c:v>
                </c:pt>
                <c:pt idx="1157">
                  <c:v>1230328</c:v>
                </c:pt>
                <c:pt idx="1158">
                  <c:v>1230329</c:v>
                </c:pt>
                <c:pt idx="1159">
                  <c:v>1230330</c:v>
                </c:pt>
                <c:pt idx="1160">
                  <c:v>1230331</c:v>
                </c:pt>
                <c:pt idx="1161">
                  <c:v>1230402</c:v>
                </c:pt>
                <c:pt idx="1162">
                  <c:v>1230403</c:v>
                </c:pt>
                <c:pt idx="1163">
                  <c:v>1230404</c:v>
                </c:pt>
                <c:pt idx="1164">
                  <c:v>1230405</c:v>
                </c:pt>
                <c:pt idx="1165">
                  <c:v>1230406</c:v>
                </c:pt>
                <c:pt idx="1166">
                  <c:v>1230407</c:v>
                </c:pt>
                <c:pt idx="1167">
                  <c:v>1230409</c:v>
                </c:pt>
                <c:pt idx="1168">
                  <c:v>1230410</c:v>
                </c:pt>
                <c:pt idx="1169">
                  <c:v>1230411</c:v>
                </c:pt>
                <c:pt idx="1170">
                  <c:v>1230412</c:v>
                </c:pt>
                <c:pt idx="1171">
                  <c:v>1230413</c:v>
                </c:pt>
                <c:pt idx="1172">
                  <c:v>1230414</c:v>
                </c:pt>
                <c:pt idx="1173">
                  <c:v>1230416</c:v>
                </c:pt>
                <c:pt idx="1174">
                  <c:v>1230417</c:v>
                </c:pt>
                <c:pt idx="1175">
                  <c:v>1230418</c:v>
                </c:pt>
                <c:pt idx="1176">
                  <c:v>1230419</c:v>
                </c:pt>
                <c:pt idx="1177">
                  <c:v>1230420</c:v>
                </c:pt>
                <c:pt idx="1178">
                  <c:v>1230421</c:v>
                </c:pt>
                <c:pt idx="1179">
                  <c:v>1230423</c:v>
                </c:pt>
                <c:pt idx="1180">
                  <c:v>1230424</c:v>
                </c:pt>
                <c:pt idx="1181">
                  <c:v>1230425</c:v>
                </c:pt>
                <c:pt idx="1182">
                  <c:v>1230426</c:v>
                </c:pt>
                <c:pt idx="1183">
                  <c:v>1230427</c:v>
                </c:pt>
                <c:pt idx="1184">
                  <c:v>1230428</c:v>
                </c:pt>
                <c:pt idx="1185">
                  <c:v>1230430</c:v>
                </c:pt>
                <c:pt idx="1186">
                  <c:v>1230501</c:v>
                </c:pt>
                <c:pt idx="1187">
                  <c:v>1230502</c:v>
                </c:pt>
                <c:pt idx="1188">
                  <c:v>1230503</c:v>
                </c:pt>
                <c:pt idx="1189">
                  <c:v>1230504</c:v>
                </c:pt>
                <c:pt idx="1190">
                  <c:v>1230505</c:v>
                </c:pt>
                <c:pt idx="1191">
                  <c:v>1230507</c:v>
                </c:pt>
                <c:pt idx="1192">
                  <c:v>1230508</c:v>
                </c:pt>
                <c:pt idx="1193">
                  <c:v>1230509</c:v>
                </c:pt>
                <c:pt idx="1194">
                  <c:v>1230510</c:v>
                </c:pt>
                <c:pt idx="1195">
                  <c:v>1230511</c:v>
                </c:pt>
                <c:pt idx="1196">
                  <c:v>1230512</c:v>
                </c:pt>
                <c:pt idx="1197">
                  <c:v>1230514</c:v>
                </c:pt>
                <c:pt idx="1198">
                  <c:v>1230515</c:v>
                </c:pt>
                <c:pt idx="1199">
                  <c:v>1230516</c:v>
                </c:pt>
                <c:pt idx="1200">
                  <c:v>1230517</c:v>
                </c:pt>
                <c:pt idx="1201">
                  <c:v>1230518</c:v>
                </c:pt>
                <c:pt idx="1202">
                  <c:v>1230519</c:v>
                </c:pt>
                <c:pt idx="1203">
                  <c:v>1230521</c:v>
                </c:pt>
                <c:pt idx="1204">
                  <c:v>1230522</c:v>
                </c:pt>
                <c:pt idx="1205">
                  <c:v>1230523</c:v>
                </c:pt>
                <c:pt idx="1206">
                  <c:v>1230524</c:v>
                </c:pt>
                <c:pt idx="1207">
                  <c:v>1230525</c:v>
                </c:pt>
                <c:pt idx="1208">
                  <c:v>1230526</c:v>
                </c:pt>
                <c:pt idx="1209">
                  <c:v>1230528</c:v>
                </c:pt>
                <c:pt idx="1210">
                  <c:v>1230529</c:v>
                </c:pt>
                <c:pt idx="1211">
                  <c:v>1230530</c:v>
                </c:pt>
                <c:pt idx="1212">
                  <c:v>1230531</c:v>
                </c:pt>
                <c:pt idx="1213">
                  <c:v>1230601</c:v>
                </c:pt>
                <c:pt idx="1214">
                  <c:v>1230602</c:v>
                </c:pt>
                <c:pt idx="1215">
                  <c:v>1230604</c:v>
                </c:pt>
                <c:pt idx="1216">
                  <c:v>1230605</c:v>
                </c:pt>
                <c:pt idx="1217">
                  <c:v>1230606</c:v>
                </c:pt>
                <c:pt idx="1218">
                  <c:v>1230607</c:v>
                </c:pt>
                <c:pt idx="1219">
                  <c:v>1230608</c:v>
                </c:pt>
                <c:pt idx="1220">
                  <c:v>1230609</c:v>
                </c:pt>
                <c:pt idx="1221">
                  <c:v>1230611</c:v>
                </c:pt>
                <c:pt idx="1222">
                  <c:v>1230612</c:v>
                </c:pt>
                <c:pt idx="1223">
                  <c:v>1230613</c:v>
                </c:pt>
                <c:pt idx="1224">
                  <c:v>1230614</c:v>
                </c:pt>
                <c:pt idx="1225">
                  <c:v>1230615</c:v>
                </c:pt>
                <c:pt idx="1226">
                  <c:v>1230616</c:v>
                </c:pt>
                <c:pt idx="1227">
                  <c:v>1230618</c:v>
                </c:pt>
                <c:pt idx="1228">
                  <c:v>1230619</c:v>
                </c:pt>
                <c:pt idx="1229">
                  <c:v>1230620</c:v>
                </c:pt>
                <c:pt idx="1230">
                  <c:v>1230621</c:v>
                </c:pt>
                <c:pt idx="1231">
                  <c:v>1230622</c:v>
                </c:pt>
                <c:pt idx="1232">
                  <c:v>1230623</c:v>
                </c:pt>
                <c:pt idx="1233">
                  <c:v>1230625</c:v>
                </c:pt>
                <c:pt idx="1234">
                  <c:v>1230626</c:v>
                </c:pt>
                <c:pt idx="1235">
                  <c:v>1230627</c:v>
                </c:pt>
                <c:pt idx="1236">
                  <c:v>1230628</c:v>
                </c:pt>
                <c:pt idx="1237">
                  <c:v>1230629</c:v>
                </c:pt>
                <c:pt idx="1238">
                  <c:v>1230630</c:v>
                </c:pt>
                <c:pt idx="1239">
                  <c:v>1230702</c:v>
                </c:pt>
                <c:pt idx="1240">
                  <c:v>1230703</c:v>
                </c:pt>
                <c:pt idx="1241">
                  <c:v>1230704</c:v>
                </c:pt>
                <c:pt idx="1242">
                  <c:v>1230705</c:v>
                </c:pt>
                <c:pt idx="1243">
                  <c:v>1230706</c:v>
                </c:pt>
                <c:pt idx="1244">
                  <c:v>1230707</c:v>
                </c:pt>
                <c:pt idx="1245">
                  <c:v>1230709</c:v>
                </c:pt>
                <c:pt idx="1246">
                  <c:v>1230710</c:v>
                </c:pt>
                <c:pt idx="1247">
                  <c:v>1230711</c:v>
                </c:pt>
                <c:pt idx="1248">
                  <c:v>1230712</c:v>
                </c:pt>
                <c:pt idx="1249">
                  <c:v>1230713</c:v>
                </c:pt>
                <c:pt idx="1250">
                  <c:v>1230714</c:v>
                </c:pt>
                <c:pt idx="1251">
                  <c:v>1230716</c:v>
                </c:pt>
                <c:pt idx="1252">
                  <c:v>1230717</c:v>
                </c:pt>
                <c:pt idx="1253">
                  <c:v>1230718</c:v>
                </c:pt>
                <c:pt idx="1254">
                  <c:v>1230719</c:v>
                </c:pt>
                <c:pt idx="1255">
                  <c:v>1230720</c:v>
                </c:pt>
                <c:pt idx="1256">
                  <c:v>1230721</c:v>
                </c:pt>
                <c:pt idx="1257">
                  <c:v>1230723</c:v>
                </c:pt>
                <c:pt idx="1258">
                  <c:v>1230724</c:v>
                </c:pt>
                <c:pt idx="1259">
                  <c:v>1230725</c:v>
                </c:pt>
                <c:pt idx="1260">
                  <c:v>1230726</c:v>
                </c:pt>
                <c:pt idx="1261">
                  <c:v>1230727</c:v>
                </c:pt>
                <c:pt idx="1262">
                  <c:v>1230728</c:v>
                </c:pt>
                <c:pt idx="1263">
                  <c:v>1230730</c:v>
                </c:pt>
                <c:pt idx="1264">
                  <c:v>1230731</c:v>
                </c:pt>
                <c:pt idx="1265">
                  <c:v>1230801</c:v>
                </c:pt>
                <c:pt idx="1266">
                  <c:v>1230802</c:v>
                </c:pt>
                <c:pt idx="1267">
                  <c:v>1230803</c:v>
                </c:pt>
                <c:pt idx="1268">
                  <c:v>1230804</c:v>
                </c:pt>
                <c:pt idx="1269">
                  <c:v>1230806</c:v>
                </c:pt>
                <c:pt idx="1270">
                  <c:v>1230807</c:v>
                </c:pt>
                <c:pt idx="1271">
                  <c:v>1230808</c:v>
                </c:pt>
                <c:pt idx="1272">
                  <c:v>1230809</c:v>
                </c:pt>
                <c:pt idx="1273">
                  <c:v>1230810</c:v>
                </c:pt>
                <c:pt idx="1274">
                  <c:v>1230811</c:v>
                </c:pt>
                <c:pt idx="1275">
                  <c:v>1230813</c:v>
                </c:pt>
                <c:pt idx="1276">
                  <c:v>1230814</c:v>
                </c:pt>
                <c:pt idx="1277">
                  <c:v>1230815</c:v>
                </c:pt>
                <c:pt idx="1278">
                  <c:v>1230816</c:v>
                </c:pt>
                <c:pt idx="1279">
                  <c:v>1230817</c:v>
                </c:pt>
                <c:pt idx="1280">
                  <c:v>1230818</c:v>
                </c:pt>
                <c:pt idx="1281">
                  <c:v>1230820</c:v>
                </c:pt>
                <c:pt idx="1282">
                  <c:v>1230821</c:v>
                </c:pt>
                <c:pt idx="1283">
                  <c:v>1230822</c:v>
                </c:pt>
                <c:pt idx="1284">
                  <c:v>1230823</c:v>
                </c:pt>
                <c:pt idx="1285">
                  <c:v>1230824</c:v>
                </c:pt>
                <c:pt idx="1286">
                  <c:v>1230825</c:v>
                </c:pt>
                <c:pt idx="1287">
                  <c:v>1230827</c:v>
                </c:pt>
                <c:pt idx="1288">
                  <c:v>1230828</c:v>
                </c:pt>
                <c:pt idx="1289">
                  <c:v>1230829</c:v>
                </c:pt>
                <c:pt idx="1290">
                  <c:v>1230830</c:v>
                </c:pt>
                <c:pt idx="1291">
                  <c:v>1230831</c:v>
                </c:pt>
                <c:pt idx="1292">
                  <c:v>1230901</c:v>
                </c:pt>
                <c:pt idx="1293">
                  <c:v>1230903</c:v>
                </c:pt>
                <c:pt idx="1294">
                  <c:v>1230904</c:v>
                </c:pt>
                <c:pt idx="1295">
                  <c:v>1230905</c:v>
                </c:pt>
                <c:pt idx="1296">
                  <c:v>1230906</c:v>
                </c:pt>
                <c:pt idx="1297">
                  <c:v>1230907</c:v>
                </c:pt>
                <c:pt idx="1298">
                  <c:v>1230908</c:v>
                </c:pt>
                <c:pt idx="1299">
                  <c:v>1230910</c:v>
                </c:pt>
                <c:pt idx="1300">
                  <c:v>1230911</c:v>
                </c:pt>
                <c:pt idx="1301">
                  <c:v>1230912</c:v>
                </c:pt>
                <c:pt idx="1302">
                  <c:v>1230913</c:v>
                </c:pt>
                <c:pt idx="1303">
                  <c:v>1230914</c:v>
                </c:pt>
                <c:pt idx="1304">
                  <c:v>1230915</c:v>
                </c:pt>
                <c:pt idx="1305">
                  <c:v>1230917</c:v>
                </c:pt>
                <c:pt idx="1306">
                  <c:v>1230918</c:v>
                </c:pt>
                <c:pt idx="1307">
                  <c:v>1230919</c:v>
                </c:pt>
                <c:pt idx="1308">
                  <c:v>1230920</c:v>
                </c:pt>
                <c:pt idx="1309">
                  <c:v>1230921</c:v>
                </c:pt>
                <c:pt idx="1310">
                  <c:v>1230922</c:v>
                </c:pt>
                <c:pt idx="1311">
                  <c:v>1230924</c:v>
                </c:pt>
                <c:pt idx="1312">
                  <c:v>1230925</c:v>
                </c:pt>
                <c:pt idx="1313">
                  <c:v>1230926</c:v>
                </c:pt>
                <c:pt idx="1314">
                  <c:v>1230927</c:v>
                </c:pt>
                <c:pt idx="1315">
                  <c:v>1230928</c:v>
                </c:pt>
                <c:pt idx="1316">
                  <c:v>1230929</c:v>
                </c:pt>
                <c:pt idx="1317">
                  <c:v>1231001</c:v>
                </c:pt>
                <c:pt idx="1318">
                  <c:v>1231002</c:v>
                </c:pt>
                <c:pt idx="1319">
                  <c:v>1231003</c:v>
                </c:pt>
                <c:pt idx="1320">
                  <c:v>1231004</c:v>
                </c:pt>
                <c:pt idx="1321">
                  <c:v>1231005</c:v>
                </c:pt>
                <c:pt idx="1322">
                  <c:v>1231006</c:v>
                </c:pt>
                <c:pt idx="1323">
                  <c:v>1231008</c:v>
                </c:pt>
                <c:pt idx="1324">
                  <c:v>1231009</c:v>
                </c:pt>
                <c:pt idx="1325">
                  <c:v>1231010</c:v>
                </c:pt>
                <c:pt idx="1326">
                  <c:v>1231011</c:v>
                </c:pt>
                <c:pt idx="1327">
                  <c:v>1231012</c:v>
                </c:pt>
                <c:pt idx="1328">
                  <c:v>1231013</c:v>
                </c:pt>
                <c:pt idx="1329">
                  <c:v>1231015</c:v>
                </c:pt>
                <c:pt idx="1330">
                  <c:v>1231016</c:v>
                </c:pt>
                <c:pt idx="1331">
                  <c:v>1231017</c:v>
                </c:pt>
                <c:pt idx="1332">
                  <c:v>1231018</c:v>
                </c:pt>
                <c:pt idx="1333">
                  <c:v>1231019</c:v>
                </c:pt>
                <c:pt idx="1334">
                  <c:v>1231020</c:v>
                </c:pt>
                <c:pt idx="1335">
                  <c:v>1231022</c:v>
                </c:pt>
                <c:pt idx="1336">
                  <c:v>1231023</c:v>
                </c:pt>
                <c:pt idx="1337">
                  <c:v>1231024</c:v>
                </c:pt>
                <c:pt idx="1338">
                  <c:v>1231025</c:v>
                </c:pt>
                <c:pt idx="1339">
                  <c:v>1231026</c:v>
                </c:pt>
                <c:pt idx="1340">
                  <c:v>1231027</c:v>
                </c:pt>
                <c:pt idx="1341">
                  <c:v>1231029</c:v>
                </c:pt>
                <c:pt idx="1342">
                  <c:v>1231030</c:v>
                </c:pt>
                <c:pt idx="1343">
                  <c:v>1231031</c:v>
                </c:pt>
                <c:pt idx="1344">
                  <c:v>1231101</c:v>
                </c:pt>
                <c:pt idx="1345">
                  <c:v>1231102</c:v>
                </c:pt>
                <c:pt idx="1346">
                  <c:v>1231103</c:v>
                </c:pt>
                <c:pt idx="1347">
                  <c:v>1231105</c:v>
                </c:pt>
                <c:pt idx="1348">
                  <c:v>1231106</c:v>
                </c:pt>
                <c:pt idx="1349">
                  <c:v>1231107</c:v>
                </c:pt>
                <c:pt idx="1350">
                  <c:v>1231108</c:v>
                </c:pt>
                <c:pt idx="1351">
                  <c:v>1231109</c:v>
                </c:pt>
                <c:pt idx="1352">
                  <c:v>1231110</c:v>
                </c:pt>
                <c:pt idx="1353">
                  <c:v>1231112</c:v>
                </c:pt>
                <c:pt idx="1354">
                  <c:v>1231113</c:v>
                </c:pt>
                <c:pt idx="1355">
                  <c:v>1231114</c:v>
                </c:pt>
                <c:pt idx="1356">
                  <c:v>1231115</c:v>
                </c:pt>
                <c:pt idx="1357">
                  <c:v>1231116</c:v>
                </c:pt>
                <c:pt idx="1358">
                  <c:v>1231117</c:v>
                </c:pt>
                <c:pt idx="1359">
                  <c:v>1231119</c:v>
                </c:pt>
                <c:pt idx="1360">
                  <c:v>1231120</c:v>
                </c:pt>
                <c:pt idx="1361">
                  <c:v>1231121</c:v>
                </c:pt>
                <c:pt idx="1362">
                  <c:v>1231122</c:v>
                </c:pt>
                <c:pt idx="1363">
                  <c:v>1231123</c:v>
                </c:pt>
                <c:pt idx="1364">
                  <c:v>1231124</c:v>
                </c:pt>
                <c:pt idx="1365">
                  <c:v>1231126</c:v>
                </c:pt>
                <c:pt idx="1366">
                  <c:v>1231127</c:v>
                </c:pt>
                <c:pt idx="1367">
                  <c:v>1231128</c:v>
                </c:pt>
                <c:pt idx="1368">
                  <c:v>1231129</c:v>
                </c:pt>
                <c:pt idx="1369">
                  <c:v>1231130</c:v>
                </c:pt>
                <c:pt idx="1370">
                  <c:v>1231201</c:v>
                </c:pt>
                <c:pt idx="1371">
                  <c:v>1231203</c:v>
                </c:pt>
                <c:pt idx="1372">
                  <c:v>1231204</c:v>
                </c:pt>
                <c:pt idx="1373">
                  <c:v>1231205</c:v>
                </c:pt>
                <c:pt idx="1374">
                  <c:v>1231206</c:v>
                </c:pt>
                <c:pt idx="1375">
                  <c:v>1231207</c:v>
                </c:pt>
                <c:pt idx="1376">
                  <c:v>1231208</c:v>
                </c:pt>
                <c:pt idx="1377">
                  <c:v>1231210</c:v>
                </c:pt>
                <c:pt idx="1378">
                  <c:v>1231211</c:v>
                </c:pt>
                <c:pt idx="1379">
                  <c:v>1231212</c:v>
                </c:pt>
                <c:pt idx="1380">
                  <c:v>1231213</c:v>
                </c:pt>
                <c:pt idx="1381">
                  <c:v>1231214</c:v>
                </c:pt>
                <c:pt idx="1382">
                  <c:v>1231215</c:v>
                </c:pt>
                <c:pt idx="1383">
                  <c:v>1231217</c:v>
                </c:pt>
                <c:pt idx="1384">
                  <c:v>1231218</c:v>
                </c:pt>
                <c:pt idx="1385">
                  <c:v>1231219</c:v>
                </c:pt>
                <c:pt idx="1386">
                  <c:v>1231220</c:v>
                </c:pt>
                <c:pt idx="1387">
                  <c:v>1231221</c:v>
                </c:pt>
                <c:pt idx="1388">
                  <c:v>1231222</c:v>
                </c:pt>
                <c:pt idx="1389">
                  <c:v>1231225</c:v>
                </c:pt>
                <c:pt idx="1390">
                  <c:v>1231226</c:v>
                </c:pt>
                <c:pt idx="1391">
                  <c:v>1231227</c:v>
                </c:pt>
                <c:pt idx="1392">
                  <c:v>1231228</c:v>
                </c:pt>
                <c:pt idx="1393">
                  <c:v>1231229</c:v>
                </c:pt>
                <c:pt idx="1394">
                  <c:v>1240101</c:v>
                </c:pt>
                <c:pt idx="1395">
                  <c:v>1240102</c:v>
                </c:pt>
                <c:pt idx="1396">
                  <c:v>1240103</c:v>
                </c:pt>
                <c:pt idx="1397">
                  <c:v>1240104</c:v>
                </c:pt>
                <c:pt idx="1398">
                  <c:v>1240105</c:v>
                </c:pt>
                <c:pt idx="1399">
                  <c:v>1240107</c:v>
                </c:pt>
                <c:pt idx="1400">
                  <c:v>1240108</c:v>
                </c:pt>
                <c:pt idx="1401">
                  <c:v>1240109</c:v>
                </c:pt>
                <c:pt idx="1402">
                  <c:v>1240110</c:v>
                </c:pt>
                <c:pt idx="1403">
                  <c:v>1240111</c:v>
                </c:pt>
                <c:pt idx="1404">
                  <c:v>1240112</c:v>
                </c:pt>
                <c:pt idx="1405">
                  <c:v>1240114</c:v>
                </c:pt>
                <c:pt idx="1406">
                  <c:v>1240115</c:v>
                </c:pt>
                <c:pt idx="1407">
                  <c:v>1240116</c:v>
                </c:pt>
                <c:pt idx="1408">
                  <c:v>1240117</c:v>
                </c:pt>
                <c:pt idx="1409">
                  <c:v>1240118</c:v>
                </c:pt>
                <c:pt idx="1410">
                  <c:v>1240119</c:v>
                </c:pt>
                <c:pt idx="1411">
                  <c:v>1240121</c:v>
                </c:pt>
                <c:pt idx="1412">
                  <c:v>1240122</c:v>
                </c:pt>
                <c:pt idx="1413">
                  <c:v>1240123</c:v>
                </c:pt>
                <c:pt idx="1414">
                  <c:v>1240124</c:v>
                </c:pt>
                <c:pt idx="1415">
                  <c:v>1240125</c:v>
                </c:pt>
                <c:pt idx="1416">
                  <c:v>1240126</c:v>
                </c:pt>
                <c:pt idx="1417">
                  <c:v>1240128</c:v>
                </c:pt>
                <c:pt idx="1418">
                  <c:v>1240129</c:v>
                </c:pt>
                <c:pt idx="1419">
                  <c:v>1240130</c:v>
                </c:pt>
                <c:pt idx="1420">
                  <c:v>1240131</c:v>
                </c:pt>
                <c:pt idx="1421">
                  <c:v>1240201</c:v>
                </c:pt>
                <c:pt idx="1422">
                  <c:v>1240202</c:v>
                </c:pt>
                <c:pt idx="1423">
                  <c:v>1240204</c:v>
                </c:pt>
                <c:pt idx="1424">
                  <c:v>1240205</c:v>
                </c:pt>
                <c:pt idx="1425">
                  <c:v>1240206</c:v>
                </c:pt>
                <c:pt idx="1426">
                  <c:v>1240207</c:v>
                </c:pt>
                <c:pt idx="1427">
                  <c:v>1240208</c:v>
                </c:pt>
                <c:pt idx="1428">
                  <c:v>1240209</c:v>
                </c:pt>
                <c:pt idx="1429">
                  <c:v>1240211</c:v>
                </c:pt>
                <c:pt idx="1430">
                  <c:v>1240212</c:v>
                </c:pt>
                <c:pt idx="1431">
                  <c:v>1240213</c:v>
                </c:pt>
                <c:pt idx="1432">
                  <c:v>1240214</c:v>
                </c:pt>
                <c:pt idx="1433">
                  <c:v>1240215</c:v>
                </c:pt>
                <c:pt idx="1434">
                  <c:v>1240216</c:v>
                </c:pt>
                <c:pt idx="1435">
                  <c:v>1240218</c:v>
                </c:pt>
                <c:pt idx="1436">
                  <c:v>1240219</c:v>
                </c:pt>
                <c:pt idx="1437">
                  <c:v>1240220</c:v>
                </c:pt>
                <c:pt idx="1438">
                  <c:v>1240221</c:v>
                </c:pt>
                <c:pt idx="1439">
                  <c:v>1240222</c:v>
                </c:pt>
                <c:pt idx="1440">
                  <c:v>1240223</c:v>
                </c:pt>
                <c:pt idx="1441">
                  <c:v>1240225</c:v>
                </c:pt>
                <c:pt idx="1442">
                  <c:v>1240226</c:v>
                </c:pt>
                <c:pt idx="1443">
                  <c:v>1240227</c:v>
                </c:pt>
                <c:pt idx="1444">
                  <c:v>1240228</c:v>
                </c:pt>
                <c:pt idx="1445">
                  <c:v>1240229</c:v>
                </c:pt>
                <c:pt idx="1446">
                  <c:v>1240301</c:v>
                </c:pt>
                <c:pt idx="1447">
                  <c:v>1240303</c:v>
                </c:pt>
                <c:pt idx="1448">
                  <c:v>1240304</c:v>
                </c:pt>
                <c:pt idx="1449">
                  <c:v>1240305</c:v>
                </c:pt>
                <c:pt idx="1450">
                  <c:v>1240306</c:v>
                </c:pt>
                <c:pt idx="1451">
                  <c:v>1240307</c:v>
                </c:pt>
                <c:pt idx="1452">
                  <c:v>1240308</c:v>
                </c:pt>
                <c:pt idx="1453">
                  <c:v>1240310</c:v>
                </c:pt>
                <c:pt idx="1454">
                  <c:v>1240311</c:v>
                </c:pt>
                <c:pt idx="1455">
                  <c:v>1240312</c:v>
                </c:pt>
                <c:pt idx="1456">
                  <c:v>1240313</c:v>
                </c:pt>
                <c:pt idx="1457">
                  <c:v>1240314</c:v>
                </c:pt>
                <c:pt idx="1458">
                  <c:v>1240315</c:v>
                </c:pt>
                <c:pt idx="1459">
                  <c:v>1240317</c:v>
                </c:pt>
                <c:pt idx="1460">
                  <c:v>1240318</c:v>
                </c:pt>
                <c:pt idx="1461">
                  <c:v>1240319</c:v>
                </c:pt>
                <c:pt idx="1462">
                  <c:v>1240320</c:v>
                </c:pt>
                <c:pt idx="1463">
                  <c:v>1240321</c:v>
                </c:pt>
                <c:pt idx="1464">
                  <c:v>1240322</c:v>
                </c:pt>
                <c:pt idx="1465">
                  <c:v>1240324</c:v>
                </c:pt>
                <c:pt idx="1466">
                  <c:v>1240325</c:v>
                </c:pt>
                <c:pt idx="1467">
                  <c:v>1240326</c:v>
                </c:pt>
                <c:pt idx="1468">
                  <c:v>1240327</c:v>
                </c:pt>
                <c:pt idx="1469">
                  <c:v>1240328</c:v>
                </c:pt>
                <c:pt idx="1470">
                  <c:v>1240331</c:v>
                </c:pt>
                <c:pt idx="1471">
                  <c:v>1240401</c:v>
                </c:pt>
                <c:pt idx="1472">
                  <c:v>1240402</c:v>
                </c:pt>
                <c:pt idx="1473">
                  <c:v>1240403</c:v>
                </c:pt>
                <c:pt idx="1474">
                  <c:v>1240404</c:v>
                </c:pt>
                <c:pt idx="1475">
                  <c:v>1240405</c:v>
                </c:pt>
                <c:pt idx="1476">
                  <c:v>1240407</c:v>
                </c:pt>
                <c:pt idx="1477">
                  <c:v>1240408</c:v>
                </c:pt>
                <c:pt idx="1478">
                  <c:v>1240409</c:v>
                </c:pt>
                <c:pt idx="1479">
                  <c:v>1240410</c:v>
                </c:pt>
                <c:pt idx="1480">
                  <c:v>1240411</c:v>
                </c:pt>
                <c:pt idx="1481">
                  <c:v>1240412</c:v>
                </c:pt>
                <c:pt idx="1482">
                  <c:v>1240414</c:v>
                </c:pt>
                <c:pt idx="1483">
                  <c:v>1240415</c:v>
                </c:pt>
                <c:pt idx="1484">
                  <c:v>1240416</c:v>
                </c:pt>
                <c:pt idx="1485">
                  <c:v>1240417</c:v>
                </c:pt>
                <c:pt idx="1486">
                  <c:v>1240418</c:v>
                </c:pt>
                <c:pt idx="1487">
                  <c:v>1240419</c:v>
                </c:pt>
                <c:pt idx="1488">
                  <c:v>1240421</c:v>
                </c:pt>
                <c:pt idx="1489">
                  <c:v>1240422</c:v>
                </c:pt>
                <c:pt idx="1490">
                  <c:v>1240423</c:v>
                </c:pt>
                <c:pt idx="1491">
                  <c:v>1240424</c:v>
                </c:pt>
                <c:pt idx="1492">
                  <c:v>1240425</c:v>
                </c:pt>
                <c:pt idx="1493">
                  <c:v>1240426</c:v>
                </c:pt>
                <c:pt idx="1494">
                  <c:v>1240428</c:v>
                </c:pt>
                <c:pt idx="1495">
                  <c:v>1240429</c:v>
                </c:pt>
                <c:pt idx="1496">
                  <c:v>1240430</c:v>
                </c:pt>
                <c:pt idx="1497">
                  <c:v>1240501</c:v>
                </c:pt>
                <c:pt idx="1498">
                  <c:v>1240502</c:v>
                </c:pt>
                <c:pt idx="1499">
                  <c:v>1240503</c:v>
                </c:pt>
                <c:pt idx="1500">
                  <c:v>1240505</c:v>
                </c:pt>
                <c:pt idx="1501">
                  <c:v>1240506</c:v>
                </c:pt>
                <c:pt idx="1502">
                  <c:v>1240507</c:v>
                </c:pt>
                <c:pt idx="1503">
                  <c:v>1240508</c:v>
                </c:pt>
                <c:pt idx="1504">
                  <c:v>1240509</c:v>
                </c:pt>
                <c:pt idx="1505">
                  <c:v>1240510</c:v>
                </c:pt>
                <c:pt idx="1506">
                  <c:v>1240512</c:v>
                </c:pt>
                <c:pt idx="1507">
                  <c:v>1240513</c:v>
                </c:pt>
                <c:pt idx="1508">
                  <c:v>1240514</c:v>
                </c:pt>
                <c:pt idx="1509">
                  <c:v>1240515</c:v>
                </c:pt>
                <c:pt idx="1510">
                  <c:v>1240516</c:v>
                </c:pt>
                <c:pt idx="1511">
                  <c:v>1240517</c:v>
                </c:pt>
                <c:pt idx="1512">
                  <c:v>1240519</c:v>
                </c:pt>
                <c:pt idx="1513">
                  <c:v>1240520</c:v>
                </c:pt>
                <c:pt idx="1514">
                  <c:v>1240521</c:v>
                </c:pt>
                <c:pt idx="1515">
                  <c:v>1240522</c:v>
                </c:pt>
                <c:pt idx="1516">
                  <c:v>1240523</c:v>
                </c:pt>
                <c:pt idx="1517">
                  <c:v>1240524</c:v>
                </c:pt>
                <c:pt idx="1518">
                  <c:v>1240526</c:v>
                </c:pt>
                <c:pt idx="1519">
                  <c:v>1240527</c:v>
                </c:pt>
                <c:pt idx="1520">
                  <c:v>1240528</c:v>
                </c:pt>
                <c:pt idx="1521">
                  <c:v>1240529</c:v>
                </c:pt>
                <c:pt idx="1522">
                  <c:v>1240530</c:v>
                </c:pt>
                <c:pt idx="1523">
                  <c:v>1240531</c:v>
                </c:pt>
                <c:pt idx="1524">
                  <c:v>1240602</c:v>
                </c:pt>
                <c:pt idx="1525">
                  <c:v>1240603</c:v>
                </c:pt>
                <c:pt idx="1526">
                  <c:v>1240604</c:v>
                </c:pt>
                <c:pt idx="1527">
                  <c:v>1240605</c:v>
                </c:pt>
                <c:pt idx="1528">
                  <c:v>1240606</c:v>
                </c:pt>
                <c:pt idx="1529">
                  <c:v>1240607</c:v>
                </c:pt>
                <c:pt idx="1530">
                  <c:v>1240609</c:v>
                </c:pt>
                <c:pt idx="1531">
                  <c:v>1240610</c:v>
                </c:pt>
                <c:pt idx="1532">
                  <c:v>1240611</c:v>
                </c:pt>
                <c:pt idx="1533">
                  <c:v>1240612</c:v>
                </c:pt>
                <c:pt idx="1534">
                  <c:v>1240613</c:v>
                </c:pt>
                <c:pt idx="1535">
                  <c:v>1240614</c:v>
                </c:pt>
                <c:pt idx="1536">
                  <c:v>1240616</c:v>
                </c:pt>
                <c:pt idx="1537">
                  <c:v>1240617</c:v>
                </c:pt>
                <c:pt idx="1538">
                  <c:v>1240618</c:v>
                </c:pt>
                <c:pt idx="1539">
                  <c:v>1240619</c:v>
                </c:pt>
                <c:pt idx="1540">
                  <c:v>1240620</c:v>
                </c:pt>
                <c:pt idx="1541">
                  <c:v>1240621</c:v>
                </c:pt>
              </c:numCache>
            </c:numRef>
          </c:cat>
          <c:val>
            <c:numRef>
              <c:f>Portfolio!$J$25:$J$1566</c:f>
              <c:numCache>
                <c:formatCode>General</c:formatCode>
                <c:ptCount val="1542"/>
                <c:pt idx="0">
                  <c:v>703.1</c:v>
                </c:pt>
                <c:pt idx="1">
                  <c:v>-937.5</c:v>
                </c:pt>
                <c:pt idx="2">
                  <c:v>1250</c:v>
                </c:pt>
                <c:pt idx="3">
                  <c:v>2656.25</c:v>
                </c:pt>
                <c:pt idx="4">
                  <c:v>2031.25</c:v>
                </c:pt>
                <c:pt idx="5">
                  <c:v>2734.4</c:v>
                </c:pt>
                <c:pt idx="6">
                  <c:v>2890.6</c:v>
                </c:pt>
                <c:pt idx="7">
                  <c:v>2187.5</c:v>
                </c:pt>
                <c:pt idx="8">
                  <c:v>3593.75</c:v>
                </c:pt>
                <c:pt idx="9">
                  <c:v>1796.9</c:v>
                </c:pt>
                <c:pt idx="10">
                  <c:v>2656.25</c:v>
                </c:pt>
                <c:pt idx="11">
                  <c:v>2500</c:v>
                </c:pt>
                <c:pt idx="12">
                  <c:v>1562.5</c:v>
                </c:pt>
                <c:pt idx="13">
                  <c:v>-625</c:v>
                </c:pt>
                <c:pt idx="14">
                  <c:v>234.4</c:v>
                </c:pt>
                <c:pt idx="15">
                  <c:v>1171.9000000000001</c:v>
                </c:pt>
                <c:pt idx="16">
                  <c:v>1171.9000000000001</c:v>
                </c:pt>
                <c:pt idx="17">
                  <c:v>1093.75</c:v>
                </c:pt>
                <c:pt idx="18">
                  <c:v>312.5</c:v>
                </c:pt>
                <c:pt idx="19">
                  <c:v>-156.25</c:v>
                </c:pt>
                <c:pt idx="20">
                  <c:v>-2343.75</c:v>
                </c:pt>
                <c:pt idx="21">
                  <c:v>4375</c:v>
                </c:pt>
                <c:pt idx="22">
                  <c:v>1875</c:v>
                </c:pt>
                <c:pt idx="23">
                  <c:v>-1015.6</c:v>
                </c:pt>
                <c:pt idx="24">
                  <c:v>-2265.6</c:v>
                </c:pt>
                <c:pt idx="25">
                  <c:v>-4843.75</c:v>
                </c:pt>
                <c:pt idx="26">
                  <c:v>-8750</c:v>
                </c:pt>
                <c:pt idx="27">
                  <c:v>-11640.599999999999</c:v>
                </c:pt>
                <c:pt idx="28">
                  <c:v>-10000</c:v>
                </c:pt>
                <c:pt idx="29">
                  <c:v>-10156.25</c:v>
                </c:pt>
                <c:pt idx="30">
                  <c:v>-11171.900000000001</c:v>
                </c:pt>
                <c:pt idx="31">
                  <c:v>-9843.75</c:v>
                </c:pt>
                <c:pt idx="32">
                  <c:v>-10156.25</c:v>
                </c:pt>
                <c:pt idx="33">
                  <c:v>-14453.099999999999</c:v>
                </c:pt>
                <c:pt idx="34">
                  <c:v>-13281.25</c:v>
                </c:pt>
                <c:pt idx="35">
                  <c:v>-13046.900000000001</c:v>
                </c:pt>
                <c:pt idx="36">
                  <c:v>-12265.599999999999</c:v>
                </c:pt>
                <c:pt idx="37">
                  <c:v>-14296.900000000001</c:v>
                </c:pt>
                <c:pt idx="38">
                  <c:v>-14453.099999999999</c:v>
                </c:pt>
                <c:pt idx="39">
                  <c:v>-13359.400000000001</c:v>
                </c:pt>
                <c:pt idx="40">
                  <c:v>-9296.9000000000015</c:v>
                </c:pt>
                <c:pt idx="41">
                  <c:v>-8593.75</c:v>
                </c:pt>
                <c:pt idx="42">
                  <c:v>-11640.599999999999</c:v>
                </c:pt>
                <c:pt idx="43">
                  <c:v>-10703.099999999999</c:v>
                </c:pt>
                <c:pt idx="44">
                  <c:v>-9218.75</c:v>
                </c:pt>
                <c:pt idx="45">
                  <c:v>-10937.5</c:v>
                </c:pt>
                <c:pt idx="46">
                  <c:v>-12109.400000000001</c:v>
                </c:pt>
                <c:pt idx="47">
                  <c:v>-11406.25</c:v>
                </c:pt>
                <c:pt idx="48">
                  <c:v>-10703.099999999999</c:v>
                </c:pt>
                <c:pt idx="49">
                  <c:v>-12734.400000000001</c:v>
                </c:pt>
                <c:pt idx="50">
                  <c:v>-13437.5</c:v>
                </c:pt>
                <c:pt idx="51">
                  <c:v>-10468.75</c:v>
                </c:pt>
                <c:pt idx="52">
                  <c:v>-11406.25</c:v>
                </c:pt>
                <c:pt idx="53">
                  <c:v>-11640.599999999999</c:v>
                </c:pt>
                <c:pt idx="54">
                  <c:v>-11953.099999999999</c:v>
                </c:pt>
                <c:pt idx="55">
                  <c:v>-8515.5999999999985</c:v>
                </c:pt>
                <c:pt idx="56">
                  <c:v>-9921.9000000000015</c:v>
                </c:pt>
                <c:pt idx="57">
                  <c:v>-12656.25</c:v>
                </c:pt>
                <c:pt idx="58">
                  <c:v>-9375</c:v>
                </c:pt>
                <c:pt idx="59">
                  <c:v>-10156.25</c:v>
                </c:pt>
                <c:pt idx="60">
                  <c:v>-10625</c:v>
                </c:pt>
                <c:pt idx="61">
                  <c:v>-14140.599999999999</c:v>
                </c:pt>
                <c:pt idx="62">
                  <c:v>-13828.099999999999</c:v>
                </c:pt>
                <c:pt idx="63">
                  <c:v>-12812.5</c:v>
                </c:pt>
                <c:pt idx="64">
                  <c:v>-15000</c:v>
                </c:pt>
                <c:pt idx="65">
                  <c:v>-15546.900000000001</c:v>
                </c:pt>
                <c:pt idx="66">
                  <c:v>-19062.5</c:v>
                </c:pt>
                <c:pt idx="67">
                  <c:v>-16250</c:v>
                </c:pt>
                <c:pt idx="68">
                  <c:v>-15390.599999999999</c:v>
                </c:pt>
                <c:pt idx="69">
                  <c:v>-15625</c:v>
                </c:pt>
                <c:pt idx="70">
                  <c:v>-17968.75</c:v>
                </c:pt>
                <c:pt idx="71">
                  <c:v>-18359.400000000001</c:v>
                </c:pt>
                <c:pt idx="72">
                  <c:v>-20156.25</c:v>
                </c:pt>
                <c:pt idx="73">
                  <c:v>-20546.900000000001</c:v>
                </c:pt>
                <c:pt idx="74">
                  <c:v>-17031.25</c:v>
                </c:pt>
                <c:pt idx="75">
                  <c:v>-14453.099999999999</c:v>
                </c:pt>
                <c:pt idx="76">
                  <c:v>-16562.5</c:v>
                </c:pt>
                <c:pt idx="77">
                  <c:v>-16484.400000000001</c:v>
                </c:pt>
                <c:pt idx="78">
                  <c:v>-14765.599999999999</c:v>
                </c:pt>
                <c:pt idx="79">
                  <c:v>-17265.599999999999</c:v>
                </c:pt>
                <c:pt idx="80">
                  <c:v>-18515.599999999999</c:v>
                </c:pt>
                <c:pt idx="81">
                  <c:v>-14296.900000000001</c:v>
                </c:pt>
                <c:pt idx="82">
                  <c:v>-11406.25</c:v>
                </c:pt>
                <c:pt idx="83">
                  <c:v>-12031.25</c:v>
                </c:pt>
                <c:pt idx="84">
                  <c:v>-13203.099999999999</c:v>
                </c:pt>
                <c:pt idx="85">
                  <c:v>-11328.099999999999</c:v>
                </c:pt>
                <c:pt idx="86">
                  <c:v>-11406.25</c:v>
                </c:pt>
                <c:pt idx="87">
                  <c:v>-11406.25</c:v>
                </c:pt>
                <c:pt idx="88">
                  <c:v>-12734.400000000001</c:v>
                </c:pt>
                <c:pt idx="89">
                  <c:v>-13515.599999999999</c:v>
                </c:pt>
                <c:pt idx="90">
                  <c:v>-14296.900000000001</c:v>
                </c:pt>
                <c:pt idx="91">
                  <c:v>-15468.75</c:v>
                </c:pt>
                <c:pt idx="92">
                  <c:v>-15781.25</c:v>
                </c:pt>
                <c:pt idx="93">
                  <c:v>-15390.599999999999</c:v>
                </c:pt>
                <c:pt idx="94">
                  <c:v>-14921.900000000001</c:v>
                </c:pt>
                <c:pt idx="95">
                  <c:v>-14531.25</c:v>
                </c:pt>
                <c:pt idx="96">
                  <c:v>-12812.5</c:v>
                </c:pt>
                <c:pt idx="97">
                  <c:v>-14218.75</c:v>
                </c:pt>
                <c:pt idx="98">
                  <c:v>-14375</c:v>
                </c:pt>
                <c:pt idx="99">
                  <c:v>-11015.599999999999</c:v>
                </c:pt>
                <c:pt idx="100">
                  <c:v>-12109.400000000001</c:v>
                </c:pt>
                <c:pt idx="101">
                  <c:v>-11562.5</c:v>
                </c:pt>
                <c:pt idx="102">
                  <c:v>-9531.25</c:v>
                </c:pt>
                <c:pt idx="103">
                  <c:v>-7343.75</c:v>
                </c:pt>
                <c:pt idx="104">
                  <c:v>-7265.5999999999995</c:v>
                </c:pt>
                <c:pt idx="105">
                  <c:v>-9140.5999999999985</c:v>
                </c:pt>
                <c:pt idx="106">
                  <c:v>-10937.5</c:v>
                </c:pt>
                <c:pt idx="107">
                  <c:v>-10312.5</c:v>
                </c:pt>
                <c:pt idx="108">
                  <c:v>-11171.900000000001</c:v>
                </c:pt>
                <c:pt idx="109">
                  <c:v>-11640.599999999999</c:v>
                </c:pt>
                <c:pt idx="110">
                  <c:v>-13828.099999999999</c:v>
                </c:pt>
                <c:pt idx="111">
                  <c:v>-12890.599999999999</c:v>
                </c:pt>
                <c:pt idx="112">
                  <c:v>-11953.099999999999</c:v>
                </c:pt>
                <c:pt idx="113">
                  <c:v>-12109.400000000001</c:v>
                </c:pt>
                <c:pt idx="114">
                  <c:v>-14296.900000000001</c:v>
                </c:pt>
                <c:pt idx="115">
                  <c:v>-12265.599999999999</c:v>
                </c:pt>
                <c:pt idx="116">
                  <c:v>-11953.099999999999</c:v>
                </c:pt>
                <c:pt idx="117">
                  <c:v>-12578.099999999999</c:v>
                </c:pt>
                <c:pt idx="118">
                  <c:v>-12343.75</c:v>
                </c:pt>
                <c:pt idx="119">
                  <c:v>-12187.5</c:v>
                </c:pt>
                <c:pt idx="120">
                  <c:v>-12343.75</c:v>
                </c:pt>
                <c:pt idx="121">
                  <c:v>-11640.599999999999</c:v>
                </c:pt>
                <c:pt idx="122">
                  <c:v>-11562.5</c:v>
                </c:pt>
                <c:pt idx="123">
                  <c:v>-11171.900000000001</c:v>
                </c:pt>
                <c:pt idx="124">
                  <c:v>-9921.9000000000015</c:v>
                </c:pt>
                <c:pt idx="125">
                  <c:v>-9296.9000000000015</c:v>
                </c:pt>
                <c:pt idx="126">
                  <c:v>-8281.25</c:v>
                </c:pt>
                <c:pt idx="127">
                  <c:v>-8125</c:v>
                </c:pt>
                <c:pt idx="128">
                  <c:v>-8828.0999999999985</c:v>
                </c:pt>
                <c:pt idx="129">
                  <c:v>-7265.5999999999995</c:v>
                </c:pt>
                <c:pt idx="130">
                  <c:v>-7031.25</c:v>
                </c:pt>
                <c:pt idx="131">
                  <c:v>-7265.5999999999995</c:v>
                </c:pt>
                <c:pt idx="132">
                  <c:v>-7968.75</c:v>
                </c:pt>
                <c:pt idx="133">
                  <c:v>-8203.0999999999985</c:v>
                </c:pt>
                <c:pt idx="134">
                  <c:v>-8281.25</c:v>
                </c:pt>
                <c:pt idx="135">
                  <c:v>-4843.75</c:v>
                </c:pt>
                <c:pt idx="136">
                  <c:v>-3593.75</c:v>
                </c:pt>
                <c:pt idx="137">
                  <c:v>-3671.9</c:v>
                </c:pt>
                <c:pt idx="138">
                  <c:v>-3906.25</c:v>
                </c:pt>
                <c:pt idx="139">
                  <c:v>-3515.6</c:v>
                </c:pt>
                <c:pt idx="140">
                  <c:v>-1953.1</c:v>
                </c:pt>
                <c:pt idx="141">
                  <c:v>-1640.6</c:v>
                </c:pt>
                <c:pt idx="142">
                  <c:v>-1796.9</c:v>
                </c:pt>
                <c:pt idx="143">
                  <c:v>-2109.4</c:v>
                </c:pt>
                <c:pt idx="144">
                  <c:v>-1328.1</c:v>
                </c:pt>
                <c:pt idx="145">
                  <c:v>-1250</c:v>
                </c:pt>
                <c:pt idx="146">
                  <c:v>-1328.1</c:v>
                </c:pt>
                <c:pt idx="147">
                  <c:v>-2265.6</c:v>
                </c:pt>
                <c:pt idx="148">
                  <c:v>-2421.9</c:v>
                </c:pt>
                <c:pt idx="149">
                  <c:v>-2500</c:v>
                </c:pt>
                <c:pt idx="150">
                  <c:v>-5546.9000000000005</c:v>
                </c:pt>
                <c:pt idx="151">
                  <c:v>-4453.1000000000004</c:v>
                </c:pt>
                <c:pt idx="152">
                  <c:v>-5000</c:v>
                </c:pt>
                <c:pt idx="153">
                  <c:v>-1953.1</c:v>
                </c:pt>
                <c:pt idx="154">
                  <c:v>390.6</c:v>
                </c:pt>
                <c:pt idx="155">
                  <c:v>234.4</c:v>
                </c:pt>
                <c:pt idx="156">
                  <c:v>-78.099999999999994</c:v>
                </c:pt>
                <c:pt idx="157">
                  <c:v>234.4</c:v>
                </c:pt>
                <c:pt idx="158">
                  <c:v>390.6</c:v>
                </c:pt>
                <c:pt idx="159">
                  <c:v>-1328.1</c:v>
                </c:pt>
                <c:pt idx="160">
                  <c:v>-1484.4</c:v>
                </c:pt>
                <c:pt idx="161">
                  <c:v>-1562.5</c:v>
                </c:pt>
                <c:pt idx="162">
                  <c:v>-2265.6</c:v>
                </c:pt>
                <c:pt idx="163">
                  <c:v>-2421.9</c:v>
                </c:pt>
                <c:pt idx="164">
                  <c:v>-2109.4</c:v>
                </c:pt>
                <c:pt idx="165">
                  <c:v>-1718.75</c:v>
                </c:pt>
                <c:pt idx="166">
                  <c:v>-3203.1</c:v>
                </c:pt>
                <c:pt idx="167">
                  <c:v>-3281.25</c:v>
                </c:pt>
                <c:pt idx="168">
                  <c:v>-2343.75</c:v>
                </c:pt>
                <c:pt idx="169">
                  <c:v>-2343.75</c:v>
                </c:pt>
                <c:pt idx="170">
                  <c:v>-546.9</c:v>
                </c:pt>
                <c:pt idx="171">
                  <c:v>-468.75</c:v>
                </c:pt>
                <c:pt idx="172">
                  <c:v>4375</c:v>
                </c:pt>
                <c:pt idx="173">
                  <c:v>4062.5</c:v>
                </c:pt>
                <c:pt idx="174">
                  <c:v>5234.4000000000005</c:v>
                </c:pt>
                <c:pt idx="175">
                  <c:v>6171.9000000000005</c:v>
                </c:pt>
                <c:pt idx="176">
                  <c:v>6640.5999999999995</c:v>
                </c:pt>
                <c:pt idx="177">
                  <c:v>5781.25</c:v>
                </c:pt>
                <c:pt idx="178">
                  <c:v>9140.5999999999985</c:v>
                </c:pt>
                <c:pt idx="179">
                  <c:v>8593.75</c:v>
                </c:pt>
                <c:pt idx="180">
                  <c:v>7890.5999999999995</c:v>
                </c:pt>
                <c:pt idx="181">
                  <c:v>9218.75</c:v>
                </c:pt>
                <c:pt idx="182">
                  <c:v>12890.599999999999</c:v>
                </c:pt>
                <c:pt idx="183">
                  <c:v>11640.599999999999</c:v>
                </c:pt>
                <c:pt idx="184">
                  <c:v>14218.75</c:v>
                </c:pt>
                <c:pt idx="185">
                  <c:v>12968.75</c:v>
                </c:pt>
                <c:pt idx="186">
                  <c:v>13359.400000000001</c:v>
                </c:pt>
                <c:pt idx="187">
                  <c:v>11875</c:v>
                </c:pt>
                <c:pt idx="188">
                  <c:v>9843.75</c:v>
                </c:pt>
                <c:pt idx="189">
                  <c:v>10234.400000000001</c:v>
                </c:pt>
                <c:pt idx="190">
                  <c:v>9140.5999999999985</c:v>
                </c:pt>
                <c:pt idx="191">
                  <c:v>9062.5</c:v>
                </c:pt>
                <c:pt idx="192">
                  <c:v>10937.5</c:v>
                </c:pt>
                <c:pt idx="193">
                  <c:v>10078.099999999999</c:v>
                </c:pt>
                <c:pt idx="194">
                  <c:v>9062.5</c:v>
                </c:pt>
                <c:pt idx="195">
                  <c:v>10078.099999999999</c:v>
                </c:pt>
                <c:pt idx="196">
                  <c:v>12656.25</c:v>
                </c:pt>
                <c:pt idx="197">
                  <c:v>12734.400000000001</c:v>
                </c:pt>
                <c:pt idx="198">
                  <c:v>14062.5</c:v>
                </c:pt>
                <c:pt idx="199">
                  <c:v>16015.599999999999</c:v>
                </c:pt>
                <c:pt idx="200">
                  <c:v>11875</c:v>
                </c:pt>
                <c:pt idx="201">
                  <c:v>12734.400000000001</c:v>
                </c:pt>
                <c:pt idx="202">
                  <c:v>18984.400000000001</c:v>
                </c:pt>
                <c:pt idx="203">
                  <c:v>19687.5</c:v>
                </c:pt>
                <c:pt idx="204">
                  <c:v>18046.900000000001</c:v>
                </c:pt>
                <c:pt idx="205">
                  <c:v>24765.599999999999</c:v>
                </c:pt>
                <c:pt idx="206">
                  <c:v>24062.5</c:v>
                </c:pt>
                <c:pt idx="207">
                  <c:v>26328.1</c:v>
                </c:pt>
                <c:pt idx="208">
                  <c:v>36406.25</c:v>
                </c:pt>
                <c:pt idx="209">
                  <c:v>37187.5</c:v>
                </c:pt>
                <c:pt idx="210">
                  <c:v>42265.600000000006</c:v>
                </c:pt>
                <c:pt idx="211">
                  <c:v>39921.9</c:v>
                </c:pt>
                <c:pt idx="212">
                  <c:v>42031.25</c:v>
                </c:pt>
                <c:pt idx="213">
                  <c:v>31406.25</c:v>
                </c:pt>
                <c:pt idx="214">
                  <c:v>15703.099999999999</c:v>
                </c:pt>
                <c:pt idx="215">
                  <c:v>12890.599999999999</c:v>
                </c:pt>
                <c:pt idx="216">
                  <c:v>19218.75</c:v>
                </c:pt>
                <c:pt idx="217">
                  <c:v>27578.1</c:v>
                </c:pt>
                <c:pt idx="218">
                  <c:v>36484.400000000001</c:v>
                </c:pt>
                <c:pt idx="219">
                  <c:v>35000</c:v>
                </c:pt>
                <c:pt idx="220">
                  <c:v>45859.399999999994</c:v>
                </c:pt>
                <c:pt idx="221">
                  <c:v>44062.5</c:v>
                </c:pt>
                <c:pt idx="222">
                  <c:v>45703.100000000006</c:v>
                </c:pt>
                <c:pt idx="223">
                  <c:v>46015.600000000006</c:v>
                </c:pt>
                <c:pt idx="224">
                  <c:v>45625</c:v>
                </c:pt>
                <c:pt idx="225">
                  <c:v>45703.100000000006</c:v>
                </c:pt>
                <c:pt idx="226">
                  <c:v>51093.75</c:v>
                </c:pt>
                <c:pt idx="227">
                  <c:v>51250</c:v>
                </c:pt>
                <c:pt idx="228">
                  <c:v>50390.600000000006</c:v>
                </c:pt>
                <c:pt idx="229">
                  <c:v>52578.100000000006</c:v>
                </c:pt>
                <c:pt idx="230">
                  <c:v>51875</c:v>
                </c:pt>
                <c:pt idx="231">
                  <c:v>50546.899999999994</c:v>
                </c:pt>
                <c:pt idx="232">
                  <c:v>49218.75</c:v>
                </c:pt>
                <c:pt idx="233">
                  <c:v>48046.899999999994</c:v>
                </c:pt>
                <c:pt idx="234">
                  <c:v>45625</c:v>
                </c:pt>
                <c:pt idx="235">
                  <c:v>41718.75</c:v>
                </c:pt>
                <c:pt idx="236">
                  <c:v>41875</c:v>
                </c:pt>
                <c:pt idx="237">
                  <c:v>41406.25</c:v>
                </c:pt>
                <c:pt idx="238">
                  <c:v>41015.600000000006</c:v>
                </c:pt>
                <c:pt idx="239">
                  <c:v>42031.25</c:v>
                </c:pt>
                <c:pt idx="240">
                  <c:v>40703.1</c:v>
                </c:pt>
                <c:pt idx="241">
                  <c:v>44765.600000000006</c:v>
                </c:pt>
                <c:pt idx="242">
                  <c:v>42734.399999999994</c:v>
                </c:pt>
                <c:pt idx="243">
                  <c:v>44609.399999999994</c:v>
                </c:pt>
                <c:pt idx="244">
                  <c:v>44687.5</c:v>
                </c:pt>
                <c:pt idx="245">
                  <c:v>45703.100000000006</c:v>
                </c:pt>
                <c:pt idx="246">
                  <c:v>46875</c:v>
                </c:pt>
                <c:pt idx="247">
                  <c:v>46875</c:v>
                </c:pt>
                <c:pt idx="248">
                  <c:v>46875</c:v>
                </c:pt>
                <c:pt idx="249">
                  <c:v>47265.600000000006</c:v>
                </c:pt>
                <c:pt idx="250">
                  <c:v>48281.25</c:v>
                </c:pt>
                <c:pt idx="251">
                  <c:v>49062.5</c:v>
                </c:pt>
                <c:pt idx="252">
                  <c:v>50000</c:v>
                </c:pt>
                <c:pt idx="253">
                  <c:v>50625</c:v>
                </c:pt>
                <c:pt idx="254">
                  <c:v>50546.899999999994</c:v>
                </c:pt>
                <c:pt idx="255">
                  <c:v>49140.600000000006</c:v>
                </c:pt>
                <c:pt idx="256">
                  <c:v>49062.5</c:v>
                </c:pt>
                <c:pt idx="257">
                  <c:v>50546.899999999994</c:v>
                </c:pt>
                <c:pt idx="258">
                  <c:v>51171.899999999994</c:v>
                </c:pt>
                <c:pt idx="259">
                  <c:v>51406.25</c:v>
                </c:pt>
                <c:pt idx="260">
                  <c:v>53203.100000000006</c:v>
                </c:pt>
                <c:pt idx="261">
                  <c:v>54218.75</c:v>
                </c:pt>
                <c:pt idx="262">
                  <c:v>54296.899999999994</c:v>
                </c:pt>
                <c:pt idx="263">
                  <c:v>53281.25</c:v>
                </c:pt>
                <c:pt idx="264">
                  <c:v>49609.399999999994</c:v>
                </c:pt>
                <c:pt idx="265">
                  <c:v>47500</c:v>
                </c:pt>
                <c:pt idx="266">
                  <c:v>47890.600000000006</c:v>
                </c:pt>
                <c:pt idx="267">
                  <c:v>47656.25</c:v>
                </c:pt>
                <c:pt idx="268">
                  <c:v>47500</c:v>
                </c:pt>
                <c:pt idx="269">
                  <c:v>50078.100000000006</c:v>
                </c:pt>
                <c:pt idx="270">
                  <c:v>50000</c:v>
                </c:pt>
                <c:pt idx="271">
                  <c:v>48125</c:v>
                </c:pt>
                <c:pt idx="272">
                  <c:v>48281.25</c:v>
                </c:pt>
                <c:pt idx="273">
                  <c:v>47890.600000000006</c:v>
                </c:pt>
                <c:pt idx="274">
                  <c:v>48046.899999999994</c:v>
                </c:pt>
                <c:pt idx="275">
                  <c:v>46953.100000000006</c:v>
                </c:pt>
                <c:pt idx="276">
                  <c:v>45156.25</c:v>
                </c:pt>
                <c:pt idx="277">
                  <c:v>43984.399999999994</c:v>
                </c:pt>
                <c:pt idx="278">
                  <c:v>42109.399999999994</c:v>
                </c:pt>
                <c:pt idx="279">
                  <c:v>42421.899999999994</c:v>
                </c:pt>
                <c:pt idx="280">
                  <c:v>42031.25</c:v>
                </c:pt>
                <c:pt idx="281">
                  <c:v>40312.5</c:v>
                </c:pt>
                <c:pt idx="282">
                  <c:v>41953.100000000006</c:v>
                </c:pt>
                <c:pt idx="283">
                  <c:v>43671.899999999994</c:v>
                </c:pt>
                <c:pt idx="284">
                  <c:v>46796.899999999994</c:v>
                </c:pt>
                <c:pt idx="285">
                  <c:v>49921.899999999994</c:v>
                </c:pt>
                <c:pt idx="286">
                  <c:v>49765.600000000006</c:v>
                </c:pt>
                <c:pt idx="287">
                  <c:v>51328.100000000006</c:v>
                </c:pt>
                <c:pt idx="288">
                  <c:v>52031.25</c:v>
                </c:pt>
                <c:pt idx="289">
                  <c:v>56796.899999999994</c:v>
                </c:pt>
                <c:pt idx="290">
                  <c:v>56875</c:v>
                </c:pt>
                <c:pt idx="291">
                  <c:v>57187.5</c:v>
                </c:pt>
                <c:pt idx="292">
                  <c:v>58359.399999999994</c:v>
                </c:pt>
                <c:pt idx="293">
                  <c:v>58593.75</c:v>
                </c:pt>
                <c:pt idx="294">
                  <c:v>57890.600000000006</c:v>
                </c:pt>
                <c:pt idx="295">
                  <c:v>58515.600000000006</c:v>
                </c:pt>
                <c:pt idx="296">
                  <c:v>58593.75</c:v>
                </c:pt>
                <c:pt idx="297">
                  <c:v>56250</c:v>
                </c:pt>
                <c:pt idx="298">
                  <c:v>56328.100000000006</c:v>
                </c:pt>
                <c:pt idx="299">
                  <c:v>55234.399999999994</c:v>
                </c:pt>
                <c:pt idx="300">
                  <c:v>54062.5</c:v>
                </c:pt>
                <c:pt idx="301">
                  <c:v>54218.75</c:v>
                </c:pt>
                <c:pt idx="302">
                  <c:v>53984.399999999994</c:v>
                </c:pt>
                <c:pt idx="303">
                  <c:v>55703.100000000006</c:v>
                </c:pt>
                <c:pt idx="304">
                  <c:v>55625</c:v>
                </c:pt>
                <c:pt idx="305">
                  <c:v>56171.899999999994</c:v>
                </c:pt>
                <c:pt idx="306">
                  <c:v>55859.399999999994</c:v>
                </c:pt>
                <c:pt idx="307">
                  <c:v>55937.5</c:v>
                </c:pt>
                <c:pt idx="308">
                  <c:v>56406.25</c:v>
                </c:pt>
                <c:pt idx="309">
                  <c:v>56093.75</c:v>
                </c:pt>
                <c:pt idx="310">
                  <c:v>56875</c:v>
                </c:pt>
                <c:pt idx="311">
                  <c:v>56328.100000000006</c:v>
                </c:pt>
                <c:pt idx="312">
                  <c:v>55625</c:v>
                </c:pt>
                <c:pt idx="313">
                  <c:v>56015.600000000006</c:v>
                </c:pt>
                <c:pt idx="314">
                  <c:v>56640.600000000006</c:v>
                </c:pt>
                <c:pt idx="315">
                  <c:v>55625</c:v>
                </c:pt>
                <c:pt idx="316">
                  <c:v>55625</c:v>
                </c:pt>
                <c:pt idx="317">
                  <c:v>54453.100000000006</c:v>
                </c:pt>
                <c:pt idx="318">
                  <c:v>53125</c:v>
                </c:pt>
                <c:pt idx="319">
                  <c:v>51640.600000000006</c:v>
                </c:pt>
                <c:pt idx="320">
                  <c:v>52187.5</c:v>
                </c:pt>
                <c:pt idx="321">
                  <c:v>51875</c:v>
                </c:pt>
                <c:pt idx="322">
                  <c:v>51484.399999999994</c:v>
                </c:pt>
                <c:pt idx="323">
                  <c:v>51250</c:v>
                </c:pt>
                <c:pt idx="324">
                  <c:v>51406.25</c:v>
                </c:pt>
                <c:pt idx="325">
                  <c:v>51640.600000000006</c:v>
                </c:pt>
                <c:pt idx="326">
                  <c:v>51328.100000000006</c:v>
                </c:pt>
                <c:pt idx="327">
                  <c:v>50390.600000000006</c:v>
                </c:pt>
                <c:pt idx="328">
                  <c:v>50312.5</c:v>
                </c:pt>
                <c:pt idx="329">
                  <c:v>51718.75</c:v>
                </c:pt>
                <c:pt idx="330">
                  <c:v>51640.600000000006</c:v>
                </c:pt>
                <c:pt idx="331">
                  <c:v>51093.75</c:v>
                </c:pt>
                <c:pt idx="332">
                  <c:v>52734.399999999994</c:v>
                </c:pt>
                <c:pt idx="333">
                  <c:v>51406.25</c:v>
                </c:pt>
                <c:pt idx="334">
                  <c:v>51953.100000000006</c:v>
                </c:pt>
                <c:pt idx="335">
                  <c:v>51953.100000000006</c:v>
                </c:pt>
                <c:pt idx="336">
                  <c:v>52187.5</c:v>
                </c:pt>
                <c:pt idx="337">
                  <c:v>52031.25</c:v>
                </c:pt>
                <c:pt idx="338">
                  <c:v>50859.399999999994</c:v>
                </c:pt>
                <c:pt idx="339">
                  <c:v>51171.899999999994</c:v>
                </c:pt>
                <c:pt idx="340">
                  <c:v>51562.5</c:v>
                </c:pt>
                <c:pt idx="341">
                  <c:v>49609.399999999994</c:v>
                </c:pt>
                <c:pt idx="342">
                  <c:v>50390.600000000006</c:v>
                </c:pt>
                <c:pt idx="343">
                  <c:v>50390.600000000006</c:v>
                </c:pt>
                <c:pt idx="344">
                  <c:v>51953.100000000006</c:v>
                </c:pt>
                <c:pt idx="345">
                  <c:v>50937.5</c:v>
                </c:pt>
                <c:pt idx="346">
                  <c:v>51406.25</c:v>
                </c:pt>
                <c:pt idx="347">
                  <c:v>52265.600000000006</c:v>
                </c:pt>
                <c:pt idx="348">
                  <c:v>51015.600000000006</c:v>
                </c:pt>
                <c:pt idx="349">
                  <c:v>50234.399999999994</c:v>
                </c:pt>
                <c:pt idx="350">
                  <c:v>50156.25</c:v>
                </c:pt>
                <c:pt idx="351">
                  <c:v>50859.399999999994</c:v>
                </c:pt>
                <c:pt idx="352">
                  <c:v>51171.899999999994</c:v>
                </c:pt>
                <c:pt idx="353">
                  <c:v>50859.399999999994</c:v>
                </c:pt>
                <c:pt idx="354">
                  <c:v>52500</c:v>
                </c:pt>
                <c:pt idx="355">
                  <c:v>50859.399999999994</c:v>
                </c:pt>
                <c:pt idx="356">
                  <c:v>49843.75</c:v>
                </c:pt>
                <c:pt idx="357">
                  <c:v>49843.75</c:v>
                </c:pt>
                <c:pt idx="358">
                  <c:v>49296.899999999994</c:v>
                </c:pt>
                <c:pt idx="359">
                  <c:v>49765.600000000006</c:v>
                </c:pt>
                <c:pt idx="360">
                  <c:v>49062.5</c:v>
                </c:pt>
                <c:pt idx="361">
                  <c:v>49765.600000000006</c:v>
                </c:pt>
                <c:pt idx="362">
                  <c:v>50546.899999999994</c:v>
                </c:pt>
                <c:pt idx="363">
                  <c:v>52031.25</c:v>
                </c:pt>
                <c:pt idx="364">
                  <c:v>52187.5</c:v>
                </c:pt>
                <c:pt idx="365">
                  <c:v>51718.75</c:v>
                </c:pt>
                <c:pt idx="366">
                  <c:v>51562.5</c:v>
                </c:pt>
                <c:pt idx="367">
                  <c:v>50781.25</c:v>
                </c:pt>
                <c:pt idx="368">
                  <c:v>50468.75</c:v>
                </c:pt>
                <c:pt idx="369">
                  <c:v>50937.5</c:v>
                </c:pt>
                <c:pt idx="370">
                  <c:v>51015.600000000006</c:v>
                </c:pt>
                <c:pt idx="371">
                  <c:v>50000</c:v>
                </c:pt>
                <c:pt idx="372">
                  <c:v>48906.25</c:v>
                </c:pt>
                <c:pt idx="373">
                  <c:v>48437.5</c:v>
                </c:pt>
                <c:pt idx="374">
                  <c:v>48125</c:v>
                </c:pt>
                <c:pt idx="375">
                  <c:v>47968.75</c:v>
                </c:pt>
                <c:pt idx="376">
                  <c:v>48046.899999999994</c:v>
                </c:pt>
                <c:pt idx="377">
                  <c:v>48750</c:v>
                </c:pt>
                <c:pt idx="378">
                  <c:v>47187.5</c:v>
                </c:pt>
                <c:pt idx="379">
                  <c:v>47109.399999999994</c:v>
                </c:pt>
                <c:pt idx="380">
                  <c:v>46406.25</c:v>
                </c:pt>
                <c:pt idx="381">
                  <c:v>47031.25</c:v>
                </c:pt>
                <c:pt idx="382">
                  <c:v>47031.25</c:v>
                </c:pt>
                <c:pt idx="383">
                  <c:v>45703.100000000006</c:v>
                </c:pt>
                <c:pt idx="384">
                  <c:v>46093.75</c:v>
                </c:pt>
                <c:pt idx="385">
                  <c:v>46640.600000000006</c:v>
                </c:pt>
                <c:pt idx="386">
                  <c:v>46875</c:v>
                </c:pt>
                <c:pt idx="387">
                  <c:v>46640.600000000006</c:v>
                </c:pt>
                <c:pt idx="388">
                  <c:v>46718.75</c:v>
                </c:pt>
                <c:pt idx="389">
                  <c:v>49062.5</c:v>
                </c:pt>
                <c:pt idx="390">
                  <c:v>48593.75</c:v>
                </c:pt>
                <c:pt idx="391">
                  <c:v>49609.399999999994</c:v>
                </c:pt>
                <c:pt idx="392">
                  <c:v>49140.600000000006</c:v>
                </c:pt>
                <c:pt idx="393">
                  <c:v>46484.399999999994</c:v>
                </c:pt>
                <c:pt idx="394">
                  <c:v>46406.25</c:v>
                </c:pt>
                <c:pt idx="395">
                  <c:v>46328.100000000006</c:v>
                </c:pt>
                <c:pt idx="396">
                  <c:v>46250</c:v>
                </c:pt>
                <c:pt idx="397">
                  <c:v>46718.75</c:v>
                </c:pt>
                <c:pt idx="398">
                  <c:v>46953.100000000006</c:v>
                </c:pt>
                <c:pt idx="399">
                  <c:v>45390.600000000006</c:v>
                </c:pt>
                <c:pt idx="400">
                  <c:v>45703.100000000006</c:v>
                </c:pt>
                <c:pt idx="401">
                  <c:v>45937.5</c:v>
                </c:pt>
                <c:pt idx="402">
                  <c:v>48046.899999999994</c:v>
                </c:pt>
                <c:pt idx="403">
                  <c:v>47343.75</c:v>
                </c:pt>
                <c:pt idx="404">
                  <c:v>47421.899999999994</c:v>
                </c:pt>
                <c:pt idx="405">
                  <c:v>46953.100000000006</c:v>
                </c:pt>
                <c:pt idx="406">
                  <c:v>46562.5</c:v>
                </c:pt>
                <c:pt idx="407">
                  <c:v>46328.100000000006</c:v>
                </c:pt>
                <c:pt idx="408">
                  <c:v>47500</c:v>
                </c:pt>
                <c:pt idx="409">
                  <c:v>46718.75</c:v>
                </c:pt>
                <c:pt idx="410">
                  <c:v>47109.399999999994</c:v>
                </c:pt>
                <c:pt idx="411">
                  <c:v>48593.75</c:v>
                </c:pt>
                <c:pt idx="412">
                  <c:v>48750</c:v>
                </c:pt>
                <c:pt idx="413">
                  <c:v>48281.25</c:v>
                </c:pt>
                <c:pt idx="414">
                  <c:v>44140.600000000006</c:v>
                </c:pt>
                <c:pt idx="415">
                  <c:v>43906.25</c:v>
                </c:pt>
                <c:pt idx="416">
                  <c:v>43593.75</c:v>
                </c:pt>
                <c:pt idx="417">
                  <c:v>45546.899999999994</c:v>
                </c:pt>
                <c:pt idx="418">
                  <c:v>45078.100000000006</c:v>
                </c:pt>
                <c:pt idx="419">
                  <c:v>49062.5</c:v>
                </c:pt>
                <c:pt idx="420">
                  <c:v>51562.5</c:v>
                </c:pt>
                <c:pt idx="421">
                  <c:v>51875</c:v>
                </c:pt>
                <c:pt idx="422">
                  <c:v>54218.75</c:v>
                </c:pt>
                <c:pt idx="423">
                  <c:v>53203.100000000006</c:v>
                </c:pt>
                <c:pt idx="424">
                  <c:v>53046.899999999994</c:v>
                </c:pt>
                <c:pt idx="425">
                  <c:v>53593.75</c:v>
                </c:pt>
                <c:pt idx="426">
                  <c:v>54375</c:v>
                </c:pt>
                <c:pt idx="427">
                  <c:v>52812.5</c:v>
                </c:pt>
                <c:pt idx="428">
                  <c:v>52031.25</c:v>
                </c:pt>
                <c:pt idx="429">
                  <c:v>52031.25</c:v>
                </c:pt>
                <c:pt idx="430">
                  <c:v>52109.399999999994</c:v>
                </c:pt>
                <c:pt idx="431">
                  <c:v>53125</c:v>
                </c:pt>
                <c:pt idx="432">
                  <c:v>53437.5</c:v>
                </c:pt>
                <c:pt idx="433">
                  <c:v>52656.25</c:v>
                </c:pt>
                <c:pt idx="434">
                  <c:v>53203.100000000006</c:v>
                </c:pt>
                <c:pt idx="435">
                  <c:v>53593.75</c:v>
                </c:pt>
                <c:pt idx="436">
                  <c:v>53828.100000000006</c:v>
                </c:pt>
                <c:pt idx="437">
                  <c:v>52812.5</c:v>
                </c:pt>
                <c:pt idx="438">
                  <c:v>55468.75</c:v>
                </c:pt>
                <c:pt idx="439">
                  <c:v>56093.75</c:v>
                </c:pt>
                <c:pt idx="440">
                  <c:v>56484.399999999994</c:v>
                </c:pt>
                <c:pt idx="441">
                  <c:v>53437.5</c:v>
                </c:pt>
                <c:pt idx="442">
                  <c:v>52890.600000000006</c:v>
                </c:pt>
                <c:pt idx="443">
                  <c:v>52343.75</c:v>
                </c:pt>
                <c:pt idx="444">
                  <c:v>52031.25</c:v>
                </c:pt>
                <c:pt idx="445">
                  <c:v>50859.399999999994</c:v>
                </c:pt>
                <c:pt idx="446">
                  <c:v>46796.899999999994</c:v>
                </c:pt>
                <c:pt idx="447">
                  <c:v>44687.5</c:v>
                </c:pt>
                <c:pt idx="448">
                  <c:v>44765.600000000006</c:v>
                </c:pt>
                <c:pt idx="449">
                  <c:v>43359.399999999994</c:v>
                </c:pt>
                <c:pt idx="450">
                  <c:v>42968.75</c:v>
                </c:pt>
                <c:pt idx="451">
                  <c:v>43515.600000000006</c:v>
                </c:pt>
                <c:pt idx="452">
                  <c:v>40625</c:v>
                </c:pt>
                <c:pt idx="453">
                  <c:v>41093.75</c:v>
                </c:pt>
                <c:pt idx="454">
                  <c:v>40781.25</c:v>
                </c:pt>
                <c:pt idx="455">
                  <c:v>40937.5</c:v>
                </c:pt>
                <c:pt idx="456">
                  <c:v>41015.600000000006</c:v>
                </c:pt>
                <c:pt idx="457">
                  <c:v>41015.600000000006</c:v>
                </c:pt>
                <c:pt idx="458">
                  <c:v>40781.25</c:v>
                </c:pt>
                <c:pt idx="459">
                  <c:v>40312.5</c:v>
                </c:pt>
                <c:pt idx="460">
                  <c:v>39218.75</c:v>
                </c:pt>
                <c:pt idx="461">
                  <c:v>38984.400000000001</c:v>
                </c:pt>
                <c:pt idx="462">
                  <c:v>39296.9</c:v>
                </c:pt>
                <c:pt idx="463">
                  <c:v>38515.599999999999</c:v>
                </c:pt>
                <c:pt idx="464">
                  <c:v>38046.9</c:v>
                </c:pt>
                <c:pt idx="465">
                  <c:v>36796.9</c:v>
                </c:pt>
                <c:pt idx="466">
                  <c:v>38984.400000000001</c:v>
                </c:pt>
                <c:pt idx="467">
                  <c:v>40468.75</c:v>
                </c:pt>
                <c:pt idx="468">
                  <c:v>42500</c:v>
                </c:pt>
                <c:pt idx="469">
                  <c:v>41328.100000000006</c:v>
                </c:pt>
                <c:pt idx="470">
                  <c:v>41171.899999999994</c:v>
                </c:pt>
                <c:pt idx="471">
                  <c:v>42812.5</c:v>
                </c:pt>
                <c:pt idx="472">
                  <c:v>41796.899999999994</c:v>
                </c:pt>
                <c:pt idx="473">
                  <c:v>41093.75</c:v>
                </c:pt>
                <c:pt idx="474">
                  <c:v>42109.399999999994</c:v>
                </c:pt>
                <c:pt idx="475">
                  <c:v>42968.75</c:v>
                </c:pt>
                <c:pt idx="476">
                  <c:v>43125</c:v>
                </c:pt>
                <c:pt idx="477">
                  <c:v>43125</c:v>
                </c:pt>
                <c:pt idx="478">
                  <c:v>42890.600000000006</c:v>
                </c:pt>
                <c:pt idx="479">
                  <c:v>42187.5</c:v>
                </c:pt>
                <c:pt idx="480">
                  <c:v>41796.899999999994</c:v>
                </c:pt>
                <c:pt idx="481">
                  <c:v>41093.75</c:v>
                </c:pt>
                <c:pt idx="482">
                  <c:v>41093.75</c:v>
                </c:pt>
                <c:pt idx="483">
                  <c:v>43359.399999999994</c:v>
                </c:pt>
                <c:pt idx="484">
                  <c:v>42031.25</c:v>
                </c:pt>
                <c:pt idx="485">
                  <c:v>42187.5</c:v>
                </c:pt>
                <c:pt idx="486">
                  <c:v>42187.5</c:v>
                </c:pt>
                <c:pt idx="487">
                  <c:v>42656.25</c:v>
                </c:pt>
                <c:pt idx="488">
                  <c:v>43046.899999999994</c:v>
                </c:pt>
                <c:pt idx="489">
                  <c:v>42031.25</c:v>
                </c:pt>
                <c:pt idx="490">
                  <c:v>41093.75</c:v>
                </c:pt>
                <c:pt idx="491">
                  <c:v>42265.600000000006</c:v>
                </c:pt>
                <c:pt idx="492">
                  <c:v>41562.5</c:v>
                </c:pt>
                <c:pt idx="493">
                  <c:v>42500</c:v>
                </c:pt>
                <c:pt idx="494">
                  <c:v>42890.600000000006</c:v>
                </c:pt>
                <c:pt idx="495">
                  <c:v>42343.75</c:v>
                </c:pt>
                <c:pt idx="496">
                  <c:v>42421.899999999994</c:v>
                </c:pt>
                <c:pt idx="497">
                  <c:v>42421.899999999994</c:v>
                </c:pt>
                <c:pt idx="498">
                  <c:v>42500</c:v>
                </c:pt>
                <c:pt idx="499">
                  <c:v>45234.399999999994</c:v>
                </c:pt>
                <c:pt idx="500">
                  <c:v>45937.5</c:v>
                </c:pt>
                <c:pt idx="501">
                  <c:v>45390.600000000006</c:v>
                </c:pt>
                <c:pt idx="502">
                  <c:v>48203.100000000006</c:v>
                </c:pt>
                <c:pt idx="503">
                  <c:v>47500</c:v>
                </c:pt>
                <c:pt idx="504">
                  <c:v>47109.399999999994</c:v>
                </c:pt>
                <c:pt idx="505">
                  <c:v>49531.25</c:v>
                </c:pt>
                <c:pt idx="506">
                  <c:v>50312.5</c:v>
                </c:pt>
                <c:pt idx="507">
                  <c:v>49375</c:v>
                </c:pt>
                <c:pt idx="508">
                  <c:v>45546.899999999994</c:v>
                </c:pt>
                <c:pt idx="509">
                  <c:v>45468.75</c:v>
                </c:pt>
                <c:pt idx="510">
                  <c:v>51093.75</c:v>
                </c:pt>
                <c:pt idx="511">
                  <c:v>48515.600000000006</c:v>
                </c:pt>
                <c:pt idx="512">
                  <c:v>48750</c:v>
                </c:pt>
                <c:pt idx="513">
                  <c:v>48281.25</c:v>
                </c:pt>
                <c:pt idx="514">
                  <c:v>48359.399999999994</c:v>
                </c:pt>
                <c:pt idx="515">
                  <c:v>47109.399999999994</c:v>
                </c:pt>
                <c:pt idx="516">
                  <c:v>50703.100000000006</c:v>
                </c:pt>
                <c:pt idx="517">
                  <c:v>52187.5</c:v>
                </c:pt>
                <c:pt idx="518">
                  <c:v>51796.899999999994</c:v>
                </c:pt>
                <c:pt idx="519">
                  <c:v>51953.100000000006</c:v>
                </c:pt>
                <c:pt idx="520">
                  <c:v>50234.399999999994</c:v>
                </c:pt>
                <c:pt idx="521">
                  <c:v>47812.5</c:v>
                </c:pt>
                <c:pt idx="522">
                  <c:v>47500</c:v>
                </c:pt>
                <c:pt idx="523">
                  <c:v>50703.100000000006</c:v>
                </c:pt>
                <c:pt idx="524">
                  <c:v>50781.25</c:v>
                </c:pt>
                <c:pt idx="525">
                  <c:v>49921.899999999994</c:v>
                </c:pt>
                <c:pt idx="526">
                  <c:v>48828.100000000006</c:v>
                </c:pt>
                <c:pt idx="527">
                  <c:v>47109.399999999994</c:v>
                </c:pt>
                <c:pt idx="528">
                  <c:v>48828.100000000006</c:v>
                </c:pt>
                <c:pt idx="529">
                  <c:v>49531.25</c:v>
                </c:pt>
                <c:pt idx="530">
                  <c:v>48203.100000000006</c:v>
                </c:pt>
                <c:pt idx="531">
                  <c:v>47890.600000000006</c:v>
                </c:pt>
                <c:pt idx="532">
                  <c:v>47265.600000000006</c:v>
                </c:pt>
                <c:pt idx="533">
                  <c:v>45312.5</c:v>
                </c:pt>
                <c:pt idx="534">
                  <c:v>44218.75</c:v>
                </c:pt>
                <c:pt idx="535">
                  <c:v>42109.399999999994</c:v>
                </c:pt>
                <c:pt idx="536">
                  <c:v>41875</c:v>
                </c:pt>
                <c:pt idx="537">
                  <c:v>45234.399999999994</c:v>
                </c:pt>
                <c:pt idx="538">
                  <c:v>45390.600000000006</c:v>
                </c:pt>
                <c:pt idx="539">
                  <c:v>43437.5</c:v>
                </c:pt>
                <c:pt idx="540">
                  <c:v>45000</c:v>
                </c:pt>
                <c:pt idx="541">
                  <c:v>43515.600000000006</c:v>
                </c:pt>
                <c:pt idx="542">
                  <c:v>43906.25</c:v>
                </c:pt>
                <c:pt idx="543">
                  <c:v>44218.75</c:v>
                </c:pt>
                <c:pt idx="544">
                  <c:v>45546.899999999994</c:v>
                </c:pt>
                <c:pt idx="545">
                  <c:v>46015.600000000006</c:v>
                </c:pt>
                <c:pt idx="546">
                  <c:v>47265.600000000006</c:v>
                </c:pt>
                <c:pt idx="547">
                  <c:v>45312.5</c:v>
                </c:pt>
                <c:pt idx="548">
                  <c:v>44843.75</c:v>
                </c:pt>
                <c:pt idx="549">
                  <c:v>46250</c:v>
                </c:pt>
                <c:pt idx="550">
                  <c:v>47265.600000000006</c:v>
                </c:pt>
                <c:pt idx="551">
                  <c:v>45937.5</c:v>
                </c:pt>
                <c:pt idx="552">
                  <c:v>46406.25</c:v>
                </c:pt>
                <c:pt idx="553">
                  <c:v>45703.100000000006</c:v>
                </c:pt>
                <c:pt idx="554">
                  <c:v>45000</c:v>
                </c:pt>
                <c:pt idx="555">
                  <c:v>46328.100000000006</c:v>
                </c:pt>
                <c:pt idx="556">
                  <c:v>46953.100000000006</c:v>
                </c:pt>
                <c:pt idx="557">
                  <c:v>44453.100000000006</c:v>
                </c:pt>
                <c:pt idx="558">
                  <c:v>45625</c:v>
                </c:pt>
                <c:pt idx="559">
                  <c:v>43984.399999999994</c:v>
                </c:pt>
                <c:pt idx="560">
                  <c:v>44453.100000000006</c:v>
                </c:pt>
                <c:pt idx="561">
                  <c:v>43125</c:v>
                </c:pt>
                <c:pt idx="562">
                  <c:v>43750</c:v>
                </c:pt>
                <c:pt idx="563">
                  <c:v>43281.25</c:v>
                </c:pt>
                <c:pt idx="564">
                  <c:v>44062.5</c:v>
                </c:pt>
                <c:pt idx="565">
                  <c:v>43828.100000000006</c:v>
                </c:pt>
                <c:pt idx="566">
                  <c:v>43750</c:v>
                </c:pt>
                <c:pt idx="567">
                  <c:v>45000</c:v>
                </c:pt>
                <c:pt idx="568">
                  <c:v>43515.600000000006</c:v>
                </c:pt>
                <c:pt idx="569">
                  <c:v>42734.399999999994</c:v>
                </c:pt>
                <c:pt idx="570">
                  <c:v>41093.75</c:v>
                </c:pt>
                <c:pt idx="571">
                  <c:v>41562.5</c:v>
                </c:pt>
                <c:pt idx="572">
                  <c:v>41250</c:v>
                </c:pt>
                <c:pt idx="573">
                  <c:v>41171.899999999994</c:v>
                </c:pt>
                <c:pt idx="574">
                  <c:v>40312.5</c:v>
                </c:pt>
                <c:pt idx="575">
                  <c:v>42578.100000000006</c:v>
                </c:pt>
                <c:pt idx="576">
                  <c:v>42968.75</c:v>
                </c:pt>
                <c:pt idx="577">
                  <c:v>43515.600000000006</c:v>
                </c:pt>
                <c:pt idx="578">
                  <c:v>44140.600000000006</c:v>
                </c:pt>
                <c:pt idx="579">
                  <c:v>43750</c:v>
                </c:pt>
                <c:pt idx="580">
                  <c:v>42343.75</c:v>
                </c:pt>
                <c:pt idx="581">
                  <c:v>38437.5</c:v>
                </c:pt>
                <c:pt idx="582">
                  <c:v>40078.1</c:v>
                </c:pt>
                <c:pt idx="583">
                  <c:v>39218.75</c:v>
                </c:pt>
                <c:pt idx="584">
                  <c:v>39218.75</c:v>
                </c:pt>
                <c:pt idx="585">
                  <c:v>39140.6</c:v>
                </c:pt>
                <c:pt idx="586">
                  <c:v>40390.6</c:v>
                </c:pt>
                <c:pt idx="587">
                  <c:v>40312.5</c:v>
                </c:pt>
                <c:pt idx="588">
                  <c:v>40781.25</c:v>
                </c:pt>
                <c:pt idx="589">
                  <c:v>40859.4</c:v>
                </c:pt>
                <c:pt idx="590">
                  <c:v>40546.9</c:v>
                </c:pt>
                <c:pt idx="591">
                  <c:v>40390.6</c:v>
                </c:pt>
                <c:pt idx="592">
                  <c:v>38906.25</c:v>
                </c:pt>
                <c:pt idx="593">
                  <c:v>38906.25</c:v>
                </c:pt>
                <c:pt idx="594">
                  <c:v>39609.4</c:v>
                </c:pt>
                <c:pt idx="595">
                  <c:v>41484.399999999994</c:v>
                </c:pt>
                <c:pt idx="596">
                  <c:v>41171.899999999994</c:v>
                </c:pt>
                <c:pt idx="597">
                  <c:v>40000</c:v>
                </c:pt>
                <c:pt idx="598">
                  <c:v>41171.899999999994</c:v>
                </c:pt>
                <c:pt idx="599">
                  <c:v>43203.100000000006</c:v>
                </c:pt>
                <c:pt idx="600">
                  <c:v>42187.5</c:v>
                </c:pt>
                <c:pt idx="601">
                  <c:v>42578.100000000006</c:v>
                </c:pt>
                <c:pt idx="602">
                  <c:v>42734.399999999994</c:v>
                </c:pt>
                <c:pt idx="603">
                  <c:v>43906.25</c:v>
                </c:pt>
                <c:pt idx="604">
                  <c:v>43046.899999999994</c:v>
                </c:pt>
                <c:pt idx="605">
                  <c:v>37500</c:v>
                </c:pt>
                <c:pt idx="606">
                  <c:v>39062.5</c:v>
                </c:pt>
                <c:pt idx="607">
                  <c:v>36328.1</c:v>
                </c:pt>
                <c:pt idx="608">
                  <c:v>38593.75</c:v>
                </c:pt>
                <c:pt idx="609">
                  <c:v>37343.75</c:v>
                </c:pt>
                <c:pt idx="610">
                  <c:v>36875</c:v>
                </c:pt>
                <c:pt idx="611">
                  <c:v>36484.400000000001</c:v>
                </c:pt>
                <c:pt idx="612">
                  <c:v>35468.75</c:v>
                </c:pt>
                <c:pt idx="613">
                  <c:v>35781.25</c:v>
                </c:pt>
                <c:pt idx="614">
                  <c:v>35859.4</c:v>
                </c:pt>
                <c:pt idx="615">
                  <c:v>36093.75</c:v>
                </c:pt>
                <c:pt idx="616">
                  <c:v>34375</c:v>
                </c:pt>
                <c:pt idx="617">
                  <c:v>34609.4</c:v>
                </c:pt>
                <c:pt idx="618">
                  <c:v>32734.400000000001</c:v>
                </c:pt>
                <c:pt idx="619">
                  <c:v>28750</c:v>
                </c:pt>
                <c:pt idx="620">
                  <c:v>28984.400000000001</c:v>
                </c:pt>
                <c:pt idx="621">
                  <c:v>28906.25</c:v>
                </c:pt>
                <c:pt idx="622">
                  <c:v>30234.400000000001</c:v>
                </c:pt>
                <c:pt idx="623">
                  <c:v>31640.6</c:v>
                </c:pt>
                <c:pt idx="624">
                  <c:v>31250</c:v>
                </c:pt>
                <c:pt idx="625">
                  <c:v>31171.9</c:v>
                </c:pt>
                <c:pt idx="626">
                  <c:v>31093.75</c:v>
                </c:pt>
                <c:pt idx="627">
                  <c:v>31640.6</c:v>
                </c:pt>
                <c:pt idx="628">
                  <c:v>31093.75</c:v>
                </c:pt>
                <c:pt idx="629">
                  <c:v>32656.25</c:v>
                </c:pt>
                <c:pt idx="630">
                  <c:v>31484.400000000001</c:v>
                </c:pt>
                <c:pt idx="631">
                  <c:v>29921.9</c:v>
                </c:pt>
                <c:pt idx="632">
                  <c:v>29765.599999999999</c:v>
                </c:pt>
                <c:pt idx="633">
                  <c:v>30859.4</c:v>
                </c:pt>
                <c:pt idx="634">
                  <c:v>31328.1</c:v>
                </c:pt>
                <c:pt idx="635">
                  <c:v>30703.1</c:v>
                </c:pt>
                <c:pt idx="636">
                  <c:v>29609.4</c:v>
                </c:pt>
                <c:pt idx="637">
                  <c:v>28203.1</c:v>
                </c:pt>
                <c:pt idx="638">
                  <c:v>27421.9</c:v>
                </c:pt>
                <c:pt idx="639">
                  <c:v>28203.1</c:v>
                </c:pt>
                <c:pt idx="640">
                  <c:v>26250</c:v>
                </c:pt>
                <c:pt idx="641">
                  <c:v>24843.75</c:v>
                </c:pt>
                <c:pt idx="642">
                  <c:v>25156.25</c:v>
                </c:pt>
                <c:pt idx="643">
                  <c:v>24687.5</c:v>
                </c:pt>
                <c:pt idx="644">
                  <c:v>25078.1</c:v>
                </c:pt>
                <c:pt idx="645">
                  <c:v>26562.5</c:v>
                </c:pt>
                <c:pt idx="646">
                  <c:v>26718.75</c:v>
                </c:pt>
                <c:pt idx="647">
                  <c:v>27421.9</c:v>
                </c:pt>
                <c:pt idx="648">
                  <c:v>27578.1</c:v>
                </c:pt>
                <c:pt idx="649">
                  <c:v>29921.9</c:v>
                </c:pt>
                <c:pt idx="650">
                  <c:v>29687.5</c:v>
                </c:pt>
                <c:pt idx="651">
                  <c:v>27500</c:v>
                </c:pt>
                <c:pt idx="652">
                  <c:v>28906.25</c:v>
                </c:pt>
                <c:pt idx="653">
                  <c:v>29375</c:v>
                </c:pt>
                <c:pt idx="654">
                  <c:v>28984.400000000001</c:v>
                </c:pt>
                <c:pt idx="655">
                  <c:v>30156.25</c:v>
                </c:pt>
                <c:pt idx="656">
                  <c:v>31250</c:v>
                </c:pt>
                <c:pt idx="657">
                  <c:v>31406.25</c:v>
                </c:pt>
                <c:pt idx="658">
                  <c:v>31015.599999999999</c:v>
                </c:pt>
                <c:pt idx="659">
                  <c:v>30625</c:v>
                </c:pt>
                <c:pt idx="660">
                  <c:v>30078.1</c:v>
                </c:pt>
                <c:pt idx="661">
                  <c:v>31093.75</c:v>
                </c:pt>
                <c:pt idx="662">
                  <c:v>31562.5</c:v>
                </c:pt>
                <c:pt idx="663">
                  <c:v>30937.5</c:v>
                </c:pt>
                <c:pt idx="664">
                  <c:v>30859.4</c:v>
                </c:pt>
                <c:pt idx="665">
                  <c:v>32421.9</c:v>
                </c:pt>
                <c:pt idx="666">
                  <c:v>32890.6</c:v>
                </c:pt>
                <c:pt idx="667">
                  <c:v>32656.25</c:v>
                </c:pt>
                <c:pt idx="668">
                  <c:v>32734.400000000001</c:v>
                </c:pt>
                <c:pt idx="669">
                  <c:v>32812.5</c:v>
                </c:pt>
                <c:pt idx="670">
                  <c:v>32890.6</c:v>
                </c:pt>
                <c:pt idx="671">
                  <c:v>32343.75</c:v>
                </c:pt>
                <c:pt idx="672">
                  <c:v>32656.25</c:v>
                </c:pt>
                <c:pt idx="673">
                  <c:v>30546.9</c:v>
                </c:pt>
                <c:pt idx="674">
                  <c:v>30468.75</c:v>
                </c:pt>
                <c:pt idx="675">
                  <c:v>31093.75</c:v>
                </c:pt>
                <c:pt idx="676">
                  <c:v>31953.1</c:v>
                </c:pt>
                <c:pt idx="677">
                  <c:v>31562.5</c:v>
                </c:pt>
                <c:pt idx="678">
                  <c:v>30468.75</c:v>
                </c:pt>
                <c:pt idx="679">
                  <c:v>30156.25</c:v>
                </c:pt>
                <c:pt idx="680">
                  <c:v>30078.1</c:v>
                </c:pt>
                <c:pt idx="681">
                  <c:v>29453.1</c:v>
                </c:pt>
                <c:pt idx="682">
                  <c:v>29375</c:v>
                </c:pt>
                <c:pt idx="683">
                  <c:v>29218.75</c:v>
                </c:pt>
                <c:pt idx="684">
                  <c:v>30937.5</c:v>
                </c:pt>
                <c:pt idx="685">
                  <c:v>32265.599999999999</c:v>
                </c:pt>
                <c:pt idx="686">
                  <c:v>31953.1</c:v>
                </c:pt>
                <c:pt idx="687">
                  <c:v>31015.599999999999</c:v>
                </c:pt>
                <c:pt idx="688">
                  <c:v>31171.9</c:v>
                </c:pt>
                <c:pt idx="689">
                  <c:v>30468.75</c:v>
                </c:pt>
                <c:pt idx="690">
                  <c:v>32265.599999999999</c:v>
                </c:pt>
                <c:pt idx="691">
                  <c:v>32968.75</c:v>
                </c:pt>
                <c:pt idx="692">
                  <c:v>32343.75</c:v>
                </c:pt>
                <c:pt idx="693">
                  <c:v>35078.1</c:v>
                </c:pt>
                <c:pt idx="694">
                  <c:v>35468.75</c:v>
                </c:pt>
                <c:pt idx="695">
                  <c:v>34921.9</c:v>
                </c:pt>
                <c:pt idx="696">
                  <c:v>34531.25</c:v>
                </c:pt>
                <c:pt idx="697">
                  <c:v>35390.6</c:v>
                </c:pt>
                <c:pt idx="698">
                  <c:v>35078.1</c:v>
                </c:pt>
                <c:pt idx="699">
                  <c:v>34062.5</c:v>
                </c:pt>
                <c:pt idx="700">
                  <c:v>36406.25</c:v>
                </c:pt>
                <c:pt idx="701">
                  <c:v>34765.599999999999</c:v>
                </c:pt>
                <c:pt idx="702">
                  <c:v>35781.25</c:v>
                </c:pt>
                <c:pt idx="703">
                  <c:v>35156.25</c:v>
                </c:pt>
                <c:pt idx="704">
                  <c:v>35859.4</c:v>
                </c:pt>
                <c:pt idx="705">
                  <c:v>35000</c:v>
                </c:pt>
                <c:pt idx="706">
                  <c:v>34140.6</c:v>
                </c:pt>
                <c:pt idx="707">
                  <c:v>32812.5</c:v>
                </c:pt>
                <c:pt idx="708">
                  <c:v>33671.9</c:v>
                </c:pt>
                <c:pt idx="709">
                  <c:v>35000</c:v>
                </c:pt>
                <c:pt idx="710">
                  <c:v>35390.6</c:v>
                </c:pt>
                <c:pt idx="711">
                  <c:v>35000</c:v>
                </c:pt>
                <c:pt idx="712">
                  <c:v>36484.400000000001</c:v>
                </c:pt>
                <c:pt idx="713">
                  <c:v>34687.5</c:v>
                </c:pt>
                <c:pt idx="714">
                  <c:v>35234.400000000001</c:v>
                </c:pt>
                <c:pt idx="715">
                  <c:v>35625</c:v>
                </c:pt>
                <c:pt idx="716">
                  <c:v>35625</c:v>
                </c:pt>
                <c:pt idx="717">
                  <c:v>33593.75</c:v>
                </c:pt>
                <c:pt idx="718">
                  <c:v>33046.9</c:v>
                </c:pt>
                <c:pt idx="719">
                  <c:v>32109.4</c:v>
                </c:pt>
                <c:pt idx="720">
                  <c:v>32734.400000000001</c:v>
                </c:pt>
                <c:pt idx="721">
                  <c:v>32734.400000000001</c:v>
                </c:pt>
                <c:pt idx="722">
                  <c:v>32656.25</c:v>
                </c:pt>
                <c:pt idx="723">
                  <c:v>31171.9</c:v>
                </c:pt>
                <c:pt idx="724">
                  <c:v>31093.75</c:v>
                </c:pt>
                <c:pt idx="725">
                  <c:v>31875</c:v>
                </c:pt>
                <c:pt idx="726">
                  <c:v>32187.5</c:v>
                </c:pt>
                <c:pt idx="727">
                  <c:v>32187.5</c:v>
                </c:pt>
                <c:pt idx="728">
                  <c:v>31718.75</c:v>
                </c:pt>
                <c:pt idx="729">
                  <c:v>30468.75</c:v>
                </c:pt>
                <c:pt idx="730">
                  <c:v>29921.9</c:v>
                </c:pt>
                <c:pt idx="731">
                  <c:v>32500</c:v>
                </c:pt>
                <c:pt idx="732">
                  <c:v>33203.1</c:v>
                </c:pt>
                <c:pt idx="733">
                  <c:v>33125</c:v>
                </c:pt>
                <c:pt idx="734">
                  <c:v>33984.400000000001</c:v>
                </c:pt>
                <c:pt idx="735">
                  <c:v>33750</c:v>
                </c:pt>
                <c:pt idx="736">
                  <c:v>35312.5</c:v>
                </c:pt>
                <c:pt idx="737">
                  <c:v>36328.1</c:v>
                </c:pt>
                <c:pt idx="738">
                  <c:v>34062.5</c:v>
                </c:pt>
                <c:pt idx="739">
                  <c:v>34609.4</c:v>
                </c:pt>
                <c:pt idx="740">
                  <c:v>34921.9</c:v>
                </c:pt>
                <c:pt idx="741">
                  <c:v>36171.9</c:v>
                </c:pt>
                <c:pt idx="742">
                  <c:v>35078.1</c:v>
                </c:pt>
                <c:pt idx="743">
                  <c:v>36562.5</c:v>
                </c:pt>
                <c:pt idx="744">
                  <c:v>40468.75</c:v>
                </c:pt>
                <c:pt idx="745">
                  <c:v>41406.25</c:v>
                </c:pt>
                <c:pt idx="746">
                  <c:v>41406.25</c:v>
                </c:pt>
                <c:pt idx="747">
                  <c:v>45390.600000000006</c:v>
                </c:pt>
                <c:pt idx="748">
                  <c:v>41328.100000000006</c:v>
                </c:pt>
                <c:pt idx="749">
                  <c:v>41328.100000000006</c:v>
                </c:pt>
                <c:pt idx="750">
                  <c:v>39765.599999999999</c:v>
                </c:pt>
                <c:pt idx="751">
                  <c:v>35625</c:v>
                </c:pt>
                <c:pt idx="752">
                  <c:v>35234.400000000001</c:v>
                </c:pt>
                <c:pt idx="753">
                  <c:v>34375</c:v>
                </c:pt>
                <c:pt idx="754">
                  <c:v>34843.75</c:v>
                </c:pt>
                <c:pt idx="755">
                  <c:v>36093.75</c:v>
                </c:pt>
                <c:pt idx="756">
                  <c:v>34843.75</c:v>
                </c:pt>
                <c:pt idx="757">
                  <c:v>35156.25</c:v>
                </c:pt>
                <c:pt idx="758">
                  <c:v>35078.1</c:v>
                </c:pt>
                <c:pt idx="759">
                  <c:v>37500</c:v>
                </c:pt>
                <c:pt idx="760">
                  <c:v>36640.6</c:v>
                </c:pt>
                <c:pt idx="761">
                  <c:v>37187.5</c:v>
                </c:pt>
                <c:pt idx="762">
                  <c:v>36718.75</c:v>
                </c:pt>
                <c:pt idx="763">
                  <c:v>38203.1</c:v>
                </c:pt>
                <c:pt idx="764">
                  <c:v>38750</c:v>
                </c:pt>
                <c:pt idx="765">
                  <c:v>38906.25</c:v>
                </c:pt>
                <c:pt idx="766">
                  <c:v>40390.6</c:v>
                </c:pt>
                <c:pt idx="767">
                  <c:v>40390.6</c:v>
                </c:pt>
                <c:pt idx="768">
                  <c:v>41250</c:v>
                </c:pt>
                <c:pt idx="769">
                  <c:v>41250</c:v>
                </c:pt>
                <c:pt idx="770">
                  <c:v>41093.75</c:v>
                </c:pt>
                <c:pt idx="771">
                  <c:v>40703.1</c:v>
                </c:pt>
                <c:pt idx="772">
                  <c:v>41328.100000000006</c:v>
                </c:pt>
                <c:pt idx="773">
                  <c:v>40703.1</c:v>
                </c:pt>
                <c:pt idx="774">
                  <c:v>39453.1</c:v>
                </c:pt>
                <c:pt idx="775">
                  <c:v>38984.400000000001</c:v>
                </c:pt>
                <c:pt idx="776">
                  <c:v>41093.75</c:v>
                </c:pt>
                <c:pt idx="777">
                  <c:v>41484.399999999994</c:v>
                </c:pt>
                <c:pt idx="778">
                  <c:v>45312.5</c:v>
                </c:pt>
                <c:pt idx="779">
                  <c:v>45468.75</c:v>
                </c:pt>
                <c:pt idx="780">
                  <c:v>47500</c:v>
                </c:pt>
                <c:pt idx="781">
                  <c:v>48281.25</c:v>
                </c:pt>
                <c:pt idx="782">
                  <c:v>43828.100000000006</c:v>
                </c:pt>
                <c:pt idx="783">
                  <c:v>42343.75</c:v>
                </c:pt>
                <c:pt idx="784">
                  <c:v>41875</c:v>
                </c:pt>
                <c:pt idx="785">
                  <c:v>42656.25</c:v>
                </c:pt>
                <c:pt idx="786">
                  <c:v>44296.899999999994</c:v>
                </c:pt>
                <c:pt idx="787">
                  <c:v>44531.25</c:v>
                </c:pt>
                <c:pt idx="788">
                  <c:v>45546.899999999994</c:v>
                </c:pt>
                <c:pt idx="789">
                  <c:v>47421.899999999994</c:v>
                </c:pt>
                <c:pt idx="790">
                  <c:v>47109.399999999994</c:v>
                </c:pt>
                <c:pt idx="791">
                  <c:v>51015.600000000006</c:v>
                </c:pt>
                <c:pt idx="792">
                  <c:v>47578.100000000006</c:v>
                </c:pt>
                <c:pt idx="793">
                  <c:v>47421.899999999994</c:v>
                </c:pt>
                <c:pt idx="794">
                  <c:v>48125</c:v>
                </c:pt>
                <c:pt idx="795">
                  <c:v>47968.75</c:v>
                </c:pt>
                <c:pt idx="796">
                  <c:v>42031.25</c:v>
                </c:pt>
                <c:pt idx="797">
                  <c:v>42812.5</c:v>
                </c:pt>
                <c:pt idx="798">
                  <c:v>41171.899999999994</c:v>
                </c:pt>
                <c:pt idx="799">
                  <c:v>41171.899999999994</c:v>
                </c:pt>
                <c:pt idx="800">
                  <c:v>39375</c:v>
                </c:pt>
                <c:pt idx="801">
                  <c:v>36406.25</c:v>
                </c:pt>
                <c:pt idx="802">
                  <c:v>33671.9</c:v>
                </c:pt>
                <c:pt idx="803">
                  <c:v>36093.75</c:v>
                </c:pt>
                <c:pt idx="804">
                  <c:v>36250</c:v>
                </c:pt>
                <c:pt idx="805">
                  <c:v>35859.4</c:v>
                </c:pt>
                <c:pt idx="806">
                  <c:v>37656.25</c:v>
                </c:pt>
                <c:pt idx="807">
                  <c:v>37265.599999999999</c:v>
                </c:pt>
                <c:pt idx="808">
                  <c:v>37187.5</c:v>
                </c:pt>
                <c:pt idx="809">
                  <c:v>40390.6</c:v>
                </c:pt>
                <c:pt idx="810">
                  <c:v>32421.9</c:v>
                </c:pt>
                <c:pt idx="811">
                  <c:v>32031.25</c:v>
                </c:pt>
                <c:pt idx="812">
                  <c:v>33359.4</c:v>
                </c:pt>
                <c:pt idx="813">
                  <c:v>35078.1</c:v>
                </c:pt>
                <c:pt idx="814">
                  <c:v>35937.5</c:v>
                </c:pt>
                <c:pt idx="815">
                  <c:v>36484.400000000001</c:v>
                </c:pt>
                <c:pt idx="816">
                  <c:v>38828.1</c:v>
                </c:pt>
                <c:pt idx="817">
                  <c:v>37734.400000000001</c:v>
                </c:pt>
                <c:pt idx="818">
                  <c:v>40390.6</c:v>
                </c:pt>
                <c:pt idx="819">
                  <c:v>36093.75</c:v>
                </c:pt>
                <c:pt idx="820">
                  <c:v>32812.5</c:v>
                </c:pt>
                <c:pt idx="821">
                  <c:v>36484.400000000001</c:v>
                </c:pt>
                <c:pt idx="822">
                  <c:v>33593.75</c:v>
                </c:pt>
                <c:pt idx="823">
                  <c:v>33593.75</c:v>
                </c:pt>
                <c:pt idx="824">
                  <c:v>34140.6</c:v>
                </c:pt>
                <c:pt idx="825">
                  <c:v>40781.25</c:v>
                </c:pt>
                <c:pt idx="826">
                  <c:v>42109.399999999994</c:v>
                </c:pt>
                <c:pt idx="827">
                  <c:v>43046.899999999994</c:v>
                </c:pt>
                <c:pt idx="828">
                  <c:v>47968.75</c:v>
                </c:pt>
                <c:pt idx="829">
                  <c:v>46875</c:v>
                </c:pt>
                <c:pt idx="830">
                  <c:v>47500</c:v>
                </c:pt>
                <c:pt idx="831">
                  <c:v>50000</c:v>
                </c:pt>
                <c:pt idx="832">
                  <c:v>53593.75</c:v>
                </c:pt>
                <c:pt idx="833">
                  <c:v>55390.600000000006</c:v>
                </c:pt>
                <c:pt idx="834">
                  <c:v>57734.399999999994</c:v>
                </c:pt>
                <c:pt idx="835">
                  <c:v>58906.25</c:v>
                </c:pt>
                <c:pt idx="836">
                  <c:v>61250</c:v>
                </c:pt>
                <c:pt idx="837">
                  <c:v>58828.100000000006</c:v>
                </c:pt>
                <c:pt idx="838">
                  <c:v>58437.5</c:v>
                </c:pt>
                <c:pt idx="839">
                  <c:v>57421.899999999994</c:v>
                </c:pt>
                <c:pt idx="840">
                  <c:v>56015.600000000006</c:v>
                </c:pt>
                <c:pt idx="841">
                  <c:v>56562.5</c:v>
                </c:pt>
                <c:pt idx="842">
                  <c:v>63828.100000000006</c:v>
                </c:pt>
                <c:pt idx="843">
                  <c:v>66015.600000000006</c:v>
                </c:pt>
                <c:pt idx="844">
                  <c:v>63750</c:v>
                </c:pt>
                <c:pt idx="845">
                  <c:v>62812.5</c:v>
                </c:pt>
                <c:pt idx="846">
                  <c:v>67343.75</c:v>
                </c:pt>
                <c:pt idx="847">
                  <c:v>69296.899999999994</c:v>
                </c:pt>
                <c:pt idx="848">
                  <c:v>64140.600000000006</c:v>
                </c:pt>
                <c:pt idx="849">
                  <c:v>62656.25</c:v>
                </c:pt>
                <c:pt idx="850">
                  <c:v>56875</c:v>
                </c:pt>
                <c:pt idx="851">
                  <c:v>51250</c:v>
                </c:pt>
                <c:pt idx="852">
                  <c:v>48359.399999999994</c:v>
                </c:pt>
                <c:pt idx="853">
                  <c:v>48906.25</c:v>
                </c:pt>
                <c:pt idx="854">
                  <c:v>45625</c:v>
                </c:pt>
                <c:pt idx="855">
                  <c:v>49921.899999999994</c:v>
                </c:pt>
                <c:pt idx="856">
                  <c:v>46328.100000000006</c:v>
                </c:pt>
                <c:pt idx="857">
                  <c:v>49140.600000000006</c:v>
                </c:pt>
                <c:pt idx="858">
                  <c:v>51093.75</c:v>
                </c:pt>
                <c:pt idx="859">
                  <c:v>53125</c:v>
                </c:pt>
                <c:pt idx="860">
                  <c:v>53593.75</c:v>
                </c:pt>
                <c:pt idx="861">
                  <c:v>55781.25</c:v>
                </c:pt>
                <c:pt idx="862">
                  <c:v>59687.5</c:v>
                </c:pt>
                <c:pt idx="863">
                  <c:v>61562.5</c:v>
                </c:pt>
                <c:pt idx="864">
                  <c:v>63203.100000000006</c:v>
                </c:pt>
                <c:pt idx="865">
                  <c:v>61406.25</c:v>
                </c:pt>
                <c:pt idx="866">
                  <c:v>60703.100000000006</c:v>
                </c:pt>
                <c:pt idx="867">
                  <c:v>59218.75</c:v>
                </c:pt>
                <c:pt idx="868">
                  <c:v>62343.75</c:v>
                </c:pt>
                <c:pt idx="869">
                  <c:v>62031.25</c:v>
                </c:pt>
                <c:pt idx="870">
                  <c:v>63359.399999999994</c:v>
                </c:pt>
                <c:pt idx="871">
                  <c:v>63281.25</c:v>
                </c:pt>
                <c:pt idx="872">
                  <c:v>67187.5</c:v>
                </c:pt>
                <c:pt idx="873">
                  <c:v>67265.600000000006</c:v>
                </c:pt>
                <c:pt idx="874">
                  <c:v>68046.899999999994</c:v>
                </c:pt>
                <c:pt idx="875">
                  <c:v>71406.25</c:v>
                </c:pt>
                <c:pt idx="876">
                  <c:v>71875</c:v>
                </c:pt>
                <c:pt idx="877">
                  <c:v>70468.75</c:v>
                </c:pt>
                <c:pt idx="878">
                  <c:v>68671.899999999994</c:v>
                </c:pt>
                <c:pt idx="879">
                  <c:v>63984.399999999994</c:v>
                </c:pt>
                <c:pt idx="880">
                  <c:v>68125</c:v>
                </c:pt>
                <c:pt idx="881">
                  <c:v>66406.25</c:v>
                </c:pt>
                <c:pt idx="882">
                  <c:v>65937.5</c:v>
                </c:pt>
                <c:pt idx="883">
                  <c:v>68203.100000000006</c:v>
                </c:pt>
                <c:pt idx="884">
                  <c:v>70078.100000000006</c:v>
                </c:pt>
                <c:pt idx="885">
                  <c:v>66796.899999999994</c:v>
                </c:pt>
                <c:pt idx="886">
                  <c:v>66250</c:v>
                </c:pt>
                <c:pt idx="887">
                  <c:v>67812.5</c:v>
                </c:pt>
                <c:pt idx="888">
                  <c:v>66484.399999999994</c:v>
                </c:pt>
                <c:pt idx="889">
                  <c:v>64687.5</c:v>
                </c:pt>
                <c:pt idx="890">
                  <c:v>66171.899999999994</c:v>
                </c:pt>
                <c:pt idx="891">
                  <c:v>67031.25</c:v>
                </c:pt>
                <c:pt idx="892">
                  <c:v>69531.25</c:v>
                </c:pt>
                <c:pt idx="893">
                  <c:v>67656.25</c:v>
                </c:pt>
                <c:pt idx="894">
                  <c:v>66640.600000000006</c:v>
                </c:pt>
                <c:pt idx="895">
                  <c:v>65390.600000000006</c:v>
                </c:pt>
                <c:pt idx="896">
                  <c:v>65000</c:v>
                </c:pt>
                <c:pt idx="897">
                  <c:v>66328.100000000006</c:v>
                </c:pt>
                <c:pt idx="898">
                  <c:v>63750</c:v>
                </c:pt>
                <c:pt idx="899">
                  <c:v>62265.600000000006</c:v>
                </c:pt>
                <c:pt idx="900">
                  <c:v>61718.75</c:v>
                </c:pt>
                <c:pt idx="901">
                  <c:v>60312.5</c:v>
                </c:pt>
                <c:pt idx="902">
                  <c:v>61015.600000000006</c:v>
                </c:pt>
                <c:pt idx="903">
                  <c:v>61015.600000000006</c:v>
                </c:pt>
                <c:pt idx="904">
                  <c:v>60156.25</c:v>
                </c:pt>
                <c:pt idx="905">
                  <c:v>60234.399999999994</c:v>
                </c:pt>
                <c:pt idx="906">
                  <c:v>60312.5</c:v>
                </c:pt>
                <c:pt idx="907">
                  <c:v>64531.25</c:v>
                </c:pt>
                <c:pt idx="908">
                  <c:v>62812.5</c:v>
                </c:pt>
                <c:pt idx="909">
                  <c:v>62656.25</c:v>
                </c:pt>
                <c:pt idx="910">
                  <c:v>63515.600000000006</c:v>
                </c:pt>
                <c:pt idx="911">
                  <c:v>66015.600000000006</c:v>
                </c:pt>
                <c:pt idx="912">
                  <c:v>67343.75</c:v>
                </c:pt>
                <c:pt idx="913">
                  <c:v>73359.399999999994</c:v>
                </c:pt>
                <c:pt idx="914">
                  <c:v>75937.5</c:v>
                </c:pt>
                <c:pt idx="915">
                  <c:v>74609.399999999994</c:v>
                </c:pt>
                <c:pt idx="916">
                  <c:v>60468.75</c:v>
                </c:pt>
                <c:pt idx="917">
                  <c:v>54609.399999999994</c:v>
                </c:pt>
                <c:pt idx="918">
                  <c:v>53906.25</c:v>
                </c:pt>
                <c:pt idx="919">
                  <c:v>55390.600000000006</c:v>
                </c:pt>
                <c:pt idx="920">
                  <c:v>54296.899999999994</c:v>
                </c:pt>
                <c:pt idx="921">
                  <c:v>58828.100000000006</c:v>
                </c:pt>
                <c:pt idx="922">
                  <c:v>61484.399999999994</c:v>
                </c:pt>
                <c:pt idx="923">
                  <c:v>60546.899999999994</c:v>
                </c:pt>
                <c:pt idx="924">
                  <c:v>61562.5</c:v>
                </c:pt>
                <c:pt idx="925">
                  <c:v>62187.5</c:v>
                </c:pt>
                <c:pt idx="926">
                  <c:v>60546.899999999994</c:v>
                </c:pt>
                <c:pt idx="927">
                  <c:v>60703.100000000006</c:v>
                </c:pt>
                <c:pt idx="928">
                  <c:v>66718.75</c:v>
                </c:pt>
                <c:pt idx="929">
                  <c:v>70156.25</c:v>
                </c:pt>
                <c:pt idx="930">
                  <c:v>70000</c:v>
                </c:pt>
                <c:pt idx="931">
                  <c:v>70859.399999999994</c:v>
                </c:pt>
                <c:pt idx="932">
                  <c:v>68906.25</c:v>
                </c:pt>
                <c:pt idx="933">
                  <c:v>71875</c:v>
                </c:pt>
                <c:pt idx="934">
                  <c:v>74062.5</c:v>
                </c:pt>
                <c:pt idx="935">
                  <c:v>78671.899999999994</c:v>
                </c:pt>
                <c:pt idx="936">
                  <c:v>78437.5</c:v>
                </c:pt>
                <c:pt idx="937">
                  <c:v>79687.5</c:v>
                </c:pt>
                <c:pt idx="938">
                  <c:v>79765.600000000006</c:v>
                </c:pt>
                <c:pt idx="939">
                  <c:v>75390.600000000006</c:v>
                </c:pt>
                <c:pt idx="940">
                  <c:v>72734.399999999994</c:v>
                </c:pt>
                <c:pt idx="941">
                  <c:v>65859.399999999994</c:v>
                </c:pt>
                <c:pt idx="942">
                  <c:v>66406.25</c:v>
                </c:pt>
                <c:pt idx="943">
                  <c:v>64218.75</c:v>
                </c:pt>
                <c:pt idx="944">
                  <c:v>66640.600000000006</c:v>
                </c:pt>
                <c:pt idx="945">
                  <c:v>61718.75</c:v>
                </c:pt>
                <c:pt idx="946">
                  <c:v>63046.899999999994</c:v>
                </c:pt>
                <c:pt idx="947">
                  <c:v>67265.600000000006</c:v>
                </c:pt>
                <c:pt idx="948">
                  <c:v>67421.899999999994</c:v>
                </c:pt>
                <c:pt idx="949">
                  <c:v>65468.75</c:v>
                </c:pt>
                <c:pt idx="950">
                  <c:v>61562.5</c:v>
                </c:pt>
                <c:pt idx="951">
                  <c:v>63125</c:v>
                </c:pt>
                <c:pt idx="952">
                  <c:v>68515.600000000006</c:v>
                </c:pt>
                <c:pt idx="953">
                  <c:v>62734.399999999994</c:v>
                </c:pt>
                <c:pt idx="954">
                  <c:v>62343.75</c:v>
                </c:pt>
                <c:pt idx="955">
                  <c:v>62890.600000000006</c:v>
                </c:pt>
                <c:pt idx="956">
                  <c:v>67265.600000000006</c:v>
                </c:pt>
                <c:pt idx="957">
                  <c:v>68125</c:v>
                </c:pt>
                <c:pt idx="958">
                  <c:v>68515.600000000006</c:v>
                </c:pt>
                <c:pt idx="959">
                  <c:v>73359.399999999994</c:v>
                </c:pt>
                <c:pt idx="960">
                  <c:v>72812.5</c:v>
                </c:pt>
                <c:pt idx="961">
                  <c:v>71953.100000000006</c:v>
                </c:pt>
                <c:pt idx="962">
                  <c:v>70390.600000000006</c:v>
                </c:pt>
                <c:pt idx="963">
                  <c:v>68671.899999999994</c:v>
                </c:pt>
                <c:pt idx="964">
                  <c:v>69062.5</c:v>
                </c:pt>
                <c:pt idx="965">
                  <c:v>68828.100000000006</c:v>
                </c:pt>
                <c:pt idx="966">
                  <c:v>68750</c:v>
                </c:pt>
                <c:pt idx="967">
                  <c:v>70859.399999999994</c:v>
                </c:pt>
                <c:pt idx="968">
                  <c:v>71093.75</c:v>
                </c:pt>
                <c:pt idx="969">
                  <c:v>72968.75</c:v>
                </c:pt>
                <c:pt idx="970">
                  <c:v>70781.25</c:v>
                </c:pt>
                <c:pt idx="971">
                  <c:v>69921.899999999994</c:v>
                </c:pt>
                <c:pt idx="972">
                  <c:v>70156.25</c:v>
                </c:pt>
                <c:pt idx="973">
                  <c:v>71484.399999999994</c:v>
                </c:pt>
                <c:pt idx="974">
                  <c:v>68593.75</c:v>
                </c:pt>
                <c:pt idx="975">
                  <c:v>68671.899999999994</c:v>
                </c:pt>
                <c:pt idx="976">
                  <c:v>67265.600000000006</c:v>
                </c:pt>
                <c:pt idx="977">
                  <c:v>60703.100000000006</c:v>
                </c:pt>
                <c:pt idx="978">
                  <c:v>58281.25</c:v>
                </c:pt>
                <c:pt idx="979">
                  <c:v>60234.399999999994</c:v>
                </c:pt>
                <c:pt idx="980">
                  <c:v>59140.600000000006</c:v>
                </c:pt>
                <c:pt idx="981">
                  <c:v>62656.25</c:v>
                </c:pt>
                <c:pt idx="982">
                  <c:v>64296.899999999994</c:v>
                </c:pt>
                <c:pt idx="983">
                  <c:v>66171.899999999994</c:v>
                </c:pt>
                <c:pt idx="984">
                  <c:v>65703.100000000006</c:v>
                </c:pt>
                <c:pt idx="985">
                  <c:v>62500</c:v>
                </c:pt>
                <c:pt idx="986">
                  <c:v>66328.100000000006</c:v>
                </c:pt>
                <c:pt idx="987">
                  <c:v>67656.25</c:v>
                </c:pt>
                <c:pt idx="988">
                  <c:v>66640.600000000006</c:v>
                </c:pt>
                <c:pt idx="989">
                  <c:v>67656.25</c:v>
                </c:pt>
                <c:pt idx="990">
                  <c:v>68359.399999999994</c:v>
                </c:pt>
                <c:pt idx="991">
                  <c:v>65781.25</c:v>
                </c:pt>
                <c:pt idx="992">
                  <c:v>69062.5</c:v>
                </c:pt>
                <c:pt idx="993">
                  <c:v>66953.100000000006</c:v>
                </c:pt>
                <c:pt idx="994">
                  <c:v>65859.399999999994</c:v>
                </c:pt>
                <c:pt idx="995">
                  <c:v>65156.25</c:v>
                </c:pt>
                <c:pt idx="996">
                  <c:v>65000</c:v>
                </c:pt>
                <c:pt idx="997">
                  <c:v>63437.5</c:v>
                </c:pt>
                <c:pt idx="998">
                  <c:v>65859.399999999994</c:v>
                </c:pt>
                <c:pt idx="999">
                  <c:v>66718.75</c:v>
                </c:pt>
                <c:pt idx="1000">
                  <c:v>72343.75</c:v>
                </c:pt>
                <c:pt idx="1001">
                  <c:v>73046.899999999994</c:v>
                </c:pt>
                <c:pt idx="1002">
                  <c:v>74765.600000000006</c:v>
                </c:pt>
                <c:pt idx="1003">
                  <c:v>77890.600000000006</c:v>
                </c:pt>
                <c:pt idx="1004">
                  <c:v>75625</c:v>
                </c:pt>
                <c:pt idx="1005">
                  <c:v>74843.75</c:v>
                </c:pt>
                <c:pt idx="1006">
                  <c:v>73593.75</c:v>
                </c:pt>
                <c:pt idx="1007">
                  <c:v>73046.899999999994</c:v>
                </c:pt>
                <c:pt idx="1008">
                  <c:v>73437.5</c:v>
                </c:pt>
                <c:pt idx="1009">
                  <c:v>80546.899999999994</c:v>
                </c:pt>
                <c:pt idx="1010">
                  <c:v>78359.399999999994</c:v>
                </c:pt>
                <c:pt idx="1011">
                  <c:v>82265.599999999991</c:v>
                </c:pt>
                <c:pt idx="1012">
                  <c:v>85703.099999999991</c:v>
                </c:pt>
                <c:pt idx="1013">
                  <c:v>87968.75</c:v>
                </c:pt>
                <c:pt idx="1014">
                  <c:v>87500</c:v>
                </c:pt>
                <c:pt idx="1015">
                  <c:v>91484.400000000009</c:v>
                </c:pt>
                <c:pt idx="1016">
                  <c:v>89531.25</c:v>
                </c:pt>
                <c:pt idx="1017">
                  <c:v>86562.5</c:v>
                </c:pt>
                <c:pt idx="1018">
                  <c:v>84218.75</c:v>
                </c:pt>
                <c:pt idx="1019">
                  <c:v>79765.600000000006</c:v>
                </c:pt>
                <c:pt idx="1020">
                  <c:v>79296.899999999994</c:v>
                </c:pt>
                <c:pt idx="1021">
                  <c:v>76250</c:v>
                </c:pt>
                <c:pt idx="1022">
                  <c:v>72421.899999999994</c:v>
                </c:pt>
                <c:pt idx="1023">
                  <c:v>76718.75</c:v>
                </c:pt>
                <c:pt idx="1024">
                  <c:v>70546.899999999994</c:v>
                </c:pt>
                <c:pt idx="1025">
                  <c:v>70468.75</c:v>
                </c:pt>
                <c:pt idx="1026">
                  <c:v>72109.399999999994</c:v>
                </c:pt>
                <c:pt idx="1027">
                  <c:v>69375</c:v>
                </c:pt>
                <c:pt idx="1028">
                  <c:v>70078.100000000006</c:v>
                </c:pt>
                <c:pt idx="1029">
                  <c:v>72109.399999999994</c:v>
                </c:pt>
                <c:pt idx="1030">
                  <c:v>75468.75</c:v>
                </c:pt>
                <c:pt idx="1031">
                  <c:v>72656.25</c:v>
                </c:pt>
                <c:pt idx="1032">
                  <c:v>73203.100000000006</c:v>
                </c:pt>
                <c:pt idx="1033">
                  <c:v>72578.100000000006</c:v>
                </c:pt>
                <c:pt idx="1034">
                  <c:v>65937.5</c:v>
                </c:pt>
                <c:pt idx="1035">
                  <c:v>61875</c:v>
                </c:pt>
                <c:pt idx="1036">
                  <c:v>56171.899999999994</c:v>
                </c:pt>
                <c:pt idx="1037">
                  <c:v>55312.5</c:v>
                </c:pt>
                <c:pt idx="1038">
                  <c:v>55078.100000000006</c:v>
                </c:pt>
                <c:pt idx="1039">
                  <c:v>55390.600000000006</c:v>
                </c:pt>
                <c:pt idx="1040">
                  <c:v>56406.25</c:v>
                </c:pt>
                <c:pt idx="1041">
                  <c:v>54687.5</c:v>
                </c:pt>
                <c:pt idx="1042">
                  <c:v>62421.899999999994</c:v>
                </c:pt>
                <c:pt idx="1043">
                  <c:v>62187.5</c:v>
                </c:pt>
                <c:pt idx="1044">
                  <c:v>62265.600000000006</c:v>
                </c:pt>
                <c:pt idx="1045">
                  <c:v>59062.5</c:v>
                </c:pt>
                <c:pt idx="1046">
                  <c:v>54609.399999999994</c:v>
                </c:pt>
                <c:pt idx="1047">
                  <c:v>57812.5</c:v>
                </c:pt>
                <c:pt idx="1048">
                  <c:v>57500</c:v>
                </c:pt>
                <c:pt idx="1049">
                  <c:v>59296.899999999994</c:v>
                </c:pt>
                <c:pt idx="1050">
                  <c:v>58671.899999999994</c:v>
                </c:pt>
                <c:pt idx="1051">
                  <c:v>57421.899999999994</c:v>
                </c:pt>
                <c:pt idx="1052">
                  <c:v>58437.5</c:v>
                </c:pt>
                <c:pt idx="1053">
                  <c:v>58125</c:v>
                </c:pt>
                <c:pt idx="1054">
                  <c:v>59218.75</c:v>
                </c:pt>
                <c:pt idx="1055">
                  <c:v>54921.899999999994</c:v>
                </c:pt>
                <c:pt idx="1056">
                  <c:v>53203.100000000006</c:v>
                </c:pt>
                <c:pt idx="1057">
                  <c:v>56015.600000000006</c:v>
                </c:pt>
                <c:pt idx="1058">
                  <c:v>56250</c:v>
                </c:pt>
                <c:pt idx="1059">
                  <c:v>51875</c:v>
                </c:pt>
                <c:pt idx="1060">
                  <c:v>53125</c:v>
                </c:pt>
                <c:pt idx="1061">
                  <c:v>52343.75</c:v>
                </c:pt>
                <c:pt idx="1062">
                  <c:v>52968.75</c:v>
                </c:pt>
                <c:pt idx="1063">
                  <c:v>53437.5</c:v>
                </c:pt>
                <c:pt idx="1064">
                  <c:v>52656.25</c:v>
                </c:pt>
                <c:pt idx="1065">
                  <c:v>52578.100000000006</c:v>
                </c:pt>
                <c:pt idx="1066">
                  <c:v>52187.5</c:v>
                </c:pt>
                <c:pt idx="1067">
                  <c:v>53437.5</c:v>
                </c:pt>
                <c:pt idx="1068">
                  <c:v>52656.25</c:v>
                </c:pt>
                <c:pt idx="1069">
                  <c:v>53593.75</c:v>
                </c:pt>
                <c:pt idx="1070">
                  <c:v>56796.899999999994</c:v>
                </c:pt>
                <c:pt idx="1071">
                  <c:v>55625</c:v>
                </c:pt>
                <c:pt idx="1072">
                  <c:v>50546.899999999994</c:v>
                </c:pt>
                <c:pt idx="1073">
                  <c:v>49765.600000000006</c:v>
                </c:pt>
                <c:pt idx="1074">
                  <c:v>49843.75</c:v>
                </c:pt>
                <c:pt idx="1075">
                  <c:v>54687.5</c:v>
                </c:pt>
                <c:pt idx="1076">
                  <c:v>55625</c:v>
                </c:pt>
                <c:pt idx="1077">
                  <c:v>54687.5</c:v>
                </c:pt>
                <c:pt idx="1078">
                  <c:v>55312.5</c:v>
                </c:pt>
                <c:pt idx="1079">
                  <c:v>56406.25</c:v>
                </c:pt>
                <c:pt idx="1080">
                  <c:v>56718.75</c:v>
                </c:pt>
                <c:pt idx="1081">
                  <c:v>60000</c:v>
                </c:pt>
                <c:pt idx="1082">
                  <c:v>57968.75</c:v>
                </c:pt>
                <c:pt idx="1083">
                  <c:v>57812.5</c:v>
                </c:pt>
                <c:pt idx="1084">
                  <c:v>57265.600000000006</c:v>
                </c:pt>
                <c:pt idx="1085">
                  <c:v>56796.899999999994</c:v>
                </c:pt>
                <c:pt idx="1086">
                  <c:v>54453.100000000006</c:v>
                </c:pt>
                <c:pt idx="1087">
                  <c:v>54921.899999999994</c:v>
                </c:pt>
                <c:pt idx="1088">
                  <c:v>55156.25</c:v>
                </c:pt>
                <c:pt idx="1089">
                  <c:v>60546.899999999994</c:v>
                </c:pt>
                <c:pt idx="1090">
                  <c:v>60546.899999999994</c:v>
                </c:pt>
                <c:pt idx="1091">
                  <c:v>61953.100000000006</c:v>
                </c:pt>
                <c:pt idx="1092">
                  <c:v>60781.25</c:v>
                </c:pt>
                <c:pt idx="1093">
                  <c:v>59062.5</c:v>
                </c:pt>
                <c:pt idx="1094">
                  <c:v>52812.5</c:v>
                </c:pt>
                <c:pt idx="1095">
                  <c:v>54062.5</c:v>
                </c:pt>
                <c:pt idx="1096">
                  <c:v>53750</c:v>
                </c:pt>
                <c:pt idx="1097">
                  <c:v>54609.399999999994</c:v>
                </c:pt>
                <c:pt idx="1098">
                  <c:v>54296.899999999994</c:v>
                </c:pt>
                <c:pt idx="1099">
                  <c:v>60546.899999999994</c:v>
                </c:pt>
                <c:pt idx="1100">
                  <c:v>59531.25</c:v>
                </c:pt>
                <c:pt idx="1101">
                  <c:v>61796.899999999994</c:v>
                </c:pt>
                <c:pt idx="1102">
                  <c:v>61015.600000000006</c:v>
                </c:pt>
                <c:pt idx="1103">
                  <c:v>63046.899999999994</c:v>
                </c:pt>
                <c:pt idx="1104">
                  <c:v>59843.75</c:v>
                </c:pt>
                <c:pt idx="1105">
                  <c:v>57968.75</c:v>
                </c:pt>
                <c:pt idx="1106">
                  <c:v>61015.600000000006</c:v>
                </c:pt>
                <c:pt idx="1107">
                  <c:v>60937.5</c:v>
                </c:pt>
                <c:pt idx="1108">
                  <c:v>60468.75</c:v>
                </c:pt>
                <c:pt idx="1109">
                  <c:v>62343.75</c:v>
                </c:pt>
                <c:pt idx="1110">
                  <c:v>61171.899999999994</c:v>
                </c:pt>
                <c:pt idx="1111">
                  <c:v>64921.899999999994</c:v>
                </c:pt>
                <c:pt idx="1112">
                  <c:v>66171.899999999994</c:v>
                </c:pt>
                <c:pt idx="1113">
                  <c:v>71328.100000000006</c:v>
                </c:pt>
                <c:pt idx="1114">
                  <c:v>71093.75</c:v>
                </c:pt>
                <c:pt idx="1115">
                  <c:v>74375</c:v>
                </c:pt>
                <c:pt idx="1116">
                  <c:v>75000</c:v>
                </c:pt>
                <c:pt idx="1117">
                  <c:v>75156.25</c:v>
                </c:pt>
                <c:pt idx="1118">
                  <c:v>70625</c:v>
                </c:pt>
                <c:pt idx="1119">
                  <c:v>69218.75</c:v>
                </c:pt>
                <c:pt idx="1120">
                  <c:v>69218.75</c:v>
                </c:pt>
                <c:pt idx="1121">
                  <c:v>69921.899999999994</c:v>
                </c:pt>
                <c:pt idx="1122">
                  <c:v>71250</c:v>
                </c:pt>
                <c:pt idx="1123">
                  <c:v>72343.75</c:v>
                </c:pt>
                <c:pt idx="1124">
                  <c:v>75781.25</c:v>
                </c:pt>
                <c:pt idx="1125">
                  <c:v>75703.100000000006</c:v>
                </c:pt>
                <c:pt idx="1126">
                  <c:v>75390.600000000006</c:v>
                </c:pt>
                <c:pt idx="1127">
                  <c:v>74765.600000000006</c:v>
                </c:pt>
                <c:pt idx="1128">
                  <c:v>78125</c:v>
                </c:pt>
                <c:pt idx="1129">
                  <c:v>77109.399999999994</c:v>
                </c:pt>
                <c:pt idx="1130">
                  <c:v>76015.600000000006</c:v>
                </c:pt>
                <c:pt idx="1131">
                  <c:v>75781.25</c:v>
                </c:pt>
                <c:pt idx="1132">
                  <c:v>76171.899999999994</c:v>
                </c:pt>
                <c:pt idx="1133">
                  <c:v>75781.25</c:v>
                </c:pt>
                <c:pt idx="1134">
                  <c:v>74140.600000000006</c:v>
                </c:pt>
                <c:pt idx="1135">
                  <c:v>77265.600000000006</c:v>
                </c:pt>
                <c:pt idx="1136">
                  <c:v>78281.25</c:v>
                </c:pt>
                <c:pt idx="1137">
                  <c:v>77265.600000000006</c:v>
                </c:pt>
                <c:pt idx="1138">
                  <c:v>78125</c:v>
                </c:pt>
                <c:pt idx="1139">
                  <c:v>76640.600000000006</c:v>
                </c:pt>
                <c:pt idx="1140">
                  <c:v>75156.25</c:v>
                </c:pt>
                <c:pt idx="1141">
                  <c:v>73125</c:v>
                </c:pt>
                <c:pt idx="1142">
                  <c:v>78046.899999999994</c:v>
                </c:pt>
                <c:pt idx="1143">
                  <c:v>83828.099999999991</c:v>
                </c:pt>
                <c:pt idx="1144">
                  <c:v>82578.099999999991</c:v>
                </c:pt>
                <c:pt idx="1145">
                  <c:v>87343.75</c:v>
                </c:pt>
                <c:pt idx="1146">
                  <c:v>85703.099999999991</c:v>
                </c:pt>
                <c:pt idx="1147">
                  <c:v>79218.75</c:v>
                </c:pt>
                <c:pt idx="1148">
                  <c:v>80625</c:v>
                </c:pt>
                <c:pt idx="1149">
                  <c:v>81562.5</c:v>
                </c:pt>
                <c:pt idx="1150">
                  <c:v>83671.900000000009</c:v>
                </c:pt>
                <c:pt idx="1151">
                  <c:v>82343.75</c:v>
                </c:pt>
                <c:pt idx="1152">
                  <c:v>80234.399999999994</c:v>
                </c:pt>
                <c:pt idx="1153">
                  <c:v>73750</c:v>
                </c:pt>
                <c:pt idx="1154">
                  <c:v>70546.899999999994</c:v>
                </c:pt>
                <c:pt idx="1155">
                  <c:v>71328.100000000006</c:v>
                </c:pt>
                <c:pt idx="1156">
                  <c:v>71015.600000000006</c:v>
                </c:pt>
                <c:pt idx="1157">
                  <c:v>75703.100000000006</c:v>
                </c:pt>
                <c:pt idx="1158">
                  <c:v>78593.75</c:v>
                </c:pt>
                <c:pt idx="1159">
                  <c:v>78984.399999999994</c:v>
                </c:pt>
                <c:pt idx="1160">
                  <c:v>78281.25</c:v>
                </c:pt>
                <c:pt idx="1161">
                  <c:v>78046.899999999994</c:v>
                </c:pt>
                <c:pt idx="1162">
                  <c:v>78203.100000000006</c:v>
                </c:pt>
                <c:pt idx="1163">
                  <c:v>82343.75</c:v>
                </c:pt>
                <c:pt idx="1164">
                  <c:v>81328.100000000006</c:v>
                </c:pt>
                <c:pt idx="1165">
                  <c:v>83671.900000000009</c:v>
                </c:pt>
                <c:pt idx="1166">
                  <c:v>82734.400000000009</c:v>
                </c:pt>
                <c:pt idx="1167">
                  <c:v>84843.75</c:v>
                </c:pt>
                <c:pt idx="1168">
                  <c:v>84765.599999999991</c:v>
                </c:pt>
                <c:pt idx="1169">
                  <c:v>84140.599999999991</c:v>
                </c:pt>
                <c:pt idx="1170">
                  <c:v>85234.400000000009</c:v>
                </c:pt>
                <c:pt idx="1171">
                  <c:v>85859.400000000009</c:v>
                </c:pt>
                <c:pt idx="1172">
                  <c:v>81484.399999999994</c:v>
                </c:pt>
                <c:pt idx="1173">
                  <c:v>83984.400000000009</c:v>
                </c:pt>
                <c:pt idx="1174">
                  <c:v>83593.75</c:v>
                </c:pt>
                <c:pt idx="1175">
                  <c:v>86484.400000000009</c:v>
                </c:pt>
                <c:pt idx="1176">
                  <c:v>85312.5</c:v>
                </c:pt>
                <c:pt idx="1177">
                  <c:v>84609.400000000009</c:v>
                </c:pt>
                <c:pt idx="1178">
                  <c:v>87109.400000000009</c:v>
                </c:pt>
                <c:pt idx="1179">
                  <c:v>86328.099999999991</c:v>
                </c:pt>
                <c:pt idx="1180">
                  <c:v>86093.75</c:v>
                </c:pt>
                <c:pt idx="1181">
                  <c:v>87109.400000000009</c:v>
                </c:pt>
                <c:pt idx="1182">
                  <c:v>89453.099999999991</c:v>
                </c:pt>
                <c:pt idx="1183">
                  <c:v>87421.900000000009</c:v>
                </c:pt>
                <c:pt idx="1184">
                  <c:v>90312.5</c:v>
                </c:pt>
                <c:pt idx="1185">
                  <c:v>88203.099999999991</c:v>
                </c:pt>
                <c:pt idx="1186">
                  <c:v>87890.599999999991</c:v>
                </c:pt>
                <c:pt idx="1187">
                  <c:v>89531.25</c:v>
                </c:pt>
                <c:pt idx="1188">
                  <c:v>91093.75</c:v>
                </c:pt>
                <c:pt idx="1189">
                  <c:v>94921.900000000009</c:v>
                </c:pt>
                <c:pt idx="1190">
                  <c:v>89296.900000000009</c:v>
                </c:pt>
                <c:pt idx="1191">
                  <c:v>90312.5</c:v>
                </c:pt>
                <c:pt idx="1192">
                  <c:v>89843.75</c:v>
                </c:pt>
                <c:pt idx="1193">
                  <c:v>92265.599999999991</c:v>
                </c:pt>
                <c:pt idx="1194">
                  <c:v>92968.75</c:v>
                </c:pt>
                <c:pt idx="1195">
                  <c:v>94843.75</c:v>
                </c:pt>
                <c:pt idx="1196">
                  <c:v>96875</c:v>
                </c:pt>
                <c:pt idx="1197">
                  <c:v>97578.099999999991</c:v>
                </c:pt>
                <c:pt idx="1198">
                  <c:v>97578.099999999991</c:v>
                </c:pt>
                <c:pt idx="1199">
                  <c:v>95781.25</c:v>
                </c:pt>
                <c:pt idx="1200">
                  <c:v>97343.75</c:v>
                </c:pt>
                <c:pt idx="1201">
                  <c:v>97421.900000000009</c:v>
                </c:pt>
                <c:pt idx="1202">
                  <c:v>100546.90000000001</c:v>
                </c:pt>
                <c:pt idx="1203">
                  <c:v>101718.75</c:v>
                </c:pt>
                <c:pt idx="1204">
                  <c:v>101406.25</c:v>
                </c:pt>
                <c:pt idx="1205">
                  <c:v>103125</c:v>
                </c:pt>
                <c:pt idx="1206">
                  <c:v>101953.09999999999</c:v>
                </c:pt>
                <c:pt idx="1207">
                  <c:v>101562.5</c:v>
                </c:pt>
                <c:pt idx="1208">
                  <c:v>104140.59999999999</c:v>
                </c:pt>
                <c:pt idx="1209">
                  <c:v>101796.90000000001</c:v>
                </c:pt>
                <c:pt idx="1210">
                  <c:v>102031.25</c:v>
                </c:pt>
                <c:pt idx="1211">
                  <c:v>100546.90000000001</c:v>
                </c:pt>
                <c:pt idx="1212">
                  <c:v>103750</c:v>
                </c:pt>
                <c:pt idx="1213">
                  <c:v>103906.25</c:v>
                </c:pt>
                <c:pt idx="1214">
                  <c:v>106093.75</c:v>
                </c:pt>
                <c:pt idx="1215">
                  <c:v>110312.5</c:v>
                </c:pt>
                <c:pt idx="1216">
                  <c:v>111015.59999999999</c:v>
                </c:pt>
                <c:pt idx="1217">
                  <c:v>110546.90000000001</c:v>
                </c:pt>
                <c:pt idx="1218">
                  <c:v>108750</c:v>
                </c:pt>
                <c:pt idx="1219">
                  <c:v>112968.75</c:v>
                </c:pt>
                <c:pt idx="1220">
                  <c:v>114687.5</c:v>
                </c:pt>
                <c:pt idx="1221">
                  <c:v>110468.75</c:v>
                </c:pt>
                <c:pt idx="1222">
                  <c:v>110390.59999999999</c:v>
                </c:pt>
                <c:pt idx="1223">
                  <c:v>106718.75</c:v>
                </c:pt>
                <c:pt idx="1224">
                  <c:v>107890.59999999999</c:v>
                </c:pt>
                <c:pt idx="1225">
                  <c:v>105703.09999999999</c:v>
                </c:pt>
                <c:pt idx="1226">
                  <c:v>104687.5</c:v>
                </c:pt>
                <c:pt idx="1227">
                  <c:v>103750</c:v>
                </c:pt>
                <c:pt idx="1228">
                  <c:v>103593.75</c:v>
                </c:pt>
                <c:pt idx="1229">
                  <c:v>104765.59999999999</c:v>
                </c:pt>
                <c:pt idx="1230">
                  <c:v>104843.75</c:v>
                </c:pt>
                <c:pt idx="1231">
                  <c:v>102421.90000000001</c:v>
                </c:pt>
                <c:pt idx="1232">
                  <c:v>101171.90000000001</c:v>
                </c:pt>
                <c:pt idx="1233">
                  <c:v>99218.75</c:v>
                </c:pt>
                <c:pt idx="1234">
                  <c:v>99375</c:v>
                </c:pt>
                <c:pt idx="1235">
                  <c:v>98828.099999999991</c:v>
                </c:pt>
                <c:pt idx="1236">
                  <c:v>97734.400000000009</c:v>
                </c:pt>
                <c:pt idx="1237">
                  <c:v>94453.099999999991</c:v>
                </c:pt>
                <c:pt idx="1238">
                  <c:v>96562.5</c:v>
                </c:pt>
                <c:pt idx="1239">
                  <c:v>95468.75</c:v>
                </c:pt>
                <c:pt idx="1240">
                  <c:v>95312.5</c:v>
                </c:pt>
                <c:pt idx="1241">
                  <c:v>91640.599999999991</c:v>
                </c:pt>
                <c:pt idx="1242">
                  <c:v>91796.900000000009</c:v>
                </c:pt>
                <c:pt idx="1243">
                  <c:v>94140.599999999991</c:v>
                </c:pt>
                <c:pt idx="1244">
                  <c:v>97187.5</c:v>
                </c:pt>
                <c:pt idx="1245">
                  <c:v>92109.400000000009</c:v>
                </c:pt>
                <c:pt idx="1246">
                  <c:v>91718.75</c:v>
                </c:pt>
                <c:pt idx="1247">
                  <c:v>95546.900000000009</c:v>
                </c:pt>
                <c:pt idx="1248">
                  <c:v>93593.75</c:v>
                </c:pt>
                <c:pt idx="1249">
                  <c:v>96250</c:v>
                </c:pt>
                <c:pt idx="1250">
                  <c:v>99062.5</c:v>
                </c:pt>
                <c:pt idx="1251">
                  <c:v>98750</c:v>
                </c:pt>
                <c:pt idx="1252">
                  <c:v>98359.400000000009</c:v>
                </c:pt>
                <c:pt idx="1253">
                  <c:v>97421.900000000009</c:v>
                </c:pt>
                <c:pt idx="1254">
                  <c:v>94687.5</c:v>
                </c:pt>
                <c:pt idx="1255">
                  <c:v>93203.099999999991</c:v>
                </c:pt>
                <c:pt idx="1256">
                  <c:v>96796.900000000009</c:v>
                </c:pt>
                <c:pt idx="1257">
                  <c:v>95859.400000000009</c:v>
                </c:pt>
                <c:pt idx="1258">
                  <c:v>95546.900000000009</c:v>
                </c:pt>
                <c:pt idx="1259">
                  <c:v>94609.400000000009</c:v>
                </c:pt>
                <c:pt idx="1260">
                  <c:v>93281.25</c:v>
                </c:pt>
                <c:pt idx="1261">
                  <c:v>93359.400000000009</c:v>
                </c:pt>
                <c:pt idx="1262">
                  <c:v>96093.75</c:v>
                </c:pt>
                <c:pt idx="1263">
                  <c:v>94609.400000000009</c:v>
                </c:pt>
                <c:pt idx="1264">
                  <c:v>93281.25</c:v>
                </c:pt>
                <c:pt idx="1265">
                  <c:v>94609.400000000009</c:v>
                </c:pt>
                <c:pt idx="1266">
                  <c:v>95000</c:v>
                </c:pt>
                <c:pt idx="1267">
                  <c:v>95000</c:v>
                </c:pt>
                <c:pt idx="1268">
                  <c:v>96562.5</c:v>
                </c:pt>
                <c:pt idx="1269">
                  <c:v>96484.400000000009</c:v>
                </c:pt>
                <c:pt idx="1270">
                  <c:v>96328.099999999991</c:v>
                </c:pt>
                <c:pt idx="1271">
                  <c:v>97187.5</c:v>
                </c:pt>
                <c:pt idx="1272">
                  <c:v>98203.099999999991</c:v>
                </c:pt>
                <c:pt idx="1273">
                  <c:v>97578.099999999991</c:v>
                </c:pt>
                <c:pt idx="1274">
                  <c:v>98203.099999999991</c:v>
                </c:pt>
                <c:pt idx="1275">
                  <c:v>98906.25</c:v>
                </c:pt>
                <c:pt idx="1276">
                  <c:v>98750</c:v>
                </c:pt>
                <c:pt idx="1277">
                  <c:v>97421.900000000009</c:v>
                </c:pt>
                <c:pt idx="1278">
                  <c:v>96640.599999999991</c:v>
                </c:pt>
                <c:pt idx="1279">
                  <c:v>98203.099999999991</c:v>
                </c:pt>
                <c:pt idx="1280">
                  <c:v>96484.400000000009</c:v>
                </c:pt>
                <c:pt idx="1281">
                  <c:v>96718.75</c:v>
                </c:pt>
                <c:pt idx="1282">
                  <c:v>97421.900000000009</c:v>
                </c:pt>
                <c:pt idx="1283">
                  <c:v>99453.099999999991</c:v>
                </c:pt>
                <c:pt idx="1284">
                  <c:v>98828.099999999991</c:v>
                </c:pt>
                <c:pt idx="1285">
                  <c:v>98203.099999999991</c:v>
                </c:pt>
                <c:pt idx="1286">
                  <c:v>99609.400000000009</c:v>
                </c:pt>
                <c:pt idx="1287">
                  <c:v>97500</c:v>
                </c:pt>
                <c:pt idx="1288">
                  <c:v>97109.400000000009</c:v>
                </c:pt>
                <c:pt idx="1289">
                  <c:v>97421.900000000009</c:v>
                </c:pt>
                <c:pt idx="1290">
                  <c:v>96953.099999999991</c:v>
                </c:pt>
                <c:pt idx="1291">
                  <c:v>94843.75</c:v>
                </c:pt>
                <c:pt idx="1292">
                  <c:v>95156.25</c:v>
                </c:pt>
                <c:pt idx="1293">
                  <c:v>95156.25</c:v>
                </c:pt>
                <c:pt idx="1294">
                  <c:v>95312.5</c:v>
                </c:pt>
                <c:pt idx="1295">
                  <c:v>95781.25</c:v>
                </c:pt>
                <c:pt idx="1296">
                  <c:v>96953.099999999991</c:v>
                </c:pt>
                <c:pt idx="1297">
                  <c:v>98828.099999999991</c:v>
                </c:pt>
                <c:pt idx="1298">
                  <c:v>99453.099999999991</c:v>
                </c:pt>
                <c:pt idx="1299">
                  <c:v>98984.400000000009</c:v>
                </c:pt>
                <c:pt idx="1300">
                  <c:v>100000</c:v>
                </c:pt>
                <c:pt idx="1301">
                  <c:v>98593.75</c:v>
                </c:pt>
                <c:pt idx="1302">
                  <c:v>96640.599999999991</c:v>
                </c:pt>
                <c:pt idx="1303">
                  <c:v>96640.599999999991</c:v>
                </c:pt>
                <c:pt idx="1304">
                  <c:v>90078.099999999991</c:v>
                </c:pt>
                <c:pt idx="1305">
                  <c:v>91796.900000000009</c:v>
                </c:pt>
                <c:pt idx="1306">
                  <c:v>92500</c:v>
                </c:pt>
                <c:pt idx="1307">
                  <c:v>91953.099999999991</c:v>
                </c:pt>
                <c:pt idx="1308">
                  <c:v>92812.5</c:v>
                </c:pt>
                <c:pt idx="1309">
                  <c:v>88203.099999999991</c:v>
                </c:pt>
                <c:pt idx="1310">
                  <c:v>88359.400000000009</c:v>
                </c:pt>
                <c:pt idx="1311">
                  <c:v>87812.5</c:v>
                </c:pt>
                <c:pt idx="1312">
                  <c:v>87031.25</c:v>
                </c:pt>
                <c:pt idx="1313">
                  <c:v>86718.75</c:v>
                </c:pt>
                <c:pt idx="1314">
                  <c:v>84765.599999999991</c:v>
                </c:pt>
                <c:pt idx="1315">
                  <c:v>86640.599999999991</c:v>
                </c:pt>
                <c:pt idx="1316">
                  <c:v>86015.599999999991</c:v>
                </c:pt>
                <c:pt idx="1317">
                  <c:v>81484.399999999994</c:v>
                </c:pt>
                <c:pt idx="1318">
                  <c:v>81718.75</c:v>
                </c:pt>
                <c:pt idx="1319">
                  <c:v>82109.400000000009</c:v>
                </c:pt>
                <c:pt idx="1320">
                  <c:v>86484.400000000009</c:v>
                </c:pt>
                <c:pt idx="1321">
                  <c:v>87812.5</c:v>
                </c:pt>
                <c:pt idx="1322">
                  <c:v>85078.099999999991</c:v>
                </c:pt>
                <c:pt idx="1323">
                  <c:v>82265.599999999991</c:v>
                </c:pt>
                <c:pt idx="1324">
                  <c:v>83593.75</c:v>
                </c:pt>
                <c:pt idx="1325">
                  <c:v>83828.099999999991</c:v>
                </c:pt>
                <c:pt idx="1326">
                  <c:v>79218.75</c:v>
                </c:pt>
                <c:pt idx="1327">
                  <c:v>80859.399999999994</c:v>
                </c:pt>
                <c:pt idx="1328">
                  <c:v>82968.75</c:v>
                </c:pt>
                <c:pt idx="1329">
                  <c:v>79765.600000000006</c:v>
                </c:pt>
                <c:pt idx="1330">
                  <c:v>79843.75</c:v>
                </c:pt>
                <c:pt idx="1331">
                  <c:v>80000</c:v>
                </c:pt>
                <c:pt idx="1332">
                  <c:v>83437.5</c:v>
                </c:pt>
                <c:pt idx="1333">
                  <c:v>84218.75</c:v>
                </c:pt>
                <c:pt idx="1334">
                  <c:v>82500</c:v>
                </c:pt>
                <c:pt idx="1335">
                  <c:v>82890.599999999991</c:v>
                </c:pt>
                <c:pt idx="1336">
                  <c:v>81953.099999999991</c:v>
                </c:pt>
                <c:pt idx="1337">
                  <c:v>86015.599999999991</c:v>
                </c:pt>
                <c:pt idx="1338">
                  <c:v>84687.5</c:v>
                </c:pt>
                <c:pt idx="1339">
                  <c:v>88593.75</c:v>
                </c:pt>
                <c:pt idx="1340">
                  <c:v>90312.5</c:v>
                </c:pt>
                <c:pt idx="1341">
                  <c:v>87656.25</c:v>
                </c:pt>
                <c:pt idx="1342">
                  <c:v>87500</c:v>
                </c:pt>
                <c:pt idx="1343">
                  <c:v>86328.099999999991</c:v>
                </c:pt>
                <c:pt idx="1344">
                  <c:v>81171.899999999994</c:v>
                </c:pt>
                <c:pt idx="1345">
                  <c:v>87656.25</c:v>
                </c:pt>
                <c:pt idx="1346">
                  <c:v>88828.099999999991</c:v>
                </c:pt>
                <c:pt idx="1347">
                  <c:v>92109.400000000009</c:v>
                </c:pt>
                <c:pt idx="1348">
                  <c:v>92187.5</c:v>
                </c:pt>
                <c:pt idx="1349">
                  <c:v>93046.900000000009</c:v>
                </c:pt>
                <c:pt idx="1350">
                  <c:v>92187.5</c:v>
                </c:pt>
                <c:pt idx="1351">
                  <c:v>91640.599999999991</c:v>
                </c:pt>
                <c:pt idx="1352">
                  <c:v>93203.099999999991</c:v>
                </c:pt>
                <c:pt idx="1353">
                  <c:v>90546.900000000009</c:v>
                </c:pt>
                <c:pt idx="1354">
                  <c:v>90625</c:v>
                </c:pt>
                <c:pt idx="1355">
                  <c:v>89296.900000000009</c:v>
                </c:pt>
                <c:pt idx="1356">
                  <c:v>94921.900000000009</c:v>
                </c:pt>
                <c:pt idx="1357">
                  <c:v>91484.400000000009</c:v>
                </c:pt>
                <c:pt idx="1358">
                  <c:v>91796.900000000009</c:v>
                </c:pt>
                <c:pt idx="1359">
                  <c:v>91562.5</c:v>
                </c:pt>
                <c:pt idx="1360">
                  <c:v>91328.099999999991</c:v>
                </c:pt>
                <c:pt idx="1361">
                  <c:v>89843.75</c:v>
                </c:pt>
                <c:pt idx="1362">
                  <c:v>88750</c:v>
                </c:pt>
                <c:pt idx="1363">
                  <c:v>88046.900000000009</c:v>
                </c:pt>
                <c:pt idx="1364">
                  <c:v>90234.400000000009</c:v>
                </c:pt>
                <c:pt idx="1365">
                  <c:v>91171.900000000009</c:v>
                </c:pt>
                <c:pt idx="1366">
                  <c:v>91328.099999999991</c:v>
                </c:pt>
                <c:pt idx="1367">
                  <c:v>92265.599999999991</c:v>
                </c:pt>
                <c:pt idx="1368">
                  <c:v>94531.25</c:v>
                </c:pt>
                <c:pt idx="1369">
                  <c:v>94062.5</c:v>
                </c:pt>
                <c:pt idx="1370">
                  <c:v>91328.099999999991</c:v>
                </c:pt>
                <c:pt idx="1371">
                  <c:v>93046.900000000009</c:v>
                </c:pt>
                <c:pt idx="1372">
                  <c:v>91875</c:v>
                </c:pt>
                <c:pt idx="1373">
                  <c:v>91171.900000000009</c:v>
                </c:pt>
                <c:pt idx="1374">
                  <c:v>91406.25</c:v>
                </c:pt>
                <c:pt idx="1375">
                  <c:v>91796.900000000009</c:v>
                </c:pt>
                <c:pt idx="1376">
                  <c:v>90312.5</c:v>
                </c:pt>
                <c:pt idx="1377">
                  <c:v>93515.599999999991</c:v>
                </c:pt>
                <c:pt idx="1378">
                  <c:v>93906.25</c:v>
                </c:pt>
                <c:pt idx="1379">
                  <c:v>92343.75</c:v>
                </c:pt>
                <c:pt idx="1380">
                  <c:v>88046.900000000009</c:v>
                </c:pt>
                <c:pt idx="1381">
                  <c:v>95781.25</c:v>
                </c:pt>
                <c:pt idx="1382">
                  <c:v>95625</c:v>
                </c:pt>
                <c:pt idx="1383">
                  <c:v>94218.75</c:v>
                </c:pt>
                <c:pt idx="1384">
                  <c:v>93437.5</c:v>
                </c:pt>
                <c:pt idx="1385">
                  <c:v>94843.75</c:v>
                </c:pt>
                <c:pt idx="1386">
                  <c:v>93281.25</c:v>
                </c:pt>
                <c:pt idx="1387">
                  <c:v>94531.25</c:v>
                </c:pt>
                <c:pt idx="1388">
                  <c:v>94062.5</c:v>
                </c:pt>
                <c:pt idx="1389">
                  <c:v>93125</c:v>
                </c:pt>
                <c:pt idx="1390">
                  <c:v>92656.25</c:v>
                </c:pt>
                <c:pt idx="1391">
                  <c:v>92656.25</c:v>
                </c:pt>
                <c:pt idx="1392">
                  <c:v>94218.75</c:v>
                </c:pt>
                <c:pt idx="1393">
                  <c:v>94375</c:v>
                </c:pt>
                <c:pt idx="1394">
                  <c:v>95781.25</c:v>
                </c:pt>
                <c:pt idx="1395">
                  <c:v>96640.599999999991</c:v>
                </c:pt>
                <c:pt idx="1396">
                  <c:v>97968.75</c:v>
                </c:pt>
                <c:pt idx="1397">
                  <c:v>96953.099999999991</c:v>
                </c:pt>
                <c:pt idx="1398">
                  <c:v>99453.099999999991</c:v>
                </c:pt>
                <c:pt idx="1399">
                  <c:v>96484.400000000009</c:v>
                </c:pt>
                <c:pt idx="1400">
                  <c:v>96796.900000000009</c:v>
                </c:pt>
                <c:pt idx="1401">
                  <c:v>98359.400000000009</c:v>
                </c:pt>
                <c:pt idx="1402">
                  <c:v>95625</c:v>
                </c:pt>
                <c:pt idx="1403">
                  <c:v>95781.25</c:v>
                </c:pt>
                <c:pt idx="1404">
                  <c:v>93671.900000000009</c:v>
                </c:pt>
                <c:pt idx="1405">
                  <c:v>92578.099999999991</c:v>
                </c:pt>
                <c:pt idx="1406">
                  <c:v>93125</c:v>
                </c:pt>
                <c:pt idx="1407">
                  <c:v>92265.599999999991</c:v>
                </c:pt>
                <c:pt idx="1408">
                  <c:v>93828.099999999991</c:v>
                </c:pt>
                <c:pt idx="1409">
                  <c:v>95703.099999999991</c:v>
                </c:pt>
                <c:pt idx="1410">
                  <c:v>97968.75</c:v>
                </c:pt>
                <c:pt idx="1411">
                  <c:v>94375</c:v>
                </c:pt>
                <c:pt idx="1412">
                  <c:v>93828.099999999991</c:v>
                </c:pt>
                <c:pt idx="1413">
                  <c:v>93125</c:v>
                </c:pt>
                <c:pt idx="1414">
                  <c:v>91328.099999999991</c:v>
                </c:pt>
                <c:pt idx="1415">
                  <c:v>89218.75</c:v>
                </c:pt>
                <c:pt idx="1416">
                  <c:v>90781.25</c:v>
                </c:pt>
                <c:pt idx="1417">
                  <c:v>90781.25</c:v>
                </c:pt>
                <c:pt idx="1418">
                  <c:v>90468.75</c:v>
                </c:pt>
                <c:pt idx="1419">
                  <c:v>90546.900000000009</c:v>
                </c:pt>
                <c:pt idx="1420">
                  <c:v>87812.5</c:v>
                </c:pt>
                <c:pt idx="1421">
                  <c:v>88593.75</c:v>
                </c:pt>
                <c:pt idx="1422">
                  <c:v>90546.900000000009</c:v>
                </c:pt>
                <c:pt idx="1423">
                  <c:v>95078.099999999991</c:v>
                </c:pt>
                <c:pt idx="1424">
                  <c:v>95781.25</c:v>
                </c:pt>
                <c:pt idx="1425">
                  <c:v>97421.900000000009</c:v>
                </c:pt>
                <c:pt idx="1426">
                  <c:v>98125</c:v>
                </c:pt>
                <c:pt idx="1427">
                  <c:v>94687.5</c:v>
                </c:pt>
                <c:pt idx="1428">
                  <c:v>93828.099999999991</c:v>
                </c:pt>
                <c:pt idx="1429">
                  <c:v>92031.25</c:v>
                </c:pt>
                <c:pt idx="1430">
                  <c:v>92343.75</c:v>
                </c:pt>
                <c:pt idx="1431">
                  <c:v>89921.900000000009</c:v>
                </c:pt>
                <c:pt idx="1432">
                  <c:v>92500</c:v>
                </c:pt>
                <c:pt idx="1433">
                  <c:v>93203.099999999991</c:v>
                </c:pt>
                <c:pt idx="1434">
                  <c:v>92890.599999999991</c:v>
                </c:pt>
                <c:pt idx="1435">
                  <c:v>94140.599999999991</c:v>
                </c:pt>
                <c:pt idx="1436">
                  <c:v>94062.5</c:v>
                </c:pt>
                <c:pt idx="1437">
                  <c:v>94453.099999999991</c:v>
                </c:pt>
                <c:pt idx="1438">
                  <c:v>93359.400000000009</c:v>
                </c:pt>
                <c:pt idx="1439">
                  <c:v>93281.25</c:v>
                </c:pt>
                <c:pt idx="1440">
                  <c:v>93515.599999999991</c:v>
                </c:pt>
                <c:pt idx="1441">
                  <c:v>93515.599999999991</c:v>
                </c:pt>
                <c:pt idx="1442">
                  <c:v>94375</c:v>
                </c:pt>
                <c:pt idx="1443">
                  <c:v>94140.599999999991</c:v>
                </c:pt>
                <c:pt idx="1444">
                  <c:v>94218.75</c:v>
                </c:pt>
                <c:pt idx="1445">
                  <c:v>91875</c:v>
                </c:pt>
                <c:pt idx="1446">
                  <c:v>91406.25</c:v>
                </c:pt>
                <c:pt idx="1447">
                  <c:v>89062.5</c:v>
                </c:pt>
                <c:pt idx="1448">
                  <c:v>88828.099999999991</c:v>
                </c:pt>
                <c:pt idx="1449">
                  <c:v>87968.75</c:v>
                </c:pt>
                <c:pt idx="1450">
                  <c:v>87890.599999999991</c:v>
                </c:pt>
                <c:pt idx="1451">
                  <c:v>88906.25</c:v>
                </c:pt>
                <c:pt idx="1452">
                  <c:v>90625</c:v>
                </c:pt>
                <c:pt idx="1453">
                  <c:v>88515.599999999991</c:v>
                </c:pt>
                <c:pt idx="1454">
                  <c:v>88906.25</c:v>
                </c:pt>
                <c:pt idx="1455">
                  <c:v>89140.599999999991</c:v>
                </c:pt>
                <c:pt idx="1456">
                  <c:v>89765.599999999991</c:v>
                </c:pt>
                <c:pt idx="1457">
                  <c:v>91718.75</c:v>
                </c:pt>
                <c:pt idx="1458">
                  <c:v>92734.400000000009</c:v>
                </c:pt>
                <c:pt idx="1459">
                  <c:v>92578.099999999991</c:v>
                </c:pt>
                <c:pt idx="1460">
                  <c:v>92421.900000000009</c:v>
                </c:pt>
                <c:pt idx="1461">
                  <c:v>92890.599999999991</c:v>
                </c:pt>
                <c:pt idx="1462">
                  <c:v>91250</c:v>
                </c:pt>
                <c:pt idx="1463">
                  <c:v>92578.099999999991</c:v>
                </c:pt>
                <c:pt idx="1464">
                  <c:v>91328.099999999991</c:v>
                </c:pt>
                <c:pt idx="1465">
                  <c:v>92343.75</c:v>
                </c:pt>
                <c:pt idx="1466">
                  <c:v>91875</c:v>
                </c:pt>
                <c:pt idx="1467">
                  <c:v>91250</c:v>
                </c:pt>
                <c:pt idx="1468">
                  <c:v>91093.75</c:v>
                </c:pt>
                <c:pt idx="1469">
                  <c:v>91015.599999999991</c:v>
                </c:pt>
                <c:pt idx="1470">
                  <c:v>88984.400000000009</c:v>
                </c:pt>
                <c:pt idx="1471">
                  <c:v>89062.5</c:v>
                </c:pt>
                <c:pt idx="1472">
                  <c:v>91953.099999999991</c:v>
                </c:pt>
                <c:pt idx="1473">
                  <c:v>93437.5</c:v>
                </c:pt>
                <c:pt idx="1474">
                  <c:v>93515.599999999991</c:v>
                </c:pt>
                <c:pt idx="1475">
                  <c:v>93671.900000000009</c:v>
                </c:pt>
                <c:pt idx="1476">
                  <c:v>94921.900000000009</c:v>
                </c:pt>
                <c:pt idx="1477">
                  <c:v>95468.75</c:v>
                </c:pt>
                <c:pt idx="1478">
                  <c:v>95234.400000000009</c:v>
                </c:pt>
                <c:pt idx="1479">
                  <c:v>95078.099999999991</c:v>
                </c:pt>
                <c:pt idx="1480">
                  <c:v>90078.099999999991</c:v>
                </c:pt>
                <c:pt idx="1481">
                  <c:v>88593.75</c:v>
                </c:pt>
                <c:pt idx="1482">
                  <c:v>87031.25</c:v>
                </c:pt>
                <c:pt idx="1483">
                  <c:v>86562.5</c:v>
                </c:pt>
                <c:pt idx="1484">
                  <c:v>86796.900000000009</c:v>
                </c:pt>
                <c:pt idx="1485">
                  <c:v>88593.75</c:v>
                </c:pt>
                <c:pt idx="1486">
                  <c:v>89453.099999999991</c:v>
                </c:pt>
                <c:pt idx="1487">
                  <c:v>87031.25</c:v>
                </c:pt>
                <c:pt idx="1488">
                  <c:v>90156.25</c:v>
                </c:pt>
                <c:pt idx="1489">
                  <c:v>90781.25</c:v>
                </c:pt>
                <c:pt idx="1490">
                  <c:v>90156.25</c:v>
                </c:pt>
                <c:pt idx="1491">
                  <c:v>88359.400000000009</c:v>
                </c:pt>
                <c:pt idx="1492">
                  <c:v>87734.400000000009</c:v>
                </c:pt>
                <c:pt idx="1493">
                  <c:v>88359.400000000009</c:v>
                </c:pt>
                <c:pt idx="1494">
                  <c:v>88125</c:v>
                </c:pt>
                <c:pt idx="1495">
                  <c:v>88125</c:v>
                </c:pt>
                <c:pt idx="1496">
                  <c:v>89531.25</c:v>
                </c:pt>
                <c:pt idx="1497">
                  <c:v>90156.25</c:v>
                </c:pt>
                <c:pt idx="1498">
                  <c:v>91484.400000000009</c:v>
                </c:pt>
                <c:pt idx="1499">
                  <c:v>89843.75</c:v>
                </c:pt>
                <c:pt idx="1500">
                  <c:v>92265.599999999991</c:v>
                </c:pt>
                <c:pt idx="1501">
                  <c:v>92343.75</c:v>
                </c:pt>
                <c:pt idx="1502">
                  <c:v>93046.900000000009</c:v>
                </c:pt>
                <c:pt idx="1503">
                  <c:v>92968.75</c:v>
                </c:pt>
                <c:pt idx="1504">
                  <c:v>93359.400000000009</c:v>
                </c:pt>
                <c:pt idx="1505">
                  <c:v>93828.099999999991</c:v>
                </c:pt>
                <c:pt idx="1506">
                  <c:v>94843.75</c:v>
                </c:pt>
                <c:pt idx="1507">
                  <c:v>94843.75</c:v>
                </c:pt>
                <c:pt idx="1508">
                  <c:v>93906.25</c:v>
                </c:pt>
                <c:pt idx="1509">
                  <c:v>93906.25</c:v>
                </c:pt>
                <c:pt idx="1510">
                  <c:v>97890.599999999991</c:v>
                </c:pt>
                <c:pt idx="1511">
                  <c:v>98281.25</c:v>
                </c:pt>
                <c:pt idx="1512">
                  <c:v>99843.75</c:v>
                </c:pt>
                <c:pt idx="1513">
                  <c:v>99921.900000000009</c:v>
                </c:pt>
                <c:pt idx="1514">
                  <c:v>100781.25</c:v>
                </c:pt>
                <c:pt idx="1515">
                  <c:v>100000</c:v>
                </c:pt>
                <c:pt idx="1516">
                  <c:v>98593.75</c:v>
                </c:pt>
                <c:pt idx="1517">
                  <c:v>97500</c:v>
                </c:pt>
                <c:pt idx="1518">
                  <c:v>97343.75</c:v>
                </c:pt>
                <c:pt idx="1519">
                  <c:v>97265.599999999991</c:v>
                </c:pt>
                <c:pt idx="1520">
                  <c:v>96640.599999999991</c:v>
                </c:pt>
                <c:pt idx="1521">
                  <c:v>98203.099999999991</c:v>
                </c:pt>
                <c:pt idx="1522">
                  <c:v>99609.400000000009</c:v>
                </c:pt>
                <c:pt idx="1523">
                  <c:v>100156.25</c:v>
                </c:pt>
                <c:pt idx="1524">
                  <c:v>101796.90000000001</c:v>
                </c:pt>
                <c:pt idx="1525">
                  <c:v>102109.40000000001</c:v>
                </c:pt>
                <c:pt idx="1526">
                  <c:v>104765.59999999999</c:v>
                </c:pt>
                <c:pt idx="1527">
                  <c:v>107109.40000000001</c:v>
                </c:pt>
                <c:pt idx="1528">
                  <c:v>108671.90000000001</c:v>
                </c:pt>
                <c:pt idx="1529">
                  <c:v>103671.90000000001</c:v>
                </c:pt>
                <c:pt idx="1530">
                  <c:v>107812.5</c:v>
                </c:pt>
                <c:pt idx="1531">
                  <c:v>107812.5</c:v>
                </c:pt>
                <c:pt idx="1532">
                  <c:v>107500</c:v>
                </c:pt>
                <c:pt idx="1533">
                  <c:v>108906.25</c:v>
                </c:pt>
                <c:pt idx="1534">
                  <c:v>112187.5</c:v>
                </c:pt>
                <c:pt idx="1535">
                  <c:v>113828.09999999999</c:v>
                </c:pt>
                <c:pt idx="1536">
                  <c:v>114375</c:v>
                </c:pt>
                <c:pt idx="1537">
                  <c:v>114609.40000000001</c:v>
                </c:pt>
                <c:pt idx="1538">
                  <c:v>115078.09999999999</c:v>
                </c:pt>
                <c:pt idx="1539">
                  <c:v>115625</c:v>
                </c:pt>
                <c:pt idx="1540">
                  <c:v>116171.90000000001</c:v>
                </c:pt>
                <c:pt idx="1541">
                  <c:v>114921.90000000001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72-41FB-B59E-2AA8E16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752143"/>
        <c:axId val="88265375"/>
      </c:lineChart>
      <c:catAx>
        <c:axId val="2987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65375"/>
        <c:crosses val="autoZero"/>
        <c:auto val="1"/>
        <c:lblAlgn val="ctr"/>
        <c:lblOffset val="100"/>
        <c:tickMarkSkip val="100"/>
        <c:noMultiLvlLbl val="0"/>
      </c:catAx>
      <c:valAx>
        <c:axId val="882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5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tx>
            <c:strRef>
              <c:f>Portfolio!$G$23:$J$23</c:f>
              <c:strCache>
                <c:ptCount val="4"/>
                <c:pt idx="0">
                  <c:v> 112,200 </c:v>
                </c:pt>
                <c:pt idx="1">
                  <c:v> 68,530 </c:v>
                </c:pt>
                <c:pt idx="2">
                  <c:v> 93,188 </c:v>
                </c:pt>
                <c:pt idx="3">
                  <c:v> 114,922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A8-45C7-8012-C6CCD364C1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8-45C7-8012-C6CCD364C1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A8-45C7-8012-C6CCD364C1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A8-45C7-8012-C6CCD364C1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Portfolio!$G$24:$J$24</c:f>
              <c:strCache>
                <c:ptCount val="4"/>
                <c:pt idx="0">
                  <c:v>@ESU24</c:v>
                </c:pt>
                <c:pt idx="1">
                  <c:v>@GCQ24</c:v>
                </c:pt>
                <c:pt idx="2">
                  <c:v>@JYU24</c:v>
                </c:pt>
                <c:pt idx="3">
                  <c:v>@TYU24</c:v>
                </c:pt>
              </c:strCache>
            </c:strRef>
          </c:cat>
          <c:val>
            <c:numRef>
              <c:f>Portfolio!$G$23:$J$23</c:f>
              <c:numCache>
                <c:formatCode>_-* #,##0_-;\-* #,##0_-;_-* "-"??_-;_-@_-</c:formatCode>
                <c:ptCount val="4"/>
                <c:pt idx="0">
                  <c:v>112200</c:v>
                </c:pt>
                <c:pt idx="1">
                  <c:v>68530</c:v>
                </c:pt>
                <c:pt idx="2">
                  <c:v>93187.5</c:v>
                </c:pt>
                <c:pt idx="3">
                  <c:v>114921.90000000001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1-4ABA-8924-224D1FDE1B7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54711</xdr:colOff>
      <xdr:row>11</xdr:row>
      <xdr:rowOff>22847</xdr:rowOff>
    </xdr:from>
    <xdr:to>
      <xdr:col>17</xdr:col>
      <xdr:colOff>0</xdr:colOff>
      <xdr:row>17</xdr:row>
      <xdr:rowOff>217714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03369CC-A990-4D03-9FCF-0AEDA7AB4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22677</xdr:colOff>
      <xdr:row>17</xdr:row>
      <xdr:rowOff>241527</xdr:rowOff>
    </xdr:from>
    <xdr:to>
      <xdr:col>17</xdr:col>
      <xdr:colOff>0</xdr:colOff>
      <xdr:row>22</xdr:row>
      <xdr:rowOff>15875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EA839D8-FF74-4540-AA79-FCA38BBE3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49609</xdr:colOff>
      <xdr:row>1</xdr:row>
      <xdr:rowOff>15875</xdr:rowOff>
    </xdr:from>
    <xdr:to>
      <xdr:col>17</xdr:col>
      <xdr:colOff>0</xdr:colOff>
      <xdr:row>10</xdr:row>
      <xdr:rowOff>254000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E663BEBC-BE38-4B6C-B217-002BCE24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196849</xdr:colOff>
      <xdr:row>11</xdr:row>
      <xdr:rowOff>10</xdr:rowOff>
    </xdr:from>
    <xdr:to>
      <xdr:col>23</xdr:col>
      <xdr:colOff>15875</xdr:colOff>
      <xdr:row>21</xdr:row>
      <xdr:rowOff>174625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82E423BA-E236-444D-8C7B-F6FDC752B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5472.484708680553" createdVersion="6" refreshedVersion="6" minRefreshableVersion="3" recordCount="6167" xr:uid="{48367420-21C4-4B19-8731-A7A29709303C}">
  <cacheSource type="worksheet">
    <worksheetSource ref="A1:E1048576" sheet="PrintLog"/>
  </cacheSource>
  <cacheFields count="5">
    <cacheField name="Symbol" numFmtId="0">
      <sharedItems containsBlank="1" count="5">
        <s v="@TYU24"/>
        <s v="@JYU24"/>
        <s v="@GCQ24"/>
        <s v="@ESU24"/>
        <m/>
      </sharedItems>
    </cacheField>
    <cacheField name="Date" numFmtId="0">
      <sharedItems containsString="0" containsBlank="1" containsNumber="1" containsInteger="1" minValue="1190709" maxValue="1240621" count="1543">
        <n v="1190709"/>
        <n v="1190710"/>
        <n v="1190711"/>
        <n v="1190712"/>
        <n v="1190714"/>
        <n v="1190715"/>
        <n v="1190716"/>
        <n v="1190717"/>
        <n v="1190718"/>
        <n v="1190719"/>
        <n v="1190721"/>
        <n v="1190722"/>
        <n v="1190723"/>
        <n v="1190724"/>
        <n v="1190725"/>
        <n v="1190726"/>
        <n v="1190728"/>
        <n v="1190729"/>
        <n v="1190730"/>
        <n v="1190731"/>
        <n v="1190801"/>
        <n v="1190802"/>
        <n v="1190804"/>
        <n v="1190805"/>
        <n v="1190806"/>
        <n v="1190807"/>
        <n v="1190808"/>
        <n v="1190809"/>
        <n v="1190811"/>
        <n v="1190812"/>
        <n v="1190813"/>
        <n v="1190814"/>
        <n v="1190815"/>
        <n v="1190816"/>
        <n v="1190818"/>
        <n v="1190819"/>
        <n v="1190820"/>
        <n v="1190821"/>
        <n v="1190822"/>
        <n v="1190823"/>
        <n v="1190825"/>
        <n v="1190826"/>
        <n v="1190827"/>
        <n v="1190828"/>
        <n v="1190829"/>
        <n v="1190830"/>
        <n v="1190901"/>
        <n v="1190902"/>
        <n v="1190903"/>
        <n v="1190904"/>
        <n v="1190905"/>
        <n v="1190906"/>
        <n v="1190908"/>
        <n v="1190909"/>
        <n v="1190910"/>
        <n v="1190911"/>
        <n v="1190912"/>
        <n v="1190913"/>
        <n v="1190915"/>
        <n v="1190916"/>
        <n v="1190917"/>
        <n v="1190918"/>
        <n v="1190919"/>
        <n v="1190920"/>
        <n v="1190922"/>
        <n v="1190923"/>
        <n v="1190924"/>
        <n v="1190925"/>
        <n v="1190926"/>
        <n v="1190927"/>
        <n v="1190929"/>
        <n v="1190930"/>
        <n v="1191001"/>
        <n v="1191002"/>
        <n v="1191003"/>
        <n v="1191004"/>
        <n v="1191006"/>
        <n v="1191007"/>
        <n v="1191008"/>
        <n v="1191009"/>
        <n v="1191010"/>
        <n v="1191011"/>
        <n v="1191013"/>
        <n v="1191014"/>
        <n v="1191015"/>
        <n v="1191016"/>
        <n v="1191017"/>
        <n v="1191018"/>
        <n v="1191020"/>
        <n v="1191021"/>
        <n v="1191022"/>
        <n v="1191023"/>
        <n v="1191024"/>
        <n v="1191025"/>
        <n v="1191027"/>
        <n v="1191028"/>
        <n v="1191029"/>
        <n v="1191030"/>
        <n v="1191031"/>
        <n v="1191101"/>
        <n v="1191103"/>
        <n v="1191104"/>
        <n v="1191105"/>
        <n v="1191106"/>
        <n v="1191107"/>
        <n v="1191108"/>
        <n v="1191110"/>
        <n v="1191111"/>
        <n v="1191112"/>
        <n v="1191113"/>
        <n v="1191114"/>
        <n v="1191115"/>
        <n v="1191117"/>
        <n v="1191118"/>
        <n v="1191119"/>
        <n v="1191120"/>
        <n v="1191121"/>
        <n v="1191122"/>
        <n v="1191124"/>
        <n v="1191125"/>
        <n v="1191126"/>
        <n v="1191127"/>
        <n v="1191128"/>
        <n v="1191129"/>
        <n v="1191201"/>
        <n v="1191202"/>
        <n v="1191203"/>
        <n v="1191204"/>
        <n v="1191205"/>
        <n v="1191206"/>
        <n v="1191208"/>
        <n v="1191209"/>
        <n v="1191210"/>
        <n v="1191211"/>
        <n v="1191212"/>
        <n v="1191213"/>
        <n v="1191215"/>
        <n v="1191216"/>
        <n v="1191217"/>
        <n v="1191218"/>
        <n v="1191219"/>
        <n v="1191220"/>
        <n v="1191222"/>
        <n v="1191223"/>
        <n v="1191224"/>
        <n v="1191225"/>
        <n v="1191226"/>
        <n v="1191227"/>
        <n v="1191229"/>
        <n v="1191230"/>
        <n v="1191231"/>
        <n v="1200101"/>
        <n v="1200102"/>
        <n v="1200103"/>
        <n v="1200105"/>
        <n v="1200106"/>
        <n v="1200107"/>
        <n v="1200108"/>
        <n v="1200109"/>
        <n v="1200110"/>
        <n v="1200112"/>
        <n v="1200113"/>
        <n v="1200114"/>
        <n v="1200115"/>
        <n v="1200116"/>
        <n v="1200117"/>
        <n v="1200119"/>
        <n v="1200120"/>
        <n v="1200121"/>
        <n v="1200122"/>
        <n v="1200123"/>
        <n v="1200124"/>
        <n v="1200126"/>
        <n v="1200127"/>
        <n v="1200128"/>
        <n v="1200129"/>
        <n v="1200130"/>
        <n v="1200131"/>
        <n v="1200202"/>
        <n v="1200203"/>
        <n v="1200204"/>
        <n v="1200205"/>
        <n v="1200206"/>
        <n v="1200207"/>
        <n v="1200209"/>
        <n v="1200210"/>
        <n v="1200211"/>
        <n v="1200212"/>
        <n v="1200213"/>
        <n v="1200214"/>
        <n v="1200216"/>
        <n v="1200217"/>
        <n v="1200218"/>
        <n v="1200219"/>
        <n v="1200220"/>
        <n v="1200221"/>
        <n v="1200223"/>
        <n v="1200224"/>
        <n v="1200225"/>
        <n v="1200226"/>
        <n v="1200227"/>
        <n v="1200228"/>
        <n v="1200301"/>
        <n v="1200302"/>
        <n v="1200303"/>
        <n v="1200304"/>
        <n v="1200305"/>
        <n v="1200306"/>
        <n v="1200308"/>
        <n v="1200309"/>
        <n v="1200310"/>
        <n v="1200311"/>
        <n v="1200312"/>
        <n v="1200313"/>
        <n v="1200315"/>
        <n v="1200316"/>
        <n v="1200317"/>
        <n v="1200318"/>
        <n v="1200319"/>
        <n v="1200320"/>
        <n v="1200322"/>
        <n v="1200323"/>
        <n v="1200324"/>
        <n v="1200325"/>
        <n v="1200326"/>
        <n v="1200327"/>
        <n v="1200329"/>
        <n v="1200330"/>
        <n v="1200331"/>
        <n v="1200401"/>
        <n v="1200402"/>
        <n v="1200403"/>
        <n v="1200405"/>
        <n v="1200406"/>
        <n v="1200407"/>
        <n v="1200408"/>
        <n v="1200409"/>
        <n v="1200412"/>
        <n v="1200413"/>
        <n v="1200414"/>
        <n v="1200415"/>
        <n v="1200416"/>
        <n v="1200417"/>
        <n v="1200419"/>
        <n v="1200420"/>
        <n v="1200421"/>
        <n v="1200422"/>
        <n v="1200423"/>
        <n v="1200424"/>
        <n v="1200426"/>
        <n v="1200427"/>
        <n v="1200428"/>
        <n v="1200429"/>
        <n v="1200430"/>
        <n v="1200501"/>
        <n v="1200503"/>
        <n v="1200504"/>
        <n v="1200505"/>
        <n v="1200506"/>
        <n v="1200507"/>
        <n v="1200508"/>
        <n v="1200510"/>
        <n v="1200511"/>
        <n v="1200512"/>
        <n v="1200513"/>
        <n v="1200514"/>
        <n v="1200515"/>
        <n v="1200517"/>
        <n v="1200518"/>
        <n v="1200519"/>
        <n v="1200520"/>
        <n v="1200521"/>
        <n v="1200522"/>
        <n v="1200524"/>
        <n v="1200525"/>
        <n v="1200526"/>
        <n v="1200527"/>
        <n v="1200528"/>
        <n v="1200529"/>
        <n v="1200531"/>
        <n v="1200601"/>
        <n v="1200602"/>
        <n v="1200603"/>
        <n v="1200604"/>
        <n v="1200605"/>
        <n v="1200607"/>
        <n v="1200608"/>
        <n v="1200609"/>
        <n v="1200610"/>
        <n v="1200611"/>
        <n v="1200612"/>
        <n v="1200614"/>
        <n v="1200615"/>
        <n v="1200616"/>
        <n v="1200617"/>
        <n v="1200618"/>
        <n v="1200619"/>
        <n v="1200621"/>
        <n v="1200622"/>
        <n v="1200623"/>
        <n v="1200624"/>
        <n v="1200625"/>
        <n v="1200626"/>
        <n v="1200628"/>
        <n v="1200629"/>
        <n v="1200630"/>
        <n v="1200701"/>
        <n v="1200702"/>
        <n v="1200703"/>
        <n v="1200705"/>
        <n v="1200706"/>
        <n v="1200707"/>
        <n v="1200708"/>
        <n v="1200709"/>
        <n v="1200710"/>
        <n v="1200712"/>
        <n v="1200713"/>
        <n v="1200714"/>
        <n v="1200715"/>
        <n v="1200716"/>
        <n v="1200717"/>
        <n v="1200719"/>
        <n v="1200720"/>
        <n v="1200721"/>
        <n v="1200722"/>
        <n v="1200723"/>
        <n v="1200724"/>
        <n v="1200726"/>
        <n v="1200727"/>
        <n v="1200728"/>
        <n v="1200729"/>
        <n v="1200730"/>
        <n v="1200731"/>
        <n v="1200802"/>
        <n v="1200803"/>
        <n v="1200804"/>
        <n v="1200805"/>
        <n v="1200806"/>
        <n v="1200807"/>
        <n v="1200809"/>
        <n v="1200810"/>
        <n v="1200811"/>
        <n v="1200812"/>
        <n v="1200813"/>
        <n v="1200814"/>
        <n v="1200816"/>
        <n v="1200817"/>
        <n v="1200818"/>
        <n v="1200819"/>
        <n v="1200820"/>
        <n v="1200821"/>
        <n v="1200823"/>
        <n v="1200824"/>
        <n v="1200825"/>
        <n v="1200826"/>
        <n v="1200827"/>
        <n v="1200828"/>
        <n v="1200830"/>
        <n v="1200831"/>
        <n v="1200901"/>
        <n v="1200902"/>
        <n v="1200903"/>
        <n v="1200904"/>
        <n v="1200906"/>
        <n v="1200907"/>
        <n v="1200908"/>
        <n v="1200909"/>
        <n v="1200910"/>
        <n v="1200911"/>
        <n v="1200913"/>
        <n v="1200914"/>
        <n v="1200915"/>
        <n v="1200916"/>
        <n v="1200917"/>
        <n v="1200918"/>
        <n v="1200920"/>
        <n v="1200921"/>
        <n v="1200922"/>
        <n v="1200923"/>
        <n v="1200924"/>
        <n v="1200925"/>
        <n v="1200927"/>
        <n v="1200928"/>
        <n v="1200929"/>
        <n v="1200930"/>
        <n v="1201001"/>
        <n v="1201002"/>
        <n v="1201004"/>
        <n v="1201005"/>
        <n v="1201006"/>
        <n v="1201007"/>
        <n v="1201008"/>
        <n v="1201009"/>
        <n v="1201011"/>
        <n v="1201012"/>
        <n v="1201013"/>
        <n v="1201014"/>
        <n v="1201015"/>
        <n v="1201016"/>
        <n v="1201018"/>
        <n v="1201019"/>
        <n v="1201020"/>
        <n v="1201021"/>
        <n v="1201022"/>
        <n v="1201023"/>
        <n v="1201025"/>
        <n v="1201026"/>
        <n v="1201027"/>
        <n v="1201028"/>
        <n v="1201029"/>
        <n v="1201030"/>
        <n v="1201101"/>
        <n v="1201102"/>
        <n v="1201103"/>
        <n v="1201104"/>
        <n v="1201105"/>
        <n v="1201106"/>
        <n v="1201108"/>
        <n v="1201109"/>
        <n v="1201110"/>
        <n v="1201111"/>
        <n v="1201112"/>
        <n v="1201113"/>
        <n v="1201115"/>
        <n v="1201116"/>
        <n v="1201117"/>
        <n v="1201118"/>
        <n v="1201119"/>
        <n v="1201120"/>
        <n v="1201122"/>
        <n v="1201123"/>
        <n v="1201124"/>
        <n v="1201125"/>
        <n v="1201126"/>
        <n v="1201127"/>
        <n v="1201129"/>
        <n v="1201130"/>
        <n v="1201201"/>
        <n v="1201202"/>
        <n v="1201203"/>
        <n v="1201204"/>
        <n v="1201206"/>
        <n v="1201207"/>
        <n v="1201208"/>
        <n v="1201209"/>
        <n v="1201210"/>
        <n v="1201211"/>
        <n v="1201213"/>
        <n v="1201214"/>
        <n v="1201215"/>
        <n v="1201216"/>
        <n v="1201217"/>
        <n v="1201218"/>
        <n v="1201220"/>
        <n v="1201221"/>
        <n v="1201222"/>
        <n v="1201223"/>
        <n v="1201224"/>
        <n v="1201227"/>
        <n v="1201228"/>
        <n v="1201229"/>
        <n v="1201230"/>
        <n v="1201231"/>
        <n v="1210103"/>
        <n v="1210104"/>
        <n v="1210105"/>
        <n v="1210106"/>
        <n v="1210107"/>
        <n v="1210108"/>
        <n v="1210110"/>
        <n v="1210111"/>
        <n v="1210112"/>
        <n v="1210113"/>
        <n v="1210114"/>
        <n v="1210115"/>
        <n v="1210117"/>
        <n v="1210118"/>
        <n v="1210119"/>
        <n v="1210120"/>
        <n v="1210121"/>
        <n v="1210122"/>
        <n v="1210124"/>
        <n v="1210125"/>
        <n v="1210126"/>
        <n v="1210127"/>
        <n v="1210128"/>
        <n v="1210129"/>
        <n v="1210131"/>
        <n v="1210201"/>
        <n v="1210202"/>
        <n v="1210203"/>
        <n v="1210204"/>
        <n v="1210205"/>
        <n v="1210207"/>
        <n v="1210208"/>
        <n v="1210209"/>
        <n v="1210210"/>
        <n v="1210211"/>
        <n v="1210212"/>
        <n v="1210214"/>
        <n v="1210215"/>
        <n v="1210216"/>
        <n v="1210217"/>
        <n v="1210218"/>
        <n v="1210219"/>
        <n v="1210221"/>
        <n v="1210222"/>
        <n v="1210223"/>
        <n v="1210224"/>
        <n v="1210225"/>
        <n v="1210226"/>
        <n v="1210228"/>
        <n v="1210301"/>
        <n v="1210302"/>
        <n v="1210303"/>
        <n v="1210304"/>
        <n v="1210305"/>
        <n v="1210307"/>
        <n v="1210308"/>
        <n v="1210309"/>
        <n v="1210310"/>
        <n v="1210311"/>
        <n v="1210312"/>
        <n v="1210314"/>
        <n v="1210315"/>
        <n v="1210316"/>
        <n v="1210317"/>
        <n v="1210318"/>
        <n v="1210319"/>
        <n v="1210321"/>
        <n v="1210322"/>
        <n v="1210323"/>
        <n v="1210324"/>
        <n v="1210325"/>
        <n v="1210326"/>
        <n v="1210328"/>
        <n v="1210329"/>
        <n v="1210330"/>
        <n v="1210331"/>
        <n v="1210401"/>
        <n v="1210402"/>
        <n v="1210404"/>
        <n v="1210405"/>
        <n v="1210406"/>
        <n v="1210407"/>
        <n v="1210408"/>
        <n v="1210409"/>
        <n v="1210411"/>
        <n v="1210412"/>
        <n v="1210413"/>
        <n v="1210414"/>
        <n v="1210415"/>
        <n v="1210416"/>
        <n v="1210418"/>
        <n v="1210419"/>
        <n v="1210420"/>
        <n v="1210421"/>
        <n v="1210422"/>
        <n v="1210423"/>
        <n v="1210425"/>
        <n v="1210426"/>
        <n v="1210427"/>
        <n v="1210428"/>
        <n v="1210429"/>
        <n v="1210430"/>
        <n v="1210502"/>
        <n v="1210503"/>
        <n v="1210504"/>
        <n v="1210505"/>
        <n v="1210506"/>
        <n v="1210507"/>
        <n v="1210509"/>
        <n v="1210510"/>
        <n v="1210511"/>
        <n v="1210512"/>
        <n v="1210513"/>
        <n v="1210514"/>
        <n v="1210516"/>
        <n v="1210517"/>
        <n v="1210518"/>
        <n v="1210519"/>
        <n v="1210520"/>
        <n v="1210521"/>
        <n v="1210523"/>
        <n v="1210524"/>
        <n v="1210525"/>
        <n v="1210526"/>
        <n v="1210527"/>
        <n v="1210528"/>
        <n v="1210530"/>
        <n v="1210531"/>
        <n v="1210601"/>
        <n v="1210602"/>
        <n v="1210603"/>
        <n v="1210604"/>
        <n v="1210606"/>
        <n v="1210607"/>
        <n v="1210608"/>
        <n v="1210609"/>
        <n v="1210610"/>
        <n v="1210611"/>
        <n v="1210613"/>
        <n v="1210614"/>
        <n v="1210615"/>
        <n v="1210616"/>
        <n v="1210617"/>
        <n v="1210618"/>
        <n v="1210620"/>
        <n v="1210621"/>
        <n v="1210622"/>
        <n v="1210623"/>
        <n v="1210624"/>
        <n v="1210625"/>
        <n v="1210627"/>
        <n v="1210628"/>
        <n v="1210629"/>
        <n v="1210630"/>
        <n v="1210701"/>
        <n v="1210702"/>
        <n v="1210704"/>
        <n v="1210705"/>
        <n v="1210706"/>
        <n v="1210707"/>
        <n v="1210708"/>
        <n v="1210709"/>
        <n v="1210711"/>
        <n v="1210712"/>
        <n v="1210713"/>
        <n v="1210714"/>
        <n v="1210715"/>
        <n v="1210716"/>
        <n v="1210718"/>
        <n v="1210719"/>
        <n v="1210720"/>
        <n v="1210721"/>
        <n v="1210722"/>
        <n v="1210723"/>
        <n v="1210725"/>
        <n v="1210726"/>
        <n v="1210727"/>
        <n v="1210728"/>
        <n v="1210729"/>
        <n v="1210730"/>
        <n v="1210801"/>
        <n v="1210802"/>
        <n v="1210803"/>
        <n v="1210804"/>
        <n v="1210805"/>
        <n v="1210806"/>
        <n v="1210808"/>
        <n v="1210809"/>
        <n v="1210810"/>
        <n v="1210811"/>
        <n v="1210812"/>
        <n v="1210813"/>
        <n v="1210815"/>
        <n v="1210816"/>
        <n v="1210817"/>
        <n v="1210818"/>
        <n v="1210819"/>
        <n v="1210820"/>
        <n v="1210822"/>
        <n v="1210823"/>
        <n v="1210824"/>
        <n v="1210825"/>
        <n v="1210826"/>
        <n v="1210827"/>
        <n v="1210829"/>
        <n v="1210830"/>
        <n v="1210831"/>
        <n v="1210901"/>
        <n v="1210902"/>
        <n v="1210903"/>
        <n v="1210905"/>
        <n v="1210906"/>
        <n v="1210907"/>
        <n v="1210908"/>
        <n v="1210909"/>
        <n v="1210910"/>
        <n v="1210912"/>
        <n v="1210913"/>
        <n v="1210914"/>
        <n v="1210915"/>
        <n v="1210916"/>
        <n v="1210917"/>
        <n v="1210919"/>
        <n v="1210920"/>
        <n v="1210921"/>
        <n v="1210922"/>
        <n v="1210923"/>
        <n v="1210924"/>
        <n v="1210926"/>
        <n v="1210927"/>
        <n v="1210928"/>
        <n v="1210929"/>
        <n v="1210930"/>
        <n v="1211001"/>
        <n v="1211003"/>
        <n v="1211004"/>
        <n v="1211005"/>
        <n v="1211006"/>
        <n v="1211007"/>
        <n v="1211008"/>
        <n v="1211010"/>
        <n v="1211011"/>
        <n v="1211012"/>
        <n v="1211013"/>
        <n v="1211014"/>
        <n v="1211015"/>
        <n v="1211017"/>
        <n v="1211018"/>
        <n v="1211019"/>
        <n v="1211020"/>
        <n v="1211021"/>
        <n v="1211022"/>
        <n v="1211024"/>
        <n v="1211025"/>
        <n v="1211026"/>
        <n v="1211027"/>
        <n v="1211028"/>
        <n v="1211029"/>
        <n v="1211031"/>
        <n v="1211101"/>
        <n v="1211102"/>
        <n v="1211103"/>
        <n v="1211104"/>
        <n v="1211105"/>
        <n v="1211107"/>
        <n v="1211108"/>
        <n v="1211109"/>
        <n v="1211110"/>
        <n v="1211111"/>
        <n v="1211112"/>
        <n v="1211114"/>
        <n v="1211115"/>
        <n v="1211116"/>
        <n v="1211117"/>
        <n v="1211118"/>
        <n v="1211119"/>
        <n v="1211121"/>
        <n v="1211122"/>
        <n v="1211123"/>
        <n v="1211124"/>
        <n v="1211125"/>
        <n v="1211126"/>
        <n v="1211128"/>
        <n v="1211129"/>
        <n v="1211130"/>
        <n v="1211201"/>
        <n v="1211202"/>
        <n v="1211203"/>
        <n v="1211205"/>
        <n v="1211206"/>
        <n v="1211207"/>
        <n v="1211208"/>
        <n v="1211209"/>
        <n v="1211210"/>
        <n v="1211212"/>
        <n v="1211213"/>
        <n v="1211214"/>
        <n v="1211215"/>
        <n v="1211216"/>
        <n v="1211217"/>
        <n v="1211219"/>
        <n v="1211220"/>
        <n v="1211221"/>
        <n v="1211222"/>
        <n v="1211223"/>
        <n v="1211226"/>
        <n v="1211227"/>
        <n v="1211228"/>
        <n v="1211229"/>
        <n v="1211230"/>
        <n v="1211231"/>
        <n v="1220102"/>
        <n v="1220103"/>
        <n v="1220104"/>
        <n v="1220105"/>
        <n v="1220106"/>
        <n v="1220107"/>
        <n v="1220109"/>
        <n v="1220110"/>
        <n v="1220111"/>
        <n v="1220112"/>
        <n v="1220113"/>
        <n v="1220114"/>
        <n v="1220116"/>
        <n v="1220117"/>
        <n v="1220118"/>
        <n v="1220119"/>
        <n v="1220120"/>
        <n v="1220121"/>
        <n v="1220123"/>
        <n v="1220124"/>
        <n v="1220125"/>
        <n v="1220126"/>
        <n v="1220127"/>
        <n v="1220128"/>
        <n v="1220130"/>
        <n v="1220131"/>
        <n v="1220201"/>
        <n v="1220202"/>
        <n v="1220203"/>
        <n v="1220204"/>
        <n v="1220206"/>
        <n v="1220207"/>
        <n v="1220208"/>
        <n v="1220209"/>
        <n v="1220210"/>
        <n v="1220211"/>
        <n v="1220213"/>
        <n v="1220214"/>
        <n v="1220215"/>
        <n v="1220216"/>
        <n v="1220217"/>
        <n v="1220218"/>
        <n v="1220220"/>
        <n v="1220221"/>
        <n v="1220222"/>
        <n v="1220223"/>
        <n v="1220224"/>
        <n v="1220225"/>
        <n v="1220227"/>
        <n v="1220228"/>
        <n v="1220301"/>
        <n v="1220302"/>
        <n v="1220303"/>
        <n v="1220304"/>
        <n v="1220306"/>
        <n v="1220307"/>
        <n v="1220308"/>
        <n v="1220309"/>
        <n v="1220310"/>
        <n v="1220311"/>
        <n v="1220313"/>
        <n v="1220314"/>
        <n v="1220315"/>
        <n v="1220316"/>
        <n v="1220317"/>
        <n v="1220318"/>
        <n v="1220320"/>
        <n v="1220321"/>
        <n v="1220322"/>
        <n v="1220323"/>
        <n v="1220324"/>
        <n v="1220325"/>
        <n v="1220327"/>
        <n v="1220328"/>
        <n v="1220329"/>
        <n v="1220330"/>
        <n v="1220331"/>
        <n v="1220401"/>
        <n v="1220403"/>
        <n v="1220404"/>
        <n v="1220405"/>
        <n v="1220406"/>
        <n v="1220407"/>
        <n v="1220408"/>
        <n v="1220410"/>
        <n v="1220411"/>
        <n v="1220412"/>
        <n v="1220413"/>
        <n v="1220414"/>
        <n v="1220417"/>
        <n v="1220418"/>
        <n v="1220419"/>
        <n v="1220420"/>
        <n v="1220421"/>
        <n v="1220422"/>
        <n v="1220424"/>
        <n v="1220425"/>
        <n v="1220426"/>
        <n v="1220427"/>
        <n v="1220428"/>
        <n v="1220429"/>
        <n v="1220501"/>
        <n v="1220502"/>
        <n v="1220503"/>
        <n v="1220504"/>
        <n v="1220505"/>
        <n v="1220506"/>
        <n v="1220508"/>
        <n v="1220509"/>
        <n v="1220510"/>
        <n v="1220511"/>
        <n v="1220512"/>
        <n v="1220513"/>
        <n v="1220515"/>
        <n v="1220516"/>
        <n v="1220517"/>
        <n v="1220518"/>
        <n v="1220519"/>
        <n v="1220520"/>
        <n v="1220522"/>
        <n v="1220523"/>
        <n v="1220524"/>
        <n v="1220525"/>
        <n v="1220526"/>
        <n v="1220527"/>
        <n v="1220529"/>
        <n v="1220530"/>
        <n v="1220531"/>
        <n v="1220601"/>
        <n v="1220602"/>
        <n v="1220603"/>
        <n v="1220605"/>
        <n v="1220606"/>
        <n v="1220607"/>
        <n v="1220608"/>
        <n v="1220609"/>
        <n v="1220610"/>
        <n v="1220612"/>
        <n v="1220613"/>
        <n v="1220614"/>
        <n v="1220615"/>
        <n v="1220616"/>
        <n v="1220617"/>
        <n v="1220619"/>
        <n v="1220620"/>
        <n v="1220621"/>
        <n v="1220622"/>
        <n v="1220623"/>
        <n v="1220624"/>
        <n v="1220626"/>
        <n v="1220627"/>
        <n v="1220628"/>
        <n v="1220629"/>
        <n v="1220630"/>
        <n v="1220701"/>
        <n v="1220703"/>
        <n v="1220704"/>
        <n v="1220705"/>
        <n v="1220706"/>
        <n v="1220707"/>
        <n v="1220708"/>
        <n v="1220710"/>
        <n v="1220711"/>
        <n v="1220712"/>
        <n v="1220713"/>
        <n v="1220714"/>
        <n v="1220715"/>
        <n v="1220717"/>
        <n v="1220718"/>
        <n v="1220719"/>
        <n v="1220720"/>
        <n v="1220721"/>
        <n v="1220722"/>
        <n v="1220724"/>
        <n v="1220725"/>
        <n v="1220726"/>
        <n v="1220727"/>
        <n v="1220728"/>
        <n v="1220729"/>
        <n v="1220731"/>
        <n v="1220801"/>
        <n v="1220802"/>
        <n v="1220803"/>
        <n v="1220804"/>
        <n v="1220805"/>
        <n v="1220807"/>
        <n v="1220808"/>
        <n v="1220809"/>
        <n v="1220810"/>
        <n v="1220811"/>
        <n v="1220812"/>
        <n v="1220814"/>
        <n v="1220815"/>
        <n v="1220816"/>
        <n v="1220817"/>
        <n v="1220818"/>
        <n v="1220819"/>
        <n v="1220821"/>
        <n v="1220822"/>
        <n v="1220823"/>
        <n v="1220824"/>
        <n v="1220825"/>
        <n v="1220826"/>
        <n v="1220828"/>
        <n v="1220829"/>
        <n v="1220830"/>
        <n v="1220831"/>
        <n v="1220901"/>
        <n v="1220902"/>
        <n v="1220904"/>
        <n v="1220905"/>
        <n v="1220906"/>
        <n v="1220907"/>
        <n v="1220908"/>
        <n v="1220909"/>
        <n v="1220911"/>
        <n v="1220912"/>
        <n v="1220913"/>
        <n v="1220914"/>
        <n v="1220915"/>
        <n v="1220916"/>
        <n v="1220918"/>
        <n v="1220919"/>
        <n v="1220920"/>
        <n v="1220921"/>
        <n v="1220922"/>
        <n v="1220923"/>
        <n v="1220925"/>
        <n v="1220926"/>
        <n v="1220927"/>
        <n v="1220928"/>
        <n v="1220929"/>
        <n v="1220930"/>
        <n v="1221002"/>
        <n v="1221003"/>
        <n v="1221004"/>
        <n v="1221005"/>
        <n v="1221006"/>
        <n v="1221007"/>
        <n v="1221009"/>
        <n v="1221010"/>
        <n v="1221011"/>
        <n v="1221012"/>
        <n v="1221013"/>
        <n v="1221014"/>
        <n v="1221016"/>
        <n v="1221017"/>
        <n v="1221018"/>
        <n v="1221019"/>
        <n v="1221020"/>
        <n v="1221021"/>
        <n v="1221023"/>
        <n v="1221024"/>
        <n v="1221025"/>
        <n v="1221026"/>
        <n v="1221027"/>
        <n v="1221028"/>
        <n v="1221030"/>
        <n v="1221031"/>
        <n v="1221101"/>
        <n v="1221102"/>
        <n v="1221103"/>
        <n v="1221104"/>
        <n v="1221106"/>
        <n v="1221107"/>
        <n v="1221108"/>
        <n v="1221109"/>
        <n v="1221110"/>
        <n v="1221111"/>
        <n v="1221113"/>
        <n v="1221114"/>
        <n v="1221115"/>
        <n v="1221116"/>
        <n v="1221117"/>
        <n v="1221118"/>
        <n v="1221120"/>
        <n v="1221121"/>
        <n v="1221122"/>
        <n v="1221123"/>
        <n v="1221124"/>
        <n v="1221125"/>
        <n v="1221127"/>
        <n v="1221128"/>
        <n v="1221129"/>
        <n v="1221130"/>
        <n v="1221201"/>
        <n v="1221202"/>
        <n v="1221204"/>
        <n v="1221205"/>
        <n v="1221206"/>
        <n v="1221207"/>
        <n v="1221208"/>
        <n v="1221209"/>
        <n v="1221211"/>
        <n v="1221212"/>
        <n v="1221213"/>
        <n v="1221214"/>
        <n v="1221215"/>
        <n v="1221216"/>
        <n v="1221218"/>
        <n v="1221219"/>
        <n v="1221220"/>
        <n v="1221221"/>
        <n v="1221222"/>
        <n v="1221223"/>
        <n v="1221226"/>
        <n v="1221227"/>
        <n v="1221228"/>
        <n v="1221229"/>
        <n v="1221230"/>
        <n v="1230102"/>
        <n v="1230103"/>
        <n v="1230104"/>
        <n v="1230105"/>
        <n v="1230106"/>
        <n v="1230108"/>
        <n v="1230109"/>
        <n v="1230110"/>
        <n v="1230111"/>
        <n v="1230112"/>
        <n v="1230113"/>
        <n v="1230115"/>
        <n v="1230116"/>
        <n v="1230117"/>
        <n v="1230118"/>
        <n v="1230119"/>
        <n v="1230120"/>
        <n v="1230122"/>
        <n v="1230123"/>
        <n v="1230124"/>
        <n v="1230125"/>
        <n v="1230126"/>
        <n v="1230127"/>
        <n v="1230129"/>
        <n v="1230130"/>
        <n v="1230131"/>
        <n v="1230201"/>
        <n v="1230202"/>
        <n v="1230203"/>
        <n v="1230205"/>
        <n v="1230206"/>
        <n v="1230207"/>
        <n v="1230208"/>
        <n v="1230209"/>
        <n v="1230210"/>
        <n v="1230212"/>
        <n v="1230213"/>
        <n v="1230214"/>
        <n v="1230215"/>
        <n v="1230216"/>
        <n v="1230217"/>
        <n v="1230219"/>
        <n v="1230220"/>
        <n v="1230221"/>
        <n v="1230222"/>
        <n v="1230223"/>
        <n v="1230224"/>
        <n v="1230226"/>
        <n v="1230227"/>
        <n v="1230228"/>
        <n v="1230301"/>
        <n v="1230302"/>
        <n v="1230303"/>
        <n v="1230305"/>
        <n v="1230306"/>
        <n v="1230307"/>
        <n v="1230308"/>
        <n v="1230309"/>
        <n v="1230310"/>
        <n v="1230312"/>
        <n v="1230313"/>
        <n v="1230314"/>
        <n v="1230315"/>
        <n v="1230316"/>
        <n v="1230317"/>
        <n v="1230319"/>
        <n v="1230320"/>
        <n v="1230321"/>
        <n v="1230322"/>
        <n v="1230323"/>
        <n v="1230324"/>
        <n v="1230326"/>
        <n v="1230327"/>
        <n v="1230328"/>
        <n v="1230329"/>
        <n v="1230330"/>
        <n v="1230331"/>
        <n v="1230402"/>
        <n v="1230403"/>
        <n v="1230404"/>
        <n v="1230405"/>
        <n v="1230406"/>
        <n v="1230407"/>
        <n v="1230409"/>
        <n v="1230410"/>
        <n v="1230411"/>
        <n v="1230412"/>
        <n v="1230413"/>
        <n v="1230414"/>
        <n v="1230416"/>
        <n v="1230417"/>
        <n v="1230418"/>
        <n v="1230419"/>
        <n v="1230420"/>
        <n v="1230421"/>
        <n v="1230423"/>
        <n v="1230424"/>
        <n v="1230425"/>
        <n v="1230426"/>
        <n v="1230427"/>
        <n v="1230428"/>
        <n v="1230430"/>
        <n v="1230501"/>
        <n v="1230502"/>
        <n v="1230503"/>
        <n v="1230504"/>
        <n v="1230505"/>
        <n v="1230507"/>
        <n v="1230508"/>
        <n v="1230509"/>
        <n v="1230510"/>
        <n v="1230511"/>
        <n v="1230512"/>
        <n v="1230514"/>
        <n v="1230515"/>
        <n v="1230516"/>
        <n v="1230517"/>
        <n v="1230518"/>
        <n v="1230519"/>
        <n v="1230521"/>
        <n v="1230522"/>
        <n v="1230523"/>
        <n v="1230524"/>
        <n v="1230525"/>
        <n v="1230526"/>
        <n v="1230528"/>
        <n v="1230529"/>
        <n v="1230530"/>
        <n v="1230531"/>
        <n v="1230601"/>
        <n v="1230602"/>
        <n v="1230604"/>
        <n v="1230605"/>
        <n v="1230606"/>
        <n v="1230607"/>
        <n v="1230608"/>
        <n v="1230609"/>
        <n v="1230611"/>
        <n v="1230612"/>
        <n v="1230613"/>
        <n v="1230614"/>
        <n v="1230615"/>
        <n v="1230616"/>
        <n v="1230618"/>
        <n v="1230619"/>
        <n v="1230620"/>
        <n v="1230621"/>
        <n v="1230622"/>
        <n v="1230623"/>
        <n v="1230625"/>
        <n v="1230626"/>
        <n v="1230627"/>
        <n v="1230628"/>
        <n v="1230629"/>
        <n v="1230630"/>
        <n v="1230702"/>
        <n v="1230703"/>
        <n v="1230704"/>
        <n v="1230705"/>
        <n v="1230706"/>
        <n v="1230707"/>
        <n v="1230709"/>
        <n v="1230710"/>
        <n v="1230711"/>
        <n v="1230712"/>
        <n v="1230713"/>
        <n v="1230714"/>
        <n v="1230716"/>
        <n v="1230717"/>
        <n v="1230718"/>
        <n v="1230719"/>
        <n v="1230720"/>
        <n v="1230721"/>
        <n v="1230723"/>
        <n v="1230724"/>
        <n v="1230725"/>
        <n v="1230726"/>
        <n v="1230727"/>
        <n v="1230728"/>
        <n v="1230730"/>
        <n v="1230731"/>
        <n v="1230801"/>
        <n v="1230802"/>
        <n v="1230803"/>
        <n v="1230804"/>
        <n v="1230806"/>
        <n v="1230807"/>
        <n v="1230808"/>
        <n v="1230809"/>
        <n v="1230810"/>
        <n v="1230811"/>
        <n v="1230813"/>
        <n v="1230814"/>
        <n v="1230815"/>
        <n v="1230816"/>
        <n v="1230817"/>
        <n v="1230818"/>
        <n v="1230820"/>
        <n v="1230821"/>
        <n v="1230822"/>
        <n v="1230823"/>
        <n v="1230824"/>
        <n v="1230825"/>
        <n v="1230827"/>
        <n v="1230828"/>
        <n v="1230829"/>
        <n v="1230830"/>
        <n v="1230831"/>
        <n v="1230901"/>
        <n v="1230903"/>
        <n v="1230904"/>
        <n v="1230905"/>
        <n v="1230906"/>
        <n v="1230907"/>
        <n v="1230908"/>
        <n v="1230910"/>
        <n v="1230911"/>
        <n v="1230912"/>
        <n v="1230913"/>
        <n v="1230914"/>
        <n v="1230915"/>
        <n v="1230917"/>
        <n v="1230918"/>
        <n v="1230919"/>
        <n v="1230920"/>
        <n v="1230921"/>
        <n v="1230922"/>
        <n v="1230924"/>
        <n v="1230925"/>
        <n v="1230926"/>
        <n v="1230927"/>
        <n v="1230928"/>
        <n v="1230929"/>
        <n v="1231001"/>
        <n v="1231002"/>
        <n v="1231003"/>
        <n v="1231004"/>
        <n v="1231005"/>
        <n v="1231006"/>
        <n v="1231008"/>
        <n v="1231009"/>
        <n v="1231010"/>
        <n v="1231011"/>
        <n v="1231012"/>
        <n v="1231013"/>
        <n v="1231015"/>
        <n v="1231016"/>
        <n v="1231017"/>
        <n v="1231018"/>
        <n v="1231019"/>
        <n v="1231020"/>
        <n v="1231022"/>
        <n v="1231023"/>
        <n v="1231024"/>
        <n v="1231025"/>
        <n v="1231026"/>
        <n v="1231027"/>
        <n v="1231029"/>
        <n v="1231030"/>
        <n v="1231031"/>
        <n v="1231101"/>
        <n v="1231102"/>
        <n v="1231103"/>
        <n v="1231105"/>
        <n v="1231106"/>
        <n v="1231107"/>
        <n v="1231108"/>
        <n v="1231109"/>
        <n v="1231110"/>
        <n v="1231112"/>
        <n v="1231113"/>
        <n v="1231114"/>
        <n v="1231115"/>
        <n v="1231116"/>
        <n v="1231117"/>
        <n v="1231119"/>
        <n v="1231120"/>
        <n v="1231121"/>
        <n v="1231122"/>
        <n v="1231123"/>
        <n v="1231124"/>
        <n v="1231126"/>
        <n v="1231127"/>
        <n v="1231128"/>
        <n v="1231129"/>
        <n v="1231130"/>
        <n v="1231201"/>
        <n v="1231203"/>
        <n v="1231204"/>
        <n v="1231205"/>
        <n v="1231206"/>
        <n v="1231207"/>
        <n v="1231208"/>
        <n v="1231210"/>
        <n v="1231211"/>
        <n v="1231212"/>
        <n v="1231213"/>
        <n v="1231214"/>
        <n v="1231215"/>
        <n v="1231217"/>
        <n v="1231218"/>
        <n v="1231219"/>
        <n v="1231220"/>
        <n v="1231221"/>
        <n v="1231222"/>
        <n v="1231225"/>
        <n v="1231226"/>
        <n v="1231227"/>
        <n v="1231228"/>
        <n v="1231229"/>
        <n v="1240101"/>
        <n v="1240102"/>
        <n v="1240103"/>
        <n v="1240104"/>
        <n v="1240105"/>
        <n v="1240107"/>
        <n v="1240108"/>
        <n v="1240109"/>
        <n v="1240110"/>
        <n v="1240111"/>
        <n v="1240112"/>
        <n v="1240114"/>
        <n v="1240115"/>
        <n v="1240116"/>
        <n v="1240117"/>
        <n v="1240118"/>
        <n v="1240119"/>
        <n v="1240121"/>
        <n v="1240122"/>
        <n v="1240123"/>
        <n v="1240124"/>
        <n v="1240125"/>
        <n v="1240126"/>
        <n v="1240128"/>
        <n v="1240129"/>
        <n v="1240130"/>
        <n v="1240131"/>
        <n v="1240201"/>
        <n v="1240202"/>
        <n v="1240204"/>
        <n v="1240205"/>
        <n v="1240206"/>
        <n v="1240207"/>
        <n v="1240208"/>
        <n v="1240209"/>
        <n v="1240211"/>
        <n v="1240212"/>
        <n v="1240213"/>
        <n v="1240214"/>
        <n v="1240215"/>
        <n v="1240216"/>
        <n v="1240218"/>
        <n v="1240219"/>
        <n v="1240220"/>
        <n v="1240221"/>
        <n v="1240222"/>
        <n v="1240223"/>
        <n v="1240225"/>
        <n v="1240226"/>
        <n v="1240227"/>
        <n v="1240228"/>
        <n v="1240229"/>
        <n v="1240301"/>
        <n v="1240303"/>
        <n v="1240304"/>
        <n v="1240305"/>
        <n v="1240306"/>
        <n v="1240307"/>
        <n v="1240308"/>
        <n v="1240310"/>
        <n v="1240311"/>
        <n v="1240312"/>
        <n v="1240313"/>
        <n v="1240314"/>
        <n v="1240315"/>
        <n v="1240317"/>
        <n v="1240318"/>
        <n v="1240319"/>
        <n v="1240320"/>
        <n v="1240321"/>
        <n v="1240322"/>
        <n v="1240324"/>
        <n v="1240325"/>
        <n v="1240326"/>
        <n v="1240327"/>
        <n v="1240328"/>
        <n v="1240331"/>
        <n v="1240401"/>
        <n v="1240402"/>
        <n v="1240403"/>
        <n v="1240404"/>
        <n v="1240405"/>
        <n v="1240407"/>
        <n v="1240408"/>
        <n v="1240409"/>
        <n v="1240410"/>
        <n v="1240411"/>
        <n v="1240412"/>
        <n v="1240414"/>
        <n v="1240415"/>
        <n v="1240416"/>
        <n v="1240417"/>
        <n v="1240418"/>
        <n v="1240419"/>
        <n v="1240421"/>
        <n v="1240422"/>
        <n v="1240423"/>
        <n v="1240424"/>
        <n v="1240425"/>
        <n v="1240426"/>
        <n v="1240428"/>
        <n v="1240429"/>
        <n v="1240430"/>
        <n v="1240501"/>
        <n v="1240502"/>
        <n v="1240503"/>
        <n v="1240505"/>
        <n v="1240506"/>
        <n v="1240507"/>
        <n v="1240508"/>
        <n v="1240509"/>
        <n v="1240510"/>
        <n v="1240512"/>
        <n v="1240513"/>
        <n v="1240514"/>
        <n v="1240515"/>
        <n v="1240516"/>
        <n v="1240517"/>
        <n v="1240519"/>
        <n v="1240520"/>
        <n v="1240521"/>
        <n v="1240522"/>
        <n v="1240523"/>
        <n v="1240524"/>
        <n v="1240526"/>
        <n v="1240527"/>
        <n v="1240528"/>
        <n v="1240529"/>
        <n v="1240530"/>
        <n v="1240531"/>
        <n v="1240602"/>
        <n v="1240603"/>
        <n v="1240604"/>
        <n v="1240605"/>
        <n v="1240606"/>
        <n v="1240607"/>
        <n v="1240609"/>
        <n v="1240610"/>
        <n v="1240611"/>
        <n v="1240612"/>
        <n v="1240613"/>
        <n v="1240614"/>
        <n v="1240616"/>
        <n v="1240617"/>
        <n v="1240618"/>
        <n v="1240619"/>
        <n v="1240620"/>
        <n v="1240621"/>
        <m/>
      </sharedItems>
    </cacheField>
    <cacheField name="Equity" numFmtId="0">
      <sharedItems containsString="0" containsBlank="1" containsNumber="1" minValue="-4109.38" maxValue="224400"/>
    </cacheField>
    <cacheField name="Size" numFmtId="0">
      <sharedItems containsString="0" containsBlank="1" containsNumber="1" minValue="0.5" maxValue="5"/>
    </cacheField>
    <cacheField name="Equity_rec" numFmtId="0">
      <sharedItems containsString="0" containsBlank="1" containsNumber="1" minValue="-20546.900000000001" maxValue="116171.9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7">
  <r>
    <x v="0"/>
    <x v="0"/>
    <n v="140.62"/>
    <n v="5"/>
    <n v="703.1"/>
  </r>
  <r>
    <x v="0"/>
    <x v="1"/>
    <n v="-187.5"/>
    <n v="5"/>
    <n v="-937.5"/>
  </r>
  <r>
    <x v="0"/>
    <x v="2"/>
    <n v="250"/>
    <n v="5"/>
    <n v="1250"/>
  </r>
  <r>
    <x v="0"/>
    <x v="3"/>
    <n v="531.25"/>
    <n v="5"/>
    <n v="2656.25"/>
  </r>
  <r>
    <x v="0"/>
    <x v="4"/>
    <n v="406.25"/>
    <n v="5"/>
    <n v="2031.25"/>
  </r>
  <r>
    <x v="0"/>
    <x v="5"/>
    <n v="546.88"/>
    <n v="5"/>
    <n v="2734.4"/>
  </r>
  <r>
    <x v="0"/>
    <x v="6"/>
    <n v="578.12"/>
    <n v="5"/>
    <n v="2890.6"/>
  </r>
  <r>
    <x v="0"/>
    <x v="7"/>
    <n v="437.5"/>
    <n v="5"/>
    <n v="2187.5"/>
  </r>
  <r>
    <x v="0"/>
    <x v="8"/>
    <n v="718.75"/>
    <n v="5"/>
    <n v="3593.75"/>
  </r>
  <r>
    <x v="0"/>
    <x v="9"/>
    <n v="359.38"/>
    <n v="5"/>
    <n v="1796.9"/>
  </r>
  <r>
    <x v="0"/>
    <x v="10"/>
    <n v="531.25"/>
    <n v="5"/>
    <n v="2656.25"/>
  </r>
  <r>
    <x v="0"/>
    <x v="11"/>
    <n v="500"/>
    <n v="5"/>
    <n v="2500"/>
  </r>
  <r>
    <x v="0"/>
    <x v="12"/>
    <n v="312.5"/>
    <n v="5"/>
    <n v="1562.5"/>
  </r>
  <r>
    <x v="0"/>
    <x v="13"/>
    <n v="-125"/>
    <n v="5"/>
    <n v="-625"/>
  </r>
  <r>
    <x v="0"/>
    <x v="14"/>
    <n v="46.88"/>
    <n v="5"/>
    <n v="234.4"/>
  </r>
  <r>
    <x v="0"/>
    <x v="15"/>
    <n v="234.38"/>
    <n v="5"/>
    <n v="1171.9000000000001"/>
  </r>
  <r>
    <x v="0"/>
    <x v="16"/>
    <n v="234.38"/>
    <n v="5"/>
    <n v="1171.9000000000001"/>
  </r>
  <r>
    <x v="0"/>
    <x v="17"/>
    <n v="218.75"/>
    <n v="5"/>
    <n v="1093.75"/>
  </r>
  <r>
    <x v="0"/>
    <x v="18"/>
    <n v="62.5"/>
    <n v="5"/>
    <n v="312.5"/>
  </r>
  <r>
    <x v="0"/>
    <x v="19"/>
    <n v="-31.25"/>
    <n v="5"/>
    <n v="-156.25"/>
  </r>
  <r>
    <x v="0"/>
    <x v="20"/>
    <n v="-468.75"/>
    <n v="5"/>
    <n v="-2343.75"/>
  </r>
  <r>
    <x v="0"/>
    <x v="21"/>
    <n v="875"/>
    <n v="5"/>
    <n v="4375"/>
  </r>
  <r>
    <x v="0"/>
    <x v="22"/>
    <n v="375"/>
    <n v="5"/>
    <n v="1875"/>
  </r>
  <r>
    <x v="0"/>
    <x v="23"/>
    <n v="-203.12"/>
    <n v="5"/>
    <n v="-1015.6"/>
  </r>
  <r>
    <x v="0"/>
    <x v="24"/>
    <n v="-453.12"/>
    <n v="5"/>
    <n v="-2265.6"/>
  </r>
  <r>
    <x v="0"/>
    <x v="25"/>
    <n v="-968.75"/>
    <n v="5"/>
    <n v="-4843.75"/>
  </r>
  <r>
    <x v="0"/>
    <x v="26"/>
    <n v="-1750"/>
    <n v="5"/>
    <n v="-8750"/>
  </r>
  <r>
    <x v="0"/>
    <x v="27"/>
    <n v="-2328.12"/>
    <n v="5"/>
    <n v="-11640.599999999999"/>
  </r>
  <r>
    <x v="0"/>
    <x v="28"/>
    <n v="-2000"/>
    <n v="5"/>
    <n v="-10000"/>
  </r>
  <r>
    <x v="0"/>
    <x v="29"/>
    <n v="-2031.25"/>
    <n v="5"/>
    <n v="-10156.25"/>
  </r>
  <r>
    <x v="0"/>
    <x v="30"/>
    <n v="-2234.38"/>
    <n v="5"/>
    <n v="-11171.900000000001"/>
  </r>
  <r>
    <x v="0"/>
    <x v="31"/>
    <n v="-1968.75"/>
    <n v="5"/>
    <n v="-9843.75"/>
  </r>
  <r>
    <x v="0"/>
    <x v="32"/>
    <n v="-2031.25"/>
    <n v="5"/>
    <n v="-10156.25"/>
  </r>
  <r>
    <x v="0"/>
    <x v="33"/>
    <n v="-2890.62"/>
    <n v="5"/>
    <n v="-14453.099999999999"/>
  </r>
  <r>
    <x v="0"/>
    <x v="34"/>
    <n v="-2656.25"/>
    <n v="5"/>
    <n v="-13281.25"/>
  </r>
  <r>
    <x v="0"/>
    <x v="35"/>
    <n v="-2609.38"/>
    <n v="5"/>
    <n v="-13046.900000000001"/>
  </r>
  <r>
    <x v="0"/>
    <x v="36"/>
    <n v="-2453.12"/>
    <n v="5"/>
    <n v="-12265.599999999999"/>
  </r>
  <r>
    <x v="0"/>
    <x v="37"/>
    <n v="-2859.38"/>
    <n v="5"/>
    <n v="-14296.900000000001"/>
  </r>
  <r>
    <x v="0"/>
    <x v="38"/>
    <n v="-2890.62"/>
    <n v="5"/>
    <n v="-14453.099999999999"/>
  </r>
  <r>
    <x v="0"/>
    <x v="39"/>
    <n v="-2671.88"/>
    <n v="5"/>
    <n v="-13359.400000000001"/>
  </r>
  <r>
    <x v="0"/>
    <x v="40"/>
    <n v="-1859.38"/>
    <n v="5"/>
    <n v="-9296.9000000000015"/>
  </r>
  <r>
    <x v="0"/>
    <x v="41"/>
    <n v="-1718.75"/>
    <n v="5"/>
    <n v="-8593.75"/>
  </r>
  <r>
    <x v="0"/>
    <x v="42"/>
    <n v="-2328.12"/>
    <n v="5"/>
    <n v="-11640.599999999999"/>
  </r>
  <r>
    <x v="0"/>
    <x v="43"/>
    <n v="-2140.62"/>
    <n v="5"/>
    <n v="-10703.099999999999"/>
  </r>
  <r>
    <x v="0"/>
    <x v="44"/>
    <n v="-1843.75"/>
    <n v="5"/>
    <n v="-9218.75"/>
  </r>
  <r>
    <x v="0"/>
    <x v="45"/>
    <n v="-2187.5"/>
    <n v="5"/>
    <n v="-10937.5"/>
  </r>
  <r>
    <x v="0"/>
    <x v="46"/>
    <n v="-2421.88"/>
    <n v="5"/>
    <n v="-12109.400000000001"/>
  </r>
  <r>
    <x v="0"/>
    <x v="47"/>
    <n v="-2281.25"/>
    <n v="5"/>
    <n v="-11406.25"/>
  </r>
  <r>
    <x v="0"/>
    <x v="48"/>
    <n v="-2140.62"/>
    <n v="5"/>
    <n v="-10703.099999999999"/>
  </r>
  <r>
    <x v="0"/>
    <x v="49"/>
    <n v="-2546.88"/>
    <n v="5"/>
    <n v="-12734.400000000001"/>
  </r>
  <r>
    <x v="0"/>
    <x v="50"/>
    <n v="-2687.5"/>
    <n v="5"/>
    <n v="-13437.5"/>
  </r>
  <r>
    <x v="0"/>
    <x v="51"/>
    <n v="-2093.75"/>
    <n v="5"/>
    <n v="-10468.75"/>
  </r>
  <r>
    <x v="0"/>
    <x v="52"/>
    <n v="-2281.25"/>
    <n v="5"/>
    <n v="-11406.25"/>
  </r>
  <r>
    <x v="0"/>
    <x v="53"/>
    <n v="-2328.12"/>
    <n v="5"/>
    <n v="-11640.599999999999"/>
  </r>
  <r>
    <x v="0"/>
    <x v="54"/>
    <n v="-2390.62"/>
    <n v="5"/>
    <n v="-11953.099999999999"/>
  </r>
  <r>
    <x v="0"/>
    <x v="55"/>
    <n v="-1703.12"/>
    <n v="5"/>
    <n v="-8515.5999999999985"/>
  </r>
  <r>
    <x v="0"/>
    <x v="56"/>
    <n v="-1984.38"/>
    <n v="5"/>
    <n v="-9921.9000000000015"/>
  </r>
  <r>
    <x v="0"/>
    <x v="57"/>
    <n v="-2531.25"/>
    <n v="5"/>
    <n v="-12656.25"/>
  </r>
  <r>
    <x v="0"/>
    <x v="58"/>
    <n v="-1875"/>
    <n v="5"/>
    <n v="-9375"/>
  </r>
  <r>
    <x v="0"/>
    <x v="59"/>
    <n v="-2031.25"/>
    <n v="5"/>
    <n v="-10156.25"/>
  </r>
  <r>
    <x v="0"/>
    <x v="60"/>
    <n v="-2125"/>
    <n v="5"/>
    <n v="-10625"/>
  </r>
  <r>
    <x v="0"/>
    <x v="61"/>
    <n v="-2828.12"/>
    <n v="5"/>
    <n v="-14140.599999999999"/>
  </r>
  <r>
    <x v="0"/>
    <x v="62"/>
    <n v="-2765.62"/>
    <n v="5"/>
    <n v="-13828.099999999999"/>
  </r>
  <r>
    <x v="0"/>
    <x v="63"/>
    <n v="-2562.5"/>
    <n v="5"/>
    <n v="-12812.5"/>
  </r>
  <r>
    <x v="0"/>
    <x v="64"/>
    <n v="-3000"/>
    <n v="5"/>
    <n v="-15000"/>
  </r>
  <r>
    <x v="0"/>
    <x v="65"/>
    <n v="-3109.38"/>
    <n v="5"/>
    <n v="-15546.900000000001"/>
  </r>
  <r>
    <x v="0"/>
    <x v="66"/>
    <n v="-3812.5"/>
    <n v="5"/>
    <n v="-19062.5"/>
  </r>
  <r>
    <x v="0"/>
    <x v="67"/>
    <n v="-3250"/>
    <n v="5"/>
    <n v="-16250"/>
  </r>
  <r>
    <x v="0"/>
    <x v="68"/>
    <n v="-3078.12"/>
    <n v="5"/>
    <n v="-15390.599999999999"/>
  </r>
  <r>
    <x v="0"/>
    <x v="69"/>
    <n v="-3125"/>
    <n v="5"/>
    <n v="-15625"/>
  </r>
  <r>
    <x v="0"/>
    <x v="70"/>
    <n v="-3593.75"/>
    <n v="5"/>
    <n v="-17968.75"/>
  </r>
  <r>
    <x v="0"/>
    <x v="71"/>
    <n v="-3671.88"/>
    <n v="5"/>
    <n v="-18359.400000000001"/>
  </r>
  <r>
    <x v="0"/>
    <x v="72"/>
    <n v="-4031.25"/>
    <n v="5"/>
    <n v="-20156.25"/>
  </r>
  <r>
    <x v="0"/>
    <x v="73"/>
    <n v="-4109.38"/>
    <n v="5"/>
    <n v="-20546.900000000001"/>
  </r>
  <r>
    <x v="0"/>
    <x v="74"/>
    <n v="-3406.25"/>
    <n v="5"/>
    <n v="-17031.25"/>
  </r>
  <r>
    <x v="0"/>
    <x v="75"/>
    <n v="-2890.62"/>
    <n v="5"/>
    <n v="-14453.099999999999"/>
  </r>
  <r>
    <x v="0"/>
    <x v="76"/>
    <n v="-3312.5"/>
    <n v="5"/>
    <n v="-16562.5"/>
  </r>
  <r>
    <x v="0"/>
    <x v="77"/>
    <n v="-3296.88"/>
    <n v="5"/>
    <n v="-16484.400000000001"/>
  </r>
  <r>
    <x v="0"/>
    <x v="78"/>
    <n v="-2953.12"/>
    <n v="5"/>
    <n v="-14765.599999999999"/>
  </r>
  <r>
    <x v="0"/>
    <x v="79"/>
    <n v="-3453.12"/>
    <n v="5"/>
    <n v="-17265.599999999999"/>
  </r>
  <r>
    <x v="0"/>
    <x v="80"/>
    <n v="-3703.12"/>
    <n v="5"/>
    <n v="-18515.599999999999"/>
  </r>
  <r>
    <x v="0"/>
    <x v="81"/>
    <n v="-2859.38"/>
    <n v="5"/>
    <n v="-14296.900000000001"/>
  </r>
  <r>
    <x v="0"/>
    <x v="82"/>
    <n v="-2281.25"/>
    <n v="5"/>
    <n v="-11406.25"/>
  </r>
  <r>
    <x v="0"/>
    <x v="83"/>
    <n v="-2406.25"/>
    <n v="5"/>
    <n v="-12031.25"/>
  </r>
  <r>
    <x v="0"/>
    <x v="84"/>
    <n v="-2640.62"/>
    <n v="5"/>
    <n v="-13203.099999999999"/>
  </r>
  <r>
    <x v="0"/>
    <x v="85"/>
    <n v="-2265.62"/>
    <n v="5"/>
    <n v="-11328.099999999999"/>
  </r>
  <r>
    <x v="0"/>
    <x v="86"/>
    <n v="-2281.25"/>
    <n v="5"/>
    <n v="-11406.25"/>
  </r>
  <r>
    <x v="0"/>
    <x v="87"/>
    <n v="-2281.25"/>
    <n v="5"/>
    <n v="-11406.25"/>
  </r>
  <r>
    <x v="0"/>
    <x v="88"/>
    <n v="-2546.88"/>
    <n v="5"/>
    <n v="-12734.400000000001"/>
  </r>
  <r>
    <x v="0"/>
    <x v="89"/>
    <n v="-2703.12"/>
    <n v="5"/>
    <n v="-13515.599999999999"/>
  </r>
  <r>
    <x v="0"/>
    <x v="90"/>
    <n v="-2859.38"/>
    <n v="5"/>
    <n v="-14296.900000000001"/>
  </r>
  <r>
    <x v="0"/>
    <x v="91"/>
    <n v="-3093.75"/>
    <n v="5"/>
    <n v="-15468.75"/>
  </r>
  <r>
    <x v="0"/>
    <x v="92"/>
    <n v="-3156.25"/>
    <n v="5"/>
    <n v="-15781.25"/>
  </r>
  <r>
    <x v="0"/>
    <x v="93"/>
    <n v="-3078.12"/>
    <n v="5"/>
    <n v="-15390.599999999999"/>
  </r>
  <r>
    <x v="0"/>
    <x v="94"/>
    <n v="-2984.38"/>
    <n v="5"/>
    <n v="-14921.900000000001"/>
  </r>
  <r>
    <x v="0"/>
    <x v="95"/>
    <n v="-2906.25"/>
    <n v="5"/>
    <n v="-14531.25"/>
  </r>
  <r>
    <x v="0"/>
    <x v="96"/>
    <n v="-2562.5"/>
    <n v="5"/>
    <n v="-12812.5"/>
  </r>
  <r>
    <x v="0"/>
    <x v="97"/>
    <n v="-2843.75"/>
    <n v="5"/>
    <n v="-14218.75"/>
  </r>
  <r>
    <x v="0"/>
    <x v="98"/>
    <n v="-2875"/>
    <n v="5"/>
    <n v="-14375"/>
  </r>
  <r>
    <x v="0"/>
    <x v="99"/>
    <n v="-2203.12"/>
    <n v="5"/>
    <n v="-11015.599999999999"/>
  </r>
  <r>
    <x v="0"/>
    <x v="100"/>
    <n v="-2421.88"/>
    <n v="5"/>
    <n v="-12109.400000000001"/>
  </r>
  <r>
    <x v="0"/>
    <x v="101"/>
    <n v="-2312.5"/>
    <n v="5"/>
    <n v="-11562.5"/>
  </r>
  <r>
    <x v="0"/>
    <x v="102"/>
    <n v="-1906.25"/>
    <n v="5"/>
    <n v="-9531.25"/>
  </r>
  <r>
    <x v="0"/>
    <x v="103"/>
    <n v="-1468.75"/>
    <n v="5"/>
    <n v="-7343.75"/>
  </r>
  <r>
    <x v="0"/>
    <x v="104"/>
    <n v="-1453.12"/>
    <n v="5"/>
    <n v="-7265.5999999999995"/>
  </r>
  <r>
    <x v="0"/>
    <x v="105"/>
    <n v="-1828.12"/>
    <n v="5"/>
    <n v="-9140.5999999999985"/>
  </r>
  <r>
    <x v="0"/>
    <x v="106"/>
    <n v="-2187.5"/>
    <n v="5"/>
    <n v="-10937.5"/>
  </r>
  <r>
    <x v="0"/>
    <x v="107"/>
    <n v="-2062.5"/>
    <n v="5"/>
    <n v="-10312.5"/>
  </r>
  <r>
    <x v="0"/>
    <x v="108"/>
    <n v="-2234.38"/>
    <n v="5"/>
    <n v="-11171.900000000001"/>
  </r>
  <r>
    <x v="0"/>
    <x v="109"/>
    <n v="-2328.12"/>
    <n v="5"/>
    <n v="-11640.599999999999"/>
  </r>
  <r>
    <x v="0"/>
    <x v="110"/>
    <n v="-2765.62"/>
    <n v="5"/>
    <n v="-13828.099999999999"/>
  </r>
  <r>
    <x v="0"/>
    <x v="111"/>
    <n v="-2578.12"/>
    <n v="5"/>
    <n v="-12890.599999999999"/>
  </r>
  <r>
    <x v="0"/>
    <x v="112"/>
    <n v="-2390.62"/>
    <n v="5"/>
    <n v="-11953.099999999999"/>
  </r>
  <r>
    <x v="0"/>
    <x v="113"/>
    <n v="-2421.88"/>
    <n v="5"/>
    <n v="-12109.400000000001"/>
  </r>
  <r>
    <x v="0"/>
    <x v="114"/>
    <n v="-2859.38"/>
    <n v="5"/>
    <n v="-14296.900000000001"/>
  </r>
  <r>
    <x v="0"/>
    <x v="115"/>
    <n v="-2453.12"/>
    <n v="5"/>
    <n v="-12265.599999999999"/>
  </r>
  <r>
    <x v="0"/>
    <x v="116"/>
    <n v="-2390.62"/>
    <n v="5"/>
    <n v="-11953.099999999999"/>
  </r>
  <r>
    <x v="0"/>
    <x v="117"/>
    <n v="-2515.62"/>
    <n v="5"/>
    <n v="-12578.099999999999"/>
  </r>
  <r>
    <x v="0"/>
    <x v="118"/>
    <n v="-2468.75"/>
    <n v="5"/>
    <n v="-12343.75"/>
  </r>
  <r>
    <x v="0"/>
    <x v="119"/>
    <n v="-2437.5"/>
    <n v="5"/>
    <n v="-12187.5"/>
  </r>
  <r>
    <x v="0"/>
    <x v="120"/>
    <n v="-2468.75"/>
    <n v="5"/>
    <n v="-12343.75"/>
  </r>
  <r>
    <x v="0"/>
    <x v="121"/>
    <n v="-2328.12"/>
    <n v="5"/>
    <n v="-11640.599999999999"/>
  </r>
  <r>
    <x v="0"/>
    <x v="122"/>
    <n v="-2312.5"/>
    <n v="5"/>
    <n v="-11562.5"/>
  </r>
  <r>
    <x v="0"/>
    <x v="123"/>
    <n v="-2234.38"/>
    <n v="5"/>
    <n v="-11171.900000000001"/>
  </r>
  <r>
    <x v="0"/>
    <x v="124"/>
    <n v="-1984.38"/>
    <n v="5"/>
    <n v="-9921.9000000000015"/>
  </r>
  <r>
    <x v="0"/>
    <x v="125"/>
    <n v="-1859.38"/>
    <n v="5"/>
    <n v="-9296.9000000000015"/>
  </r>
  <r>
    <x v="0"/>
    <x v="126"/>
    <n v="-1656.25"/>
    <n v="5"/>
    <n v="-8281.25"/>
  </r>
  <r>
    <x v="0"/>
    <x v="127"/>
    <n v="-1625"/>
    <n v="5"/>
    <n v="-8125"/>
  </r>
  <r>
    <x v="0"/>
    <x v="128"/>
    <n v="-1765.62"/>
    <n v="5"/>
    <n v="-8828.0999999999985"/>
  </r>
  <r>
    <x v="0"/>
    <x v="129"/>
    <n v="-1453.12"/>
    <n v="5"/>
    <n v="-7265.5999999999995"/>
  </r>
  <r>
    <x v="0"/>
    <x v="130"/>
    <n v="-1406.25"/>
    <n v="5"/>
    <n v="-7031.25"/>
  </r>
  <r>
    <x v="0"/>
    <x v="131"/>
    <n v="-1453.12"/>
    <n v="5"/>
    <n v="-7265.5999999999995"/>
  </r>
  <r>
    <x v="0"/>
    <x v="132"/>
    <n v="-1593.75"/>
    <n v="5"/>
    <n v="-7968.75"/>
  </r>
  <r>
    <x v="0"/>
    <x v="133"/>
    <n v="-1640.62"/>
    <n v="5"/>
    <n v="-8203.0999999999985"/>
  </r>
  <r>
    <x v="0"/>
    <x v="134"/>
    <n v="-1656.25"/>
    <n v="5"/>
    <n v="-8281.25"/>
  </r>
  <r>
    <x v="0"/>
    <x v="135"/>
    <n v="-968.75"/>
    <n v="5"/>
    <n v="-4843.75"/>
  </r>
  <r>
    <x v="0"/>
    <x v="136"/>
    <n v="-718.75"/>
    <n v="5"/>
    <n v="-3593.75"/>
  </r>
  <r>
    <x v="0"/>
    <x v="137"/>
    <n v="-734.38"/>
    <n v="5"/>
    <n v="-3671.9"/>
  </r>
  <r>
    <x v="0"/>
    <x v="138"/>
    <n v="-781.25"/>
    <n v="5"/>
    <n v="-3906.25"/>
  </r>
  <r>
    <x v="0"/>
    <x v="139"/>
    <n v="-703.12"/>
    <n v="5"/>
    <n v="-3515.6"/>
  </r>
  <r>
    <x v="0"/>
    <x v="140"/>
    <n v="-390.62"/>
    <n v="5"/>
    <n v="-1953.1"/>
  </r>
  <r>
    <x v="0"/>
    <x v="141"/>
    <n v="-328.12"/>
    <n v="5"/>
    <n v="-1640.6"/>
  </r>
  <r>
    <x v="0"/>
    <x v="142"/>
    <n v="-359.38"/>
    <n v="5"/>
    <n v="-1796.9"/>
  </r>
  <r>
    <x v="0"/>
    <x v="143"/>
    <n v="-421.88"/>
    <n v="5"/>
    <n v="-2109.4"/>
  </r>
  <r>
    <x v="0"/>
    <x v="144"/>
    <n v="-265.62"/>
    <n v="5"/>
    <n v="-1328.1"/>
  </r>
  <r>
    <x v="0"/>
    <x v="145"/>
    <n v="-250"/>
    <n v="5"/>
    <n v="-1250"/>
  </r>
  <r>
    <x v="0"/>
    <x v="146"/>
    <n v="-265.62"/>
    <n v="5"/>
    <n v="-1328.1"/>
  </r>
  <r>
    <x v="0"/>
    <x v="147"/>
    <n v="-453.12"/>
    <n v="5"/>
    <n v="-2265.6"/>
  </r>
  <r>
    <x v="0"/>
    <x v="148"/>
    <n v="-484.38"/>
    <n v="5"/>
    <n v="-2421.9"/>
  </r>
  <r>
    <x v="0"/>
    <x v="149"/>
    <n v="-500"/>
    <n v="5"/>
    <n v="-2500"/>
  </r>
  <r>
    <x v="0"/>
    <x v="150"/>
    <n v="-1109.3800000000001"/>
    <n v="5"/>
    <n v="-5546.9000000000005"/>
  </r>
  <r>
    <x v="0"/>
    <x v="151"/>
    <n v="-890.62"/>
    <n v="5"/>
    <n v="-4453.1000000000004"/>
  </r>
  <r>
    <x v="0"/>
    <x v="152"/>
    <n v="-1000"/>
    <n v="5"/>
    <n v="-5000"/>
  </r>
  <r>
    <x v="0"/>
    <x v="153"/>
    <n v="-390.62"/>
    <n v="5"/>
    <n v="-1953.1"/>
  </r>
  <r>
    <x v="0"/>
    <x v="154"/>
    <n v="78.12"/>
    <n v="5"/>
    <n v="390.6"/>
  </r>
  <r>
    <x v="0"/>
    <x v="155"/>
    <n v="46.88"/>
    <n v="5"/>
    <n v="234.4"/>
  </r>
  <r>
    <x v="0"/>
    <x v="156"/>
    <n v="-15.62"/>
    <n v="5"/>
    <n v="-78.099999999999994"/>
  </r>
  <r>
    <x v="0"/>
    <x v="157"/>
    <n v="46.88"/>
    <n v="5"/>
    <n v="234.4"/>
  </r>
  <r>
    <x v="0"/>
    <x v="158"/>
    <n v="78.12"/>
    <n v="5"/>
    <n v="390.6"/>
  </r>
  <r>
    <x v="0"/>
    <x v="159"/>
    <n v="-265.62"/>
    <n v="5"/>
    <n v="-1328.1"/>
  </r>
  <r>
    <x v="0"/>
    <x v="160"/>
    <n v="-296.88"/>
    <n v="5"/>
    <n v="-1484.4"/>
  </r>
  <r>
    <x v="0"/>
    <x v="161"/>
    <n v="-312.5"/>
    <n v="5"/>
    <n v="-1562.5"/>
  </r>
  <r>
    <x v="0"/>
    <x v="162"/>
    <n v="-453.12"/>
    <n v="5"/>
    <n v="-2265.6"/>
  </r>
  <r>
    <x v="0"/>
    <x v="163"/>
    <n v="-484.38"/>
    <n v="5"/>
    <n v="-2421.9"/>
  </r>
  <r>
    <x v="0"/>
    <x v="164"/>
    <n v="-421.88"/>
    <n v="5"/>
    <n v="-2109.4"/>
  </r>
  <r>
    <x v="0"/>
    <x v="165"/>
    <n v="-343.75"/>
    <n v="5"/>
    <n v="-1718.75"/>
  </r>
  <r>
    <x v="0"/>
    <x v="166"/>
    <n v="-640.62"/>
    <n v="5"/>
    <n v="-3203.1"/>
  </r>
  <r>
    <x v="0"/>
    <x v="167"/>
    <n v="-656.25"/>
    <n v="5"/>
    <n v="-3281.25"/>
  </r>
  <r>
    <x v="0"/>
    <x v="168"/>
    <n v="-468.75"/>
    <n v="5"/>
    <n v="-2343.75"/>
  </r>
  <r>
    <x v="0"/>
    <x v="169"/>
    <n v="-468.75"/>
    <n v="5"/>
    <n v="-2343.75"/>
  </r>
  <r>
    <x v="0"/>
    <x v="170"/>
    <n v="-109.38"/>
    <n v="5"/>
    <n v="-546.9"/>
  </r>
  <r>
    <x v="0"/>
    <x v="171"/>
    <n v="-93.75"/>
    <n v="5"/>
    <n v="-468.75"/>
  </r>
  <r>
    <x v="0"/>
    <x v="172"/>
    <n v="875"/>
    <n v="5"/>
    <n v="4375"/>
  </r>
  <r>
    <x v="0"/>
    <x v="173"/>
    <n v="812.5"/>
    <n v="5"/>
    <n v="4062.5"/>
  </r>
  <r>
    <x v="0"/>
    <x v="174"/>
    <n v="1046.8800000000001"/>
    <n v="5"/>
    <n v="5234.4000000000005"/>
  </r>
  <r>
    <x v="0"/>
    <x v="175"/>
    <n v="1234.3800000000001"/>
    <n v="5"/>
    <n v="6171.9000000000005"/>
  </r>
  <r>
    <x v="0"/>
    <x v="176"/>
    <n v="1328.12"/>
    <n v="5"/>
    <n v="6640.5999999999995"/>
  </r>
  <r>
    <x v="0"/>
    <x v="177"/>
    <n v="1156.25"/>
    <n v="5"/>
    <n v="5781.25"/>
  </r>
  <r>
    <x v="0"/>
    <x v="178"/>
    <n v="1828.12"/>
    <n v="5"/>
    <n v="9140.5999999999985"/>
  </r>
  <r>
    <x v="0"/>
    <x v="179"/>
    <n v="1718.75"/>
    <n v="5"/>
    <n v="8593.75"/>
  </r>
  <r>
    <x v="0"/>
    <x v="180"/>
    <n v="1578.12"/>
    <n v="5"/>
    <n v="7890.5999999999995"/>
  </r>
  <r>
    <x v="0"/>
    <x v="181"/>
    <n v="1843.75"/>
    <n v="5"/>
    <n v="9218.75"/>
  </r>
  <r>
    <x v="0"/>
    <x v="182"/>
    <n v="2578.12"/>
    <n v="5"/>
    <n v="12890.599999999999"/>
  </r>
  <r>
    <x v="0"/>
    <x v="183"/>
    <n v="2328.12"/>
    <n v="5"/>
    <n v="11640.599999999999"/>
  </r>
  <r>
    <x v="0"/>
    <x v="184"/>
    <n v="2843.75"/>
    <n v="5"/>
    <n v="14218.75"/>
  </r>
  <r>
    <x v="0"/>
    <x v="185"/>
    <n v="2593.75"/>
    <n v="5"/>
    <n v="12968.75"/>
  </r>
  <r>
    <x v="0"/>
    <x v="186"/>
    <n v="2671.88"/>
    <n v="5"/>
    <n v="13359.400000000001"/>
  </r>
  <r>
    <x v="0"/>
    <x v="187"/>
    <n v="2375"/>
    <n v="5"/>
    <n v="11875"/>
  </r>
  <r>
    <x v="0"/>
    <x v="188"/>
    <n v="1968.75"/>
    <n v="5"/>
    <n v="9843.75"/>
  </r>
  <r>
    <x v="0"/>
    <x v="189"/>
    <n v="2046.88"/>
    <n v="5"/>
    <n v="10234.400000000001"/>
  </r>
  <r>
    <x v="0"/>
    <x v="190"/>
    <n v="1828.12"/>
    <n v="5"/>
    <n v="9140.5999999999985"/>
  </r>
  <r>
    <x v="0"/>
    <x v="191"/>
    <n v="1812.5"/>
    <n v="5"/>
    <n v="9062.5"/>
  </r>
  <r>
    <x v="0"/>
    <x v="192"/>
    <n v="2187.5"/>
    <n v="5"/>
    <n v="10937.5"/>
  </r>
  <r>
    <x v="0"/>
    <x v="193"/>
    <n v="2015.62"/>
    <n v="5"/>
    <n v="10078.099999999999"/>
  </r>
  <r>
    <x v="0"/>
    <x v="194"/>
    <n v="1812.5"/>
    <n v="5"/>
    <n v="9062.5"/>
  </r>
  <r>
    <x v="0"/>
    <x v="195"/>
    <n v="2015.62"/>
    <n v="5"/>
    <n v="10078.099999999999"/>
  </r>
  <r>
    <x v="0"/>
    <x v="196"/>
    <n v="2531.25"/>
    <n v="5"/>
    <n v="12656.25"/>
  </r>
  <r>
    <x v="0"/>
    <x v="197"/>
    <n v="2546.88"/>
    <n v="5"/>
    <n v="12734.400000000001"/>
  </r>
  <r>
    <x v="0"/>
    <x v="198"/>
    <n v="2812.5"/>
    <n v="5"/>
    <n v="14062.5"/>
  </r>
  <r>
    <x v="0"/>
    <x v="199"/>
    <n v="3203.12"/>
    <n v="5"/>
    <n v="16015.599999999999"/>
  </r>
  <r>
    <x v="0"/>
    <x v="200"/>
    <n v="2375"/>
    <n v="5"/>
    <n v="11875"/>
  </r>
  <r>
    <x v="0"/>
    <x v="201"/>
    <n v="2546.88"/>
    <n v="5"/>
    <n v="12734.400000000001"/>
  </r>
  <r>
    <x v="0"/>
    <x v="202"/>
    <n v="3796.88"/>
    <n v="5"/>
    <n v="18984.400000000001"/>
  </r>
  <r>
    <x v="0"/>
    <x v="203"/>
    <n v="3937.5"/>
    <n v="5"/>
    <n v="19687.5"/>
  </r>
  <r>
    <x v="0"/>
    <x v="204"/>
    <n v="3609.38"/>
    <n v="5"/>
    <n v="18046.900000000001"/>
  </r>
  <r>
    <x v="0"/>
    <x v="205"/>
    <n v="4953.12"/>
    <n v="5"/>
    <n v="24765.599999999999"/>
  </r>
  <r>
    <x v="0"/>
    <x v="206"/>
    <n v="4812.5"/>
    <n v="5"/>
    <n v="24062.5"/>
  </r>
  <r>
    <x v="0"/>
    <x v="207"/>
    <n v="5265.62"/>
    <n v="5"/>
    <n v="26328.1"/>
  </r>
  <r>
    <x v="0"/>
    <x v="208"/>
    <n v="7281.25"/>
    <n v="5"/>
    <n v="36406.25"/>
  </r>
  <r>
    <x v="0"/>
    <x v="209"/>
    <n v="7437.5"/>
    <n v="5"/>
    <n v="37187.5"/>
  </r>
  <r>
    <x v="0"/>
    <x v="210"/>
    <n v="8453.1200000000008"/>
    <n v="5"/>
    <n v="42265.600000000006"/>
  </r>
  <r>
    <x v="0"/>
    <x v="211"/>
    <n v="7984.38"/>
    <n v="5"/>
    <n v="39921.9"/>
  </r>
  <r>
    <x v="0"/>
    <x v="212"/>
    <n v="8406.25"/>
    <n v="5"/>
    <n v="42031.25"/>
  </r>
  <r>
    <x v="0"/>
    <x v="213"/>
    <n v="6281.25"/>
    <n v="5"/>
    <n v="31406.25"/>
  </r>
  <r>
    <x v="0"/>
    <x v="214"/>
    <n v="3140.62"/>
    <n v="5"/>
    <n v="15703.099999999999"/>
  </r>
  <r>
    <x v="0"/>
    <x v="215"/>
    <n v="2578.12"/>
    <n v="5"/>
    <n v="12890.599999999999"/>
  </r>
  <r>
    <x v="0"/>
    <x v="216"/>
    <n v="3843.75"/>
    <n v="5"/>
    <n v="19218.75"/>
  </r>
  <r>
    <x v="0"/>
    <x v="217"/>
    <n v="5515.62"/>
    <n v="5"/>
    <n v="27578.1"/>
  </r>
  <r>
    <x v="0"/>
    <x v="218"/>
    <n v="7296.88"/>
    <n v="5"/>
    <n v="36484.400000000001"/>
  </r>
  <r>
    <x v="0"/>
    <x v="219"/>
    <n v="7000"/>
    <n v="5"/>
    <n v="35000"/>
  </r>
  <r>
    <x v="0"/>
    <x v="220"/>
    <n v="9171.8799999999992"/>
    <n v="5"/>
    <n v="45859.399999999994"/>
  </r>
  <r>
    <x v="0"/>
    <x v="221"/>
    <n v="8812.5"/>
    <n v="5"/>
    <n v="44062.5"/>
  </r>
  <r>
    <x v="0"/>
    <x v="222"/>
    <n v="9140.6200000000008"/>
    <n v="5"/>
    <n v="45703.100000000006"/>
  </r>
  <r>
    <x v="0"/>
    <x v="223"/>
    <n v="9203.1200000000008"/>
    <n v="5"/>
    <n v="46015.600000000006"/>
  </r>
  <r>
    <x v="0"/>
    <x v="224"/>
    <n v="9125"/>
    <n v="5"/>
    <n v="45625"/>
  </r>
  <r>
    <x v="0"/>
    <x v="225"/>
    <n v="9140.6200000000008"/>
    <n v="5"/>
    <n v="45703.100000000006"/>
  </r>
  <r>
    <x v="0"/>
    <x v="226"/>
    <n v="10218.75"/>
    <n v="5"/>
    <n v="51093.75"/>
  </r>
  <r>
    <x v="0"/>
    <x v="227"/>
    <n v="10250"/>
    <n v="5"/>
    <n v="51250"/>
  </r>
  <r>
    <x v="0"/>
    <x v="228"/>
    <n v="10078.120000000001"/>
    <n v="5"/>
    <n v="50390.600000000006"/>
  </r>
  <r>
    <x v="0"/>
    <x v="229"/>
    <n v="10515.62"/>
    <n v="5"/>
    <n v="52578.100000000006"/>
  </r>
  <r>
    <x v="0"/>
    <x v="230"/>
    <n v="10375"/>
    <n v="5"/>
    <n v="51875"/>
  </r>
  <r>
    <x v="0"/>
    <x v="231"/>
    <n v="10109.379999999999"/>
    <n v="5"/>
    <n v="50546.899999999994"/>
  </r>
  <r>
    <x v="0"/>
    <x v="232"/>
    <n v="9843.75"/>
    <n v="5"/>
    <n v="49218.75"/>
  </r>
  <r>
    <x v="0"/>
    <x v="233"/>
    <n v="9609.3799999999992"/>
    <n v="5"/>
    <n v="48046.899999999994"/>
  </r>
  <r>
    <x v="0"/>
    <x v="234"/>
    <n v="9125"/>
    <n v="5"/>
    <n v="45625"/>
  </r>
  <r>
    <x v="0"/>
    <x v="235"/>
    <n v="8343.75"/>
    <n v="5"/>
    <n v="41718.75"/>
  </r>
  <r>
    <x v="0"/>
    <x v="236"/>
    <n v="8375"/>
    <n v="5"/>
    <n v="41875"/>
  </r>
  <r>
    <x v="0"/>
    <x v="237"/>
    <n v="8281.25"/>
    <n v="5"/>
    <n v="41406.25"/>
  </r>
  <r>
    <x v="0"/>
    <x v="238"/>
    <n v="8203.1200000000008"/>
    <n v="5"/>
    <n v="41015.600000000006"/>
  </r>
  <r>
    <x v="0"/>
    <x v="239"/>
    <n v="8406.25"/>
    <n v="5"/>
    <n v="42031.25"/>
  </r>
  <r>
    <x v="0"/>
    <x v="240"/>
    <n v="8140.62"/>
    <n v="5"/>
    <n v="40703.1"/>
  </r>
  <r>
    <x v="0"/>
    <x v="241"/>
    <n v="8953.1200000000008"/>
    <n v="5"/>
    <n v="44765.600000000006"/>
  </r>
  <r>
    <x v="0"/>
    <x v="242"/>
    <n v="8546.8799999999992"/>
    <n v="5"/>
    <n v="42734.399999999994"/>
  </r>
  <r>
    <x v="0"/>
    <x v="243"/>
    <n v="8921.8799999999992"/>
    <n v="5"/>
    <n v="44609.399999999994"/>
  </r>
  <r>
    <x v="0"/>
    <x v="244"/>
    <n v="8937.5"/>
    <n v="5"/>
    <n v="44687.5"/>
  </r>
  <r>
    <x v="0"/>
    <x v="245"/>
    <n v="9140.6200000000008"/>
    <n v="5"/>
    <n v="45703.100000000006"/>
  </r>
  <r>
    <x v="0"/>
    <x v="246"/>
    <n v="9375"/>
    <n v="5"/>
    <n v="46875"/>
  </r>
  <r>
    <x v="0"/>
    <x v="247"/>
    <n v="9375"/>
    <n v="5"/>
    <n v="46875"/>
  </r>
  <r>
    <x v="0"/>
    <x v="248"/>
    <n v="9375"/>
    <n v="5"/>
    <n v="46875"/>
  </r>
  <r>
    <x v="0"/>
    <x v="249"/>
    <n v="9453.1200000000008"/>
    <n v="5"/>
    <n v="47265.600000000006"/>
  </r>
  <r>
    <x v="0"/>
    <x v="250"/>
    <n v="9656.25"/>
    <n v="5"/>
    <n v="48281.25"/>
  </r>
  <r>
    <x v="0"/>
    <x v="251"/>
    <n v="9812.5"/>
    <n v="5"/>
    <n v="49062.5"/>
  </r>
  <r>
    <x v="0"/>
    <x v="252"/>
    <n v="10000"/>
    <n v="5"/>
    <n v="50000"/>
  </r>
  <r>
    <x v="0"/>
    <x v="253"/>
    <n v="10125"/>
    <n v="5"/>
    <n v="50625"/>
  </r>
  <r>
    <x v="0"/>
    <x v="254"/>
    <n v="10109.379999999999"/>
    <n v="5"/>
    <n v="50546.899999999994"/>
  </r>
  <r>
    <x v="0"/>
    <x v="255"/>
    <n v="9828.1200000000008"/>
    <n v="5"/>
    <n v="49140.600000000006"/>
  </r>
  <r>
    <x v="0"/>
    <x v="256"/>
    <n v="9812.5"/>
    <n v="5"/>
    <n v="49062.5"/>
  </r>
  <r>
    <x v="0"/>
    <x v="257"/>
    <n v="10109.379999999999"/>
    <n v="5"/>
    <n v="50546.899999999994"/>
  </r>
  <r>
    <x v="0"/>
    <x v="258"/>
    <n v="10234.379999999999"/>
    <n v="5"/>
    <n v="51171.899999999994"/>
  </r>
  <r>
    <x v="0"/>
    <x v="259"/>
    <n v="10281.25"/>
    <n v="5"/>
    <n v="51406.25"/>
  </r>
  <r>
    <x v="0"/>
    <x v="260"/>
    <n v="10640.62"/>
    <n v="5"/>
    <n v="53203.100000000006"/>
  </r>
  <r>
    <x v="0"/>
    <x v="261"/>
    <n v="10843.75"/>
    <n v="5"/>
    <n v="54218.75"/>
  </r>
  <r>
    <x v="0"/>
    <x v="262"/>
    <n v="10859.38"/>
    <n v="5"/>
    <n v="54296.899999999994"/>
  </r>
  <r>
    <x v="0"/>
    <x v="263"/>
    <n v="10656.25"/>
    <n v="5"/>
    <n v="53281.25"/>
  </r>
  <r>
    <x v="0"/>
    <x v="264"/>
    <n v="9921.8799999999992"/>
    <n v="5"/>
    <n v="49609.399999999994"/>
  </r>
  <r>
    <x v="0"/>
    <x v="265"/>
    <n v="9500"/>
    <n v="5"/>
    <n v="47500"/>
  </r>
  <r>
    <x v="0"/>
    <x v="266"/>
    <n v="9578.1200000000008"/>
    <n v="5"/>
    <n v="47890.600000000006"/>
  </r>
  <r>
    <x v="0"/>
    <x v="267"/>
    <n v="9531.25"/>
    <n v="5"/>
    <n v="47656.25"/>
  </r>
  <r>
    <x v="0"/>
    <x v="268"/>
    <n v="9500"/>
    <n v="5"/>
    <n v="47500"/>
  </r>
  <r>
    <x v="0"/>
    <x v="269"/>
    <n v="10015.620000000001"/>
    <n v="5"/>
    <n v="50078.100000000006"/>
  </r>
  <r>
    <x v="0"/>
    <x v="270"/>
    <n v="10000"/>
    <n v="5"/>
    <n v="50000"/>
  </r>
  <r>
    <x v="0"/>
    <x v="271"/>
    <n v="9625"/>
    <n v="5"/>
    <n v="48125"/>
  </r>
  <r>
    <x v="0"/>
    <x v="272"/>
    <n v="9656.25"/>
    <n v="5"/>
    <n v="48281.25"/>
  </r>
  <r>
    <x v="0"/>
    <x v="273"/>
    <n v="9578.1200000000008"/>
    <n v="5"/>
    <n v="47890.600000000006"/>
  </r>
  <r>
    <x v="0"/>
    <x v="274"/>
    <n v="9609.3799999999992"/>
    <n v="5"/>
    <n v="48046.899999999994"/>
  </r>
  <r>
    <x v="0"/>
    <x v="275"/>
    <n v="9390.6200000000008"/>
    <n v="5"/>
    <n v="46953.100000000006"/>
  </r>
  <r>
    <x v="0"/>
    <x v="276"/>
    <n v="9031.25"/>
    <n v="5"/>
    <n v="45156.25"/>
  </r>
  <r>
    <x v="0"/>
    <x v="277"/>
    <n v="8796.8799999999992"/>
    <n v="5"/>
    <n v="43984.399999999994"/>
  </r>
  <r>
    <x v="0"/>
    <x v="278"/>
    <n v="8421.8799999999992"/>
    <n v="5"/>
    <n v="42109.399999999994"/>
  </r>
  <r>
    <x v="0"/>
    <x v="279"/>
    <n v="8484.3799999999992"/>
    <n v="5"/>
    <n v="42421.899999999994"/>
  </r>
  <r>
    <x v="0"/>
    <x v="280"/>
    <n v="8406.25"/>
    <n v="5"/>
    <n v="42031.25"/>
  </r>
  <r>
    <x v="0"/>
    <x v="281"/>
    <n v="8062.5"/>
    <n v="5"/>
    <n v="40312.5"/>
  </r>
  <r>
    <x v="0"/>
    <x v="282"/>
    <n v="8390.6200000000008"/>
    <n v="5"/>
    <n v="41953.100000000006"/>
  </r>
  <r>
    <x v="0"/>
    <x v="283"/>
    <n v="8734.3799999999992"/>
    <n v="5"/>
    <n v="43671.899999999994"/>
  </r>
  <r>
    <x v="0"/>
    <x v="284"/>
    <n v="9359.3799999999992"/>
    <n v="5"/>
    <n v="46796.899999999994"/>
  </r>
  <r>
    <x v="0"/>
    <x v="285"/>
    <n v="9984.3799999999992"/>
    <n v="5"/>
    <n v="49921.899999999994"/>
  </r>
  <r>
    <x v="0"/>
    <x v="286"/>
    <n v="9953.1200000000008"/>
    <n v="5"/>
    <n v="49765.600000000006"/>
  </r>
  <r>
    <x v="0"/>
    <x v="287"/>
    <n v="10265.620000000001"/>
    <n v="5"/>
    <n v="51328.100000000006"/>
  </r>
  <r>
    <x v="0"/>
    <x v="288"/>
    <n v="10406.25"/>
    <n v="5"/>
    <n v="52031.25"/>
  </r>
  <r>
    <x v="0"/>
    <x v="289"/>
    <n v="11359.38"/>
    <n v="5"/>
    <n v="56796.899999999994"/>
  </r>
  <r>
    <x v="0"/>
    <x v="290"/>
    <n v="11375"/>
    <n v="5"/>
    <n v="56875"/>
  </r>
  <r>
    <x v="0"/>
    <x v="291"/>
    <n v="11437.5"/>
    <n v="5"/>
    <n v="57187.5"/>
  </r>
  <r>
    <x v="0"/>
    <x v="292"/>
    <n v="11671.88"/>
    <n v="5"/>
    <n v="58359.399999999994"/>
  </r>
  <r>
    <x v="0"/>
    <x v="293"/>
    <n v="11718.75"/>
    <n v="5"/>
    <n v="58593.75"/>
  </r>
  <r>
    <x v="0"/>
    <x v="294"/>
    <n v="11578.12"/>
    <n v="5"/>
    <n v="57890.600000000006"/>
  </r>
  <r>
    <x v="0"/>
    <x v="295"/>
    <n v="11703.12"/>
    <n v="5"/>
    <n v="58515.600000000006"/>
  </r>
  <r>
    <x v="0"/>
    <x v="296"/>
    <n v="11718.75"/>
    <n v="5"/>
    <n v="58593.75"/>
  </r>
  <r>
    <x v="0"/>
    <x v="297"/>
    <n v="11250"/>
    <n v="5"/>
    <n v="56250"/>
  </r>
  <r>
    <x v="0"/>
    <x v="298"/>
    <n v="11265.62"/>
    <n v="5"/>
    <n v="56328.100000000006"/>
  </r>
  <r>
    <x v="0"/>
    <x v="299"/>
    <n v="11046.88"/>
    <n v="5"/>
    <n v="55234.399999999994"/>
  </r>
  <r>
    <x v="0"/>
    <x v="300"/>
    <n v="10812.5"/>
    <n v="5"/>
    <n v="54062.5"/>
  </r>
  <r>
    <x v="0"/>
    <x v="301"/>
    <n v="10843.75"/>
    <n v="5"/>
    <n v="54218.75"/>
  </r>
  <r>
    <x v="0"/>
    <x v="302"/>
    <n v="10796.88"/>
    <n v="5"/>
    <n v="53984.399999999994"/>
  </r>
  <r>
    <x v="0"/>
    <x v="303"/>
    <n v="11140.62"/>
    <n v="5"/>
    <n v="55703.100000000006"/>
  </r>
  <r>
    <x v="0"/>
    <x v="304"/>
    <n v="11125"/>
    <n v="5"/>
    <n v="55625"/>
  </r>
  <r>
    <x v="0"/>
    <x v="305"/>
    <n v="11234.38"/>
    <n v="5"/>
    <n v="56171.899999999994"/>
  </r>
  <r>
    <x v="0"/>
    <x v="306"/>
    <n v="11171.88"/>
    <n v="5"/>
    <n v="55859.399999999994"/>
  </r>
  <r>
    <x v="0"/>
    <x v="307"/>
    <n v="11187.5"/>
    <n v="5"/>
    <n v="55937.5"/>
  </r>
  <r>
    <x v="0"/>
    <x v="308"/>
    <n v="11281.25"/>
    <n v="5"/>
    <n v="56406.25"/>
  </r>
  <r>
    <x v="0"/>
    <x v="309"/>
    <n v="11218.75"/>
    <n v="5"/>
    <n v="56093.75"/>
  </r>
  <r>
    <x v="0"/>
    <x v="310"/>
    <n v="11375"/>
    <n v="5"/>
    <n v="56875"/>
  </r>
  <r>
    <x v="0"/>
    <x v="311"/>
    <n v="11265.62"/>
    <n v="5"/>
    <n v="56328.100000000006"/>
  </r>
  <r>
    <x v="0"/>
    <x v="312"/>
    <n v="11125"/>
    <n v="5"/>
    <n v="55625"/>
  </r>
  <r>
    <x v="0"/>
    <x v="313"/>
    <n v="11203.12"/>
    <n v="5"/>
    <n v="56015.600000000006"/>
  </r>
  <r>
    <x v="0"/>
    <x v="314"/>
    <n v="11328.12"/>
    <n v="5"/>
    <n v="56640.600000000006"/>
  </r>
  <r>
    <x v="0"/>
    <x v="315"/>
    <n v="11125"/>
    <n v="5"/>
    <n v="55625"/>
  </r>
  <r>
    <x v="0"/>
    <x v="316"/>
    <n v="11125"/>
    <n v="5"/>
    <n v="55625"/>
  </r>
  <r>
    <x v="0"/>
    <x v="317"/>
    <n v="10890.62"/>
    <n v="5"/>
    <n v="54453.100000000006"/>
  </r>
  <r>
    <x v="0"/>
    <x v="318"/>
    <n v="10625"/>
    <n v="5"/>
    <n v="53125"/>
  </r>
  <r>
    <x v="0"/>
    <x v="319"/>
    <n v="10328.120000000001"/>
    <n v="5"/>
    <n v="51640.600000000006"/>
  </r>
  <r>
    <x v="0"/>
    <x v="320"/>
    <n v="10437.5"/>
    <n v="5"/>
    <n v="52187.5"/>
  </r>
  <r>
    <x v="0"/>
    <x v="321"/>
    <n v="10375"/>
    <n v="5"/>
    <n v="51875"/>
  </r>
  <r>
    <x v="0"/>
    <x v="322"/>
    <n v="10296.879999999999"/>
    <n v="5"/>
    <n v="51484.399999999994"/>
  </r>
  <r>
    <x v="0"/>
    <x v="323"/>
    <n v="10250"/>
    <n v="5"/>
    <n v="51250"/>
  </r>
  <r>
    <x v="0"/>
    <x v="324"/>
    <n v="10281.25"/>
    <n v="5"/>
    <n v="51406.25"/>
  </r>
  <r>
    <x v="0"/>
    <x v="325"/>
    <n v="10328.120000000001"/>
    <n v="5"/>
    <n v="51640.600000000006"/>
  </r>
  <r>
    <x v="0"/>
    <x v="326"/>
    <n v="10265.620000000001"/>
    <n v="5"/>
    <n v="51328.100000000006"/>
  </r>
  <r>
    <x v="0"/>
    <x v="327"/>
    <n v="10078.120000000001"/>
    <n v="5"/>
    <n v="50390.600000000006"/>
  </r>
  <r>
    <x v="0"/>
    <x v="328"/>
    <n v="10062.5"/>
    <n v="5"/>
    <n v="50312.5"/>
  </r>
  <r>
    <x v="0"/>
    <x v="329"/>
    <n v="10343.75"/>
    <n v="5"/>
    <n v="51718.75"/>
  </r>
  <r>
    <x v="0"/>
    <x v="330"/>
    <n v="10328.120000000001"/>
    <n v="5"/>
    <n v="51640.600000000006"/>
  </r>
  <r>
    <x v="0"/>
    <x v="331"/>
    <n v="10218.75"/>
    <n v="5"/>
    <n v="51093.75"/>
  </r>
  <r>
    <x v="0"/>
    <x v="332"/>
    <n v="10546.88"/>
    <n v="5"/>
    <n v="52734.399999999994"/>
  </r>
  <r>
    <x v="0"/>
    <x v="333"/>
    <n v="10281.25"/>
    <n v="5"/>
    <n v="51406.25"/>
  </r>
  <r>
    <x v="0"/>
    <x v="334"/>
    <n v="10390.620000000001"/>
    <n v="5"/>
    <n v="51953.100000000006"/>
  </r>
  <r>
    <x v="0"/>
    <x v="335"/>
    <n v="10390.620000000001"/>
    <n v="5"/>
    <n v="51953.100000000006"/>
  </r>
  <r>
    <x v="0"/>
    <x v="336"/>
    <n v="10437.5"/>
    <n v="5"/>
    <n v="52187.5"/>
  </r>
  <r>
    <x v="0"/>
    <x v="337"/>
    <n v="10406.25"/>
    <n v="5"/>
    <n v="52031.25"/>
  </r>
  <r>
    <x v="0"/>
    <x v="338"/>
    <n v="10171.879999999999"/>
    <n v="5"/>
    <n v="50859.399999999994"/>
  </r>
  <r>
    <x v="0"/>
    <x v="339"/>
    <n v="10234.379999999999"/>
    <n v="5"/>
    <n v="51171.899999999994"/>
  </r>
  <r>
    <x v="0"/>
    <x v="340"/>
    <n v="10312.5"/>
    <n v="5"/>
    <n v="51562.5"/>
  </r>
  <r>
    <x v="0"/>
    <x v="341"/>
    <n v="9921.8799999999992"/>
    <n v="5"/>
    <n v="49609.399999999994"/>
  </r>
  <r>
    <x v="0"/>
    <x v="342"/>
    <n v="10078.120000000001"/>
    <n v="5"/>
    <n v="50390.600000000006"/>
  </r>
  <r>
    <x v="0"/>
    <x v="343"/>
    <n v="10078.120000000001"/>
    <n v="5"/>
    <n v="50390.600000000006"/>
  </r>
  <r>
    <x v="0"/>
    <x v="344"/>
    <n v="10390.620000000001"/>
    <n v="5"/>
    <n v="51953.100000000006"/>
  </r>
  <r>
    <x v="0"/>
    <x v="345"/>
    <n v="10187.5"/>
    <n v="5"/>
    <n v="50937.5"/>
  </r>
  <r>
    <x v="0"/>
    <x v="346"/>
    <n v="10281.25"/>
    <n v="5"/>
    <n v="51406.25"/>
  </r>
  <r>
    <x v="0"/>
    <x v="347"/>
    <n v="10453.120000000001"/>
    <n v="5"/>
    <n v="52265.600000000006"/>
  </r>
  <r>
    <x v="0"/>
    <x v="348"/>
    <n v="10203.120000000001"/>
    <n v="5"/>
    <n v="51015.600000000006"/>
  </r>
  <r>
    <x v="0"/>
    <x v="349"/>
    <n v="10046.879999999999"/>
    <n v="5"/>
    <n v="50234.399999999994"/>
  </r>
  <r>
    <x v="0"/>
    <x v="350"/>
    <n v="10031.25"/>
    <n v="5"/>
    <n v="50156.25"/>
  </r>
  <r>
    <x v="0"/>
    <x v="351"/>
    <n v="10171.879999999999"/>
    <n v="5"/>
    <n v="50859.399999999994"/>
  </r>
  <r>
    <x v="0"/>
    <x v="352"/>
    <n v="10234.379999999999"/>
    <n v="5"/>
    <n v="51171.899999999994"/>
  </r>
  <r>
    <x v="0"/>
    <x v="353"/>
    <n v="10171.879999999999"/>
    <n v="5"/>
    <n v="50859.399999999994"/>
  </r>
  <r>
    <x v="0"/>
    <x v="354"/>
    <n v="10500"/>
    <n v="5"/>
    <n v="52500"/>
  </r>
  <r>
    <x v="0"/>
    <x v="355"/>
    <n v="10171.879999999999"/>
    <n v="5"/>
    <n v="50859.399999999994"/>
  </r>
  <r>
    <x v="0"/>
    <x v="356"/>
    <n v="9968.75"/>
    <n v="5"/>
    <n v="49843.75"/>
  </r>
  <r>
    <x v="0"/>
    <x v="357"/>
    <n v="9968.75"/>
    <n v="5"/>
    <n v="49843.75"/>
  </r>
  <r>
    <x v="0"/>
    <x v="358"/>
    <n v="9859.3799999999992"/>
    <n v="5"/>
    <n v="49296.899999999994"/>
  </r>
  <r>
    <x v="0"/>
    <x v="359"/>
    <n v="9953.1200000000008"/>
    <n v="5"/>
    <n v="49765.600000000006"/>
  </r>
  <r>
    <x v="0"/>
    <x v="360"/>
    <n v="9812.5"/>
    <n v="5"/>
    <n v="49062.5"/>
  </r>
  <r>
    <x v="0"/>
    <x v="361"/>
    <n v="9953.1200000000008"/>
    <n v="5"/>
    <n v="49765.600000000006"/>
  </r>
  <r>
    <x v="0"/>
    <x v="362"/>
    <n v="10109.379999999999"/>
    <n v="5"/>
    <n v="50546.899999999994"/>
  </r>
  <r>
    <x v="0"/>
    <x v="363"/>
    <n v="10406.25"/>
    <n v="5"/>
    <n v="52031.25"/>
  </r>
  <r>
    <x v="0"/>
    <x v="364"/>
    <n v="10437.5"/>
    <n v="5"/>
    <n v="52187.5"/>
  </r>
  <r>
    <x v="0"/>
    <x v="365"/>
    <n v="10343.75"/>
    <n v="5"/>
    <n v="51718.75"/>
  </r>
  <r>
    <x v="0"/>
    <x v="366"/>
    <n v="10312.5"/>
    <n v="5"/>
    <n v="51562.5"/>
  </r>
  <r>
    <x v="0"/>
    <x v="367"/>
    <n v="10156.25"/>
    <n v="5"/>
    <n v="50781.25"/>
  </r>
  <r>
    <x v="0"/>
    <x v="368"/>
    <n v="10093.75"/>
    <n v="5"/>
    <n v="50468.75"/>
  </r>
  <r>
    <x v="0"/>
    <x v="369"/>
    <n v="10187.5"/>
    <n v="5"/>
    <n v="50937.5"/>
  </r>
  <r>
    <x v="0"/>
    <x v="370"/>
    <n v="10203.120000000001"/>
    <n v="5"/>
    <n v="51015.600000000006"/>
  </r>
  <r>
    <x v="0"/>
    <x v="371"/>
    <n v="10000"/>
    <n v="5"/>
    <n v="50000"/>
  </r>
  <r>
    <x v="0"/>
    <x v="372"/>
    <n v="9781.25"/>
    <n v="5"/>
    <n v="48906.25"/>
  </r>
  <r>
    <x v="0"/>
    <x v="373"/>
    <n v="9687.5"/>
    <n v="5"/>
    <n v="48437.5"/>
  </r>
  <r>
    <x v="0"/>
    <x v="374"/>
    <n v="9625"/>
    <n v="5"/>
    <n v="48125"/>
  </r>
  <r>
    <x v="0"/>
    <x v="375"/>
    <n v="9593.75"/>
    <n v="5"/>
    <n v="47968.75"/>
  </r>
  <r>
    <x v="0"/>
    <x v="376"/>
    <n v="9609.3799999999992"/>
    <n v="5"/>
    <n v="48046.899999999994"/>
  </r>
  <r>
    <x v="0"/>
    <x v="377"/>
    <n v="9750"/>
    <n v="5"/>
    <n v="48750"/>
  </r>
  <r>
    <x v="0"/>
    <x v="378"/>
    <n v="9437.5"/>
    <n v="5"/>
    <n v="47187.5"/>
  </r>
  <r>
    <x v="0"/>
    <x v="379"/>
    <n v="9421.8799999999992"/>
    <n v="5"/>
    <n v="47109.399999999994"/>
  </r>
  <r>
    <x v="0"/>
    <x v="380"/>
    <n v="9281.25"/>
    <n v="5"/>
    <n v="46406.25"/>
  </r>
  <r>
    <x v="0"/>
    <x v="381"/>
    <n v="9406.25"/>
    <n v="5"/>
    <n v="47031.25"/>
  </r>
  <r>
    <x v="0"/>
    <x v="382"/>
    <n v="9406.25"/>
    <n v="5"/>
    <n v="47031.25"/>
  </r>
  <r>
    <x v="0"/>
    <x v="383"/>
    <n v="9140.6200000000008"/>
    <n v="5"/>
    <n v="45703.100000000006"/>
  </r>
  <r>
    <x v="0"/>
    <x v="384"/>
    <n v="9218.75"/>
    <n v="5"/>
    <n v="46093.75"/>
  </r>
  <r>
    <x v="0"/>
    <x v="385"/>
    <n v="9328.1200000000008"/>
    <n v="5"/>
    <n v="46640.600000000006"/>
  </r>
  <r>
    <x v="0"/>
    <x v="386"/>
    <n v="9375"/>
    <n v="5"/>
    <n v="46875"/>
  </r>
  <r>
    <x v="0"/>
    <x v="387"/>
    <n v="9328.1200000000008"/>
    <n v="5"/>
    <n v="46640.600000000006"/>
  </r>
  <r>
    <x v="0"/>
    <x v="388"/>
    <n v="9343.75"/>
    <n v="5"/>
    <n v="46718.75"/>
  </r>
  <r>
    <x v="0"/>
    <x v="389"/>
    <n v="9812.5"/>
    <n v="5"/>
    <n v="49062.5"/>
  </r>
  <r>
    <x v="0"/>
    <x v="390"/>
    <n v="9718.75"/>
    <n v="5"/>
    <n v="48593.75"/>
  </r>
  <r>
    <x v="0"/>
    <x v="391"/>
    <n v="9921.8799999999992"/>
    <n v="5"/>
    <n v="49609.399999999994"/>
  </r>
  <r>
    <x v="0"/>
    <x v="392"/>
    <n v="9828.1200000000008"/>
    <n v="5"/>
    <n v="49140.600000000006"/>
  </r>
  <r>
    <x v="0"/>
    <x v="393"/>
    <n v="9296.8799999999992"/>
    <n v="5"/>
    <n v="46484.399999999994"/>
  </r>
  <r>
    <x v="0"/>
    <x v="394"/>
    <n v="9281.25"/>
    <n v="5"/>
    <n v="46406.25"/>
  </r>
  <r>
    <x v="0"/>
    <x v="395"/>
    <n v="9265.6200000000008"/>
    <n v="5"/>
    <n v="46328.100000000006"/>
  </r>
  <r>
    <x v="0"/>
    <x v="396"/>
    <n v="9250"/>
    <n v="5"/>
    <n v="46250"/>
  </r>
  <r>
    <x v="0"/>
    <x v="397"/>
    <n v="9343.75"/>
    <n v="5"/>
    <n v="46718.75"/>
  </r>
  <r>
    <x v="0"/>
    <x v="398"/>
    <n v="9390.6200000000008"/>
    <n v="5"/>
    <n v="46953.100000000006"/>
  </r>
  <r>
    <x v="0"/>
    <x v="399"/>
    <n v="9078.1200000000008"/>
    <n v="5"/>
    <n v="45390.600000000006"/>
  </r>
  <r>
    <x v="0"/>
    <x v="400"/>
    <n v="9140.6200000000008"/>
    <n v="5"/>
    <n v="45703.100000000006"/>
  </r>
  <r>
    <x v="0"/>
    <x v="401"/>
    <n v="9187.5"/>
    <n v="5"/>
    <n v="45937.5"/>
  </r>
  <r>
    <x v="0"/>
    <x v="402"/>
    <n v="9609.3799999999992"/>
    <n v="5"/>
    <n v="48046.899999999994"/>
  </r>
  <r>
    <x v="0"/>
    <x v="403"/>
    <n v="9468.75"/>
    <n v="5"/>
    <n v="47343.75"/>
  </r>
  <r>
    <x v="0"/>
    <x v="404"/>
    <n v="9484.3799999999992"/>
    <n v="5"/>
    <n v="47421.899999999994"/>
  </r>
  <r>
    <x v="0"/>
    <x v="405"/>
    <n v="9390.6200000000008"/>
    <n v="5"/>
    <n v="46953.100000000006"/>
  </r>
  <r>
    <x v="0"/>
    <x v="406"/>
    <n v="9312.5"/>
    <n v="5"/>
    <n v="46562.5"/>
  </r>
  <r>
    <x v="0"/>
    <x v="407"/>
    <n v="9265.6200000000008"/>
    <n v="5"/>
    <n v="46328.100000000006"/>
  </r>
  <r>
    <x v="0"/>
    <x v="408"/>
    <n v="9500"/>
    <n v="5"/>
    <n v="47500"/>
  </r>
  <r>
    <x v="0"/>
    <x v="409"/>
    <n v="9343.75"/>
    <n v="5"/>
    <n v="46718.75"/>
  </r>
  <r>
    <x v="0"/>
    <x v="410"/>
    <n v="9421.8799999999992"/>
    <n v="5"/>
    <n v="47109.399999999994"/>
  </r>
  <r>
    <x v="0"/>
    <x v="411"/>
    <n v="9718.75"/>
    <n v="5"/>
    <n v="48593.75"/>
  </r>
  <r>
    <x v="0"/>
    <x v="412"/>
    <n v="9750"/>
    <n v="5"/>
    <n v="48750"/>
  </r>
  <r>
    <x v="0"/>
    <x v="413"/>
    <n v="9656.25"/>
    <n v="5"/>
    <n v="48281.25"/>
  </r>
  <r>
    <x v="0"/>
    <x v="414"/>
    <n v="8828.1200000000008"/>
    <n v="5"/>
    <n v="44140.600000000006"/>
  </r>
  <r>
    <x v="0"/>
    <x v="415"/>
    <n v="8781.25"/>
    <n v="5"/>
    <n v="43906.25"/>
  </r>
  <r>
    <x v="0"/>
    <x v="416"/>
    <n v="8718.75"/>
    <n v="5"/>
    <n v="43593.75"/>
  </r>
  <r>
    <x v="0"/>
    <x v="417"/>
    <n v="9109.3799999999992"/>
    <n v="5"/>
    <n v="45546.899999999994"/>
  </r>
  <r>
    <x v="0"/>
    <x v="418"/>
    <n v="9015.6200000000008"/>
    <n v="5"/>
    <n v="45078.100000000006"/>
  </r>
  <r>
    <x v="0"/>
    <x v="419"/>
    <n v="9812.5"/>
    <n v="5"/>
    <n v="49062.5"/>
  </r>
  <r>
    <x v="0"/>
    <x v="420"/>
    <n v="10312.5"/>
    <n v="5"/>
    <n v="51562.5"/>
  </r>
  <r>
    <x v="0"/>
    <x v="421"/>
    <n v="10375"/>
    <n v="5"/>
    <n v="51875"/>
  </r>
  <r>
    <x v="0"/>
    <x v="422"/>
    <n v="10843.75"/>
    <n v="5"/>
    <n v="54218.75"/>
  </r>
  <r>
    <x v="0"/>
    <x v="423"/>
    <n v="10640.62"/>
    <n v="5"/>
    <n v="53203.100000000006"/>
  </r>
  <r>
    <x v="0"/>
    <x v="424"/>
    <n v="10609.38"/>
    <n v="5"/>
    <n v="53046.899999999994"/>
  </r>
  <r>
    <x v="0"/>
    <x v="425"/>
    <n v="10718.75"/>
    <n v="5"/>
    <n v="53593.75"/>
  </r>
  <r>
    <x v="0"/>
    <x v="426"/>
    <n v="10875"/>
    <n v="5"/>
    <n v="54375"/>
  </r>
  <r>
    <x v="0"/>
    <x v="427"/>
    <n v="10562.5"/>
    <n v="5"/>
    <n v="52812.5"/>
  </r>
  <r>
    <x v="0"/>
    <x v="428"/>
    <n v="10406.25"/>
    <n v="5"/>
    <n v="52031.25"/>
  </r>
  <r>
    <x v="0"/>
    <x v="429"/>
    <n v="10406.25"/>
    <n v="5"/>
    <n v="52031.25"/>
  </r>
  <r>
    <x v="0"/>
    <x v="430"/>
    <n v="10421.879999999999"/>
    <n v="5"/>
    <n v="52109.399999999994"/>
  </r>
  <r>
    <x v="0"/>
    <x v="431"/>
    <n v="10625"/>
    <n v="5"/>
    <n v="53125"/>
  </r>
  <r>
    <x v="0"/>
    <x v="432"/>
    <n v="10687.5"/>
    <n v="5"/>
    <n v="53437.5"/>
  </r>
  <r>
    <x v="0"/>
    <x v="433"/>
    <n v="10531.25"/>
    <n v="5"/>
    <n v="52656.25"/>
  </r>
  <r>
    <x v="0"/>
    <x v="434"/>
    <n v="10640.62"/>
    <n v="5"/>
    <n v="53203.100000000006"/>
  </r>
  <r>
    <x v="0"/>
    <x v="435"/>
    <n v="10718.75"/>
    <n v="5"/>
    <n v="53593.75"/>
  </r>
  <r>
    <x v="0"/>
    <x v="436"/>
    <n v="10765.62"/>
    <n v="5"/>
    <n v="53828.100000000006"/>
  </r>
  <r>
    <x v="0"/>
    <x v="437"/>
    <n v="10562.5"/>
    <n v="5"/>
    <n v="52812.5"/>
  </r>
  <r>
    <x v="0"/>
    <x v="438"/>
    <n v="11093.75"/>
    <n v="5"/>
    <n v="55468.75"/>
  </r>
  <r>
    <x v="0"/>
    <x v="439"/>
    <n v="11218.75"/>
    <n v="5"/>
    <n v="56093.75"/>
  </r>
  <r>
    <x v="0"/>
    <x v="440"/>
    <n v="11296.88"/>
    <n v="5"/>
    <n v="56484.399999999994"/>
  </r>
  <r>
    <x v="0"/>
    <x v="441"/>
    <n v="10687.5"/>
    <n v="5"/>
    <n v="53437.5"/>
  </r>
  <r>
    <x v="0"/>
    <x v="442"/>
    <n v="10578.12"/>
    <n v="5"/>
    <n v="52890.600000000006"/>
  </r>
  <r>
    <x v="0"/>
    <x v="443"/>
    <n v="10468.75"/>
    <n v="5"/>
    <n v="52343.75"/>
  </r>
  <r>
    <x v="0"/>
    <x v="444"/>
    <n v="10406.25"/>
    <n v="5"/>
    <n v="52031.25"/>
  </r>
  <r>
    <x v="0"/>
    <x v="445"/>
    <n v="10171.879999999999"/>
    <n v="5"/>
    <n v="50859.399999999994"/>
  </r>
  <r>
    <x v="0"/>
    <x v="446"/>
    <n v="9359.3799999999992"/>
    <n v="5"/>
    <n v="46796.899999999994"/>
  </r>
  <r>
    <x v="0"/>
    <x v="447"/>
    <n v="8937.5"/>
    <n v="5"/>
    <n v="44687.5"/>
  </r>
  <r>
    <x v="0"/>
    <x v="448"/>
    <n v="8953.1200000000008"/>
    <n v="5"/>
    <n v="44765.600000000006"/>
  </r>
  <r>
    <x v="0"/>
    <x v="449"/>
    <n v="8671.8799999999992"/>
    <n v="5"/>
    <n v="43359.399999999994"/>
  </r>
  <r>
    <x v="0"/>
    <x v="450"/>
    <n v="8593.75"/>
    <n v="5"/>
    <n v="42968.75"/>
  </r>
  <r>
    <x v="0"/>
    <x v="451"/>
    <n v="8703.1200000000008"/>
    <n v="5"/>
    <n v="43515.600000000006"/>
  </r>
  <r>
    <x v="0"/>
    <x v="452"/>
    <n v="8125"/>
    <n v="5"/>
    <n v="40625"/>
  </r>
  <r>
    <x v="0"/>
    <x v="453"/>
    <n v="8218.75"/>
    <n v="5"/>
    <n v="41093.75"/>
  </r>
  <r>
    <x v="0"/>
    <x v="454"/>
    <n v="8156.25"/>
    <n v="5"/>
    <n v="40781.25"/>
  </r>
  <r>
    <x v="0"/>
    <x v="455"/>
    <n v="8187.5"/>
    <n v="5"/>
    <n v="40937.5"/>
  </r>
  <r>
    <x v="0"/>
    <x v="456"/>
    <n v="8203.1200000000008"/>
    <n v="5"/>
    <n v="41015.600000000006"/>
  </r>
  <r>
    <x v="0"/>
    <x v="457"/>
    <n v="8203.1200000000008"/>
    <n v="5"/>
    <n v="41015.600000000006"/>
  </r>
  <r>
    <x v="0"/>
    <x v="458"/>
    <n v="8156.25"/>
    <n v="5"/>
    <n v="40781.25"/>
  </r>
  <r>
    <x v="0"/>
    <x v="459"/>
    <n v="8062.5"/>
    <n v="5"/>
    <n v="40312.5"/>
  </r>
  <r>
    <x v="0"/>
    <x v="460"/>
    <n v="7843.75"/>
    <n v="5"/>
    <n v="39218.75"/>
  </r>
  <r>
    <x v="0"/>
    <x v="461"/>
    <n v="7796.88"/>
    <n v="5"/>
    <n v="38984.400000000001"/>
  </r>
  <r>
    <x v="0"/>
    <x v="462"/>
    <n v="7859.38"/>
    <n v="5"/>
    <n v="39296.9"/>
  </r>
  <r>
    <x v="0"/>
    <x v="463"/>
    <n v="7703.12"/>
    <n v="5"/>
    <n v="38515.599999999999"/>
  </r>
  <r>
    <x v="0"/>
    <x v="464"/>
    <n v="7609.38"/>
    <n v="5"/>
    <n v="38046.9"/>
  </r>
  <r>
    <x v="0"/>
    <x v="465"/>
    <n v="7359.38"/>
    <n v="5"/>
    <n v="36796.9"/>
  </r>
  <r>
    <x v="0"/>
    <x v="466"/>
    <n v="7796.88"/>
    <n v="5"/>
    <n v="38984.400000000001"/>
  </r>
  <r>
    <x v="0"/>
    <x v="467"/>
    <n v="8093.75"/>
    <n v="5"/>
    <n v="40468.75"/>
  </r>
  <r>
    <x v="0"/>
    <x v="468"/>
    <n v="8500"/>
    <n v="5"/>
    <n v="42500"/>
  </r>
  <r>
    <x v="0"/>
    <x v="469"/>
    <n v="8265.6200000000008"/>
    <n v="5"/>
    <n v="41328.100000000006"/>
  </r>
  <r>
    <x v="0"/>
    <x v="470"/>
    <n v="8234.3799999999992"/>
    <n v="5"/>
    <n v="41171.899999999994"/>
  </r>
  <r>
    <x v="0"/>
    <x v="471"/>
    <n v="8562.5"/>
    <n v="5"/>
    <n v="42812.5"/>
  </r>
  <r>
    <x v="0"/>
    <x v="472"/>
    <n v="8359.3799999999992"/>
    <n v="5"/>
    <n v="41796.899999999994"/>
  </r>
  <r>
    <x v="0"/>
    <x v="473"/>
    <n v="8218.75"/>
    <n v="5"/>
    <n v="41093.75"/>
  </r>
  <r>
    <x v="0"/>
    <x v="474"/>
    <n v="8421.8799999999992"/>
    <n v="5"/>
    <n v="42109.399999999994"/>
  </r>
  <r>
    <x v="0"/>
    <x v="475"/>
    <n v="8593.75"/>
    <n v="5"/>
    <n v="42968.75"/>
  </r>
  <r>
    <x v="0"/>
    <x v="476"/>
    <n v="8625"/>
    <n v="5"/>
    <n v="43125"/>
  </r>
  <r>
    <x v="0"/>
    <x v="477"/>
    <n v="8625"/>
    <n v="5"/>
    <n v="43125"/>
  </r>
  <r>
    <x v="0"/>
    <x v="478"/>
    <n v="8578.1200000000008"/>
    <n v="5"/>
    <n v="42890.600000000006"/>
  </r>
  <r>
    <x v="0"/>
    <x v="479"/>
    <n v="8437.5"/>
    <n v="5"/>
    <n v="42187.5"/>
  </r>
  <r>
    <x v="0"/>
    <x v="480"/>
    <n v="8359.3799999999992"/>
    <n v="5"/>
    <n v="41796.899999999994"/>
  </r>
  <r>
    <x v="0"/>
    <x v="481"/>
    <n v="8218.75"/>
    <n v="5"/>
    <n v="41093.75"/>
  </r>
  <r>
    <x v="0"/>
    <x v="482"/>
    <n v="8218.75"/>
    <n v="5"/>
    <n v="41093.75"/>
  </r>
  <r>
    <x v="0"/>
    <x v="483"/>
    <n v="8671.8799999999992"/>
    <n v="5"/>
    <n v="43359.399999999994"/>
  </r>
  <r>
    <x v="0"/>
    <x v="484"/>
    <n v="8406.25"/>
    <n v="5"/>
    <n v="42031.25"/>
  </r>
  <r>
    <x v="0"/>
    <x v="485"/>
    <n v="8437.5"/>
    <n v="5"/>
    <n v="42187.5"/>
  </r>
  <r>
    <x v="0"/>
    <x v="486"/>
    <n v="8437.5"/>
    <n v="5"/>
    <n v="42187.5"/>
  </r>
  <r>
    <x v="0"/>
    <x v="487"/>
    <n v="8531.25"/>
    <n v="5"/>
    <n v="42656.25"/>
  </r>
  <r>
    <x v="0"/>
    <x v="488"/>
    <n v="8609.3799999999992"/>
    <n v="5"/>
    <n v="43046.899999999994"/>
  </r>
  <r>
    <x v="0"/>
    <x v="489"/>
    <n v="8406.25"/>
    <n v="5"/>
    <n v="42031.25"/>
  </r>
  <r>
    <x v="0"/>
    <x v="490"/>
    <n v="8218.75"/>
    <n v="5"/>
    <n v="41093.75"/>
  </r>
  <r>
    <x v="0"/>
    <x v="491"/>
    <n v="8453.1200000000008"/>
    <n v="5"/>
    <n v="42265.600000000006"/>
  </r>
  <r>
    <x v="0"/>
    <x v="492"/>
    <n v="8312.5"/>
    <n v="5"/>
    <n v="41562.5"/>
  </r>
  <r>
    <x v="0"/>
    <x v="493"/>
    <n v="8500"/>
    <n v="5"/>
    <n v="42500"/>
  </r>
  <r>
    <x v="0"/>
    <x v="494"/>
    <n v="8578.1200000000008"/>
    <n v="5"/>
    <n v="42890.600000000006"/>
  </r>
  <r>
    <x v="0"/>
    <x v="495"/>
    <n v="8468.75"/>
    <n v="5"/>
    <n v="42343.75"/>
  </r>
  <r>
    <x v="0"/>
    <x v="496"/>
    <n v="8484.3799999999992"/>
    <n v="5"/>
    <n v="42421.899999999994"/>
  </r>
  <r>
    <x v="0"/>
    <x v="497"/>
    <n v="8484.3799999999992"/>
    <n v="5"/>
    <n v="42421.899999999994"/>
  </r>
  <r>
    <x v="0"/>
    <x v="498"/>
    <n v="8500"/>
    <n v="5"/>
    <n v="42500"/>
  </r>
  <r>
    <x v="0"/>
    <x v="499"/>
    <n v="9046.8799999999992"/>
    <n v="5"/>
    <n v="45234.399999999994"/>
  </r>
  <r>
    <x v="0"/>
    <x v="500"/>
    <n v="9187.5"/>
    <n v="5"/>
    <n v="45937.5"/>
  </r>
  <r>
    <x v="0"/>
    <x v="501"/>
    <n v="9078.1200000000008"/>
    <n v="5"/>
    <n v="45390.600000000006"/>
  </r>
  <r>
    <x v="0"/>
    <x v="502"/>
    <n v="9640.6200000000008"/>
    <n v="5"/>
    <n v="48203.100000000006"/>
  </r>
  <r>
    <x v="0"/>
    <x v="503"/>
    <n v="9500"/>
    <n v="5"/>
    <n v="47500"/>
  </r>
  <r>
    <x v="0"/>
    <x v="504"/>
    <n v="9421.8799999999992"/>
    <n v="5"/>
    <n v="47109.399999999994"/>
  </r>
  <r>
    <x v="0"/>
    <x v="505"/>
    <n v="9906.25"/>
    <n v="5"/>
    <n v="49531.25"/>
  </r>
  <r>
    <x v="0"/>
    <x v="506"/>
    <n v="10062.5"/>
    <n v="5"/>
    <n v="50312.5"/>
  </r>
  <r>
    <x v="0"/>
    <x v="507"/>
    <n v="9875"/>
    <n v="5"/>
    <n v="49375"/>
  </r>
  <r>
    <x v="0"/>
    <x v="508"/>
    <n v="9109.3799999999992"/>
    <n v="5"/>
    <n v="45546.899999999994"/>
  </r>
  <r>
    <x v="0"/>
    <x v="509"/>
    <n v="9093.75"/>
    <n v="5"/>
    <n v="45468.75"/>
  </r>
  <r>
    <x v="0"/>
    <x v="510"/>
    <n v="10218.75"/>
    <n v="5"/>
    <n v="51093.75"/>
  </r>
  <r>
    <x v="0"/>
    <x v="511"/>
    <n v="9703.1200000000008"/>
    <n v="5"/>
    <n v="48515.600000000006"/>
  </r>
  <r>
    <x v="0"/>
    <x v="512"/>
    <n v="9750"/>
    <n v="5"/>
    <n v="48750"/>
  </r>
  <r>
    <x v="0"/>
    <x v="513"/>
    <n v="9656.25"/>
    <n v="5"/>
    <n v="48281.25"/>
  </r>
  <r>
    <x v="0"/>
    <x v="514"/>
    <n v="9671.8799999999992"/>
    <n v="5"/>
    <n v="48359.399999999994"/>
  </r>
  <r>
    <x v="0"/>
    <x v="515"/>
    <n v="9421.8799999999992"/>
    <n v="5"/>
    <n v="47109.399999999994"/>
  </r>
  <r>
    <x v="0"/>
    <x v="516"/>
    <n v="10140.620000000001"/>
    <n v="5"/>
    <n v="50703.100000000006"/>
  </r>
  <r>
    <x v="0"/>
    <x v="517"/>
    <n v="10437.5"/>
    <n v="5"/>
    <n v="52187.5"/>
  </r>
  <r>
    <x v="0"/>
    <x v="518"/>
    <n v="10359.379999999999"/>
    <n v="5"/>
    <n v="51796.899999999994"/>
  </r>
  <r>
    <x v="0"/>
    <x v="519"/>
    <n v="10390.620000000001"/>
    <n v="5"/>
    <n v="51953.100000000006"/>
  </r>
  <r>
    <x v="0"/>
    <x v="520"/>
    <n v="10046.879999999999"/>
    <n v="5"/>
    <n v="50234.399999999994"/>
  </r>
  <r>
    <x v="0"/>
    <x v="521"/>
    <n v="9562.5"/>
    <n v="5"/>
    <n v="47812.5"/>
  </r>
  <r>
    <x v="0"/>
    <x v="522"/>
    <n v="9500"/>
    <n v="5"/>
    <n v="47500"/>
  </r>
  <r>
    <x v="0"/>
    <x v="523"/>
    <n v="10140.620000000001"/>
    <n v="5"/>
    <n v="50703.100000000006"/>
  </r>
  <r>
    <x v="0"/>
    <x v="524"/>
    <n v="10156.25"/>
    <n v="5"/>
    <n v="50781.25"/>
  </r>
  <r>
    <x v="0"/>
    <x v="525"/>
    <n v="9984.3799999999992"/>
    <n v="5"/>
    <n v="49921.899999999994"/>
  </r>
  <r>
    <x v="0"/>
    <x v="526"/>
    <n v="9765.6200000000008"/>
    <n v="5"/>
    <n v="48828.100000000006"/>
  </r>
  <r>
    <x v="0"/>
    <x v="527"/>
    <n v="9421.8799999999992"/>
    <n v="5"/>
    <n v="47109.399999999994"/>
  </r>
  <r>
    <x v="0"/>
    <x v="528"/>
    <n v="9765.6200000000008"/>
    <n v="5"/>
    <n v="48828.100000000006"/>
  </r>
  <r>
    <x v="0"/>
    <x v="529"/>
    <n v="9906.25"/>
    <n v="5"/>
    <n v="49531.25"/>
  </r>
  <r>
    <x v="0"/>
    <x v="530"/>
    <n v="9640.6200000000008"/>
    <n v="5"/>
    <n v="48203.100000000006"/>
  </r>
  <r>
    <x v="0"/>
    <x v="531"/>
    <n v="9578.1200000000008"/>
    <n v="5"/>
    <n v="47890.600000000006"/>
  </r>
  <r>
    <x v="0"/>
    <x v="532"/>
    <n v="9453.1200000000008"/>
    <n v="5"/>
    <n v="47265.600000000006"/>
  </r>
  <r>
    <x v="0"/>
    <x v="533"/>
    <n v="9062.5"/>
    <n v="5"/>
    <n v="45312.5"/>
  </r>
  <r>
    <x v="0"/>
    <x v="534"/>
    <n v="8843.75"/>
    <n v="5"/>
    <n v="44218.75"/>
  </r>
  <r>
    <x v="0"/>
    <x v="535"/>
    <n v="8421.8799999999992"/>
    <n v="5"/>
    <n v="42109.399999999994"/>
  </r>
  <r>
    <x v="0"/>
    <x v="536"/>
    <n v="8375"/>
    <n v="5"/>
    <n v="41875"/>
  </r>
  <r>
    <x v="0"/>
    <x v="537"/>
    <n v="9046.8799999999992"/>
    <n v="5"/>
    <n v="45234.399999999994"/>
  </r>
  <r>
    <x v="0"/>
    <x v="538"/>
    <n v="9078.1200000000008"/>
    <n v="5"/>
    <n v="45390.600000000006"/>
  </r>
  <r>
    <x v="0"/>
    <x v="539"/>
    <n v="8687.5"/>
    <n v="5"/>
    <n v="43437.5"/>
  </r>
  <r>
    <x v="0"/>
    <x v="540"/>
    <n v="9000"/>
    <n v="5"/>
    <n v="45000"/>
  </r>
  <r>
    <x v="0"/>
    <x v="541"/>
    <n v="8703.1200000000008"/>
    <n v="5"/>
    <n v="43515.600000000006"/>
  </r>
  <r>
    <x v="0"/>
    <x v="542"/>
    <n v="8781.25"/>
    <n v="5"/>
    <n v="43906.25"/>
  </r>
  <r>
    <x v="0"/>
    <x v="543"/>
    <n v="8843.75"/>
    <n v="5"/>
    <n v="44218.75"/>
  </r>
  <r>
    <x v="0"/>
    <x v="544"/>
    <n v="9109.3799999999992"/>
    <n v="5"/>
    <n v="45546.899999999994"/>
  </r>
  <r>
    <x v="0"/>
    <x v="545"/>
    <n v="9203.1200000000008"/>
    <n v="5"/>
    <n v="46015.600000000006"/>
  </r>
  <r>
    <x v="0"/>
    <x v="546"/>
    <n v="9453.1200000000008"/>
    <n v="5"/>
    <n v="47265.600000000006"/>
  </r>
  <r>
    <x v="0"/>
    <x v="547"/>
    <n v="9062.5"/>
    <n v="5"/>
    <n v="45312.5"/>
  </r>
  <r>
    <x v="0"/>
    <x v="548"/>
    <n v="8968.75"/>
    <n v="5"/>
    <n v="44843.75"/>
  </r>
  <r>
    <x v="0"/>
    <x v="549"/>
    <n v="9250"/>
    <n v="5"/>
    <n v="46250"/>
  </r>
  <r>
    <x v="0"/>
    <x v="550"/>
    <n v="9453.1200000000008"/>
    <n v="5"/>
    <n v="47265.600000000006"/>
  </r>
  <r>
    <x v="0"/>
    <x v="551"/>
    <n v="9187.5"/>
    <n v="5"/>
    <n v="45937.5"/>
  </r>
  <r>
    <x v="0"/>
    <x v="552"/>
    <n v="9281.25"/>
    <n v="5"/>
    <n v="46406.25"/>
  </r>
  <r>
    <x v="0"/>
    <x v="553"/>
    <n v="9140.6200000000008"/>
    <n v="5"/>
    <n v="45703.100000000006"/>
  </r>
  <r>
    <x v="0"/>
    <x v="554"/>
    <n v="9000"/>
    <n v="5"/>
    <n v="45000"/>
  </r>
  <r>
    <x v="0"/>
    <x v="555"/>
    <n v="9265.6200000000008"/>
    <n v="5"/>
    <n v="46328.100000000006"/>
  </r>
  <r>
    <x v="0"/>
    <x v="556"/>
    <n v="9390.6200000000008"/>
    <n v="5"/>
    <n v="46953.100000000006"/>
  </r>
  <r>
    <x v="0"/>
    <x v="557"/>
    <n v="8890.6200000000008"/>
    <n v="5"/>
    <n v="44453.100000000006"/>
  </r>
  <r>
    <x v="0"/>
    <x v="558"/>
    <n v="9125"/>
    <n v="5"/>
    <n v="45625"/>
  </r>
  <r>
    <x v="0"/>
    <x v="559"/>
    <n v="8796.8799999999992"/>
    <n v="5"/>
    <n v="43984.399999999994"/>
  </r>
  <r>
    <x v="0"/>
    <x v="560"/>
    <n v="8890.6200000000008"/>
    <n v="5"/>
    <n v="44453.100000000006"/>
  </r>
  <r>
    <x v="0"/>
    <x v="561"/>
    <n v="8625"/>
    <n v="5"/>
    <n v="43125"/>
  </r>
  <r>
    <x v="0"/>
    <x v="562"/>
    <n v="8750"/>
    <n v="5"/>
    <n v="43750"/>
  </r>
  <r>
    <x v="0"/>
    <x v="563"/>
    <n v="8656.25"/>
    <n v="5"/>
    <n v="43281.25"/>
  </r>
  <r>
    <x v="0"/>
    <x v="564"/>
    <n v="8812.5"/>
    <n v="5"/>
    <n v="44062.5"/>
  </r>
  <r>
    <x v="0"/>
    <x v="565"/>
    <n v="8765.6200000000008"/>
    <n v="5"/>
    <n v="43828.100000000006"/>
  </r>
  <r>
    <x v="0"/>
    <x v="566"/>
    <n v="8750"/>
    <n v="5"/>
    <n v="43750"/>
  </r>
  <r>
    <x v="0"/>
    <x v="567"/>
    <n v="9000"/>
    <n v="5"/>
    <n v="45000"/>
  </r>
  <r>
    <x v="0"/>
    <x v="568"/>
    <n v="8703.1200000000008"/>
    <n v="5"/>
    <n v="43515.600000000006"/>
  </r>
  <r>
    <x v="0"/>
    <x v="569"/>
    <n v="8546.8799999999992"/>
    <n v="5"/>
    <n v="42734.399999999994"/>
  </r>
  <r>
    <x v="0"/>
    <x v="570"/>
    <n v="8218.75"/>
    <n v="5"/>
    <n v="41093.75"/>
  </r>
  <r>
    <x v="0"/>
    <x v="571"/>
    <n v="8312.5"/>
    <n v="5"/>
    <n v="41562.5"/>
  </r>
  <r>
    <x v="0"/>
    <x v="572"/>
    <n v="8250"/>
    <n v="5"/>
    <n v="41250"/>
  </r>
  <r>
    <x v="0"/>
    <x v="573"/>
    <n v="8234.3799999999992"/>
    <n v="5"/>
    <n v="41171.899999999994"/>
  </r>
  <r>
    <x v="0"/>
    <x v="574"/>
    <n v="8062.5"/>
    <n v="5"/>
    <n v="40312.5"/>
  </r>
  <r>
    <x v="0"/>
    <x v="575"/>
    <n v="8515.6200000000008"/>
    <n v="5"/>
    <n v="42578.100000000006"/>
  </r>
  <r>
    <x v="0"/>
    <x v="576"/>
    <n v="8593.75"/>
    <n v="5"/>
    <n v="42968.75"/>
  </r>
  <r>
    <x v="0"/>
    <x v="577"/>
    <n v="8703.1200000000008"/>
    <n v="5"/>
    <n v="43515.600000000006"/>
  </r>
  <r>
    <x v="0"/>
    <x v="578"/>
    <n v="8828.1200000000008"/>
    <n v="5"/>
    <n v="44140.600000000006"/>
  </r>
  <r>
    <x v="0"/>
    <x v="579"/>
    <n v="8750"/>
    <n v="5"/>
    <n v="43750"/>
  </r>
  <r>
    <x v="0"/>
    <x v="580"/>
    <n v="8468.75"/>
    <n v="5"/>
    <n v="42343.75"/>
  </r>
  <r>
    <x v="0"/>
    <x v="581"/>
    <n v="7687.5"/>
    <n v="5"/>
    <n v="38437.5"/>
  </r>
  <r>
    <x v="0"/>
    <x v="582"/>
    <n v="8015.62"/>
    <n v="5"/>
    <n v="40078.1"/>
  </r>
  <r>
    <x v="0"/>
    <x v="583"/>
    <n v="7843.75"/>
    <n v="5"/>
    <n v="39218.75"/>
  </r>
  <r>
    <x v="0"/>
    <x v="584"/>
    <n v="7843.75"/>
    <n v="5"/>
    <n v="39218.75"/>
  </r>
  <r>
    <x v="0"/>
    <x v="585"/>
    <n v="7828.12"/>
    <n v="5"/>
    <n v="39140.6"/>
  </r>
  <r>
    <x v="0"/>
    <x v="586"/>
    <n v="8078.12"/>
    <n v="5"/>
    <n v="40390.6"/>
  </r>
  <r>
    <x v="0"/>
    <x v="587"/>
    <n v="8062.5"/>
    <n v="5"/>
    <n v="40312.5"/>
  </r>
  <r>
    <x v="0"/>
    <x v="588"/>
    <n v="8156.25"/>
    <n v="5"/>
    <n v="40781.25"/>
  </r>
  <r>
    <x v="0"/>
    <x v="589"/>
    <n v="8171.88"/>
    <n v="5"/>
    <n v="40859.4"/>
  </r>
  <r>
    <x v="0"/>
    <x v="590"/>
    <n v="8109.38"/>
    <n v="5"/>
    <n v="40546.9"/>
  </r>
  <r>
    <x v="0"/>
    <x v="591"/>
    <n v="8078.12"/>
    <n v="5"/>
    <n v="40390.6"/>
  </r>
  <r>
    <x v="0"/>
    <x v="592"/>
    <n v="7781.25"/>
    <n v="5"/>
    <n v="38906.25"/>
  </r>
  <r>
    <x v="0"/>
    <x v="593"/>
    <n v="7781.25"/>
    <n v="5"/>
    <n v="38906.25"/>
  </r>
  <r>
    <x v="0"/>
    <x v="594"/>
    <n v="7921.88"/>
    <n v="5"/>
    <n v="39609.4"/>
  </r>
  <r>
    <x v="0"/>
    <x v="595"/>
    <n v="8296.8799999999992"/>
    <n v="5"/>
    <n v="41484.399999999994"/>
  </r>
  <r>
    <x v="0"/>
    <x v="596"/>
    <n v="8234.3799999999992"/>
    <n v="5"/>
    <n v="41171.899999999994"/>
  </r>
  <r>
    <x v="0"/>
    <x v="597"/>
    <n v="8000"/>
    <n v="5"/>
    <n v="40000"/>
  </r>
  <r>
    <x v="0"/>
    <x v="598"/>
    <n v="8234.3799999999992"/>
    <n v="5"/>
    <n v="41171.899999999994"/>
  </r>
  <r>
    <x v="0"/>
    <x v="599"/>
    <n v="8640.6200000000008"/>
    <n v="5"/>
    <n v="43203.100000000006"/>
  </r>
  <r>
    <x v="0"/>
    <x v="600"/>
    <n v="8437.5"/>
    <n v="5"/>
    <n v="42187.5"/>
  </r>
  <r>
    <x v="0"/>
    <x v="601"/>
    <n v="8515.6200000000008"/>
    <n v="5"/>
    <n v="42578.100000000006"/>
  </r>
  <r>
    <x v="0"/>
    <x v="602"/>
    <n v="8546.8799999999992"/>
    <n v="5"/>
    <n v="42734.399999999994"/>
  </r>
  <r>
    <x v="0"/>
    <x v="603"/>
    <n v="8781.25"/>
    <n v="5"/>
    <n v="43906.25"/>
  </r>
  <r>
    <x v="0"/>
    <x v="604"/>
    <n v="8609.3799999999992"/>
    <n v="5"/>
    <n v="43046.899999999994"/>
  </r>
  <r>
    <x v="0"/>
    <x v="605"/>
    <n v="7500"/>
    <n v="5"/>
    <n v="37500"/>
  </r>
  <r>
    <x v="0"/>
    <x v="606"/>
    <n v="7812.5"/>
    <n v="5"/>
    <n v="39062.5"/>
  </r>
  <r>
    <x v="0"/>
    <x v="607"/>
    <n v="7265.62"/>
    <n v="5"/>
    <n v="36328.1"/>
  </r>
  <r>
    <x v="0"/>
    <x v="608"/>
    <n v="7718.75"/>
    <n v="5"/>
    <n v="38593.75"/>
  </r>
  <r>
    <x v="0"/>
    <x v="609"/>
    <n v="7468.75"/>
    <n v="5"/>
    <n v="37343.75"/>
  </r>
  <r>
    <x v="0"/>
    <x v="610"/>
    <n v="7375"/>
    <n v="5"/>
    <n v="36875"/>
  </r>
  <r>
    <x v="0"/>
    <x v="611"/>
    <n v="7296.88"/>
    <n v="5"/>
    <n v="36484.400000000001"/>
  </r>
  <r>
    <x v="0"/>
    <x v="612"/>
    <n v="7093.75"/>
    <n v="5"/>
    <n v="35468.75"/>
  </r>
  <r>
    <x v="0"/>
    <x v="613"/>
    <n v="7156.25"/>
    <n v="5"/>
    <n v="35781.25"/>
  </r>
  <r>
    <x v="0"/>
    <x v="614"/>
    <n v="7171.88"/>
    <n v="5"/>
    <n v="35859.4"/>
  </r>
  <r>
    <x v="0"/>
    <x v="615"/>
    <n v="7218.75"/>
    <n v="5"/>
    <n v="36093.75"/>
  </r>
  <r>
    <x v="0"/>
    <x v="616"/>
    <n v="6875"/>
    <n v="5"/>
    <n v="34375"/>
  </r>
  <r>
    <x v="0"/>
    <x v="617"/>
    <n v="6921.88"/>
    <n v="5"/>
    <n v="34609.4"/>
  </r>
  <r>
    <x v="0"/>
    <x v="618"/>
    <n v="6546.88"/>
    <n v="5"/>
    <n v="32734.400000000001"/>
  </r>
  <r>
    <x v="0"/>
    <x v="619"/>
    <n v="5750"/>
    <n v="5"/>
    <n v="28750"/>
  </r>
  <r>
    <x v="0"/>
    <x v="620"/>
    <n v="5796.88"/>
    <n v="5"/>
    <n v="28984.400000000001"/>
  </r>
  <r>
    <x v="0"/>
    <x v="621"/>
    <n v="5781.25"/>
    <n v="5"/>
    <n v="28906.25"/>
  </r>
  <r>
    <x v="0"/>
    <x v="622"/>
    <n v="6046.88"/>
    <n v="5"/>
    <n v="30234.400000000001"/>
  </r>
  <r>
    <x v="0"/>
    <x v="623"/>
    <n v="6328.12"/>
    <n v="5"/>
    <n v="31640.6"/>
  </r>
  <r>
    <x v="0"/>
    <x v="624"/>
    <n v="6250"/>
    <n v="5"/>
    <n v="31250"/>
  </r>
  <r>
    <x v="0"/>
    <x v="625"/>
    <n v="6234.38"/>
    <n v="5"/>
    <n v="31171.9"/>
  </r>
  <r>
    <x v="0"/>
    <x v="626"/>
    <n v="6218.75"/>
    <n v="5"/>
    <n v="31093.75"/>
  </r>
  <r>
    <x v="0"/>
    <x v="627"/>
    <n v="6328.12"/>
    <n v="5"/>
    <n v="31640.6"/>
  </r>
  <r>
    <x v="0"/>
    <x v="628"/>
    <n v="6218.75"/>
    <n v="5"/>
    <n v="31093.75"/>
  </r>
  <r>
    <x v="0"/>
    <x v="629"/>
    <n v="6531.25"/>
    <n v="5"/>
    <n v="32656.25"/>
  </r>
  <r>
    <x v="0"/>
    <x v="630"/>
    <n v="6296.88"/>
    <n v="5"/>
    <n v="31484.400000000001"/>
  </r>
  <r>
    <x v="0"/>
    <x v="631"/>
    <n v="5984.38"/>
    <n v="5"/>
    <n v="29921.9"/>
  </r>
  <r>
    <x v="0"/>
    <x v="632"/>
    <n v="5953.12"/>
    <n v="5"/>
    <n v="29765.599999999999"/>
  </r>
  <r>
    <x v="0"/>
    <x v="633"/>
    <n v="6171.88"/>
    <n v="5"/>
    <n v="30859.4"/>
  </r>
  <r>
    <x v="0"/>
    <x v="634"/>
    <n v="6265.62"/>
    <n v="5"/>
    <n v="31328.1"/>
  </r>
  <r>
    <x v="0"/>
    <x v="635"/>
    <n v="6140.62"/>
    <n v="5"/>
    <n v="30703.1"/>
  </r>
  <r>
    <x v="0"/>
    <x v="636"/>
    <n v="5921.88"/>
    <n v="5"/>
    <n v="29609.4"/>
  </r>
  <r>
    <x v="0"/>
    <x v="637"/>
    <n v="5640.62"/>
    <n v="5"/>
    <n v="28203.1"/>
  </r>
  <r>
    <x v="0"/>
    <x v="638"/>
    <n v="5484.38"/>
    <n v="5"/>
    <n v="27421.9"/>
  </r>
  <r>
    <x v="0"/>
    <x v="639"/>
    <n v="5640.62"/>
    <n v="5"/>
    <n v="28203.1"/>
  </r>
  <r>
    <x v="0"/>
    <x v="640"/>
    <n v="5250"/>
    <n v="5"/>
    <n v="26250"/>
  </r>
  <r>
    <x v="0"/>
    <x v="641"/>
    <n v="4968.75"/>
    <n v="5"/>
    <n v="24843.75"/>
  </r>
  <r>
    <x v="0"/>
    <x v="642"/>
    <n v="5031.25"/>
    <n v="5"/>
    <n v="25156.25"/>
  </r>
  <r>
    <x v="0"/>
    <x v="643"/>
    <n v="4937.5"/>
    <n v="5"/>
    <n v="24687.5"/>
  </r>
  <r>
    <x v="0"/>
    <x v="644"/>
    <n v="5015.62"/>
    <n v="5"/>
    <n v="25078.1"/>
  </r>
  <r>
    <x v="0"/>
    <x v="645"/>
    <n v="5312.5"/>
    <n v="5"/>
    <n v="26562.5"/>
  </r>
  <r>
    <x v="0"/>
    <x v="646"/>
    <n v="5343.75"/>
    <n v="5"/>
    <n v="26718.75"/>
  </r>
  <r>
    <x v="0"/>
    <x v="647"/>
    <n v="5484.38"/>
    <n v="5"/>
    <n v="27421.9"/>
  </r>
  <r>
    <x v="0"/>
    <x v="648"/>
    <n v="5515.62"/>
    <n v="5"/>
    <n v="27578.1"/>
  </r>
  <r>
    <x v="0"/>
    <x v="649"/>
    <n v="5984.38"/>
    <n v="5"/>
    <n v="29921.9"/>
  </r>
  <r>
    <x v="0"/>
    <x v="650"/>
    <n v="5937.5"/>
    <n v="5"/>
    <n v="29687.5"/>
  </r>
  <r>
    <x v="0"/>
    <x v="651"/>
    <n v="5500"/>
    <n v="5"/>
    <n v="27500"/>
  </r>
  <r>
    <x v="0"/>
    <x v="652"/>
    <n v="5781.25"/>
    <n v="5"/>
    <n v="28906.25"/>
  </r>
  <r>
    <x v="0"/>
    <x v="653"/>
    <n v="5875"/>
    <n v="5"/>
    <n v="29375"/>
  </r>
  <r>
    <x v="0"/>
    <x v="654"/>
    <n v="5796.88"/>
    <n v="5"/>
    <n v="28984.400000000001"/>
  </r>
  <r>
    <x v="0"/>
    <x v="655"/>
    <n v="6031.25"/>
    <n v="5"/>
    <n v="30156.25"/>
  </r>
  <r>
    <x v="0"/>
    <x v="656"/>
    <n v="6250"/>
    <n v="5"/>
    <n v="31250"/>
  </r>
  <r>
    <x v="0"/>
    <x v="657"/>
    <n v="6281.25"/>
    <n v="5"/>
    <n v="31406.25"/>
  </r>
  <r>
    <x v="0"/>
    <x v="658"/>
    <n v="6203.12"/>
    <n v="5"/>
    <n v="31015.599999999999"/>
  </r>
  <r>
    <x v="0"/>
    <x v="659"/>
    <n v="6125"/>
    <n v="5"/>
    <n v="30625"/>
  </r>
  <r>
    <x v="0"/>
    <x v="660"/>
    <n v="6015.62"/>
    <n v="5"/>
    <n v="30078.1"/>
  </r>
  <r>
    <x v="0"/>
    <x v="661"/>
    <n v="6218.75"/>
    <n v="5"/>
    <n v="31093.75"/>
  </r>
  <r>
    <x v="0"/>
    <x v="662"/>
    <n v="6312.5"/>
    <n v="5"/>
    <n v="31562.5"/>
  </r>
  <r>
    <x v="0"/>
    <x v="663"/>
    <n v="6187.5"/>
    <n v="5"/>
    <n v="30937.5"/>
  </r>
  <r>
    <x v="0"/>
    <x v="664"/>
    <n v="6171.88"/>
    <n v="5"/>
    <n v="30859.4"/>
  </r>
  <r>
    <x v="0"/>
    <x v="665"/>
    <n v="6484.38"/>
    <n v="5"/>
    <n v="32421.9"/>
  </r>
  <r>
    <x v="0"/>
    <x v="666"/>
    <n v="6578.12"/>
    <n v="5"/>
    <n v="32890.6"/>
  </r>
  <r>
    <x v="0"/>
    <x v="667"/>
    <n v="6531.25"/>
    <n v="5"/>
    <n v="32656.25"/>
  </r>
  <r>
    <x v="0"/>
    <x v="668"/>
    <n v="6546.88"/>
    <n v="5"/>
    <n v="32734.400000000001"/>
  </r>
  <r>
    <x v="0"/>
    <x v="669"/>
    <n v="6562.5"/>
    <n v="5"/>
    <n v="32812.5"/>
  </r>
  <r>
    <x v="0"/>
    <x v="670"/>
    <n v="6578.12"/>
    <n v="5"/>
    <n v="32890.6"/>
  </r>
  <r>
    <x v="0"/>
    <x v="671"/>
    <n v="6468.75"/>
    <n v="5"/>
    <n v="32343.75"/>
  </r>
  <r>
    <x v="0"/>
    <x v="672"/>
    <n v="6531.25"/>
    <n v="5"/>
    <n v="32656.25"/>
  </r>
  <r>
    <x v="0"/>
    <x v="673"/>
    <n v="6109.38"/>
    <n v="5"/>
    <n v="30546.9"/>
  </r>
  <r>
    <x v="0"/>
    <x v="674"/>
    <n v="6093.75"/>
    <n v="5"/>
    <n v="30468.75"/>
  </r>
  <r>
    <x v="0"/>
    <x v="675"/>
    <n v="6218.75"/>
    <n v="5"/>
    <n v="31093.75"/>
  </r>
  <r>
    <x v="0"/>
    <x v="676"/>
    <n v="6390.62"/>
    <n v="5"/>
    <n v="31953.1"/>
  </r>
  <r>
    <x v="0"/>
    <x v="677"/>
    <n v="6312.5"/>
    <n v="5"/>
    <n v="31562.5"/>
  </r>
  <r>
    <x v="0"/>
    <x v="678"/>
    <n v="6093.75"/>
    <n v="5"/>
    <n v="30468.75"/>
  </r>
  <r>
    <x v="0"/>
    <x v="679"/>
    <n v="6031.25"/>
    <n v="5"/>
    <n v="30156.25"/>
  </r>
  <r>
    <x v="0"/>
    <x v="680"/>
    <n v="6015.62"/>
    <n v="5"/>
    <n v="30078.1"/>
  </r>
  <r>
    <x v="0"/>
    <x v="681"/>
    <n v="5890.62"/>
    <n v="5"/>
    <n v="29453.1"/>
  </r>
  <r>
    <x v="0"/>
    <x v="682"/>
    <n v="5875"/>
    <n v="5"/>
    <n v="29375"/>
  </r>
  <r>
    <x v="0"/>
    <x v="683"/>
    <n v="5843.75"/>
    <n v="5"/>
    <n v="29218.75"/>
  </r>
  <r>
    <x v="0"/>
    <x v="684"/>
    <n v="6187.5"/>
    <n v="5"/>
    <n v="30937.5"/>
  </r>
  <r>
    <x v="0"/>
    <x v="685"/>
    <n v="6453.12"/>
    <n v="5"/>
    <n v="32265.599999999999"/>
  </r>
  <r>
    <x v="0"/>
    <x v="686"/>
    <n v="6390.62"/>
    <n v="5"/>
    <n v="31953.1"/>
  </r>
  <r>
    <x v="0"/>
    <x v="687"/>
    <n v="6203.12"/>
    <n v="5"/>
    <n v="31015.599999999999"/>
  </r>
  <r>
    <x v="0"/>
    <x v="688"/>
    <n v="6234.38"/>
    <n v="5"/>
    <n v="31171.9"/>
  </r>
  <r>
    <x v="0"/>
    <x v="689"/>
    <n v="6093.75"/>
    <n v="5"/>
    <n v="30468.75"/>
  </r>
  <r>
    <x v="0"/>
    <x v="690"/>
    <n v="6453.12"/>
    <n v="5"/>
    <n v="32265.599999999999"/>
  </r>
  <r>
    <x v="0"/>
    <x v="691"/>
    <n v="6593.75"/>
    <n v="5"/>
    <n v="32968.75"/>
  </r>
  <r>
    <x v="0"/>
    <x v="692"/>
    <n v="6468.75"/>
    <n v="5"/>
    <n v="32343.75"/>
  </r>
  <r>
    <x v="0"/>
    <x v="693"/>
    <n v="7015.62"/>
    <n v="5"/>
    <n v="35078.1"/>
  </r>
  <r>
    <x v="0"/>
    <x v="694"/>
    <n v="7093.75"/>
    <n v="5"/>
    <n v="35468.75"/>
  </r>
  <r>
    <x v="0"/>
    <x v="695"/>
    <n v="6984.38"/>
    <n v="5"/>
    <n v="34921.9"/>
  </r>
  <r>
    <x v="0"/>
    <x v="696"/>
    <n v="6906.25"/>
    <n v="5"/>
    <n v="34531.25"/>
  </r>
  <r>
    <x v="0"/>
    <x v="697"/>
    <n v="7078.12"/>
    <n v="5"/>
    <n v="35390.6"/>
  </r>
  <r>
    <x v="0"/>
    <x v="698"/>
    <n v="7015.62"/>
    <n v="5"/>
    <n v="35078.1"/>
  </r>
  <r>
    <x v="0"/>
    <x v="699"/>
    <n v="6812.5"/>
    <n v="5"/>
    <n v="34062.5"/>
  </r>
  <r>
    <x v="0"/>
    <x v="700"/>
    <n v="7281.25"/>
    <n v="5"/>
    <n v="36406.25"/>
  </r>
  <r>
    <x v="0"/>
    <x v="701"/>
    <n v="6953.12"/>
    <n v="5"/>
    <n v="34765.599999999999"/>
  </r>
  <r>
    <x v="0"/>
    <x v="702"/>
    <n v="7156.25"/>
    <n v="5"/>
    <n v="35781.25"/>
  </r>
  <r>
    <x v="0"/>
    <x v="703"/>
    <n v="7031.25"/>
    <n v="5"/>
    <n v="35156.25"/>
  </r>
  <r>
    <x v="0"/>
    <x v="704"/>
    <n v="7171.88"/>
    <n v="5"/>
    <n v="35859.4"/>
  </r>
  <r>
    <x v="0"/>
    <x v="705"/>
    <n v="7000"/>
    <n v="5"/>
    <n v="35000"/>
  </r>
  <r>
    <x v="0"/>
    <x v="706"/>
    <n v="6828.12"/>
    <n v="5"/>
    <n v="34140.6"/>
  </r>
  <r>
    <x v="0"/>
    <x v="707"/>
    <n v="6562.5"/>
    <n v="5"/>
    <n v="32812.5"/>
  </r>
  <r>
    <x v="0"/>
    <x v="708"/>
    <n v="6734.38"/>
    <n v="5"/>
    <n v="33671.9"/>
  </r>
  <r>
    <x v="0"/>
    <x v="709"/>
    <n v="7000"/>
    <n v="5"/>
    <n v="35000"/>
  </r>
  <r>
    <x v="0"/>
    <x v="710"/>
    <n v="7078.12"/>
    <n v="5"/>
    <n v="35390.6"/>
  </r>
  <r>
    <x v="0"/>
    <x v="711"/>
    <n v="7000"/>
    <n v="5"/>
    <n v="35000"/>
  </r>
  <r>
    <x v="0"/>
    <x v="712"/>
    <n v="7296.88"/>
    <n v="5"/>
    <n v="36484.400000000001"/>
  </r>
  <r>
    <x v="0"/>
    <x v="713"/>
    <n v="6937.5"/>
    <n v="5"/>
    <n v="34687.5"/>
  </r>
  <r>
    <x v="0"/>
    <x v="714"/>
    <n v="7046.88"/>
    <n v="5"/>
    <n v="35234.400000000001"/>
  </r>
  <r>
    <x v="0"/>
    <x v="715"/>
    <n v="7125"/>
    <n v="5"/>
    <n v="35625"/>
  </r>
  <r>
    <x v="0"/>
    <x v="716"/>
    <n v="7125"/>
    <n v="5"/>
    <n v="35625"/>
  </r>
  <r>
    <x v="0"/>
    <x v="717"/>
    <n v="6718.75"/>
    <n v="5"/>
    <n v="33593.75"/>
  </r>
  <r>
    <x v="0"/>
    <x v="718"/>
    <n v="6609.38"/>
    <n v="5"/>
    <n v="33046.9"/>
  </r>
  <r>
    <x v="0"/>
    <x v="719"/>
    <n v="6421.88"/>
    <n v="5"/>
    <n v="32109.4"/>
  </r>
  <r>
    <x v="0"/>
    <x v="720"/>
    <n v="6546.88"/>
    <n v="5"/>
    <n v="32734.400000000001"/>
  </r>
  <r>
    <x v="0"/>
    <x v="721"/>
    <n v="6546.88"/>
    <n v="5"/>
    <n v="32734.400000000001"/>
  </r>
  <r>
    <x v="0"/>
    <x v="722"/>
    <n v="6531.25"/>
    <n v="5"/>
    <n v="32656.25"/>
  </r>
  <r>
    <x v="0"/>
    <x v="723"/>
    <n v="6234.38"/>
    <n v="5"/>
    <n v="31171.9"/>
  </r>
  <r>
    <x v="0"/>
    <x v="724"/>
    <n v="6218.75"/>
    <n v="5"/>
    <n v="31093.75"/>
  </r>
  <r>
    <x v="0"/>
    <x v="725"/>
    <n v="6375"/>
    <n v="5"/>
    <n v="31875"/>
  </r>
  <r>
    <x v="0"/>
    <x v="726"/>
    <n v="6437.5"/>
    <n v="5"/>
    <n v="32187.5"/>
  </r>
  <r>
    <x v="0"/>
    <x v="727"/>
    <n v="6437.5"/>
    <n v="5"/>
    <n v="32187.5"/>
  </r>
  <r>
    <x v="0"/>
    <x v="728"/>
    <n v="6343.75"/>
    <n v="5"/>
    <n v="31718.75"/>
  </r>
  <r>
    <x v="0"/>
    <x v="729"/>
    <n v="6093.75"/>
    <n v="5"/>
    <n v="30468.75"/>
  </r>
  <r>
    <x v="0"/>
    <x v="730"/>
    <n v="5984.38"/>
    <n v="5"/>
    <n v="29921.9"/>
  </r>
  <r>
    <x v="0"/>
    <x v="731"/>
    <n v="6500"/>
    <n v="5"/>
    <n v="32500"/>
  </r>
  <r>
    <x v="0"/>
    <x v="732"/>
    <n v="6640.62"/>
    <n v="5"/>
    <n v="33203.1"/>
  </r>
  <r>
    <x v="0"/>
    <x v="733"/>
    <n v="6625"/>
    <n v="5"/>
    <n v="33125"/>
  </r>
  <r>
    <x v="0"/>
    <x v="734"/>
    <n v="6796.88"/>
    <n v="5"/>
    <n v="33984.400000000001"/>
  </r>
  <r>
    <x v="0"/>
    <x v="735"/>
    <n v="6750"/>
    <n v="5"/>
    <n v="33750"/>
  </r>
  <r>
    <x v="0"/>
    <x v="736"/>
    <n v="7062.5"/>
    <n v="5"/>
    <n v="35312.5"/>
  </r>
  <r>
    <x v="0"/>
    <x v="737"/>
    <n v="7265.62"/>
    <n v="5"/>
    <n v="36328.1"/>
  </r>
  <r>
    <x v="0"/>
    <x v="738"/>
    <n v="6812.5"/>
    <n v="5"/>
    <n v="34062.5"/>
  </r>
  <r>
    <x v="0"/>
    <x v="739"/>
    <n v="6921.88"/>
    <n v="5"/>
    <n v="34609.4"/>
  </r>
  <r>
    <x v="0"/>
    <x v="740"/>
    <n v="6984.38"/>
    <n v="5"/>
    <n v="34921.9"/>
  </r>
  <r>
    <x v="0"/>
    <x v="741"/>
    <n v="7234.38"/>
    <n v="5"/>
    <n v="36171.9"/>
  </r>
  <r>
    <x v="0"/>
    <x v="742"/>
    <n v="7015.62"/>
    <n v="5"/>
    <n v="35078.1"/>
  </r>
  <r>
    <x v="0"/>
    <x v="743"/>
    <n v="7312.5"/>
    <n v="5"/>
    <n v="36562.5"/>
  </r>
  <r>
    <x v="0"/>
    <x v="744"/>
    <n v="8093.75"/>
    <n v="5"/>
    <n v="40468.75"/>
  </r>
  <r>
    <x v="0"/>
    <x v="745"/>
    <n v="8281.25"/>
    <n v="5"/>
    <n v="41406.25"/>
  </r>
  <r>
    <x v="0"/>
    <x v="746"/>
    <n v="8281.25"/>
    <n v="5"/>
    <n v="41406.25"/>
  </r>
  <r>
    <x v="0"/>
    <x v="747"/>
    <n v="9078.1200000000008"/>
    <n v="5"/>
    <n v="45390.600000000006"/>
  </r>
  <r>
    <x v="0"/>
    <x v="748"/>
    <n v="8265.6200000000008"/>
    <n v="5"/>
    <n v="41328.100000000006"/>
  </r>
  <r>
    <x v="0"/>
    <x v="749"/>
    <n v="8265.6200000000008"/>
    <n v="5"/>
    <n v="41328.100000000006"/>
  </r>
  <r>
    <x v="0"/>
    <x v="750"/>
    <n v="7953.12"/>
    <n v="5"/>
    <n v="39765.599999999999"/>
  </r>
  <r>
    <x v="0"/>
    <x v="751"/>
    <n v="7125"/>
    <n v="5"/>
    <n v="35625"/>
  </r>
  <r>
    <x v="0"/>
    <x v="752"/>
    <n v="7046.88"/>
    <n v="5"/>
    <n v="35234.400000000001"/>
  </r>
  <r>
    <x v="0"/>
    <x v="753"/>
    <n v="6875"/>
    <n v="5"/>
    <n v="34375"/>
  </r>
  <r>
    <x v="0"/>
    <x v="754"/>
    <n v="6968.75"/>
    <n v="5"/>
    <n v="34843.75"/>
  </r>
  <r>
    <x v="0"/>
    <x v="755"/>
    <n v="7218.75"/>
    <n v="5"/>
    <n v="36093.75"/>
  </r>
  <r>
    <x v="0"/>
    <x v="756"/>
    <n v="6968.75"/>
    <n v="5"/>
    <n v="34843.75"/>
  </r>
  <r>
    <x v="0"/>
    <x v="757"/>
    <n v="7031.25"/>
    <n v="5"/>
    <n v="35156.25"/>
  </r>
  <r>
    <x v="0"/>
    <x v="758"/>
    <n v="7015.62"/>
    <n v="5"/>
    <n v="35078.1"/>
  </r>
  <r>
    <x v="0"/>
    <x v="759"/>
    <n v="7500"/>
    <n v="5"/>
    <n v="37500"/>
  </r>
  <r>
    <x v="0"/>
    <x v="760"/>
    <n v="7328.12"/>
    <n v="5"/>
    <n v="36640.6"/>
  </r>
  <r>
    <x v="0"/>
    <x v="761"/>
    <n v="7437.5"/>
    <n v="5"/>
    <n v="37187.5"/>
  </r>
  <r>
    <x v="0"/>
    <x v="762"/>
    <n v="7343.75"/>
    <n v="5"/>
    <n v="36718.75"/>
  </r>
  <r>
    <x v="0"/>
    <x v="763"/>
    <n v="7640.62"/>
    <n v="5"/>
    <n v="38203.1"/>
  </r>
  <r>
    <x v="0"/>
    <x v="764"/>
    <n v="7750"/>
    <n v="5"/>
    <n v="38750"/>
  </r>
  <r>
    <x v="0"/>
    <x v="765"/>
    <n v="7781.25"/>
    <n v="5"/>
    <n v="38906.25"/>
  </r>
  <r>
    <x v="0"/>
    <x v="766"/>
    <n v="8078.12"/>
    <n v="5"/>
    <n v="40390.6"/>
  </r>
  <r>
    <x v="0"/>
    <x v="767"/>
    <n v="8078.12"/>
    <n v="5"/>
    <n v="40390.6"/>
  </r>
  <r>
    <x v="0"/>
    <x v="768"/>
    <n v="8250"/>
    <n v="5"/>
    <n v="41250"/>
  </r>
  <r>
    <x v="0"/>
    <x v="769"/>
    <n v="8250"/>
    <n v="5"/>
    <n v="41250"/>
  </r>
  <r>
    <x v="0"/>
    <x v="770"/>
    <n v="8218.75"/>
    <n v="5"/>
    <n v="41093.75"/>
  </r>
  <r>
    <x v="0"/>
    <x v="771"/>
    <n v="8140.62"/>
    <n v="5"/>
    <n v="40703.1"/>
  </r>
  <r>
    <x v="0"/>
    <x v="772"/>
    <n v="8265.6200000000008"/>
    <n v="5"/>
    <n v="41328.100000000006"/>
  </r>
  <r>
    <x v="0"/>
    <x v="773"/>
    <n v="8140.62"/>
    <n v="5"/>
    <n v="40703.1"/>
  </r>
  <r>
    <x v="0"/>
    <x v="774"/>
    <n v="7890.62"/>
    <n v="5"/>
    <n v="39453.1"/>
  </r>
  <r>
    <x v="0"/>
    <x v="775"/>
    <n v="7796.88"/>
    <n v="5"/>
    <n v="38984.400000000001"/>
  </r>
  <r>
    <x v="0"/>
    <x v="776"/>
    <n v="8218.75"/>
    <n v="5"/>
    <n v="41093.75"/>
  </r>
  <r>
    <x v="0"/>
    <x v="777"/>
    <n v="8296.8799999999992"/>
    <n v="5"/>
    <n v="41484.399999999994"/>
  </r>
  <r>
    <x v="0"/>
    <x v="778"/>
    <n v="9062.5"/>
    <n v="5"/>
    <n v="45312.5"/>
  </r>
  <r>
    <x v="0"/>
    <x v="779"/>
    <n v="9093.75"/>
    <n v="5"/>
    <n v="45468.75"/>
  </r>
  <r>
    <x v="0"/>
    <x v="780"/>
    <n v="9500"/>
    <n v="5"/>
    <n v="47500"/>
  </r>
  <r>
    <x v="0"/>
    <x v="781"/>
    <n v="9656.25"/>
    <n v="5"/>
    <n v="48281.25"/>
  </r>
  <r>
    <x v="0"/>
    <x v="782"/>
    <n v="8765.6200000000008"/>
    <n v="5"/>
    <n v="43828.100000000006"/>
  </r>
  <r>
    <x v="0"/>
    <x v="783"/>
    <n v="8468.75"/>
    <n v="5"/>
    <n v="42343.75"/>
  </r>
  <r>
    <x v="0"/>
    <x v="784"/>
    <n v="8375"/>
    <n v="5"/>
    <n v="41875"/>
  </r>
  <r>
    <x v="0"/>
    <x v="785"/>
    <n v="8531.25"/>
    <n v="5"/>
    <n v="42656.25"/>
  </r>
  <r>
    <x v="0"/>
    <x v="786"/>
    <n v="8859.3799999999992"/>
    <n v="5"/>
    <n v="44296.899999999994"/>
  </r>
  <r>
    <x v="0"/>
    <x v="787"/>
    <n v="8906.25"/>
    <n v="5"/>
    <n v="44531.25"/>
  </r>
  <r>
    <x v="0"/>
    <x v="788"/>
    <n v="9109.3799999999992"/>
    <n v="5"/>
    <n v="45546.899999999994"/>
  </r>
  <r>
    <x v="0"/>
    <x v="789"/>
    <n v="9484.3799999999992"/>
    <n v="5"/>
    <n v="47421.899999999994"/>
  </r>
  <r>
    <x v="0"/>
    <x v="790"/>
    <n v="9421.8799999999992"/>
    <n v="5"/>
    <n v="47109.399999999994"/>
  </r>
  <r>
    <x v="0"/>
    <x v="791"/>
    <n v="10203.120000000001"/>
    <n v="5"/>
    <n v="51015.600000000006"/>
  </r>
  <r>
    <x v="0"/>
    <x v="792"/>
    <n v="9515.6200000000008"/>
    <n v="5"/>
    <n v="47578.100000000006"/>
  </r>
  <r>
    <x v="0"/>
    <x v="793"/>
    <n v="9484.3799999999992"/>
    <n v="5"/>
    <n v="47421.899999999994"/>
  </r>
  <r>
    <x v="0"/>
    <x v="794"/>
    <n v="9625"/>
    <n v="5"/>
    <n v="48125"/>
  </r>
  <r>
    <x v="0"/>
    <x v="795"/>
    <n v="9593.75"/>
    <n v="5"/>
    <n v="47968.75"/>
  </r>
  <r>
    <x v="0"/>
    <x v="796"/>
    <n v="8406.25"/>
    <n v="5"/>
    <n v="42031.25"/>
  </r>
  <r>
    <x v="0"/>
    <x v="797"/>
    <n v="8562.5"/>
    <n v="5"/>
    <n v="42812.5"/>
  </r>
  <r>
    <x v="0"/>
    <x v="798"/>
    <n v="8234.3799999999992"/>
    <n v="5"/>
    <n v="41171.899999999994"/>
  </r>
  <r>
    <x v="0"/>
    <x v="799"/>
    <n v="8234.3799999999992"/>
    <n v="5"/>
    <n v="41171.899999999994"/>
  </r>
  <r>
    <x v="0"/>
    <x v="800"/>
    <n v="7875"/>
    <n v="5"/>
    <n v="39375"/>
  </r>
  <r>
    <x v="0"/>
    <x v="801"/>
    <n v="7281.25"/>
    <n v="5"/>
    <n v="36406.25"/>
  </r>
  <r>
    <x v="0"/>
    <x v="802"/>
    <n v="6734.38"/>
    <n v="5"/>
    <n v="33671.9"/>
  </r>
  <r>
    <x v="0"/>
    <x v="803"/>
    <n v="7218.75"/>
    <n v="5"/>
    <n v="36093.75"/>
  </r>
  <r>
    <x v="0"/>
    <x v="804"/>
    <n v="7250"/>
    <n v="5"/>
    <n v="36250"/>
  </r>
  <r>
    <x v="0"/>
    <x v="805"/>
    <n v="7171.88"/>
    <n v="5"/>
    <n v="35859.4"/>
  </r>
  <r>
    <x v="0"/>
    <x v="806"/>
    <n v="7531.25"/>
    <n v="5"/>
    <n v="37656.25"/>
  </r>
  <r>
    <x v="0"/>
    <x v="807"/>
    <n v="7453.12"/>
    <n v="5"/>
    <n v="37265.599999999999"/>
  </r>
  <r>
    <x v="0"/>
    <x v="808"/>
    <n v="7437.5"/>
    <n v="5"/>
    <n v="37187.5"/>
  </r>
  <r>
    <x v="0"/>
    <x v="809"/>
    <n v="8078.12"/>
    <n v="5"/>
    <n v="40390.6"/>
  </r>
  <r>
    <x v="0"/>
    <x v="810"/>
    <n v="6484.38"/>
    <n v="5"/>
    <n v="32421.9"/>
  </r>
  <r>
    <x v="0"/>
    <x v="811"/>
    <n v="6406.25"/>
    <n v="5"/>
    <n v="32031.25"/>
  </r>
  <r>
    <x v="0"/>
    <x v="812"/>
    <n v="6671.88"/>
    <n v="5"/>
    <n v="33359.4"/>
  </r>
  <r>
    <x v="0"/>
    <x v="813"/>
    <n v="7015.62"/>
    <n v="5"/>
    <n v="35078.1"/>
  </r>
  <r>
    <x v="0"/>
    <x v="814"/>
    <n v="7187.5"/>
    <n v="5"/>
    <n v="35937.5"/>
  </r>
  <r>
    <x v="0"/>
    <x v="815"/>
    <n v="7296.88"/>
    <n v="5"/>
    <n v="36484.400000000001"/>
  </r>
  <r>
    <x v="0"/>
    <x v="816"/>
    <n v="7765.62"/>
    <n v="5"/>
    <n v="38828.1"/>
  </r>
  <r>
    <x v="0"/>
    <x v="817"/>
    <n v="7546.88"/>
    <n v="5"/>
    <n v="37734.400000000001"/>
  </r>
  <r>
    <x v="0"/>
    <x v="818"/>
    <n v="8078.12"/>
    <n v="5"/>
    <n v="40390.6"/>
  </r>
  <r>
    <x v="0"/>
    <x v="819"/>
    <n v="7218.75"/>
    <n v="5"/>
    <n v="36093.75"/>
  </r>
  <r>
    <x v="0"/>
    <x v="820"/>
    <n v="6562.5"/>
    <n v="5"/>
    <n v="32812.5"/>
  </r>
  <r>
    <x v="0"/>
    <x v="821"/>
    <n v="7296.88"/>
    <n v="5"/>
    <n v="36484.400000000001"/>
  </r>
  <r>
    <x v="0"/>
    <x v="822"/>
    <n v="6718.75"/>
    <n v="5"/>
    <n v="33593.75"/>
  </r>
  <r>
    <x v="0"/>
    <x v="823"/>
    <n v="6718.75"/>
    <n v="5"/>
    <n v="33593.75"/>
  </r>
  <r>
    <x v="0"/>
    <x v="824"/>
    <n v="6828.12"/>
    <n v="5"/>
    <n v="34140.6"/>
  </r>
  <r>
    <x v="0"/>
    <x v="825"/>
    <n v="8156.25"/>
    <n v="5"/>
    <n v="40781.25"/>
  </r>
  <r>
    <x v="0"/>
    <x v="826"/>
    <n v="8421.8799999999992"/>
    <n v="5"/>
    <n v="42109.399999999994"/>
  </r>
  <r>
    <x v="0"/>
    <x v="827"/>
    <n v="8609.3799999999992"/>
    <n v="5"/>
    <n v="43046.899999999994"/>
  </r>
  <r>
    <x v="0"/>
    <x v="828"/>
    <n v="9593.75"/>
    <n v="5"/>
    <n v="47968.75"/>
  </r>
  <r>
    <x v="0"/>
    <x v="829"/>
    <n v="9375"/>
    <n v="5"/>
    <n v="46875"/>
  </r>
  <r>
    <x v="0"/>
    <x v="830"/>
    <n v="9500"/>
    <n v="5"/>
    <n v="47500"/>
  </r>
  <r>
    <x v="0"/>
    <x v="831"/>
    <n v="10000"/>
    <n v="5"/>
    <n v="50000"/>
  </r>
  <r>
    <x v="0"/>
    <x v="832"/>
    <n v="10718.75"/>
    <n v="5"/>
    <n v="53593.75"/>
  </r>
  <r>
    <x v="0"/>
    <x v="833"/>
    <n v="11078.12"/>
    <n v="5"/>
    <n v="55390.600000000006"/>
  </r>
  <r>
    <x v="0"/>
    <x v="834"/>
    <n v="11546.88"/>
    <n v="5"/>
    <n v="57734.399999999994"/>
  </r>
  <r>
    <x v="0"/>
    <x v="835"/>
    <n v="11781.25"/>
    <n v="5"/>
    <n v="58906.25"/>
  </r>
  <r>
    <x v="0"/>
    <x v="836"/>
    <n v="12250"/>
    <n v="5"/>
    <n v="61250"/>
  </r>
  <r>
    <x v="0"/>
    <x v="837"/>
    <n v="11765.62"/>
    <n v="5"/>
    <n v="58828.100000000006"/>
  </r>
  <r>
    <x v="0"/>
    <x v="838"/>
    <n v="11687.5"/>
    <n v="5"/>
    <n v="58437.5"/>
  </r>
  <r>
    <x v="0"/>
    <x v="839"/>
    <n v="11484.38"/>
    <n v="5"/>
    <n v="57421.899999999994"/>
  </r>
  <r>
    <x v="0"/>
    <x v="840"/>
    <n v="11203.12"/>
    <n v="5"/>
    <n v="56015.600000000006"/>
  </r>
  <r>
    <x v="0"/>
    <x v="841"/>
    <n v="11312.5"/>
    <n v="5"/>
    <n v="56562.5"/>
  </r>
  <r>
    <x v="0"/>
    <x v="842"/>
    <n v="12765.62"/>
    <n v="5"/>
    <n v="63828.100000000006"/>
  </r>
  <r>
    <x v="0"/>
    <x v="843"/>
    <n v="13203.12"/>
    <n v="5"/>
    <n v="66015.600000000006"/>
  </r>
  <r>
    <x v="0"/>
    <x v="844"/>
    <n v="12750"/>
    <n v="5"/>
    <n v="63750"/>
  </r>
  <r>
    <x v="0"/>
    <x v="845"/>
    <n v="12562.5"/>
    <n v="5"/>
    <n v="62812.5"/>
  </r>
  <r>
    <x v="0"/>
    <x v="846"/>
    <n v="13468.75"/>
    <n v="5"/>
    <n v="67343.75"/>
  </r>
  <r>
    <x v="0"/>
    <x v="847"/>
    <n v="13859.38"/>
    <n v="5"/>
    <n v="69296.899999999994"/>
  </r>
  <r>
    <x v="0"/>
    <x v="848"/>
    <n v="12828.12"/>
    <n v="5"/>
    <n v="64140.600000000006"/>
  </r>
  <r>
    <x v="0"/>
    <x v="849"/>
    <n v="12531.25"/>
    <n v="5"/>
    <n v="62656.25"/>
  </r>
  <r>
    <x v="0"/>
    <x v="850"/>
    <n v="11375"/>
    <n v="5"/>
    <n v="56875"/>
  </r>
  <r>
    <x v="0"/>
    <x v="851"/>
    <n v="10250"/>
    <n v="5"/>
    <n v="51250"/>
  </r>
  <r>
    <x v="0"/>
    <x v="852"/>
    <n v="9671.8799999999992"/>
    <n v="5"/>
    <n v="48359.399999999994"/>
  </r>
  <r>
    <x v="0"/>
    <x v="853"/>
    <n v="9781.25"/>
    <n v="5"/>
    <n v="48906.25"/>
  </r>
  <r>
    <x v="0"/>
    <x v="854"/>
    <n v="9125"/>
    <n v="5"/>
    <n v="45625"/>
  </r>
  <r>
    <x v="0"/>
    <x v="855"/>
    <n v="9984.3799999999992"/>
    <n v="5"/>
    <n v="49921.899999999994"/>
  </r>
  <r>
    <x v="0"/>
    <x v="856"/>
    <n v="9265.6200000000008"/>
    <n v="5"/>
    <n v="46328.100000000006"/>
  </r>
  <r>
    <x v="0"/>
    <x v="857"/>
    <n v="9828.1200000000008"/>
    <n v="5"/>
    <n v="49140.600000000006"/>
  </r>
  <r>
    <x v="0"/>
    <x v="858"/>
    <n v="10218.75"/>
    <n v="5"/>
    <n v="51093.75"/>
  </r>
  <r>
    <x v="0"/>
    <x v="859"/>
    <n v="10625"/>
    <n v="5"/>
    <n v="53125"/>
  </r>
  <r>
    <x v="0"/>
    <x v="860"/>
    <n v="10718.75"/>
    <n v="5"/>
    <n v="53593.75"/>
  </r>
  <r>
    <x v="0"/>
    <x v="861"/>
    <n v="11156.25"/>
    <n v="5"/>
    <n v="55781.25"/>
  </r>
  <r>
    <x v="0"/>
    <x v="862"/>
    <n v="11937.5"/>
    <n v="5"/>
    <n v="59687.5"/>
  </r>
  <r>
    <x v="0"/>
    <x v="863"/>
    <n v="12312.5"/>
    <n v="5"/>
    <n v="61562.5"/>
  </r>
  <r>
    <x v="0"/>
    <x v="864"/>
    <n v="12640.62"/>
    <n v="5"/>
    <n v="63203.100000000006"/>
  </r>
  <r>
    <x v="0"/>
    <x v="865"/>
    <n v="12281.25"/>
    <n v="5"/>
    <n v="61406.25"/>
  </r>
  <r>
    <x v="0"/>
    <x v="866"/>
    <n v="12140.62"/>
    <n v="5"/>
    <n v="60703.100000000006"/>
  </r>
  <r>
    <x v="0"/>
    <x v="867"/>
    <n v="11843.75"/>
    <n v="5"/>
    <n v="59218.75"/>
  </r>
  <r>
    <x v="0"/>
    <x v="868"/>
    <n v="12468.75"/>
    <n v="5"/>
    <n v="62343.75"/>
  </r>
  <r>
    <x v="0"/>
    <x v="869"/>
    <n v="12406.25"/>
    <n v="5"/>
    <n v="62031.25"/>
  </r>
  <r>
    <x v="0"/>
    <x v="870"/>
    <n v="12671.88"/>
    <n v="5"/>
    <n v="63359.399999999994"/>
  </r>
  <r>
    <x v="0"/>
    <x v="871"/>
    <n v="12656.25"/>
    <n v="5"/>
    <n v="63281.25"/>
  </r>
  <r>
    <x v="0"/>
    <x v="872"/>
    <n v="13437.5"/>
    <n v="5"/>
    <n v="67187.5"/>
  </r>
  <r>
    <x v="0"/>
    <x v="873"/>
    <n v="13453.12"/>
    <n v="5"/>
    <n v="67265.600000000006"/>
  </r>
  <r>
    <x v="0"/>
    <x v="874"/>
    <n v="13609.38"/>
    <n v="5"/>
    <n v="68046.899999999994"/>
  </r>
  <r>
    <x v="0"/>
    <x v="875"/>
    <n v="14281.25"/>
    <n v="5"/>
    <n v="71406.25"/>
  </r>
  <r>
    <x v="0"/>
    <x v="876"/>
    <n v="14375"/>
    <n v="5"/>
    <n v="71875"/>
  </r>
  <r>
    <x v="0"/>
    <x v="877"/>
    <n v="14093.75"/>
    <n v="5"/>
    <n v="70468.75"/>
  </r>
  <r>
    <x v="0"/>
    <x v="878"/>
    <n v="13734.38"/>
    <n v="5"/>
    <n v="68671.899999999994"/>
  </r>
  <r>
    <x v="0"/>
    <x v="879"/>
    <n v="12796.88"/>
    <n v="5"/>
    <n v="63984.399999999994"/>
  </r>
  <r>
    <x v="0"/>
    <x v="880"/>
    <n v="13625"/>
    <n v="5"/>
    <n v="68125"/>
  </r>
  <r>
    <x v="0"/>
    <x v="881"/>
    <n v="13281.25"/>
    <n v="5"/>
    <n v="66406.25"/>
  </r>
  <r>
    <x v="0"/>
    <x v="882"/>
    <n v="13187.5"/>
    <n v="5"/>
    <n v="65937.5"/>
  </r>
  <r>
    <x v="0"/>
    <x v="883"/>
    <n v="13640.62"/>
    <n v="5"/>
    <n v="68203.100000000006"/>
  </r>
  <r>
    <x v="0"/>
    <x v="884"/>
    <n v="14015.62"/>
    <n v="5"/>
    <n v="70078.100000000006"/>
  </r>
  <r>
    <x v="0"/>
    <x v="885"/>
    <n v="13359.38"/>
    <n v="5"/>
    <n v="66796.899999999994"/>
  </r>
  <r>
    <x v="0"/>
    <x v="886"/>
    <n v="13250"/>
    <n v="5"/>
    <n v="66250"/>
  </r>
  <r>
    <x v="0"/>
    <x v="887"/>
    <n v="13562.5"/>
    <n v="5"/>
    <n v="67812.5"/>
  </r>
  <r>
    <x v="0"/>
    <x v="888"/>
    <n v="13296.88"/>
    <n v="5"/>
    <n v="66484.399999999994"/>
  </r>
  <r>
    <x v="0"/>
    <x v="889"/>
    <n v="12937.5"/>
    <n v="5"/>
    <n v="64687.5"/>
  </r>
  <r>
    <x v="0"/>
    <x v="890"/>
    <n v="13234.38"/>
    <n v="5"/>
    <n v="66171.899999999994"/>
  </r>
  <r>
    <x v="0"/>
    <x v="891"/>
    <n v="13406.25"/>
    <n v="5"/>
    <n v="67031.25"/>
  </r>
  <r>
    <x v="0"/>
    <x v="892"/>
    <n v="13906.25"/>
    <n v="5"/>
    <n v="69531.25"/>
  </r>
  <r>
    <x v="0"/>
    <x v="893"/>
    <n v="13531.25"/>
    <n v="5"/>
    <n v="67656.25"/>
  </r>
  <r>
    <x v="0"/>
    <x v="894"/>
    <n v="13328.12"/>
    <n v="5"/>
    <n v="66640.600000000006"/>
  </r>
  <r>
    <x v="0"/>
    <x v="895"/>
    <n v="13078.12"/>
    <n v="5"/>
    <n v="65390.600000000006"/>
  </r>
  <r>
    <x v="0"/>
    <x v="896"/>
    <n v="13000"/>
    <n v="5"/>
    <n v="65000"/>
  </r>
  <r>
    <x v="0"/>
    <x v="897"/>
    <n v="13265.62"/>
    <n v="5"/>
    <n v="66328.100000000006"/>
  </r>
  <r>
    <x v="0"/>
    <x v="898"/>
    <n v="12750"/>
    <n v="5"/>
    <n v="63750"/>
  </r>
  <r>
    <x v="0"/>
    <x v="899"/>
    <n v="12453.12"/>
    <n v="5"/>
    <n v="62265.600000000006"/>
  </r>
  <r>
    <x v="0"/>
    <x v="900"/>
    <n v="12343.75"/>
    <n v="5"/>
    <n v="61718.75"/>
  </r>
  <r>
    <x v="0"/>
    <x v="901"/>
    <n v="12062.5"/>
    <n v="5"/>
    <n v="60312.5"/>
  </r>
  <r>
    <x v="0"/>
    <x v="902"/>
    <n v="12203.12"/>
    <n v="5"/>
    <n v="61015.600000000006"/>
  </r>
  <r>
    <x v="0"/>
    <x v="903"/>
    <n v="12203.12"/>
    <n v="5"/>
    <n v="61015.600000000006"/>
  </r>
  <r>
    <x v="0"/>
    <x v="904"/>
    <n v="12031.25"/>
    <n v="5"/>
    <n v="60156.25"/>
  </r>
  <r>
    <x v="0"/>
    <x v="905"/>
    <n v="12046.88"/>
    <n v="5"/>
    <n v="60234.399999999994"/>
  </r>
  <r>
    <x v="0"/>
    <x v="906"/>
    <n v="12062.5"/>
    <n v="5"/>
    <n v="60312.5"/>
  </r>
  <r>
    <x v="0"/>
    <x v="907"/>
    <n v="12906.25"/>
    <n v="5"/>
    <n v="64531.25"/>
  </r>
  <r>
    <x v="0"/>
    <x v="908"/>
    <n v="12562.5"/>
    <n v="5"/>
    <n v="62812.5"/>
  </r>
  <r>
    <x v="0"/>
    <x v="909"/>
    <n v="12531.25"/>
    <n v="5"/>
    <n v="62656.25"/>
  </r>
  <r>
    <x v="0"/>
    <x v="910"/>
    <n v="12703.12"/>
    <n v="5"/>
    <n v="63515.600000000006"/>
  </r>
  <r>
    <x v="0"/>
    <x v="911"/>
    <n v="13203.12"/>
    <n v="5"/>
    <n v="66015.600000000006"/>
  </r>
  <r>
    <x v="0"/>
    <x v="912"/>
    <n v="13468.75"/>
    <n v="5"/>
    <n v="67343.75"/>
  </r>
  <r>
    <x v="0"/>
    <x v="913"/>
    <n v="14671.88"/>
    <n v="5"/>
    <n v="73359.399999999994"/>
  </r>
  <r>
    <x v="0"/>
    <x v="914"/>
    <n v="15187.5"/>
    <n v="5"/>
    <n v="75937.5"/>
  </r>
  <r>
    <x v="0"/>
    <x v="915"/>
    <n v="14921.88"/>
    <n v="5"/>
    <n v="74609.399999999994"/>
  </r>
  <r>
    <x v="0"/>
    <x v="916"/>
    <n v="12093.75"/>
    <n v="5"/>
    <n v="60468.75"/>
  </r>
  <r>
    <x v="0"/>
    <x v="917"/>
    <n v="10921.88"/>
    <n v="5"/>
    <n v="54609.399999999994"/>
  </r>
  <r>
    <x v="0"/>
    <x v="918"/>
    <n v="10781.25"/>
    <n v="5"/>
    <n v="53906.25"/>
  </r>
  <r>
    <x v="0"/>
    <x v="919"/>
    <n v="11078.12"/>
    <n v="5"/>
    <n v="55390.600000000006"/>
  </r>
  <r>
    <x v="0"/>
    <x v="920"/>
    <n v="10859.38"/>
    <n v="5"/>
    <n v="54296.899999999994"/>
  </r>
  <r>
    <x v="0"/>
    <x v="921"/>
    <n v="11765.62"/>
    <n v="5"/>
    <n v="58828.100000000006"/>
  </r>
  <r>
    <x v="0"/>
    <x v="922"/>
    <n v="12296.88"/>
    <n v="5"/>
    <n v="61484.399999999994"/>
  </r>
  <r>
    <x v="0"/>
    <x v="923"/>
    <n v="12109.38"/>
    <n v="5"/>
    <n v="60546.899999999994"/>
  </r>
  <r>
    <x v="0"/>
    <x v="924"/>
    <n v="12312.5"/>
    <n v="5"/>
    <n v="61562.5"/>
  </r>
  <r>
    <x v="0"/>
    <x v="925"/>
    <n v="12437.5"/>
    <n v="5"/>
    <n v="62187.5"/>
  </r>
  <r>
    <x v="0"/>
    <x v="926"/>
    <n v="12109.38"/>
    <n v="5"/>
    <n v="60546.899999999994"/>
  </r>
  <r>
    <x v="0"/>
    <x v="927"/>
    <n v="12140.62"/>
    <n v="5"/>
    <n v="60703.100000000006"/>
  </r>
  <r>
    <x v="0"/>
    <x v="928"/>
    <n v="13343.75"/>
    <n v="5"/>
    <n v="66718.75"/>
  </r>
  <r>
    <x v="0"/>
    <x v="929"/>
    <n v="14031.25"/>
    <n v="5"/>
    <n v="70156.25"/>
  </r>
  <r>
    <x v="0"/>
    <x v="930"/>
    <n v="14000"/>
    <n v="5"/>
    <n v="70000"/>
  </r>
  <r>
    <x v="0"/>
    <x v="931"/>
    <n v="14171.88"/>
    <n v="5"/>
    <n v="70859.399999999994"/>
  </r>
  <r>
    <x v="0"/>
    <x v="932"/>
    <n v="13781.25"/>
    <n v="5"/>
    <n v="68906.25"/>
  </r>
  <r>
    <x v="0"/>
    <x v="933"/>
    <n v="14375"/>
    <n v="5"/>
    <n v="71875"/>
  </r>
  <r>
    <x v="0"/>
    <x v="934"/>
    <n v="14812.5"/>
    <n v="5"/>
    <n v="74062.5"/>
  </r>
  <r>
    <x v="0"/>
    <x v="935"/>
    <n v="15734.38"/>
    <n v="5"/>
    <n v="78671.899999999994"/>
  </r>
  <r>
    <x v="0"/>
    <x v="936"/>
    <n v="15687.5"/>
    <n v="5"/>
    <n v="78437.5"/>
  </r>
  <r>
    <x v="0"/>
    <x v="937"/>
    <n v="15937.5"/>
    <n v="5"/>
    <n v="79687.5"/>
  </r>
  <r>
    <x v="0"/>
    <x v="938"/>
    <n v="15953.12"/>
    <n v="5"/>
    <n v="79765.600000000006"/>
  </r>
  <r>
    <x v="0"/>
    <x v="939"/>
    <n v="15078.12"/>
    <n v="5"/>
    <n v="75390.600000000006"/>
  </r>
  <r>
    <x v="0"/>
    <x v="940"/>
    <n v="14546.88"/>
    <n v="5"/>
    <n v="72734.399999999994"/>
  </r>
  <r>
    <x v="0"/>
    <x v="941"/>
    <n v="13171.88"/>
    <n v="5"/>
    <n v="65859.399999999994"/>
  </r>
  <r>
    <x v="0"/>
    <x v="942"/>
    <n v="13281.25"/>
    <n v="5"/>
    <n v="66406.25"/>
  </r>
  <r>
    <x v="0"/>
    <x v="943"/>
    <n v="12843.75"/>
    <n v="5"/>
    <n v="64218.75"/>
  </r>
  <r>
    <x v="0"/>
    <x v="944"/>
    <n v="13328.12"/>
    <n v="5"/>
    <n v="66640.600000000006"/>
  </r>
  <r>
    <x v="0"/>
    <x v="945"/>
    <n v="12343.75"/>
    <n v="5"/>
    <n v="61718.75"/>
  </r>
  <r>
    <x v="0"/>
    <x v="946"/>
    <n v="12609.38"/>
    <n v="5"/>
    <n v="63046.899999999994"/>
  </r>
  <r>
    <x v="0"/>
    <x v="947"/>
    <n v="13453.12"/>
    <n v="5"/>
    <n v="67265.600000000006"/>
  </r>
  <r>
    <x v="0"/>
    <x v="948"/>
    <n v="13484.38"/>
    <n v="5"/>
    <n v="67421.899999999994"/>
  </r>
  <r>
    <x v="0"/>
    <x v="949"/>
    <n v="13093.75"/>
    <n v="5"/>
    <n v="65468.75"/>
  </r>
  <r>
    <x v="0"/>
    <x v="950"/>
    <n v="12312.5"/>
    <n v="5"/>
    <n v="61562.5"/>
  </r>
  <r>
    <x v="0"/>
    <x v="951"/>
    <n v="12625"/>
    <n v="5"/>
    <n v="63125"/>
  </r>
  <r>
    <x v="0"/>
    <x v="952"/>
    <n v="13703.12"/>
    <n v="5"/>
    <n v="68515.600000000006"/>
  </r>
  <r>
    <x v="0"/>
    <x v="953"/>
    <n v="12546.88"/>
    <n v="5"/>
    <n v="62734.399999999994"/>
  </r>
  <r>
    <x v="0"/>
    <x v="954"/>
    <n v="12468.75"/>
    <n v="5"/>
    <n v="62343.75"/>
  </r>
  <r>
    <x v="0"/>
    <x v="955"/>
    <n v="12578.12"/>
    <n v="5"/>
    <n v="62890.600000000006"/>
  </r>
  <r>
    <x v="0"/>
    <x v="956"/>
    <n v="13453.12"/>
    <n v="5"/>
    <n v="67265.600000000006"/>
  </r>
  <r>
    <x v="0"/>
    <x v="957"/>
    <n v="13625"/>
    <n v="5"/>
    <n v="68125"/>
  </r>
  <r>
    <x v="0"/>
    <x v="958"/>
    <n v="13703.12"/>
    <n v="5"/>
    <n v="68515.600000000006"/>
  </r>
  <r>
    <x v="0"/>
    <x v="959"/>
    <n v="14671.88"/>
    <n v="5"/>
    <n v="73359.399999999994"/>
  </r>
  <r>
    <x v="0"/>
    <x v="960"/>
    <n v="14562.5"/>
    <n v="5"/>
    <n v="72812.5"/>
  </r>
  <r>
    <x v="0"/>
    <x v="961"/>
    <n v="14390.62"/>
    <n v="5"/>
    <n v="71953.100000000006"/>
  </r>
  <r>
    <x v="0"/>
    <x v="962"/>
    <n v="14078.12"/>
    <n v="5"/>
    <n v="70390.600000000006"/>
  </r>
  <r>
    <x v="0"/>
    <x v="963"/>
    <n v="13734.38"/>
    <n v="5"/>
    <n v="68671.899999999994"/>
  </r>
  <r>
    <x v="0"/>
    <x v="964"/>
    <n v="13812.5"/>
    <n v="5"/>
    <n v="69062.5"/>
  </r>
  <r>
    <x v="0"/>
    <x v="965"/>
    <n v="13765.62"/>
    <n v="5"/>
    <n v="68828.100000000006"/>
  </r>
  <r>
    <x v="0"/>
    <x v="966"/>
    <n v="13750"/>
    <n v="5"/>
    <n v="68750"/>
  </r>
  <r>
    <x v="0"/>
    <x v="967"/>
    <n v="14171.88"/>
    <n v="5"/>
    <n v="70859.399999999994"/>
  </r>
  <r>
    <x v="0"/>
    <x v="968"/>
    <n v="14218.75"/>
    <n v="5"/>
    <n v="71093.75"/>
  </r>
  <r>
    <x v="0"/>
    <x v="969"/>
    <n v="14593.75"/>
    <n v="5"/>
    <n v="72968.75"/>
  </r>
  <r>
    <x v="0"/>
    <x v="970"/>
    <n v="14156.25"/>
    <n v="5"/>
    <n v="70781.25"/>
  </r>
  <r>
    <x v="0"/>
    <x v="971"/>
    <n v="13984.38"/>
    <n v="5"/>
    <n v="69921.899999999994"/>
  </r>
  <r>
    <x v="0"/>
    <x v="972"/>
    <n v="14031.25"/>
    <n v="5"/>
    <n v="70156.25"/>
  </r>
  <r>
    <x v="0"/>
    <x v="973"/>
    <n v="14296.88"/>
    <n v="5"/>
    <n v="71484.399999999994"/>
  </r>
  <r>
    <x v="0"/>
    <x v="974"/>
    <n v="13718.75"/>
    <n v="5"/>
    <n v="68593.75"/>
  </r>
  <r>
    <x v="0"/>
    <x v="975"/>
    <n v="13734.38"/>
    <n v="5"/>
    <n v="68671.899999999994"/>
  </r>
  <r>
    <x v="0"/>
    <x v="976"/>
    <n v="13453.12"/>
    <n v="5"/>
    <n v="67265.600000000006"/>
  </r>
  <r>
    <x v="0"/>
    <x v="977"/>
    <n v="12140.62"/>
    <n v="5"/>
    <n v="60703.100000000006"/>
  </r>
  <r>
    <x v="0"/>
    <x v="978"/>
    <n v="11656.25"/>
    <n v="5"/>
    <n v="58281.25"/>
  </r>
  <r>
    <x v="0"/>
    <x v="979"/>
    <n v="12046.88"/>
    <n v="5"/>
    <n v="60234.399999999994"/>
  </r>
  <r>
    <x v="0"/>
    <x v="980"/>
    <n v="11828.12"/>
    <n v="5"/>
    <n v="59140.600000000006"/>
  </r>
  <r>
    <x v="0"/>
    <x v="981"/>
    <n v="12531.25"/>
    <n v="5"/>
    <n v="62656.25"/>
  </r>
  <r>
    <x v="0"/>
    <x v="982"/>
    <n v="12859.38"/>
    <n v="5"/>
    <n v="64296.899999999994"/>
  </r>
  <r>
    <x v="0"/>
    <x v="983"/>
    <n v="13234.38"/>
    <n v="5"/>
    <n v="66171.899999999994"/>
  </r>
  <r>
    <x v="0"/>
    <x v="984"/>
    <n v="13140.62"/>
    <n v="5"/>
    <n v="65703.100000000006"/>
  </r>
  <r>
    <x v="0"/>
    <x v="985"/>
    <n v="12500"/>
    <n v="5"/>
    <n v="62500"/>
  </r>
  <r>
    <x v="0"/>
    <x v="986"/>
    <n v="13265.62"/>
    <n v="5"/>
    <n v="66328.100000000006"/>
  </r>
  <r>
    <x v="0"/>
    <x v="987"/>
    <n v="13531.25"/>
    <n v="5"/>
    <n v="67656.25"/>
  </r>
  <r>
    <x v="0"/>
    <x v="988"/>
    <n v="13328.12"/>
    <n v="5"/>
    <n v="66640.600000000006"/>
  </r>
  <r>
    <x v="0"/>
    <x v="989"/>
    <n v="13531.25"/>
    <n v="5"/>
    <n v="67656.25"/>
  </r>
  <r>
    <x v="0"/>
    <x v="990"/>
    <n v="13671.88"/>
    <n v="5"/>
    <n v="68359.399999999994"/>
  </r>
  <r>
    <x v="0"/>
    <x v="991"/>
    <n v="13156.25"/>
    <n v="5"/>
    <n v="65781.25"/>
  </r>
  <r>
    <x v="0"/>
    <x v="992"/>
    <n v="13812.5"/>
    <n v="5"/>
    <n v="69062.5"/>
  </r>
  <r>
    <x v="0"/>
    <x v="993"/>
    <n v="13390.62"/>
    <n v="5"/>
    <n v="66953.100000000006"/>
  </r>
  <r>
    <x v="0"/>
    <x v="994"/>
    <n v="13171.88"/>
    <n v="5"/>
    <n v="65859.399999999994"/>
  </r>
  <r>
    <x v="0"/>
    <x v="995"/>
    <n v="13031.25"/>
    <n v="5"/>
    <n v="65156.25"/>
  </r>
  <r>
    <x v="0"/>
    <x v="996"/>
    <n v="13000"/>
    <n v="5"/>
    <n v="65000"/>
  </r>
  <r>
    <x v="0"/>
    <x v="997"/>
    <n v="12687.5"/>
    <n v="5"/>
    <n v="63437.5"/>
  </r>
  <r>
    <x v="0"/>
    <x v="998"/>
    <n v="13171.88"/>
    <n v="5"/>
    <n v="65859.399999999994"/>
  </r>
  <r>
    <x v="0"/>
    <x v="999"/>
    <n v="13343.75"/>
    <n v="5"/>
    <n v="66718.75"/>
  </r>
  <r>
    <x v="0"/>
    <x v="1000"/>
    <n v="14468.75"/>
    <n v="5"/>
    <n v="72343.75"/>
  </r>
  <r>
    <x v="0"/>
    <x v="1001"/>
    <n v="14609.38"/>
    <n v="5"/>
    <n v="73046.899999999994"/>
  </r>
  <r>
    <x v="0"/>
    <x v="1002"/>
    <n v="14953.12"/>
    <n v="5"/>
    <n v="74765.600000000006"/>
  </r>
  <r>
    <x v="0"/>
    <x v="1003"/>
    <n v="15578.12"/>
    <n v="5"/>
    <n v="77890.600000000006"/>
  </r>
  <r>
    <x v="0"/>
    <x v="1004"/>
    <n v="15125"/>
    <n v="5"/>
    <n v="75625"/>
  </r>
  <r>
    <x v="0"/>
    <x v="1005"/>
    <n v="14968.75"/>
    <n v="5"/>
    <n v="74843.75"/>
  </r>
  <r>
    <x v="0"/>
    <x v="1006"/>
    <n v="14718.75"/>
    <n v="5"/>
    <n v="73593.75"/>
  </r>
  <r>
    <x v="0"/>
    <x v="1007"/>
    <n v="14609.38"/>
    <n v="5"/>
    <n v="73046.899999999994"/>
  </r>
  <r>
    <x v="0"/>
    <x v="1008"/>
    <n v="14687.5"/>
    <n v="5"/>
    <n v="73437.5"/>
  </r>
  <r>
    <x v="0"/>
    <x v="1009"/>
    <n v="16109.38"/>
    <n v="5"/>
    <n v="80546.899999999994"/>
  </r>
  <r>
    <x v="0"/>
    <x v="1010"/>
    <n v="15671.88"/>
    <n v="5"/>
    <n v="78359.399999999994"/>
  </r>
  <r>
    <x v="0"/>
    <x v="1011"/>
    <n v="16453.12"/>
    <n v="5"/>
    <n v="82265.599999999991"/>
  </r>
  <r>
    <x v="0"/>
    <x v="1012"/>
    <n v="17140.62"/>
    <n v="5"/>
    <n v="85703.099999999991"/>
  </r>
  <r>
    <x v="0"/>
    <x v="1013"/>
    <n v="17593.75"/>
    <n v="5"/>
    <n v="87968.75"/>
  </r>
  <r>
    <x v="0"/>
    <x v="1014"/>
    <n v="17500"/>
    <n v="5"/>
    <n v="87500"/>
  </r>
  <r>
    <x v="0"/>
    <x v="1015"/>
    <n v="18296.88"/>
    <n v="5"/>
    <n v="91484.400000000009"/>
  </r>
  <r>
    <x v="0"/>
    <x v="1016"/>
    <n v="17906.25"/>
    <n v="5"/>
    <n v="89531.25"/>
  </r>
  <r>
    <x v="0"/>
    <x v="1017"/>
    <n v="17312.5"/>
    <n v="5"/>
    <n v="86562.5"/>
  </r>
  <r>
    <x v="0"/>
    <x v="1018"/>
    <n v="16843.75"/>
    <n v="5"/>
    <n v="84218.75"/>
  </r>
  <r>
    <x v="0"/>
    <x v="1019"/>
    <n v="15953.12"/>
    <n v="5"/>
    <n v="79765.600000000006"/>
  </r>
  <r>
    <x v="0"/>
    <x v="1020"/>
    <n v="15859.38"/>
    <n v="5"/>
    <n v="79296.899999999994"/>
  </r>
  <r>
    <x v="0"/>
    <x v="1021"/>
    <n v="15250"/>
    <n v="5"/>
    <n v="76250"/>
  </r>
  <r>
    <x v="0"/>
    <x v="1022"/>
    <n v="14484.38"/>
    <n v="5"/>
    <n v="72421.899999999994"/>
  </r>
  <r>
    <x v="0"/>
    <x v="1023"/>
    <n v="15343.75"/>
    <n v="5"/>
    <n v="76718.75"/>
  </r>
  <r>
    <x v="0"/>
    <x v="1024"/>
    <n v="14109.38"/>
    <n v="5"/>
    <n v="70546.899999999994"/>
  </r>
  <r>
    <x v="0"/>
    <x v="1025"/>
    <n v="14093.75"/>
    <n v="5"/>
    <n v="70468.75"/>
  </r>
  <r>
    <x v="0"/>
    <x v="1026"/>
    <n v="14421.88"/>
    <n v="5"/>
    <n v="72109.399999999994"/>
  </r>
  <r>
    <x v="0"/>
    <x v="1027"/>
    <n v="13875"/>
    <n v="5"/>
    <n v="69375"/>
  </r>
  <r>
    <x v="0"/>
    <x v="1028"/>
    <n v="14015.62"/>
    <n v="5"/>
    <n v="70078.100000000006"/>
  </r>
  <r>
    <x v="0"/>
    <x v="1029"/>
    <n v="14421.88"/>
    <n v="5"/>
    <n v="72109.399999999994"/>
  </r>
  <r>
    <x v="0"/>
    <x v="1030"/>
    <n v="15093.75"/>
    <n v="5"/>
    <n v="75468.75"/>
  </r>
  <r>
    <x v="0"/>
    <x v="1031"/>
    <n v="14531.25"/>
    <n v="5"/>
    <n v="72656.25"/>
  </r>
  <r>
    <x v="0"/>
    <x v="1032"/>
    <n v="14640.62"/>
    <n v="5"/>
    <n v="73203.100000000006"/>
  </r>
  <r>
    <x v="0"/>
    <x v="1033"/>
    <n v="14515.62"/>
    <n v="5"/>
    <n v="72578.100000000006"/>
  </r>
  <r>
    <x v="0"/>
    <x v="1034"/>
    <n v="13187.5"/>
    <n v="5"/>
    <n v="65937.5"/>
  </r>
  <r>
    <x v="0"/>
    <x v="1035"/>
    <n v="12375"/>
    <n v="5"/>
    <n v="61875"/>
  </r>
  <r>
    <x v="0"/>
    <x v="1036"/>
    <n v="11234.38"/>
    <n v="5"/>
    <n v="56171.899999999994"/>
  </r>
  <r>
    <x v="0"/>
    <x v="1037"/>
    <n v="11062.5"/>
    <n v="5"/>
    <n v="55312.5"/>
  </r>
  <r>
    <x v="0"/>
    <x v="1038"/>
    <n v="11015.62"/>
    <n v="5"/>
    <n v="55078.100000000006"/>
  </r>
  <r>
    <x v="0"/>
    <x v="1039"/>
    <n v="11078.12"/>
    <n v="5"/>
    <n v="55390.600000000006"/>
  </r>
  <r>
    <x v="0"/>
    <x v="1040"/>
    <n v="11281.25"/>
    <n v="5"/>
    <n v="56406.25"/>
  </r>
  <r>
    <x v="0"/>
    <x v="1041"/>
    <n v="10937.5"/>
    <n v="5"/>
    <n v="54687.5"/>
  </r>
  <r>
    <x v="0"/>
    <x v="1042"/>
    <n v="12484.38"/>
    <n v="5"/>
    <n v="62421.899999999994"/>
  </r>
  <r>
    <x v="0"/>
    <x v="1043"/>
    <n v="12437.5"/>
    <n v="5"/>
    <n v="62187.5"/>
  </r>
  <r>
    <x v="0"/>
    <x v="1044"/>
    <n v="12453.12"/>
    <n v="5"/>
    <n v="62265.600000000006"/>
  </r>
  <r>
    <x v="0"/>
    <x v="1045"/>
    <n v="11812.5"/>
    <n v="5"/>
    <n v="59062.5"/>
  </r>
  <r>
    <x v="0"/>
    <x v="1046"/>
    <n v="10921.88"/>
    <n v="5"/>
    <n v="54609.399999999994"/>
  </r>
  <r>
    <x v="0"/>
    <x v="1047"/>
    <n v="11562.5"/>
    <n v="5"/>
    <n v="57812.5"/>
  </r>
  <r>
    <x v="0"/>
    <x v="1048"/>
    <n v="11500"/>
    <n v="5"/>
    <n v="57500"/>
  </r>
  <r>
    <x v="0"/>
    <x v="1049"/>
    <n v="11859.38"/>
    <n v="5"/>
    <n v="59296.899999999994"/>
  </r>
  <r>
    <x v="0"/>
    <x v="1050"/>
    <n v="11734.38"/>
    <n v="5"/>
    <n v="58671.899999999994"/>
  </r>
  <r>
    <x v="0"/>
    <x v="1051"/>
    <n v="11484.38"/>
    <n v="5"/>
    <n v="57421.899999999994"/>
  </r>
  <r>
    <x v="0"/>
    <x v="1052"/>
    <n v="11687.5"/>
    <n v="5"/>
    <n v="58437.5"/>
  </r>
  <r>
    <x v="0"/>
    <x v="1053"/>
    <n v="11625"/>
    <n v="5"/>
    <n v="58125"/>
  </r>
  <r>
    <x v="0"/>
    <x v="1054"/>
    <n v="11843.75"/>
    <n v="5"/>
    <n v="59218.75"/>
  </r>
  <r>
    <x v="0"/>
    <x v="1055"/>
    <n v="10984.38"/>
    <n v="5"/>
    <n v="54921.899999999994"/>
  </r>
  <r>
    <x v="0"/>
    <x v="1056"/>
    <n v="10640.62"/>
    <n v="5"/>
    <n v="53203.100000000006"/>
  </r>
  <r>
    <x v="0"/>
    <x v="1057"/>
    <n v="11203.12"/>
    <n v="5"/>
    <n v="56015.600000000006"/>
  </r>
  <r>
    <x v="0"/>
    <x v="1058"/>
    <n v="11250"/>
    <n v="5"/>
    <n v="56250"/>
  </r>
  <r>
    <x v="0"/>
    <x v="1059"/>
    <n v="10375"/>
    <n v="5"/>
    <n v="51875"/>
  </r>
  <r>
    <x v="0"/>
    <x v="1060"/>
    <n v="10625"/>
    <n v="5"/>
    <n v="53125"/>
  </r>
  <r>
    <x v="0"/>
    <x v="1061"/>
    <n v="10468.75"/>
    <n v="5"/>
    <n v="52343.75"/>
  </r>
  <r>
    <x v="0"/>
    <x v="1062"/>
    <n v="10593.75"/>
    <n v="5"/>
    <n v="52968.75"/>
  </r>
  <r>
    <x v="0"/>
    <x v="1063"/>
    <n v="10687.5"/>
    <n v="5"/>
    <n v="53437.5"/>
  </r>
  <r>
    <x v="0"/>
    <x v="1064"/>
    <n v="10531.25"/>
    <n v="5"/>
    <n v="52656.25"/>
  </r>
  <r>
    <x v="0"/>
    <x v="1065"/>
    <n v="10515.62"/>
    <n v="5"/>
    <n v="52578.100000000006"/>
  </r>
  <r>
    <x v="0"/>
    <x v="1066"/>
    <n v="10437.5"/>
    <n v="5"/>
    <n v="52187.5"/>
  </r>
  <r>
    <x v="0"/>
    <x v="1067"/>
    <n v="10687.5"/>
    <n v="5"/>
    <n v="53437.5"/>
  </r>
  <r>
    <x v="0"/>
    <x v="1068"/>
    <n v="10531.25"/>
    <n v="5"/>
    <n v="52656.25"/>
  </r>
  <r>
    <x v="0"/>
    <x v="1069"/>
    <n v="10718.75"/>
    <n v="5"/>
    <n v="53593.75"/>
  </r>
  <r>
    <x v="0"/>
    <x v="1070"/>
    <n v="11359.38"/>
    <n v="5"/>
    <n v="56796.899999999994"/>
  </r>
  <r>
    <x v="0"/>
    <x v="1071"/>
    <n v="11125"/>
    <n v="5"/>
    <n v="55625"/>
  </r>
  <r>
    <x v="0"/>
    <x v="1072"/>
    <n v="10109.379999999999"/>
    <n v="5"/>
    <n v="50546.899999999994"/>
  </r>
  <r>
    <x v="0"/>
    <x v="1073"/>
    <n v="9953.1200000000008"/>
    <n v="5"/>
    <n v="49765.600000000006"/>
  </r>
  <r>
    <x v="0"/>
    <x v="1074"/>
    <n v="9968.75"/>
    <n v="5"/>
    <n v="49843.75"/>
  </r>
  <r>
    <x v="0"/>
    <x v="1075"/>
    <n v="10937.5"/>
    <n v="5"/>
    <n v="54687.5"/>
  </r>
  <r>
    <x v="0"/>
    <x v="1076"/>
    <n v="11125"/>
    <n v="5"/>
    <n v="55625"/>
  </r>
  <r>
    <x v="0"/>
    <x v="1077"/>
    <n v="10937.5"/>
    <n v="5"/>
    <n v="54687.5"/>
  </r>
  <r>
    <x v="0"/>
    <x v="1078"/>
    <n v="11062.5"/>
    <n v="5"/>
    <n v="55312.5"/>
  </r>
  <r>
    <x v="0"/>
    <x v="1079"/>
    <n v="11281.25"/>
    <n v="5"/>
    <n v="56406.25"/>
  </r>
  <r>
    <x v="0"/>
    <x v="1080"/>
    <n v="11343.75"/>
    <n v="5"/>
    <n v="56718.75"/>
  </r>
  <r>
    <x v="0"/>
    <x v="1081"/>
    <n v="12000"/>
    <n v="5"/>
    <n v="60000"/>
  </r>
  <r>
    <x v="0"/>
    <x v="1082"/>
    <n v="11593.75"/>
    <n v="5"/>
    <n v="57968.75"/>
  </r>
  <r>
    <x v="0"/>
    <x v="1083"/>
    <n v="11562.5"/>
    <n v="5"/>
    <n v="57812.5"/>
  </r>
  <r>
    <x v="0"/>
    <x v="1084"/>
    <n v="11453.12"/>
    <n v="5"/>
    <n v="57265.600000000006"/>
  </r>
  <r>
    <x v="0"/>
    <x v="1085"/>
    <n v="11359.38"/>
    <n v="5"/>
    <n v="56796.899999999994"/>
  </r>
  <r>
    <x v="0"/>
    <x v="1086"/>
    <n v="10890.62"/>
    <n v="5"/>
    <n v="54453.100000000006"/>
  </r>
  <r>
    <x v="0"/>
    <x v="1087"/>
    <n v="10984.38"/>
    <n v="5"/>
    <n v="54921.899999999994"/>
  </r>
  <r>
    <x v="0"/>
    <x v="1088"/>
    <n v="11031.25"/>
    <n v="5"/>
    <n v="55156.25"/>
  </r>
  <r>
    <x v="0"/>
    <x v="1089"/>
    <n v="12109.38"/>
    <n v="5"/>
    <n v="60546.899999999994"/>
  </r>
  <r>
    <x v="0"/>
    <x v="1090"/>
    <n v="12109.38"/>
    <n v="5"/>
    <n v="60546.899999999994"/>
  </r>
  <r>
    <x v="0"/>
    <x v="1091"/>
    <n v="12390.62"/>
    <n v="5"/>
    <n v="61953.100000000006"/>
  </r>
  <r>
    <x v="0"/>
    <x v="1092"/>
    <n v="12156.25"/>
    <n v="5"/>
    <n v="60781.25"/>
  </r>
  <r>
    <x v="0"/>
    <x v="1093"/>
    <n v="11812.5"/>
    <n v="5"/>
    <n v="59062.5"/>
  </r>
  <r>
    <x v="0"/>
    <x v="1094"/>
    <n v="10562.5"/>
    <n v="5"/>
    <n v="52812.5"/>
  </r>
  <r>
    <x v="0"/>
    <x v="1095"/>
    <n v="10812.5"/>
    <n v="5"/>
    <n v="54062.5"/>
  </r>
  <r>
    <x v="0"/>
    <x v="1096"/>
    <n v="10750"/>
    <n v="5"/>
    <n v="53750"/>
  </r>
  <r>
    <x v="0"/>
    <x v="1097"/>
    <n v="10921.88"/>
    <n v="5"/>
    <n v="54609.399999999994"/>
  </r>
  <r>
    <x v="0"/>
    <x v="1098"/>
    <n v="10859.38"/>
    <n v="5"/>
    <n v="54296.899999999994"/>
  </r>
  <r>
    <x v="0"/>
    <x v="1099"/>
    <n v="12109.38"/>
    <n v="5"/>
    <n v="60546.899999999994"/>
  </r>
  <r>
    <x v="0"/>
    <x v="1100"/>
    <n v="11906.25"/>
    <n v="5"/>
    <n v="59531.25"/>
  </r>
  <r>
    <x v="0"/>
    <x v="1101"/>
    <n v="12359.38"/>
    <n v="5"/>
    <n v="61796.899999999994"/>
  </r>
  <r>
    <x v="0"/>
    <x v="1102"/>
    <n v="12203.12"/>
    <n v="5"/>
    <n v="61015.600000000006"/>
  </r>
  <r>
    <x v="0"/>
    <x v="1103"/>
    <n v="12609.38"/>
    <n v="5"/>
    <n v="63046.899999999994"/>
  </r>
  <r>
    <x v="0"/>
    <x v="1104"/>
    <n v="11968.75"/>
    <n v="5"/>
    <n v="59843.75"/>
  </r>
  <r>
    <x v="0"/>
    <x v="1105"/>
    <n v="11593.75"/>
    <n v="5"/>
    <n v="57968.75"/>
  </r>
  <r>
    <x v="0"/>
    <x v="1106"/>
    <n v="12203.12"/>
    <n v="5"/>
    <n v="61015.600000000006"/>
  </r>
  <r>
    <x v="0"/>
    <x v="1107"/>
    <n v="12187.5"/>
    <n v="5"/>
    <n v="60937.5"/>
  </r>
  <r>
    <x v="0"/>
    <x v="1108"/>
    <n v="12093.75"/>
    <n v="5"/>
    <n v="60468.75"/>
  </r>
  <r>
    <x v="0"/>
    <x v="1109"/>
    <n v="12468.75"/>
    <n v="5"/>
    <n v="62343.75"/>
  </r>
  <r>
    <x v="0"/>
    <x v="1110"/>
    <n v="12234.38"/>
    <n v="5"/>
    <n v="61171.899999999994"/>
  </r>
  <r>
    <x v="0"/>
    <x v="1111"/>
    <n v="12984.38"/>
    <n v="5"/>
    <n v="64921.899999999994"/>
  </r>
  <r>
    <x v="0"/>
    <x v="1112"/>
    <n v="13234.38"/>
    <n v="5"/>
    <n v="66171.899999999994"/>
  </r>
  <r>
    <x v="0"/>
    <x v="1113"/>
    <n v="14265.62"/>
    <n v="5"/>
    <n v="71328.100000000006"/>
  </r>
  <r>
    <x v="0"/>
    <x v="1114"/>
    <n v="14218.75"/>
    <n v="5"/>
    <n v="71093.75"/>
  </r>
  <r>
    <x v="0"/>
    <x v="1115"/>
    <n v="14875"/>
    <n v="5"/>
    <n v="74375"/>
  </r>
  <r>
    <x v="0"/>
    <x v="1116"/>
    <n v="15000"/>
    <n v="5"/>
    <n v="75000"/>
  </r>
  <r>
    <x v="0"/>
    <x v="1117"/>
    <n v="15031.25"/>
    <n v="5"/>
    <n v="75156.25"/>
  </r>
  <r>
    <x v="0"/>
    <x v="1118"/>
    <n v="14125"/>
    <n v="5"/>
    <n v="70625"/>
  </r>
  <r>
    <x v="0"/>
    <x v="1119"/>
    <n v="13843.75"/>
    <n v="5"/>
    <n v="69218.75"/>
  </r>
  <r>
    <x v="0"/>
    <x v="1120"/>
    <n v="13843.75"/>
    <n v="5"/>
    <n v="69218.75"/>
  </r>
  <r>
    <x v="0"/>
    <x v="1121"/>
    <n v="13984.38"/>
    <n v="5"/>
    <n v="69921.899999999994"/>
  </r>
  <r>
    <x v="0"/>
    <x v="1122"/>
    <n v="14250"/>
    <n v="5"/>
    <n v="71250"/>
  </r>
  <r>
    <x v="0"/>
    <x v="1123"/>
    <n v="14468.75"/>
    <n v="5"/>
    <n v="72343.75"/>
  </r>
  <r>
    <x v="0"/>
    <x v="1124"/>
    <n v="15156.25"/>
    <n v="5"/>
    <n v="75781.25"/>
  </r>
  <r>
    <x v="0"/>
    <x v="1125"/>
    <n v="15140.62"/>
    <n v="5"/>
    <n v="75703.100000000006"/>
  </r>
  <r>
    <x v="0"/>
    <x v="1126"/>
    <n v="15078.12"/>
    <n v="5"/>
    <n v="75390.600000000006"/>
  </r>
  <r>
    <x v="0"/>
    <x v="1127"/>
    <n v="14953.12"/>
    <n v="5"/>
    <n v="74765.600000000006"/>
  </r>
  <r>
    <x v="0"/>
    <x v="1128"/>
    <n v="15625"/>
    <n v="5"/>
    <n v="78125"/>
  </r>
  <r>
    <x v="0"/>
    <x v="1129"/>
    <n v="15421.88"/>
    <n v="5"/>
    <n v="77109.399999999994"/>
  </r>
  <r>
    <x v="0"/>
    <x v="1130"/>
    <n v="15203.12"/>
    <n v="5"/>
    <n v="76015.600000000006"/>
  </r>
  <r>
    <x v="0"/>
    <x v="1131"/>
    <n v="15156.25"/>
    <n v="5"/>
    <n v="75781.25"/>
  </r>
  <r>
    <x v="0"/>
    <x v="1132"/>
    <n v="15234.38"/>
    <n v="5"/>
    <n v="76171.899999999994"/>
  </r>
  <r>
    <x v="0"/>
    <x v="1133"/>
    <n v="15156.25"/>
    <n v="5"/>
    <n v="75781.25"/>
  </r>
  <r>
    <x v="0"/>
    <x v="1134"/>
    <n v="14828.12"/>
    <n v="5"/>
    <n v="74140.600000000006"/>
  </r>
  <r>
    <x v="0"/>
    <x v="1135"/>
    <n v="15453.12"/>
    <n v="5"/>
    <n v="77265.600000000006"/>
  </r>
  <r>
    <x v="0"/>
    <x v="1136"/>
    <n v="15656.25"/>
    <n v="5"/>
    <n v="78281.25"/>
  </r>
  <r>
    <x v="0"/>
    <x v="1137"/>
    <n v="15453.12"/>
    <n v="5"/>
    <n v="77265.600000000006"/>
  </r>
  <r>
    <x v="0"/>
    <x v="1138"/>
    <n v="15625"/>
    <n v="5"/>
    <n v="78125"/>
  </r>
  <r>
    <x v="0"/>
    <x v="1139"/>
    <n v="15328.12"/>
    <n v="5"/>
    <n v="76640.600000000006"/>
  </r>
  <r>
    <x v="0"/>
    <x v="1140"/>
    <n v="15031.25"/>
    <n v="5"/>
    <n v="75156.25"/>
  </r>
  <r>
    <x v="0"/>
    <x v="1141"/>
    <n v="14625"/>
    <n v="5"/>
    <n v="73125"/>
  </r>
  <r>
    <x v="0"/>
    <x v="1142"/>
    <n v="15609.38"/>
    <n v="5"/>
    <n v="78046.899999999994"/>
  </r>
  <r>
    <x v="0"/>
    <x v="1143"/>
    <n v="16765.62"/>
    <n v="5"/>
    <n v="83828.099999999991"/>
  </r>
  <r>
    <x v="0"/>
    <x v="1144"/>
    <n v="16515.62"/>
    <n v="5"/>
    <n v="82578.099999999991"/>
  </r>
  <r>
    <x v="0"/>
    <x v="1145"/>
    <n v="17468.75"/>
    <n v="5"/>
    <n v="87343.75"/>
  </r>
  <r>
    <x v="0"/>
    <x v="1146"/>
    <n v="17140.62"/>
    <n v="5"/>
    <n v="85703.099999999991"/>
  </r>
  <r>
    <x v="0"/>
    <x v="1147"/>
    <n v="15843.75"/>
    <n v="5"/>
    <n v="79218.75"/>
  </r>
  <r>
    <x v="0"/>
    <x v="1148"/>
    <n v="16125"/>
    <n v="5"/>
    <n v="80625"/>
  </r>
  <r>
    <x v="0"/>
    <x v="1149"/>
    <n v="16312.5"/>
    <n v="5"/>
    <n v="81562.5"/>
  </r>
  <r>
    <x v="0"/>
    <x v="1150"/>
    <n v="16734.38"/>
    <n v="5"/>
    <n v="83671.900000000009"/>
  </r>
  <r>
    <x v="0"/>
    <x v="1151"/>
    <n v="16468.75"/>
    <n v="5"/>
    <n v="82343.75"/>
  </r>
  <r>
    <x v="0"/>
    <x v="1152"/>
    <n v="16046.88"/>
    <n v="5"/>
    <n v="80234.399999999994"/>
  </r>
  <r>
    <x v="0"/>
    <x v="1153"/>
    <n v="14750"/>
    <n v="5"/>
    <n v="73750"/>
  </r>
  <r>
    <x v="0"/>
    <x v="1154"/>
    <n v="14109.38"/>
    <n v="5"/>
    <n v="70546.899999999994"/>
  </r>
  <r>
    <x v="0"/>
    <x v="1155"/>
    <n v="14265.62"/>
    <n v="5"/>
    <n v="71328.100000000006"/>
  </r>
  <r>
    <x v="0"/>
    <x v="1156"/>
    <n v="14203.12"/>
    <n v="5"/>
    <n v="71015.600000000006"/>
  </r>
  <r>
    <x v="0"/>
    <x v="1157"/>
    <n v="15140.62"/>
    <n v="5"/>
    <n v="75703.100000000006"/>
  </r>
  <r>
    <x v="0"/>
    <x v="1158"/>
    <n v="15718.75"/>
    <n v="5"/>
    <n v="78593.75"/>
  </r>
  <r>
    <x v="0"/>
    <x v="1159"/>
    <n v="15796.88"/>
    <n v="5"/>
    <n v="78984.399999999994"/>
  </r>
  <r>
    <x v="0"/>
    <x v="1160"/>
    <n v="15656.25"/>
    <n v="5"/>
    <n v="78281.25"/>
  </r>
  <r>
    <x v="0"/>
    <x v="1161"/>
    <n v="15609.38"/>
    <n v="5"/>
    <n v="78046.899999999994"/>
  </r>
  <r>
    <x v="0"/>
    <x v="1162"/>
    <n v="15640.62"/>
    <n v="5"/>
    <n v="78203.100000000006"/>
  </r>
  <r>
    <x v="0"/>
    <x v="1163"/>
    <n v="16468.75"/>
    <n v="5"/>
    <n v="82343.75"/>
  </r>
  <r>
    <x v="0"/>
    <x v="1164"/>
    <n v="16265.62"/>
    <n v="5"/>
    <n v="81328.100000000006"/>
  </r>
  <r>
    <x v="0"/>
    <x v="1165"/>
    <n v="16734.38"/>
    <n v="5"/>
    <n v="83671.900000000009"/>
  </r>
  <r>
    <x v="0"/>
    <x v="1166"/>
    <n v="16546.88"/>
    <n v="5"/>
    <n v="82734.400000000009"/>
  </r>
  <r>
    <x v="0"/>
    <x v="1167"/>
    <n v="16968.75"/>
    <n v="5"/>
    <n v="84843.75"/>
  </r>
  <r>
    <x v="0"/>
    <x v="1168"/>
    <n v="16953.12"/>
    <n v="5"/>
    <n v="84765.599999999991"/>
  </r>
  <r>
    <x v="0"/>
    <x v="1169"/>
    <n v="16828.12"/>
    <n v="5"/>
    <n v="84140.599999999991"/>
  </r>
  <r>
    <x v="0"/>
    <x v="1170"/>
    <n v="17046.88"/>
    <n v="5"/>
    <n v="85234.400000000009"/>
  </r>
  <r>
    <x v="0"/>
    <x v="1171"/>
    <n v="17171.88"/>
    <n v="5"/>
    <n v="85859.400000000009"/>
  </r>
  <r>
    <x v="0"/>
    <x v="1172"/>
    <n v="16296.88"/>
    <n v="5"/>
    <n v="81484.399999999994"/>
  </r>
  <r>
    <x v="0"/>
    <x v="1173"/>
    <n v="16796.88"/>
    <n v="5"/>
    <n v="83984.400000000009"/>
  </r>
  <r>
    <x v="0"/>
    <x v="1174"/>
    <n v="16718.75"/>
    <n v="5"/>
    <n v="83593.75"/>
  </r>
  <r>
    <x v="0"/>
    <x v="1175"/>
    <n v="17296.88"/>
    <n v="5"/>
    <n v="86484.400000000009"/>
  </r>
  <r>
    <x v="0"/>
    <x v="1176"/>
    <n v="17062.5"/>
    <n v="5"/>
    <n v="85312.5"/>
  </r>
  <r>
    <x v="0"/>
    <x v="1177"/>
    <n v="16921.88"/>
    <n v="5"/>
    <n v="84609.400000000009"/>
  </r>
  <r>
    <x v="0"/>
    <x v="1178"/>
    <n v="17421.88"/>
    <n v="5"/>
    <n v="87109.400000000009"/>
  </r>
  <r>
    <x v="0"/>
    <x v="1179"/>
    <n v="17265.62"/>
    <n v="5"/>
    <n v="86328.099999999991"/>
  </r>
  <r>
    <x v="0"/>
    <x v="1180"/>
    <n v="17218.75"/>
    <n v="5"/>
    <n v="86093.75"/>
  </r>
  <r>
    <x v="0"/>
    <x v="1181"/>
    <n v="17421.88"/>
    <n v="5"/>
    <n v="87109.400000000009"/>
  </r>
  <r>
    <x v="0"/>
    <x v="1182"/>
    <n v="17890.62"/>
    <n v="5"/>
    <n v="89453.099999999991"/>
  </r>
  <r>
    <x v="0"/>
    <x v="1183"/>
    <n v="17484.38"/>
    <n v="5"/>
    <n v="87421.900000000009"/>
  </r>
  <r>
    <x v="0"/>
    <x v="1184"/>
    <n v="18062.5"/>
    <n v="5"/>
    <n v="90312.5"/>
  </r>
  <r>
    <x v="0"/>
    <x v="1185"/>
    <n v="17640.62"/>
    <n v="5"/>
    <n v="88203.099999999991"/>
  </r>
  <r>
    <x v="0"/>
    <x v="1186"/>
    <n v="17578.12"/>
    <n v="5"/>
    <n v="87890.599999999991"/>
  </r>
  <r>
    <x v="0"/>
    <x v="1187"/>
    <n v="17906.25"/>
    <n v="5"/>
    <n v="89531.25"/>
  </r>
  <r>
    <x v="0"/>
    <x v="1188"/>
    <n v="18218.75"/>
    <n v="5"/>
    <n v="91093.75"/>
  </r>
  <r>
    <x v="0"/>
    <x v="1189"/>
    <n v="18984.38"/>
    <n v="5"/>
    <n v="94921.900000000009"/>
  </r>
  <r>
    <x v="0"/>
    <x v="1190"/>
    <n v="17859.38"/>
    <n v="5"/>
    <n v="89296.900000000009"/>
  </r>
  <r>
    <x v="0"/>
    <x v="1191"/>
    <n v="18062.5"/>
    <n v="5"/>
    <n v="90312.5"/>
  </r>
  <r>
    <x v="0"/>
    <x v="1192"/>
    <n v="17968.75"/>
    <n v="5"/>
    <n v="89843.75"/>
  </r>
  <r>
    <x v="0"/>
    <x v="1193"/>
    <n v="18453.12"/>
    <n v="5"/>
    <n v="92265.599999999991"/>
  </r>
  <r>
    <x v="0"/>
    <x v="1194"/>
    <n v="18593.75"/>
    <n v="5"/>
    <n v="92968.75"/>
  </r>
  <r>
    <x v="0"/>
    <x v="1195"/>
    <n v="18968.75"/>
    <n v="5"/>
    <n v="94843.75"/>
  </r>
  <r>
    <x v="0"/>
    <x v="1196"/>
    <n v="19375"/>
    <n v="5"/>
    <n v="96875"/>
  </r>
  <r>
    <x v="0"/>
    <x v="1197"/>
    <n v="19515.62"/>
    <n v="5"/>
    <n v="97578.099999999991"/>
  </r>
  <r>
    <x v="0"/>
    <x v="1198"/>
    <n v="19515.62"/>
    <n v="5"/>
    <n v="97578.099999999991"/>
  </r>
  <r>
    <x v="0"/>
    <x v="1199"/>
    <n v="19156.25"/>
    <n v="5"/>
    <n v="95781.25"/>
  </r>
  <r>
    <x v="0"/>
    <x v="1200"/>
    <n v="19468.75"/>
    <n v="5"/>
    <n v="97343.75"/>
  </r>
  <r>
    <x v="0"/>
    <x v="1201"/>
    <n v="19484.38"/>
    <n v="5"/>
    <n v="97421.900000000009"/>
  </r>
  <r>
    <x v="0"/>
    <x v="1202"/>
    <n v="20109.38"/>
    <n v="5"/>
    <n v="100546.90000000001"/>
  </r>
  <r>
    <x v="0"/>
    <x v="1203"/>
    <n v="20343.75"/>
    <n v="5"/>
    <n v="101718.75"/>
  </r>
  <r>
    <x v="0"/>
    <x v="1204"/>
    <n v="20281.25"/>
    <n v="5"/>
    <n v="101406.25"/>
  </r>
  <r>
    <x v="0"/>
    <x v="1205"/>
    <n v="20625"/>
    <n v="5"/>
    <n v="103125"/>
  </r>
  <r>
    <x v="0"/>
    <x v="1206"/>
    <n v="20390.62"/>
    <n v="5"/>
    <n v="101953.09999999999"/>
  </r>
  <r>
    <x v="0"/>
    <x v="1207"/>
    <n v="20312.5"/>
    <n v="5"/>
    <n v="101562.5"/>
  </r>
  <r>
    <x v="0"/>
    <x v="1208"/>
    <n v="20828.12"/>
    <n v="5"/>
    <n v="104140.59999999999"/>
  </r>
  <r>
    <x v="0"/>
    <x v="1209"/>
    <n v="20359.38"/>
    <n v="5"/>
    <n v="101796.90000000001"/>
  </r>
  <r>
    <x v="0"/>
    <x v="1210"/>
    <n v="20406.25"/>
    <n v="5"/>
    <n v="102031.25"/>
  </r>
  <r>
    <x v="0"/>
    <x v="1211"/>
    <n v="20109.38"/>
    <n v="5"/>
    <n v="100546.90000000001"/>
  </r>
  <r>
    <x v="0"/>
    <x v="1212"/>
    <n v="20750"/>
    <n v="5"/>
    <n v="103750"/>
  </r>
  <r>
    <x v="0"/>
    <x v="1213"/>
    <n v="20781.25"/>
    <n v="5"/>
    <n v="103906.25"/>
  </r>
  <r>
    <x v="0"/>
    <x v="1214"/>
    <n v="21218.75"/>
    <n v="5"/>
    <n v="106093.75"/>
  </r>
  <r>
    <x v="0"/>
    <x v="1215"/>
    <n v="22062.5"/>
    <n v="5"/>
    <n v="110312.5"/>
  </r>
  <r>
    <x v="0"/>
    <x v="1216"/>
    <n v="22203.119999999999"/>
    <n v="5"/>
    <n v="111015.59999999999"/>
  </r>
  <r>
    <x v="0"/>
    <x v="1217"/>
    <n v="22109.38"/>
    <n v="5"/>
    <n v="110546.90000000001"/>
  </r>
  <r>
    <x v="0"/>
    <x v="1218"/>
    <n v="21750"/>
    <n v="5"/>
    <n v="108750"/>
  </r>
  <r>
    <x v="0"/>
    <x v="1219"/>
    <n v="22593.75"/>
    <n v="5"/>
    <n v="112968.75"/>
  </r>
  <r>
    <x v="0"/>
    <x v="1220"/>
    <n v="22937.5"/>
    <n v="5"/>
    <n v="114687.5"/>
  </r>
  <r>
    <x v="0"/>
    <x v="1221"/>
    <n v="22093.75"/>
    <n v="5"/>
    <n v="110468.75"/>
  </r>
  <r>
    <x v="0"/>
    <x v="1222"/>
    <n v="22078.12"/>
    <n v="5"/>
    <n v="110390.59999999999"/>
  </r>
  <r>
    <x v="0"/>
    <x v="1223"/>
    <n v="21343.75"/>
    <n v="5"/>
    <n v="106718.75"/>
  </r>
  <r>
    <x v="0"/>
    <x v="1224"/>
    <n v="21578.12"/>
    <n v="5"/>
    <n v="107890.59999999999"/>
  </r>
  <r>
    <x v="0"/>
    <x v="1225"/>
    <n v="21140.62"/>
    <n v="5"/>
    <n v="105703.09999999999"/>
  </r>
  <r>
    <x v="0"/>
    <x v="1226"/>
    <n v="20937.5"/>
    <n v="5"/>
    <n v="104687.5"/>
  </r>
  <r>
    <x v="0"/>
    <x v="1227"/>
    <n v="20750"/>
    <n v="5"/>
    <n v="103750"/>
  </r>
  <r>
    <x v="0"/>
    <x v="1228"/>
    <n v="20718.75"/>
    <n v="5"/>
    <n v="103593.75"/>
  </r>
  <r>
    <x v="0"/>
    <x v="1229"/>
    <n v="20953.12"/>
    <n v="5"/>
    <n v="104765.59999999999"/>
  </r>
  <r>
    <x v="0"/>
    <x v="1230"/>
    <n v="20968.75"/>
    <n v="5"/>
    <n v="104843.75"/>
  </r>
  <r>
    <x v="0"/>
    <x v="1231"/>
    <n v="20484.38"/>
    <n v="5"/>
    <n v="102421.90000000001"/>
  </r>
  <r>
    <x v="0"/>
    <x v="1232"/>
    <n v="20234.38"/>
    <n v="5"/>
    <n v="101171.90000000001"/>
  </r>
  <r>
    <x v="0"/>
    <x v="1233"/>
    <n v="19843.75"/>
    <n v="5"/>
    <n v="99218.75"/>
  </r>
  <r>
    <x v="0"/>
    <x v="1234"/>
    <n v="19875"/>
    <n v="5"/>
    <n v="99375"/>
  </r>
  <r>
    <x v="0"/>
    <x v="1235"/>
    <n v="19765.62"/>
    <n v="5"/>
    <n v="98828.099999999991"/>
  </r>
  <r>
    <x v="0"/>
    <x v="1236"/>
    <n v="19546.88"/>
    <n v="5"/>
    <n v="97734.400000000009"/>
  </r>
  <r>
    <x v="0"/>
    <x v="1237"/>
    <n v="18890.62"/>
    <n v="5"/>
    <n v="94453.099999999991"/>
  </r>
  <r>
    <x v="0"/>
    <x v="1238"/>
    <n v="19312.5"/>
    <n v="5"/>
    <n v="96562.5"/>
  </r>
  <r>
    <x v="0"/>
    <x v="1239"/>
    <n v="19093.75"/>
    <n v="5"/>
    <n v="95468.75"/>
  </r>
  <r>
    <x v="0"/>
    <x v="1240"/>
    <n v="19062.5"/>
    <n v="5"/>
    <n v="95312.5"/>
  </r>
  <r>
    <x v="0"/>
    <x v="1241"/>
    <n v="18328.12"/>
    <n v="5"/>
    <n v="91640.599999999991"/>
  </r>
  <r>
    <x v="0"/>
    <x v="1242"/>
    <n v="18359.38"/>
    <n v="5"/>
    <n v="91796.900000000009"/>
  </r>
  <r>
    <x v="0"/>
    <x v="1243"/>
    <n v="18828.12"/>
    <n v="5"/>
    <n v="94140.599999999991"/>
  </r>
  <r>
    <x v="0"/>
    <x v="1244"/>
    <n v="19437.5"/>
    <n v="5"/>
    <n v="97187.5"/>
  </r>
  <r>
    <x v="0"/>
    <x v="1245"/>
    <n v="18421.88"/>
    <n v="5"/>
    <n v="92109.400000000009"/>
  </r>
  <r>
    <x v="0"/>
    <x v="1246"/>
    <n v="18343.75"/>
    <n v="5"/>
    <n v="91718.75"/>
  </r>
  <r>
    <x v="0"/>
    <x v="1247"/>
    <n v="19109.38"/>
    <n v="5"/>
    <n v="95546.900000000009"/>
  </r>
  <r>
    <x v="0"/>
    <x v="1248"/>
    <n v="18718.75"/>
    <n v="5"/>
    <n v="93593.75"/>
  </r>
  <r>
    <x v="0"/>
    <x v="1249"/>
    <n v="19250"/>
    <n v="5"/>
    <n v="96250"/>
  </r>
  <r>
    <x v="0"/>
    <x v="1250"/>
    <n v="19812.5"/>
    <n v="5"/>
    <n v="99062.5"/>
  </r>
  <r>
    <x v="0"/>
    <x v="1251"/>
    <n v="19750"/>
    <n v="5"/>
    <n v="98750"/>
  </r>
  <r>
    <x v="0"/>
    <x v="1252"/>
    <n v="19671.88"/>
    <n v="5"/>
    <n v="98359.400000000009"/>
  </r>
  <r>
    <x v="0"/>
    <x v="1253"/>
    <n v="19484.38"/>
    <n v="5"/>
    <n v="97421.900000000009"/>
  </r>
  <r>
    <x v="0"/>
    <x v="1254"/>
    <n v="18937.5"/>
    <n v="5"/>
    <n v="94687.5"/>
  </r>
  <r>
    <x v="0"/>
    <x v="1255"/>
    <n v="18640.62"/>
    <n v="5"/>
    <n v="93203.099999999991"/>
  </r>
  <r>
    <x v="0"/>
    <x v="1256"/>
    <n v="19359.38"/>
    <n v="5"/>
    <n v="96796.900000000009"/>
  </r>
  <r>
    <x v="0"/>
    <x v="1257"/>
    <n v="19171.88"/>
    <n v="5"/>
    <n v="95859.400000000009"/>
  </r>
  <r>
    <x v="0"/>
    <x v="1258"/>
    <n v="19109.38"/>
    <n v="5"/>
    <n v="95546.900000000009"/>
  </r>
  <r>
    <x v="0"/>
    <x v="1259"/>
    <n v="18921.88"/>
    <n v="5"/>
    <n v="94609.400000000009"/>
  </r>
  <r>
    <x v="0"/>
    <x v="1260"/>
    <n v="18656.25"/>
    <n v="5"/>
    <n v="93281.25"/>
  </r>
  <r>
    <x v="0"/>
    <x v="1261"/>
    <n v="18671.88"/>
    <n v="5"/>
    <n v="93359.400000000009"/>
  </r>
  <r>
    <x v="0"/>
    <x v="1262"/>
    <n v="19218.75"/>
    <n v="5"/>
    <n v="96093.75"/>
  </r>
  <r>
    <x v="0"/>
    <x v="1263"/>
    <n v="18921.88"/>
    <n v="5"/>
    <n v="94609.400000000009"/>
  </r>
  <r>
    <x v="0"/>
    <x v="1264"/>
    <n v="18656.25"/>
    <n v="5"/>
    <n v="93281.25"/>
  </r>
  <r>
    <x v="0"/>
    <x v="1265"/>
    <n v="18921.88"/>
    <n v="5"/>
    <n v="94609.400000000009"/>
  </r>
  <r>
    <x v="0"/>
    <x v="1266"/>
    <n v="19000"/>
    <n v="5"/>
    <n v="95000"/>
  </r>
  <r>
    <x v="0"/>
    <x v="1267"/>
    <n v="19000"/>
    <n v="5"/>
    <n v="95000"/>
  </r>
  <r>
    <x v="0"/>
    <x v="1268"/>
    <n v="19312.5"/>
    <n v="5"/>
    <n v="96562.5"/>
  </r>
  <r>
    <x v="0"/>
    <x v="1269"/>
    <n v="19296.88"/>
    <n v="5"/>
    <n v="96484.400000000009"/>
  </r>
  <r>
    <x v="0"/>
    <x v="1270"/>
    <n v="19265.62"/>
    <n v="5"/>
    <n v="96328.099999999991"/>
  </r>
  <r>
    <x v="0"/>
    <x v="1271"/>
    <n v="19437.5"/>
    <n v="5"/>
    <n v="97187.5"/>
  </r>
  <r>
    <x v="0"/>
    <x v="1272"/>
    <n v="19640.62"/>
    <n v="5"/>
    <n v="98203.099999999991"/>
  </r>
  <r>
    <x v="0"/>
    <x v="1273"/>
    <n v="19515.62"/>
    <n v="5"/>
    <n v="97578.099999999991"/>
  </r>
  <r>
    <x v="0"/>
    <x v="1274"/>
    <n v="19640.62"/>
    <n v="5"/>
    <n v="98203.099999999991"/>
  </r>
  <r>
    <x v="0"/>
    <x v="1275"/>
    <n v="19781.25"/>
    <n v="5"/>
    <n v="98906.25"/>
  </r>
  <r>
    <x v="0"/>
    <x v="1276"/>
    <n v="19750"/>
    <n v="5"/>
    <n v="98750"/>
  </r>
  <r>
    <x v="0"/>
    <x v="1277"/>
    <n v="19484.38"/>
    <n v="5"/>
    <n v="97421.900000000009"/>
  </r>
  <r>
    <x v="0"/>
    <x v="1278"/>
    <n v="19328.12"/>
    <n v="5"/>
    <n v="96640.599999999991"/>
  </r>
  <r>
    <x v="0"/>
    <x v="1279"/>
    <n v="19640.62"/>
    <n v="5"/>
    <n v="98203.099999999991"/>
  </r>
  <r>
    <x v="0"/>
    <x v="1280"/>
    <n v="19296.88"/>
    <n v="5"/>
    <n v="96484.400000000009"/>
  </r>
  <r>
    <x v="0"/>
    <x v="1281"/>
    <n v="19343.75"/>
    <n v="5"/>
    <n v="96718.75"/>
  </r>
  <r>
    <x v="0"/>
    <x v="1282"/>
    <n v="19484.38"/>
    <n v="5"/>
    <n v="97421.900000000009"/>
  </r>
  <r>
    <x v="0"/>
    <x v="1283"/>
    <n v="19890.62"/>
    <n v="5"/>
    <n v="99453.099999999991"/>
  </r>
  <r>
    <x v="0"/>
    <x v="1284"/>
    <n v="19765.62"/>
    <n v="5"/>
    <n v="98828.099999999991"/>
  </r>
  <r>
    <x v="0"/>
    <x v="1285"/>
    <n v="19640.62"/>
    <n v="5"/>
    <n v="98203.099999999991"/>
  </r>
  <r>
    <x v="0"/>
    <x v="1286"/>
    <n v="19921.88"/>
    <n v="5"/>
    <n v="99609.400000000009"/>
  </r>
  <r>
    <x v="0"/>
    <x v="1287"/>
    <n v="19500"/>
    <n v="5"/>
    <n v="97500"/>
  </r>
  <r>
    <x v="0"/>
    <x v="1288"/>
    <n v="19421.88"/>
    <n v="5"/>
    <n v="97109.400000000009"/>
  </r>
  <r>
    <x v="0"/>
    <x v="1289"/>
    <n v="19484.38"/>
    <n v="5"/>
    <n v="97421.900000000009"/>
  </r>
  <r>
    <x v="0"/>
    <x v="1290"/>
    <n v="19390.62"/>
    <n v="5"/>
    <n v="96953.099999999991"/>
  </r>
  <r>
    <x v="0"/>
    <x v="1291"/>
    <n v="18968.75"/>
    <n v="5"/>
    <n v="94843.75"/>
  </r>
  <r>
    <x v="0"/>
    <x v="1292"/>
    <n v="19031.25"/>
    <n v="5"/>
    <n v="95156.25"/>
  </r>
  <r>
    <x v="0"/>
    <x v="1293"/>
    <n v="19031.25"/>
    <n v="5"/>
    <n v="95156.25"/>
  </r>
  <r>
    <x v="0"/>
    <x v="1294"/>
    <n v="19062.5"/>
    <n v="5"/>
    <n v="95312.5"/>
  </r>
  <r>
    <x v="0"/>
    <x v="1295"/>
    <n v="19156.25"/>
    <n v="5"/>
    <n v="95781.25"/>
  </r>
  <r>
    <x v="0"/>
    <x v="1296"/>
    <n v="19390.62"/>
    <n v="5"/>
    <n v="96953.099999999991"/>
  </r>
  <r>
    <x v="0"/>
    <x v="1297"/>
    <n v="19765.62"/>
    <n v="5"/>
    <n v="98828.099999999991"/>
  </r>
  <r>
    <x v="0"/>
    <x v="1298"/>
    <n v="19890.62"/>
    <n v="5"/>
    <n v="99453.099999999991"/>
  </r>
  <r>
    <x v="0"/>
    <x v="1299"/>
    <n v="19796.88"/>
    <n v="5"/>
    <n v="98984.400000000009"/>
  </r>
  <r>
    <x v="0"/>
    <x v="1300"/>
    <n v="20000"/>
    <n v="5"/>
    <n v="100000"/>
  </r>
  <r>
    <x v="0"/>
    <x v="1301"/>
    <n v="19718.75"/>
    <n v="5"/>
    <n v="98593.75"/>
  </r>
  <r>
    <x v="0"/>
    <x v="1302"/>
    <n v="19328.12"/>
    <n v="5"/>
    <n v="96640.599999999991"/>
  </r>
  <r>
    <x v="0"/>
    <x v="1303"/>
    <n v="19328.12"/>
    <n v="5"/>
    <n v="96640.599999999991"/>
  </r>
  <r>
    <x v="0"/>
    <x v="1304"/>
    <n v="18015.62"/>
    <n v="5"/>
    <n v="90078.099999999991"/>
  </r>
  <r>
    <x v="0"/>
    <x v="1305"/>
    <n v="18359.38"/>
    <n v="5"/>
    <n v="91796.900000000009"/>
  </r>
  <r>
    <x v="0"/>
    <x v="1306"/>
    <n v="18500"/>
    <n v="5"/>
    <n v="92500"/>
  </r>
  <r>
    <x v="0"/>
    <x v="1307"/>
    <n v="18390.62"/>
    <n v="5"/>
    <n v="91953.099999999991"/>
  </r>
  <r>
    <x v="0"/>
    <x v="1308"/>
    <n v="18562.5"/>
    <n v="5"/>
    <n v="92812.5"/>
  </r>
  <r>
    <x v="0"/>
    <x v="1309"/>
    <n v="17640.62"/>
    <n v="5"/>
    <n v="88203.099999999991"/>
  </r>
  <r>
    <x v="0"/>
    <x v="1310"/>
    <n v="17671.88"/>
    <n v="5"/>
    <n v="88359.400000000009"/>
  </r>
  <r>
    <x v="0"/>
    <x v="1311"/>
    <n v="17562.5"/>
    <n v="5"/>
    <n v="87812.5"/>
  </r>
  <r>
    <x v="0"/>
    <x v="1312"/>
    <n v="17406.25"/>
    <n v="5"/>
    <n v="87031.25"/>
  </r>
  <r>
    <x v="0"/>
    <x v="1313"/>
    <n v="17343.75"/>
    <n v="5"/>
    <n v="86718.75"/>
  </r>
  <r>
    <x v="0"/>
    <x v="1314"/>
    <n v="16953.12"/>
    <n v="5"/>
    <n v="84765.599999999991"/>
  </r>
  <r>
    <x v="0"/>
    <x v="1315"/>
    <n v="17328.12"/>
    <n v="5"/>
    <n v="86640.599999999991"/>
  </r>
  <r>
    <x v="0"/>
    <x v="1316"/>
    <n v="17203.12"/>
    <n v="5"/>
    <n v="86015.599999999991"/>
  </r>
  <r>
    <x v="0"/>
    <x v="1317"/>
    <n v="16296.88"/>
    <n v="5"/>
    <n v="81484.399999999994"/>
  </r>
  <r>
    <x v="0"/>
    <x v="1318"/>
    <n v="16343.75"/>
    <n v="5"/>
    <n v="81718.75"/>
  </r>
  <r>
    <x v="0"/>
    <x v="1319"/>
    <n v="16421.88"/>
    <n v="5"/>
    <n v="82109.400000000009"/>
  </r>
  <r>
    <x v="0"/>
    <x v="1320"/>
    <n v="17296.88"/>
    <n v="5"/>
    <n v="86484.400000000009"/>
  </r>
  <r>
    <x v="0"/>
    <x v="1321"/>
    <n v="17562.5"/>
    <n v="5"/>
    <n v="87812.5"/>
  </r>
  <r>
    <x v="0"/>
    <x v="1322"/>
    <n v="17015.62"/>
    <n v="5"/>
    <n v="85078.099999999991"/>
  </r>
  <r>
    <x v="0"/>
    <x v="1323"/>
    <n v="16453.12"/>
    <n v="5"/>
    <n v="82265.599999999991"/>
  </r>
  <r>
    <x v="0"/>
    <x v="1324"/>
    <n v="16718.75"/>
    <n v="5"/>
    <n v="83593.75"/>
  </r>
  <r>
    <x v="0"/>
    <x v="1325"/>
    <n v="16765.62"/>
    <n v="5"/>
    <n v="83828.099999999991"/>
  </r>
  <r>
    <x v="0"/>
    <x v="1326"/>
    <n v="15843.75"/>
    <n v="5"/>
    <n v="79218.75"/>
  </r>
  <r>
    <x v="0"/>
    <x v="1327"/>
    <n v="16171.88"/>
    <n v="5"/>
    <n v="80859.399999999994"/>
  </r>
  <r>
    <x v="0"/>
    <x v="1328"/>
    <n v="16593.75"/>
    <n v="5"/>
    <n v="82968.75"/>
  </r>
  <r>
    <x v="0"/>
    <x v="1329"/>
    <n v="15953.12"/>
    <n v="5"/>
    <n v="79765.600000000006"/>
  </r>
  <r>
    <x v="0"/>
    <x v="1330"/>
    <n v="15968.75"/>
    <n v="5"/>
    <n v="79843.75"/>
  </r>
  <r>
    <x v="0"/>
    <x v="1331"/>
    <n v="16000"/>
    <n v="5"/>
    <n v="80000"/>
  </r>
  <r>
    <x v="0"/>
    <x v="1332"/>
    <n v="16687.5"/>
    <n v="5"/>
    <n v="83437.5"/>
  </r>
  <r>
    <x v="0"/>
    <x v="1333"/>
    <n v="16843.75"/>
    <n v="5"/>
    <n v="84218.75"/>
  </r>
  <r>
    <x v="0"/>
    <x v="1334"/>
    <n v="16500"/>
    <n v="5"/>
    <n v="82500"/>
  </r>
  <r>
    <x v="0"/>
    <x v="1335"/>
    <n v="16578.12"/>
    <n v="5"/>
    <n v="82890.599999999991"/>
  </r>
  <r>
    <x v="0"/>
    <x v="1336"/>
    <n v="16390.62"/>
    <n v="5"/>
    <n v="81953.099999999991"/>
  </r>
  <r>
    <x v="0"/>
    <x v="1337"/>
    <n v="17203.12"/>
    <n v="5"/>
    <n v="86015.599999999991"/>
  </r>
  <r>
    <x v="0"/>
    <x v="1338"/>
    <n v="16937.5"/>
    <n v="5"/>
    <n v="84687.5"/>
  </r>
  <r>
    <x v="0"/>
    <x v="1339"/>
    <n v="17718.75"/>
    <n v="5"/>
    <n v="88593.75"/>
  </r>
  <r>
    <x v="0"/>
    <x v="1340"/>
    <n v="18062.5"/>
    <n v="5"/>
    <n v="90312.5"/>
  </r>
  <r>
    <x v="0"/>
    <x v="1341"/>
    <n v="17531.25"/>
    <n v="5"/>
    <n v="87656.25"/>
  </r>
  <r>
    <x v="0"/>
    <x v="1342"/>
    <n v="17500"/>
    <n v="5"/>
    <n v="87500"/>
  </r>
  <r>
    <x v="0"/>
    <x v="1343"/>
    <n v="17265.62"/>
    <n v="5"/>
    <n v="86328.099999999991"/>
  </r>
  <r>
    <x v="0"/>
    <x v="1344"/>
    <n v="16234.38"/>
    <n v="5"/>
    <n v="81171.899999999994"/>
  </r>
  <r>
    <x v="0"/>
    <x v="1345"/>
    <n v="17531.25"/>
    <n v="5"/>
    <n v="87656.25"/>
  </r>
  <r>
    <x v="0"/>
    <x v="1346"/>
    <n v="17765.62"/>
    <n v="5"/>
    <n v="88828.099999999991"/>
  </r>
  <r>
    <x v="0"/>
    <x v="1347"/>
    <n v="18421.88"/>
    <n v="5"/>
    <n v="92109.400000000009"/>
  </r>
  <r>
    <x v="0"/>
    <x v="1348"/>
    <n v="18437.5"/>
    <n v="5"/>
    <n v="92187.5"/>
  </r>
  <r>
    <x v="0"/>
    <x v="1349"/>
    <n v="18609.38"/>
    <n v="5"/>
    <n v="93046.900000000009"/>
  </r>
  <r>
    <x v="0"/>
    <x v="1350"/>
    <n v="18437.5"/>
    <n v="5"/>
    <n v="92187.5"/>
  </r>
  <r>
    <x v="0"/>
    <x v="1351"/>
    <n v="18328.12"/>
    <n v="5"/>
    <n v="91640.599999999991"/>
  </r>
  <r>
    <x v="0"/>
    <x v="1352"/>
    <n v="18640.62"/>
    <n v="5"/>
    <n v="93203.099999999991"/>
  </r>
  <r>
    <x v="0"/>
    <x v="1353"/>
    <n v="18109.38"/>
    <n v="5"/>
    <n v="90546.900000000009"/>
  </r>
  <r>
    <x v="0"/>
    <x v="1354"/>
    <n v="18125"/>
    <n v="5"/>
    <n v="90625"/>
  </r>
  <r>
    <x v="0"/>
    <x v="1355"/>
    <n v="17859.38"/>
    <n v="5"/>
    <n v="89296.900000000009"/>
  </r>
  <r>
    <x v="0"/>
    <x v="1356"/>
    <n v="18984.38"/>
    <n v="5"/>
    <n v="94921.900000000009"/>
  </r>
  <r>
    <x v="0"/>
    <x v="1357"/>
    <n v="18296.88"/>
    <n v="5"/>
    <n v="91484.400000000009"/>
  </r>
  <r>
    <x v="0"/>
    <x v="1358"/>
    <n v="18359.38"/>
    <n v="5"/>
    <n v="91796.900000000009"/>
  </r>
  <r>
    <x v="0"/>
    <x v="1359"/>
    <n v="18312.5"/>
    <n v="5"/>
    <n v="91562.5"/>
  </r>
  <r>
    <x v="0"/>
    <x v="1360"/>
    <n v="18265.62"/>
    <n v="5"/>
    <n v="91328.099999999991"/>
  </r>
  <r>
    <x v="0"/>
    <x v="1361"/>
    <n v="17968.75"/>
    <n v="5"/>
    <n v="89843.75"/>
  </r>
  <r>
    <x v="0"/>
    <x v="1362"/>
    <n v="17750"/>
    <n v="5"/>
    <n v="88750"/>
  </r>
  <r>
    <x v="0"/>
    <x v="1363"/>
    <n v="17609.38"/>
    <n v="5"/>
    <n v="88046.900000000009"/>
  </r>
  <r>
    <x v="0"/>
    <x v="1364"/>
    <n v="18046.88"/>
    <n v="5"/>
    <n v="90234.400000000009"/>
  </r>
  <r>
    <x v="0"/>
    <x v="1365"/>
    <n v="18234.38"/>
    <n v="5"/>
    <n v="91171.900000000009"/>
  </r>
  <r>
    <x v="0"/>
    <x v="1366"/>
    <n v="18265.62"/>
    <n v="5"/>
    <n v="91328.099999999991"/>
  </r>
  <r>
    <x v="0"/>
    <x v="1367"/>
    <n v="18453.12"/>
    <n v="5"/>
    <n v="92265.599999999991"/>
  </r>
  <r>
    <x v="0"/>
    <x v="1368"/>
    <n v="18906.25"/>
    <n v="5"/>
    <n v="94531.25"/>
  </r>
  <r>
    <x v="0"/>
    <x v="1369"/>
    <n v="18812.5"/>
    <n v="5"/>
    <n v="94062.5"/>
  </r>
  <r>
    <x v="0"/>
    <x v="1370"/>
    <n v="18265.62"/>
    <n v="5"/>
    <n v="91328.099999999991"/>
  </r>
  <r>
    <x v="0"/>
    <x v="1371"/>
    <n v="18609.38"/>
    <n v="5"/>
    <n v="93046.900000000009"/>
  </r>
  <r>
    <x v="0"/>
    <x v="1372"/>
    <n v="18375"/>
    <n v="5"/>
    <n v="91875"/>
  </r>
  <r>
    <x v="0"/>
    <x v="1373"/>
    <n v="18234.38"/>
    <n v="5"/>
    <n v="91171.900000000009"/>
  </r>
  <r>
    <x v="0"/>
    <x v="1374"/>
    <n v="18281.25"/>
    <n v="5"/>
    <n v="91406.25"/>
  </r>
  <r>
    <x v="0"/>
    <x v="1375"/>
    <n v="18359.38"/>
    <n v="5"/>
    <n v="91796.900000000009"/>
  </r>
  <r>
    <x v="0"/>
    <x v="1376"/>
    <n v="18062.5"/>
    <n v="5"/>
    <n v="90312.5"/>
  </r>
  <r>
    <x v="0"/>
    <x v="1377"/>
    <n v="18703.12"/>
    <n v="5"/>
    <n v="93515.599999999991"/>
  </r>
  <r>
    <x v="0"/>
    <x v="1378"/>
    <n v="18781.25"/>
    <n v="5"/>
    <n v="93906.25"/>
  </r>
  <r>
    <x v="0"/>
    <x v="1379"/>
    <n v="18468.75"/>
    <n v="5"/>
    <n v="92343.75"/>
  </r>
  <r>
    <x v="0"/>
    <x v="1380"/>
    <n v="17609.38"/>
    <n v="5"/>
    <n v="88046.900000000009"/>
  </r>
  <r>
    <x v="0"/>
    <x v="1381"/>
    <n v="19156.25"/>
    <n v="5"/>
    <n v="95781.25"/>
  </r>
  <r>
    <x v="0"/>
    <x v="1382"/>
    <n v="19125"/>
    <n v="5"/>
    <n v="95625"/>
  </r>
  <r>
    <x v="0"/>
    <x v="1383"/>
    <n v="18843.75"/>
    <n v="5"/>
    <n v="94218.75"/>
  </r>
  <r>
    <x v="0"/>
    <x v="1384"/>
    <n v="18687.5"/>
    <n v="5"/>
    <n v="93437.5"/>
  </r>
  <r>
    <x v="0"/>
    <x v="1385"/>
    <n v="18968.75"/>
    <n v="5"/>
    <n v="94843.75"/>
  </r>
  <r>
    <x v="0"/>
    <x v="1386"/>
    <n v="18656.25"/>
    <n v="5"/>
    <n v="93281.25"/>
  </r>
  <r>
    <x v="0"/>
    <x v="1387"/>
    <n v="18906.25"/>
    <n v="5"/>
    <n v="94531.25"/>
  </r>
  <r>
    <x v="0"/>
    <x v="1388"/>
    <n v="18812.5"/>
    <n v="5"/>
    <n v="94062.5"/>
  </r>
  <r>
    <x v="0"/>
    <x v="1389"/>
    <n v="18625"/>
    <n v="5"/>
    <n v="93125"/>
  </r>
  <r>
    <x v="0"/>
    <x v="1390"/>
    <n v="18531.25"/>
    <n v="5"/>
    <n v="92656.25"/>
  </r>
  <r>
    <x v="0"/>
    <x v="1391"/>
    <n v="18531.25"/>
    <n v="5"/>
    <n v="92656.25"/>
  </r>
  <r>
    <x v="0"/>
    <x v="1392"/>
    <n v="18843.75"/>
    <n v="5"/>
    <n v="94218.75"/>
  </r>
  <r>
    <x v="0"/>
    <x v="1393"/>
    <n v="18875"/>
    <n v="5"/>
    <n v="94375"/>
  </r>
  <r>
    <x v="0"/>
    <x v="1394"/>
    <n v="19156.25"/>
    <n v="5"/>
    <n v="95781.25"/>
  </r>
  <r>
    <x v="0"/>
    <x v="1395"/>
    <n v="19328.12"/>
    <n v="5"/>
    <n v="96640.599999999991"/>
  </r>
  <r>
    <x v="0"/>
    <x v="1396"/>
    <n v="19593.75"/>
    <n v="5"/>
    <n v="97968.75"/>
  </r>
  <r>
    <x v="0"/>
    <x v="1397"/>
    <n v="19390.62"/>
    <n v="5"/>
    <n v="96953.099999999991"/>
  </r>
  <r>
    <x v="0"/>
    <x v="1398"/>
    <n v="19890.62"/>
    <n v="5"/>
    <n v="99453.099999999991"/>
  </r>
  <r>
    <x v="0"/>
    <x v="1399"/>
    <n v="19296.88"/>
    <n v="5"/>
    <n v="96484.400000000009"/>
  </r>
  <r>
    <x v="0"/>
    <x v="1400"/>
    <n v="19359.38"/>
    <n v="5"/>
    <n v="96796.900000000009"/>
  </r>
  <r>
    <x v="0"/>
    <x v="1401"/>
    <n v="19671.88"/>
    <n v="5"/>
    <n v="98359.400000000009"/>
  </r>
  <r>
    <x v="0"/>
    <x v="1402"/>
    <n v="19125"/>
    <n v="5"/>
    <n v="95625"/>
  </r>
  <r>
    <x v="0"/>
    <x v="1403"/>
    <n v="19156.25"/>
    <n v="5"/>
    <n v="95781.25"/>
  </r>
  <r>
    <x v="0"/>
    <x v="1404"/>
    <n v="18734.38"/>
    <n v="5"/>
    <n v="93671.900000000009"/>
  </r>
  <r>
    <x v="0"/>
    <x v="1405"/>
    <n v="18515.62"/>
    <n v="5"/>
    <n v="92578.099999999991"/>
  </r>
  <r>
    <x v="0"/>
    <x v="1406"/>
    <n v="18625"/>
    <n v="5"/>
    <n v="93125"/>
  </r>
  <r>
    <x v="0"/>
    <x v="1407"/>
    <n v="18453.12"/>
    <n v="5"/>
    <n v="92265.599999999991"/>
  </r>
  <r>
    <x v="0"/>
    <x v="1408"/>
    <n v="18765.62"/>
    <n v="5"/>
    <n v="93828.099999999991"/>
  </r>
  <r>
    <x v="0"/>
    <x v="1409"/>
    <n v="19140.62"/>
    <n v="5"/>
    <n v="95703.099999999991"/>
  </r>
  <r>
    <x v="0"/>
    <x v="1410"/>
    <n v="19593.75"/>
    <n v="5"/>
    <n v="97968.75"/>
  </r>
  <r>
    <x v="0"/>
    <x v="1411"/>
    <n v="18875"/>
    <n v="5"/>
    <n v="94375"/>
  </r>
  <r>
    <x v="0"/>
    <x v="1412"/>
    <n v="18765.62"/>
    <n v="5"/>
    <n v="93828.099999999991"/>
  </r>
  <r>
    <x v="0"/>
    <x v="1413"/>
    <n v="18625"/>
    <n v="5"/>
    <n v="93125"/>
  </r>
  <r>
    <x v="0"/>
    <x v="1414"/>
    <n v="18265.62"/>
    <n v="5"/>
    <n v="91328.099999999991"/>
  </r>
  <r>
    <x v="0"/>
    <x v="1415"/>
    <n v="17843.75"/>
    <n v="5"/>
    <n v="89218.75"/>
  </r>
  <r>
    <x v="0"/>
    <x v="1416"/>
    <n v="18156.25"/>
    <n v="5"/>
    <n v="90781.25"/>
  </r>
  <r>
    <x v="0"/>
    <x v="1417"/>
    <n v="18156.25"/>
    <n v="5"/>
    <n v="90781.25"/>
  </r>
  <r>
    <x v="0"/>
    <x v="1418"/>
    <n v="18093.75"/>
    <n v="5"/>
    <n v="90468.75"/>
  </r>
  <r>
    <x v="0"/>
    <x v="1419"/>
    <n v="18109.38"/>
    <n v="5"/>
    <n v="90546.900000000009"/>
  </r>
  <r>
    <x v="0"/>
    <x v="1420"/>
    <n v="17562.5"/>
    <n v="5"/>
    <n v="87812.5"/>
  </r>
  <r>
    <x v="0"/>
    <x v="1421"/>
    <n v="17718.75"/>
    <n v="5"/>
    <n v="88593.75"/>
  </r>
  <r>
    <x v="0"/>
    <x v="1422"/>
    <n v="18109.38"/>
    <n v="5"/>
    <n v="90546.900000000009"/>
  </r>
  <r>
    <x v="0"/>
    <x v="1423"/>
    <n v="19015.62"/>
    <n v="5"/>
    <n v="95078.099999999991"/>
  </r>
  <r>
    <x v="0"/>
    <x v="1424"/>
    <n v="19156.25"/>
    <n v="5"/>
    <n v="95781.25"/>
  </r>
  <r>
    <x v="0"/>
    <x v="1425"/>
    <n v="19484.38"/>
    <n v="5"/>
    <n v="97421.900000000009"/>
  </r>
  <r>
    <x v="0"/>
    <x v="1426"/>
    <n v="19625"/>
    <n v="5"/>
    <n v="98125"/>
  </r>
  <r>
    <x v="0"/>
    <x v="1427"/>
    <n v="18937.5"/>
    <n v="5"/>
    <n v="94687.5"/>
  </r>
  <r>
    <x v="0"/>
    <x v="1428"/>
    <n v="18765.62"/>
    <n v="5"/>
    <n v="93828.099999999991"/>
  </r>
  <r>
    <x v="0"/>
    <x v="1429"/>
    <n v="18406.25"/>
    <n v="5"/>
    <n v="92031.25"/>
  </r>
  <r>
    <x v="0"/>
    <x v="1430"/>
    <n v="18468.75"/>
    <n v="5"/>
    <n v="92343.75"/>
  </r>
  <r>
    <x v="0"/>
    <x v="1431"/>
    <n v="17984.38"/>
    <n v="5"/>
    <n v="89921.900000000009"/>
  </r>
  <r>
    <x v="0"/>
    <x v="1432"/>
    <n v="18500"/>
    <n v="5"/>
    <n v="92500"/>
  </r>
  <r>
    <x v="0"/>
    <x v="1433"/>
    <n v="18640.62"/>
    <n v="5"/>
    <n v="93203.099999999991"/>
  </r>
  <r>
    <x v="0"/>
    <x v="1434"/>
    <n v="18578.12"/>
    <n v="5"/>
    <n v="92890.599999999991"/>
  </r>
  <r>
    <x v="0"/>
    <x v="1435"/>
    <n v="18828.12"/>
    <n v="5"/>
    <n v="94140.599999999991"/>
  </r>
  <r>
    <x v="0"/>
    <x v="1436"/>
    <n v="18812.5"/>
    <n v="5"/>
    <n v="94062.5"/>
  </r>
  <r>
    <x v="0"/>
    <x v="1437"/>
    <n v="18890.62"/>
    <n v="5"/>
    <n v="94453.099999999991"/>
  </r>
  <r>
    <x v="0"/>
    <x v="1438"/>
    <n v="18671.88"/>
    <n v="5"/>
    <n v="93359.400000000009"/>
  </r>
  <r>
    <x v="0"/>
    <x v="1439"/>
    <n v="18656.25"/>
    <n v="5"/>
    <n v="93281.25"/>
  </r>
  <r>
    <x v="0"/>
    <x v="1440"/>
    <n v="18703.12"/>
    <n v="5"/>
    <n v="93515.599999999991"/>
  </r>
  <r>
    <x v="0"/>
    <x v="1441"/>
    <n v="18703.12"/>
    <n v="5"/>
    <n v="93515.599999999991"/>
  </r>
  <r>
    <x v="0"/>
    <x v="1442"/>
    <n v="18875"/>
    <n v="5"/>
    <n v="94375"/>
  </r>
  <r>
    <x v="0"/>
    <x v="1443"/>
    <n v="18828.12"/>
    <n v="5"/>
    <n v="94140.599999999991"/>
  </r>
  <r>
    <x v="0"/>
    <x v="1444"/>
    <n v="18843.75"/>
    <n v="5"/>
    <n v="94218.75"/>
  </r>
  <r>
    <x v="0"/>
    <x v="1445"/>
    <n v="18375"/>
    <n v="5"/>
    <n v="91875"/>
  </r>
  <r>
    <x v="0"/>
    <x v="1446"/>
    <n v="18281.25"/>
    <n v="5"/>
    <n v="91406.25"/>
  </r>
  <r>
    <x v="0"/>
    <x v="1447"/>
    <n v="17812.5"/>
    <n v="5"/>
    <n v="89062.5"/>
  </r>
  <r>
    <x v="0"/>
    <x v="1448"/>
    <n v="17765.62"/>
    <n v="5"/>
    <n v="88828.099999999991"/>
  </r>
  <r>
    <x v="0"/>
    <x v="1449"/>
    <n v="17593.75"/>
    <n v="5"/>
    <n v="87968.75"/>
  </r>
  <r>
    <x v="0"/>
    <x v="1450"/>
    <n v="17578.12"/>
    <n v="5"/>
    <n v="87890.599999999991"/>
  </r>
  <r>
    <x v="0"/>
    <x v="1451"/>
    <n v="17781.25"/>
    <n v="5"/>
    <n v="88906.25"/>
  </r>
  <r>
    <x v="0"/>
    <x v="1452"/>
    <n v="18125"/>
    <n v="5"/>
    <n v="90625"/>
  </r>
  <r>
    <x v="0"/>
    <x v="1453"/>
    <n v="17703.12"/>
    <n v="5"/>
    <n v="88515.599999999991"/>
  </r>
  <r>
    <x v="0"/>
    <x v="1454"/>
    <n v="17781.25"/>
    <n v="5"/>
    <n v="88906.25"/>
  </r>
  <r>
    <x v="0"/>
    <x v="1455"/>
    <n v="17828.12"/>
    <n v="5"/>
    <n v="89140.599999999991"/>
  </r>
  <r>
    <x v="0"/>
    <x v="1456"/>
    <n v="17953.12"/>
    <n v="5"/>
    <n v="89765.599999999991"/>
  </r>
  <r>
    <x v="0"/>
    <x v="1457"/>
    <n v="18343.75"/>
    <n v="5"/>
    <n v="91718.75"/>
  </r>
  <r>
    <x v="0"/>
    <x v="1458"/>
    <n v="18546.88"/>
    <n v="5"/>
    <n v="92734.400000000009"/>
  </r>
  <r>
    <x v="0"/>
    <x v="1459"/>
    <n v="18515.62"/>
    <n v="5"/>
    <n v="92578.099999999991"/>
  </r>
  <r>
    <x v="0"/>
    <x v="1460"/>
    <n v="18484.38"/>
    <n v="5"/>
    <n v="92421.900000000009"/>
  </r>
  <r>
    <x v="0"/>
    <x v="1461"/>
    <n v="18578.12"/>
    <n v="5"/>
    <n v="92890.599999999991"/>
  </r>
  <r>
    <x v="0"/>
    <x v="1462"/>
    <n v="18250"/>
    <n v="5"/>
    <n v="91250"/>
  </r>
  <r>
    <x v="0"/>
    <x v="1463"/>
    <n v="18515.62"/>
    <n v="5"/>
    <n v="92578.099999999991"/>
  </r>
  <r>
    <x v="0"/>
    <x v="1464"/>
    <n v="18265.62"/>
    <n v="5"/>
    <n v="91328.099999999991"/>
  </r>
  <r>
    <x v="0"/>
    <x v="1465"/>
    <n v="18468.75"/>
    <n v="5"/>
    <n v="92343.75"/>
  </r>
  <r>
    <x v="0"/>
    <x v="1466"/>
    <n v="18375"/>
    <n v="5"/>
    <n v="91875"/>
  </r>
  <r>
    <x v="0"/>
    <x v="1467"/>
    <n v="18250"/>
    <n v="5"/>
    <n v="91250"/>
  </r>
  <r>
    <x v="0"/>
    <x v="1468"/>
    <n v="18218.75"/>
    <n v="5"/>
    <n v="91093.75"/>
  </r>
  <r>
    <x v="0"/>
    <x v="1469"/>
    <n v="18203.12"/>
    <n v="5"/>
    <n v="91015.599999999991"/>
  </r>
  <r>
    <x v="0"/>
    <x v="1470"/>
    <n v="17796.88"/>
    <n v="5"/>
    <n v="88984.400000000009"/>
  </r>
  <r>
    <x v="0"/>
    <x v="1471"/>
    <n v="17812.5"/>
    <n v="5"/>
    <n v="89062.5"/>
  </r>
  <r>
    <x v="0"/>
    <x v="1472"/>
    <n v="18390.62"/>
    <n v="5"/>
    <n v="91953.099999999991"/>
  </r>
  <r>
    <x v="0"/>
    <x v="1473"/>
    <n v="18687.5"/>
    <n v="5"/>
    <n v="93437.5"/>
  </r>
  <r>
    <x v="0"/>
    <x v="1474"/>
    <n v="18703.12"/>
    <n v="5"/>
    <n v="93515.599999999991"/>
  </r>
  <r>
    <x v="0"/>
    <x v="1475"/>
    <n v="18734.38"/>
    <n v="5"/>
    <n v="93671.900000000009"/>
  </r>
  <r>
    <x v="0"/>
    <x v="1476"/>
    <n v="18984.38"/>
    <n v="5"/>
    <n v="94921.900000000009"/>
  </r>
  <r>
    <x v="0"/>
    <x v="1477"/>
    <n v="19093.75"/>
    <n v="5"/>
    <n v="95468.75"/>
  </r>
  <r>
    <x v="0"/>
    <x v="1478"/>
    <n v="19046.88"/>
    <n v="5"/>
    <n v="95234.400000000009"/>
  </r>
  <r>
    <x v="0"/>
    <x v="1479"/>
    <n v="19015.62"/>
    <n v="5"/>
    <n v="95078.099999999991"/>
  </r>
  <r>
    <x v="0"/>
    <x v="1480"/>
    <n v="18015.62"/>
    <n v="5"/>
    <n v="90078.099999999991"/>
  </r>
  <r>
    <x v="0"/>
    <x v="1481"/>
    <n v="17718.75"/>
    <n v="5"/>
    <n v="88593.75"/>
  </r>
  <r>
    <x v="0"/>
    <x v="1482"/>
    <n v="17406.25"/>
    <n v="5"/>
    <n v="87031.25"/>
  </r>
  <r>
    <x v="0"/>
    <x v="1483"/>
    <n v="17312.5"/>
    <n v="5"/>
    <n v="86562.5"/>
  </r>
  <r>
    <x v="0"/>
    <x v="1484"/>
    <n v="17359.38"/>
    <n v="5"/>
    <n v="86796.900000000009"/>
  </r>
  <r>
    <x v="0"/>
    <x v="1485"/>
    <n v="17718.75"/>
    <n v="5"/>
    <n v="88593.75"/>
  </r>
  <r>
    <x v="0"/>
    <x v="1486"/>
    <n v="17890.62"/>
    <n v="5"/>
    <n v="89453.099999999991"/>
  </r>
  <r>
    <x v="0"/>
    <x v="1487"/>
    <n v="17406.25"/>
    <n v="5"/>
    <n v="87031.25"/>
  </r>
  <r>
    <x v="0"/>
    <x v="1488"/>
    <n v="18031.25"/>
    <n v="5"/>
    <n v="90156.25"/>
  </r>
  <r>
    <x v="0"/>
    <x v="1489"/>
    <n v="18156.25"/>
    <n v="5"/>
    <n v="90781.25"/>
  </r>
  <r>
    <x v="0"/>
    <x v="1490"/>
    <n v="18031.25"/>
    <n v="5"/>
    <n v="90156.25"/>
  </r>
  <r>
    <x v="0"/>
    <x v="1491"/>
    <n v="17671.88"/>
    <n v="5"/>
    <n v="88359.400000000009"/>
  </r>
  <r>
    <x v="0"/>
    <x v="1492"/>
    <n v="17546.88"/>
    <n v="5"/>
    <n v="87734.400000000009"/>
  </r>
  <r>
    <x v="0"/>
    <x v="1493"/>
    <n v="17671.88"/>
    <n v="5"/>
    <n v="88359.400000000009"/>
  </r>
  <r>
    <x v="0"/>
    <x v="1494"/>
    <n v="17625"/>
    <n v="5"/>
    <n v="88125"/>
  </r>
  <r>
    <x v="0"/>
    <x v="1495"/>
    <n v="17625"/>
    <n v="5"/>
    <n v="88125"/>
  </r>
  <r>
    <x v="0"/>
    <x v="1496"/>
    <n v="17906.25"/>
    <n v="5"/>
    <n v="89531.25"/>
  </r>
  <r>
    <x v="0"/>
    <x v="1497"/>
    <n v="18031.25"/>
    <n v="5"/>
    <n v="90156.25"/>
  </r>
  <r>
    <x v="0"/>
    <x v="1498"/>
    <n v="18296.88"/>
    <n v="5"/>
    <n v="91484.400000000009"/>
  </r>
  <r>
    <x v="0"/>
    <x v="1499"/>
    <n v="17968.75"/>
    <n v="5"/>
    <n v="89843.75"/>
  </r>
  <r>
    <x v="0"/>
    <x v="1500"/>
    <n v="18453.12"/>
    <n v="5"/>
    <n v="92265.599999999991"/>
  </r>
  <r>
    <x v="0"/>
    <x v="1501"/>
    <n v="18468.75"/>
    <n v="5"/>
    <n v="92343.75"/>
  </r>
  <r>
    <x v="0"/>
    <x v="1502"/>
    <n v="18609.38"/>
    <n v="5"/>
    <n v="93046.900000000009"/>
  </r>
  <r>
    <x v="0"/>
    <x v="1503"/>
    <n v="18593.75"/>
    <n v="5"/>
    <n v="92968.75"/>
  </r>
  <r>
    <x v="0"/>
    <x v="1504"/>
    <n v="18671.88"/>
    <n v="5"/>
    <n v="93359.400000000009"/>
  </r>
  <r>
    <x v="0"/>
    <x v="1505"/>
    <n v="18765.62"/>
    <n v="5"/>
    <n v="93828.099999999991"/>
  </r>
  <r>
    <x v="0"/>
    <x v="1506"/>
    <n v="18968.75"/>
    <n v="5"/>
    <n v="94843.75"/>
  </r>
  <r>
    <x v="0"/>
    <x v="1507"/>
    <n v="18968.75"/>
    <n v="5"/>
    <n v="94843.75"/>
  </r>
  <r>
    <x v="0"/>
    <x v="1508"/>
    <n v="18781.25"/>
    <n v="5"/>
    <n v="93906.25"/>
  </r>
  <r>
    <x v="0"/>
    <x v="1509"/>
    <n v="18781.25"/>
    <n v="5"/>
    <n v="93906.25"/>
  </r>
  <r>
    <x v="0"/>
    <x v="1510"/>
    <n v="19578.12"/>
    <n v="5"/>
    <n v="97890.599999999991"/>
  </r>
  <r>
    <x v="0"/>
    <x v="1511"/>
    <n v="19656.25"/>
    <n v="5"/>
    <n v="98281.25"/>
  </r>
  <r>
    <x v="0"/>
    <x v="1512"/>
    <n v="19968.75"/>
    <n v="5"/>
    <n v="99843.75"/>
  </r>
  <r>
    <x v="0"/>
    <x v="1513"/>
    <n v="19984.38"/>
    <n v="5"/>
    <n v="99921.900000000009"/>
  </r>
  <r>
    <x v="0"/>
    <x v="1514"/>
    <n v="20156.25"/>
    <n v="5"/>
    <n v="100781.25"/>
  </r>
  <r>
    <x v="0"/>
    <x v="1515"/>
    <n v="20000"/>
    <n v="5"/>
    <n v="100000"/>
  </r>
  <r>
    <x v="0"/>
    <x v="1516"/>
    <n v="19718.75"/>
    <n v="5"/>
    <n v="98593.75"/>
  </r>
  <r>
    <x v="0"/>
    <x v="1517"/>
    <n v="19500"/>
    <n v="5"/>
    <n v="97500"/>
  </r>
  <r>
    <x v="0"/>
    <x v="1518"/>
    <n v="19468.75"/>
    <n v="5"/>
    <n v="97343.75"/>
  </r>
  <r>
    <x v="0"/>
    <x v="1519"/>
    <n v="19453.12"/>
    <n v="5"/>
    <n v="97265.599999999991"/>
  </r>
  <r>
    <x v="0"/>
    <x v="1520"/>
    <n v="19328.12"/>
    <n v="5"/>
    <n v="96640.599999999991"/>
  </r>
  <r>
    <x v="0"/>
    <x v="1521"/>
    <n v="19640.62"/>
    <n v="5"/>
    <n v="98203.099999999991"/>
  </r>
  <r>
    <x v="0"/>
    <x v="1522"/>
    <n v="19921.88"/>
    <n v="5"/>
    <n v="99609.400000000009"/>
  </r>
  <r>
    <x v="0"/>
    <x v="1523"/>
    <n v="20031.25"/>
    <n v="5"/>
    <n v="100156.25"/>
  </r>
  <r>
    <x v="0"/>
    <x v="1524"/>
    <n v="20359.38"/>
    <n v="5"/>
    <n v="101796.90000000001"/>
  </r>
  <r>
    <x v="0"/>
    <x v="1525"/>
    <n v="20421.88"/>
    <n v="5"/>
    <n v="102109.40000000001"/>
  </r>
  <r>
    <x v="0"/>
    <x v="1526"/>
    <n v="20953.12"/>
    <n v="5"/>
    <n v="104765.59999999999"/>
  </r>
  <r>
    <x v="0"/>
    <x v="1527"/>
    <n v="21421.88"/>
    <n v="5"/>
    <n v="107109.40000000001"/>
  </r>
  <r>
    <x v="0"/>
    <x v="1528"/>
    <n v="21734.38"/>
    <n v="5"/>
    <n v="108671.90000000001"/>
  </r>
  <r>
    <x v="0"/>
    <x v="1529"/>
    <n v="20734.38"/>
    <n v="5"/>
    <n v="103671.90000000001"/>
  </r>
  <r>
    <x v="0"/>
    <x v="1530"/>
    <n v="21562.5"/>
    <n v="5"/>
    <n v="107812.5"/>
  </r>
  <r>
    <x v="0"/>
    <x v="1531"/>
    <n v="21562.5"/>
    <n v="5"/>
    <n v="107812.5"/>
  </r>
  <r>
    <x v="0"/>
    <x v="1532"/>
    <n v="21500"/>
    <n v="5"/>
    <n v="107500"/>
  </r>
  <r>
    <x v="0"/>
    <x v="1533"/>
    <n v="21781.25"/>
    <n v="5"/>
    <n v="108906.25"/>
  </r>
  <r>
    <x v="0"/>
    <x v="1534"/>
    <n v="22437.5"/>
    <n v="5"/>
    <n v="112187.5"/>
  </r>
  <r>
    <x v="0"/>
    <x v="1535"/>
    <n v="22765.62"/>
    <n v="5"/>
    <n v="113828.09999999999"/>
  </r>
  <r>
    <x v="0"/>
    <x v="1536"/>
    <n v="22875"/>
    <n v="5"/>
    <n v="114375"/>
  </r>
  <r>
    <x v="0"/>
    <x v="1537"/>
    <n v="22921.88"/>
    <n v="5"/>
    <n v="114609.40000000001"/>
  </r>
  <r>
    <x v="0"/>
    <x v="1538"/>
    <n v="23015.62"/>
    <n v="5"/>
    <n v="115078.09999999999"/>
  </r>
  <r>
    <x v="0"/>
    <x v="1539"/>
    <n v="23125"/>
    <n v="5"/>
    <n v="115625"/>
  </r>
  <r>
    <x v="0"/>
    <x v="1540"/>
    <n v="23234.38"/>
    <n v="5"/>
    <n v="116171.90000000001"/>
  </r>
  <r>
    <x v="0"/>
    <x v="1541"/>
    <n v="22984.38"/>
    <n v="5"/>
    <n v="114921.90000000001"/>
  </r>
  <r>
    <x v="1"/>
    <x v="0"/>
    <n v="68.75"/>
    <n v="1"/>
    <n v="68.75"/>
  </r>
  <r>
    <x v="1"/>
    <x v="1"/>
    <n v="-281.25"/>
    <n v="1"/>
    <n v="-281.25"/>
  </r>
  <r>
    <x v="1"/>
    <x v="2"/>
    <n v="668.75"/>
    <n v="1"/>
    <n v="668.75"/>
  </r>
  <r>
    <x v="1"/>
    <x v="3"/>
    <n v="518.75"/>
    <n v="1"/>
    <n v="518.75"/>
  </r>
  <r>
    <x v="1"/>
    <x v="4"/>
    <n v="843.75"/>
    <n v="1"/>
    <n v="843.75"/>
  </r>
  <r>
    <x v="1"/>
    <x v="5"/>
    <n v="668.75"/>
    <n v="1"/>
    <n v="668.75"/>
  </r>
  <r>
    <x v="1"/>
    <x v="6"/>
    <n v="662.5"/>
    <n v="1"/>
    <n v="662.5"/>
  </r>
  <r>
    <x v="1"/>
    <x v="7"/>
    <n v="906.25"/>
    <n v="1"/>
    <n v="906.25"/>
  </r>
  <r>
    <x v="1"/>
    <x v="8"/>
    <n v="1356.25"/>
    <n v="1"/>
    <n v="1356.25"/>
  </r>
  <r>
    <x v="1"/>
    <x v="9"/>
    <n v="956.25"/>
    <n v="1"/>
    <n v="956.25"/>
  </r>
  <r>
    <x v="1"/>
    <x v="10"/>
    <n v="950"/>
    <n v="1"/>
    <n v="950"/>
  </r>
  <r>
    <x v="1"/>
    <x v="11"/>
    <n v="1118.75"/>
    <n v="1"/>
    <n v="1118.75"/>
  </r>
  <r>
    <x v="1"/>
    <x v="12"/>
    <n v="1031.25"/>
    <n v="1"/>
    <n v="1031.25"/>
  </r>
  <r>
    <x v="1"/>
    <x v="13"/>
    <n v="543.75"/>
    <n v="1"/>
    <n v="543.75"/>
  </r>
  <r>
    <x v="1"/>
    <x v="14"/>
    <n v="131.25"/>
    <n v="1"/>
    <n v="131.25"/>
  </r>
  <r>
    <x v="1"/>
    <x v="15"/>
    <n v="493.75"/>
    <n v="1"/>
    <n v="493.75"/>
  </r>
  <r>
    <x v="1"/>
    <x v="16"/>
    <n v="362.5"/>
    <n v="1"/>
    <n v="362.5"/>
  </r>
  <r>
    <x v="1"/>
    <x v="17"/>
    <n v="337.5"/>
    <n v="1"/>
    <n v="337.5"/>
  </r>
  <r>
    <x v="1"/>
    <x v="18"/>
    <n v="156.25"/>
    <n v="1"/>
    <n v="156.25"/>
  </r>
  <r>
    <x v="1"/>
    <x v="19"/>
    <n v="-175"/>
    <n v="1"/>
    <n v="-175"/>
  </r>
  <r>
    <x v="1"/>
    <x v="20"/>
    <n v="312.5"/>
    <n v="1"/>
    <n v="312.5"/>
  </r>
  <r>
    <x v="1"/>
    <x v="21"/>
    <n v="2031.25"/>
    <n v="1"/>
    <n v="2031.25"/>
  </r>
  <r>
    <x v="1"/>
    <x v="22"/>
    <n v="1543.75"/>
    <n v="1"/>
    <n v="1543.75"/>
  </r>
  <r>
    <x v="1"/>
    <x v="23"/>
    <n v="2206.25"/>
    <n v="1"/>
    <n v="2206.25"/>
  </r>
  <r>
    <x v="1"/>
    <x v="24"/>
    <n v="2231.25"/>
    <n v="1"/>
    <n v="2231.25"/>
  </r>
  <r>
    <x v="1"/>
    <x v="25"/>
    <n v="2062.5"/>
    <n v="1"/>
    <n v="2062.5"/>
  </r>
  <r>
    <x v="1"/>
    <x v="26"/>
    <n v="1681.25"/>
    <n v="1"/>
    <n v="1681.25"/>
  </r>
  <r>
    <x v="1"/>
    <x v="27"/>
    <n v="700"/>
    <n v="1"/>
    <n v="700"/>
  </r>
  <r>
    <x v="1"/>
    <x v="28"/>
    <n v="1106.25"/>
    <n v="1"/>
    <n v="1106.25"/>
  </r>
  <r>
    <x v="1"/>
    <x v="29"/>
    <n v="1362.5"/>
    <n v="1"/>
    <n v="1362.5"/>
  </r>
  <r>
    <x v="1"/>
    <x v="30"/>
    <n v="993.75"/>
    <n v="1"/>
    <n v="993.75"/>
  </r>
  <r>
    <x v="1"/>
    <x v="31"/>
    <n v="2262.5"/>
    <n v="1"/>
    <n v="2262.5"/>
  </r>
  <r>
    <x v="1"/>
    <x v="32"/>
    <n v="1975"/>
    <n v="1"/>
    <n v="1975"/>
  </r>
  <r>
    <x v="1"/>
    <x v="33"/>
    <n v="1718.75"/>
    <n v="1"/>
    <n v="1718.75"/>
  </r>
  <r>
    <x v="1"/>
    <x v="34"/>
    <n v="1318.75"/>
    <n v="1"/>
    <n v="1318.75"/>
  </r>
  <r>
    <x v="1"/>
    <x v="35"/>
    <n v="1456.25"/>
    <n v="1"/>
    <n v="1456.25"/>
  </r>
  <r>
    <x v="1"/>
    <x v="36"/>
    <n v="1006.25"/>
    <n v="1"/>
    <n v="1006.25"/>
  </r>
  <r>
    <x v="1"/>
    <x v="37"/>
    <n v="487.5"/>
    <n v="1"/>
    <n v="487.5"/>
  </r>
  <r>
    <x v="1"/>
    <x v="38"/>
    <n v="-337.5"/>
    <n v="1"/>
    <n v="-337.5"/>
  </r>
  <r>
    <x v="1"/>
    <x v="39"/>
    <n v="-162.5"/>
    <n v="1"/>
    <n v="-162.5"/>
  </r>
  <r>
    <x v="1"/>
    <x v="40"/>
    <n v="1706.25"/>
    <n v="1"/>
    <n v="1706.25"/>
  </r>
  <r>
    <x v="1"/>
    <x v="41"/>
    <n v="1237.5"/>
    <n v="1"/>
    <n v="1237.5"/>
  </r>
  <r>
    <x v="1"/>
    <x v="42"/>
    <n v="168.75"/>
    <n v="1"/>
    <n v="168.75"/>
  </r>
  <r>
    <x v="1"/>
    <x v="43"/>
    <n v="293.75"/>
    <n v="1"/>
    <n v="293.75"/>
  </r>
  <r>
    <x v="1"/>
    <x v="44"/>
    <n v="400"/>
    <n v="1"/>
    <n v="400"/>
  </r>
  <r>
    <x v="1"/>
    <x v="45"/>
    <n v="943.75"/>
    <n v="1"/>
    <n v="943.75"/>
  </r>
  <r>
    <x v="1"/>
    <x v="46"/>
    <n v="1093.75"/>
    <n v="1"/>
    <n v="1093.75"/>
  </r>
  <r>
    <x v="1"/>
    <x v="47"/>
    <n v="1018.75"/>
    <n v="1"/>
    <n v="1018.75"/>
  </r>
  <r>
    <x v="1"/>
    <x v="48"/>
    <n v="887.5"/>
    <n v="1"/>
    <n v="887.5"/>
  </r>
  <r>
    <x v="1"/>
    <x v="49"/>
    <n v="506.25"/>
    <n v="1"/>
    <n v="506.25"/>
  </r>
  <r>
    <x v="1"/>
    <x v="50"/>
    <n v="106.25"/>
    <n v="1"/>
    <n v="106.25"/>
  </r>
  <r>
    <x v="1"/>
    <x v="51"/>
    <n v="581.25"/>
    <n v="1"/>
    <n v="581.25"/>
  </r>
  <r>
    <x v="1"/>
    <x v="52"/>
    <n v="568.75"/>
    <n v="1"/>
    <n v="568.75"/>
  </r>
  <r>
    <x v="1"/>
    <x v="53"/>
    <n v="568.75"/>
    <n v="1"/>
    <n v="568.75"/>
  </r>
  <r>
    <x v="1"/>
    <x v="54"/>
    <n v="750"/>
    <n v="1"/>
    <n v="750"/>
  </r>
  <r>
    <x v="1"/>
    <x v="55"/>
    <n v="787.5"/>
    <n v="1"/>
    <n v="787.5"/>
  </r>
  <r>
    <x v="1"/>
    <x v="56"/>
    <n v="831.25"/>
    <n v="1"/>
    <n v="831.25"/>
  </r>
  <r>
    <x v="1"/>
    <x v="57"/>
    <n v="475"/>
    <n v="1"/>
    <n v="475"/>
  </r>
  <r>
    <x v="1"/>
    <x v="58"/>
    <n v="18.75"/>
    <n v="1"/>
    <n v="18.75"/>
  </r>
  <r>
    <x v="1"/>
    <x v="59"/>
    <n v="25"/>
    <n v="1"/>
    <n v="25"/>
  </r>
  <r>
    <x v="1"/>
    <x v="60"/>
    <n v="193.75"/>
    <n v="1"/>
    <n v="193.75"/>
  </r>
  <r>
    <x v="1"/>
    <x v="61"/>
    <n v="-456.25"/>
    <n v="1"/>
    <n v="-456.25"/>
  </r>
  <r>
    <x v="1"/>
    <x v="62"/>
    <n v="-318.75"/>
    <n v="1"/>
    <n v="-318.75"/>
  </r>
  <r>
    <x v="1"/>
    <x v="63"/>
    <n v="-268.75"/>
    <n v="1"/>
    <n v="-268.75"/>
  </r>
  <r>
    <x v="1"/>
    <x v="64"/>
    <n v="-681.25"/>
    <n v="1"/>
    <n v="-681.25"/>
  </r>
  <r>
    <x v="1"/>
    <x v="65"/>
    <n v="-718.75"/>
    <n v="1"/>
    <n v="-718.75"/>
  </r>
  <r>
    <x v="1"/>
    <x v="66"/>
    <n v="-606.25"/>
    <n v="1"/>
    <n v="-606.25"/>
  </r>
  <r>
    <x v="1"/>
    <x v="67"/>
    <n v="-312.5"/>
    <n v="1"/>
    <n v="-312.5"/>
  </r>
  <r>
    <x v="1"/>
    <x v="68"/>
    <n v="-68.75"/>
    <n v="1"/>
    <n v="-68.75"/>
  </r>
  <r>
    <x v="1"/>
    <x v="69"/>
    <n v="-412.5"/>
    <n v="1"/>
    <n v="-412.5"/>
  </r>
  <r>
    <x v="1"/>
    <x v="70"/>
    <n v="-181.25"/>
    <n v="1"/>
    <n v="-181.25"/>
  </r>
  <r>
    <x v="1"/>
    <x v="71"/>
    <n v="-175"/>
    <n v="1"/>
    <n v="-175"/>
  </r>
  <r>
    <x v="1"/>
    <x v="72"/>
    <n v="206.25"/>
    <n v="1"/>
    <n v="206.25"/>
  </r>
  <r>
    <x v="1"/>
    <x v="73"/>
    <n v="587.5"/>
    <n v="1"/>
    <n v="587.5"/>
  </r>
  <r>
    <x v="1"/>
    <x v="74"/>
    <n v="1275"/>
    <n v="1"/>
    <n v="1275"/>
  </r>
  <r>
    <x v="1"/>
    <x v="75"/>
    <n v="1643.75"/>
    <n v="1"/>
    <n v="1643.75"/>
  </r>
  <r>
    <x v="1"/>
    <x v="76"/>
    <n v="1431.25"/>
    <n v="1"/>
    <n v="1431.25"/>
  </r>
  <r>
    <x v="1"/>
    <x v="77"/>
    <n v="1443.75"/>
    <n v="1"/>
    <n v="1443.75"/>
  </r>
  <r>
    <x v="1"/>
    <x v="78"/>
    <n v="2031.25"/>
    <n v="1"/>
    <n v="2031.25"/>
  </r>
  <r>
    <x v="1"/>
    <x v="79"/>
    <n v="1181.25"/>
    <n v="1"/>
    <n v="1181.25"/>
  </r>
  <r>
    <x v="1"/>
    <x v="80"/>
    <n v="356.25"/>
    <n v="1"/>
    <n v="356.25"/>
  </r>
  <r>
    <x v="1"/>
    <x v="81"/>
    <n v="450"/>
    <n v="1"/>
    <n v="450"/>
  </r>
  <r>
    <x v="1"/>
    <x v="82"/>
    <n v="1037.5"/>
    <n v="1"/>
    <n v="1037.5"/>
  </r>
  <r>
    <x v="1"/>
    <x v="83"/>
    <n v="825"/>
    <n v="1"/>
    <n v="825"/>
  </r>
  <r>
    <x v="1"/>
    <x v="84"/>
    <n v="868.75"/>
    <n v="1"/>
    <n v="868.75"/>
  </r>
  <r>
    <x v="1"/>
    <x v="85"/>
    <n v="1212.5"/>
    <n v="1"/>
    <n v="1212.5"/>
  </r>
  <r>
    <x v="1"/>
    <x v="86"/>
    <n v="968.75"/>
    <n v="1"/>
    <n v="968.75"/>
  </r>
  <r>
    <x v="1"/>
    <x v="87"/>
    <n v="1081.25"/>
    <n v="1"/>
    <n v="1081.25"/>
  </r>
  <r>
    <x v="1"/>
    <x v="88"/>
    <n v="1312.5"/>
    <n v="1"/>
    <n v="1312.5"/>
  </r>
  <r>
    <x v="1"/>
    <x v="89"/>
    <n v="1125"/>
    <n v="1"/>
    <n v="1125"/>
  </r>
  <r>
    <x v="1"/>
    <x v="90"/>
    <n v="950"/>
    <n v="1"/>
    <n v="950"/>
  </r>
  <r>
    <x v="1"/>
    <x v="91"/>
    <n v="712.5"/>
    <n v="1"/>
    <n v="712.5"/>
  </r>
  <r>
    <x v="1"/>
    <x v="92"/>
    <n v="712.5"/>
    <n v="1"/>
    <n v="712.5"/>
  </r>
  <r>
    <x v="1"/>
    <x v="93"/>
    <n v="681.25"/>
    <n v="1"/>
    <n v="681.25"/>
  </r>
  <r>
    <x v="1"/>
    <x v="94"/>
    <n v="656.25"/>
    <n v="1"/>
    <n v="656.25"/>
  </r>
  <r>
    <x v="1"/>
    <x v="95"/>
    <n v="731.25"/>
    <n v="1"/>
    <n v="731.25"/>
  </r>
  <r>
    <x v="1"/>
    <x v="96"/>
    <n v="981.25"/>
    <n v="1"/>
    <n v="981.25"/>
  </r>
  <r>
    <x v="1"/>
    <x v="97"/>
    <n v="775"/>
    <n v="1"/>
    <n v="775"/>
  </r>
  <r>
    <x v="1"/>
    <x v="98"/>
    <n v="337.5"/>
    <n v="1"/>
    <n v="337.5"/>
  </r>
  <r>
    <x v="1"/>
    <x v="99"/>
    <n v="1018.75"/>
    <n v="1"/>
    <n v="1018.75"/>
  </r>
  <r>
    <x v="1"/>
    <x v="100"/>
    <n v="843.75"/>
    <n v="1"/>
    <n v="843.75"/>
  </r>
  <r>
    <x v="1"/>
    <x v="101"/>
    <n v="868.75"/>
    <n v="1"/>
    <n v="868.75"/>
  </r>
  <r>
    <x v="1"/>
    <x v="102"/>
    <n v="1437.5"/>
    <n v="1"/>
    <n v="1437.5"/>
  </r>
  <r>
    <x v="1"/>
    <x v="103"/>
    <n v="1762.5"/>
    <n v="1"/>
    <n v="1762.5"/>
  </r>
  <r>
    <x v="1"/>
    <x v="104"/>
    <n v="1556.25"/>
    <n v="1"/>
    <n v="1556.25"/>
  </r>
  <r>
    <x v="1"/>
    <x v="105"/>
    <n v="1143.75"/>
    <n v="1"/>
    <n v="1143.75"/>
  </r>
  <r>
    <x v="1"/>
    <x v="106"/>
    <n v="1150"/>
    <n v="1"/>
    <n v="1150"/>
  </r>
  <r>
    <x v="1"/>
    <x v="107"/>
    <n v="1343.75"/>
    <n v="1"/>
    <n v="1343.75"/>
  </r>
  <r>
    <x v="1"/>
    <x v="108"/>
    <n v="1543.75"/>
    <n v="1"/>
    <n v="1543.75"/>
  </r>
  <r>
    <x v="1"/>
    <x v="109"/>
    <n v="1518.75"/>
    <n v="1"/>
    <n v="1518.75"/>
  </r>
  <r>
    <x v="1"/>
    <x v="110"/>
    <n v="1875"/>
    <n v="1"/>
    <n v="1875"/>
  </r>
  <r>
    <x v="1"/>
    <x v="111"/>
    <n v="2025"/>
    <n v="1"/>
    <n v="2025"/>
  </r>
  <r>
    <x v="1"/>
    <x v="112"/>
    <n v="1925"/>
    <n v="1"/>
    <n v="1925"/>
  </r>
  <r>
    <x v="1"/>
    <x v="113"/>
    <n v="2050"/>
    <n v="1"/>
    <n v="2050"/>
  </r>
  <r>
    <x v="1"/>
    <x v="114"/>
    <n v="2450"/>
    <n v="1"/>
    <n v="2450"/>
  </r>
  <r>
    <x v="1"/>
    <x v="115"/>
    <n v="2543.75"/>
    <n v="1"/>
    <n v="2543.75"/>
  </r>
  <r>
    <x v="1"/>
    <x v="116"/>
    <n v="2443.75"/>
    <n v="1"/>
    <n v="2443.75"/>
  </r>
  <r>
    <x v="1"/>
    <x v="117"/>
    <n v="2493.75"/>
    <n v="1"/>
    <n v="2493.75"/>
  </r>
  <r>
    <x v="1"/>
    <x v="118"/>
    <n v="2618.75"/>
    <n v="1"/>
    <n v="2618.75"/>
  </r>
  <r>
    <x v="1"/>
    <x v="119"/>
    <n v="2756.25"/>
    <n v="1"/>
    <n v="2756.25"/>
  </r>
  <r>
    <x v="1"/>
    <x v="120"/>
    <n v="2731.25"/>
    <n v="1"/>
    <n v="2731.25"/>
  </r>
  <r>
    <x v="1"/>
    <x v="121"/>
    <n v="2931.25"/>
    <n v="1"/>
    <n v="2931.25"/>
  </r>
  <r>
    <x v="1"/>
    <x v="122"/>
    <n v="3237.5"/>
    <n v="1"/>
    <n v="3237.5"/>
  </r>
  <r>
    <x v="1"/>
    <x v="123"/>
    <n v="3293.75"/>
    <n v="1"/>
    <n v="3293.75"/>
  </r>
  <r>
    <x v="1"/>
    <x v="124"/>
    <n v="3256.25"/>
    <n v="1"/>
    <n v="3256.25"/>
  </r>
  <r>
    <x v="1"/>
    <x v="125"/>
    <n v="3281.25"/>
    <n v="1"/>
    <n v="3281.25"/>
  </r>
  <r>
    <x v="1"/>
    <x v="126"/>
    <n v="3506.25"/>
    <n v="1"/>
    <n v="3506.25"/>
  </r>
  <r>
    <x v="1"/>
    <x v="127"/>
    <n v="4100"/>
    <n v="1"/>
    <n v="4100"/>
  </r>
  <r>
    <x v="1"/>
    <x v="128"/>
    <n v="3906.25"/>
    <n v="1"/>
    <n v="3906.25"/>
  </r>
  <r>
    <x v="1"/>
    <x v="129"/>
    <n v="4162.5"/>
    <n v="1"/>
    <n v="4162.5"/>
  </r>
  <r>
    <x v="1"/>
    <x v="130"/>
    <n v="3956.25"/>
    <n v="1"/>
    <n v="3956.25"/>
  </r>
  <r>
    <x v="1"/>
    <x v="131"/>
    <n v="4012.5"/>
    <n v="1"/>
    <n v="4012.5"/>
  </r>
  <r>
    <x v="1"/>
    <x v="132"/>
    <n v="4081.25"/>
    <n v="1"/>
    <n v="4081.25"/>
  </r>
  <r>
    <x v="1"/>
    <x v="133"/>
    <n v="4218.75"/>
    <n v="1"/>
    <n v="4218.75"/>
  </r>
  <r>
    <x v="1"/>
    <x v="134"/>
    <n v="4150"/>
    <n v="1"/>
    <n v="4150"/>
  </r>
  <r>
    <x v="1"/>
    <x v="135"/>
    <n v="4975"/>
    <n v="1"/>
    <n v="4975"/>
  </r>
  <r>
    <x v="1"/>
    <x v="136"/>
    <n v="5175"/>
    <n v="1"/>
    <n v="5175"/>
  </r>
  <r>
    <x v="1"/>
    <x v="137"/>
    <n v="5175"/>
    <n v="1"/>
    <n v="5175"/>
  </r>
  <r>
    <x v="1"/>
    <x v="138"/>
    <n v="5143.75"/>
    <n v="1"/>
    <n v="5143.75"/>
  </r>
  <r>
    <x v="1"/>
    <x v="139"/>
    <n v="5156.25"/>
    <n v="1"/>
    <n v="5156.25"/>
  </r>
  <r>
    <x v="1"/>
    <x v="140"/>
    <n v="5193.75"/>
    <n v="1"/>
    <n v="5193.75"/>
  </r>
  <r>
    <x v="1"/>
    <x v="141"/>
    <n v="5193.75"/>
    <n v="1"/>
    <n v="5193.75"/>
  </r>
  <r>
    <x v="1"/>
    <x v="142"/>
    <n v="5212.5"/>
    <n v="1"/>
    <n v="5212.5"/>
  </r>
  <r>
    <x v="1"/>
    <x v="143"/>
    <n v="5131.25"/>
    <n v="1"/>
    <n v="5131.25"/>
  </r>
  <r>
    <x v="1"/>
    <x v="144"/>
    <n v="4962.5"/>
    <n v="1"/>
    <n v="4962.5"/>
  </r>
  <r>
    <x v="1"/>
    <x v="145"/>
    <n v="4837.5"/>
    <n v="1"/>
    <n v="4837.5"/>
  </r>
  <r>
    <x v="1"/>
    <x v="146"/>
    <n v="4931.25"/>
    <n v="1"/>
    <n v="4931.25"/>
  </r>
  <r>
    <x v="1"/>
    <x v="147"/>
    <n v="4993.75"/>
    <n v="1"/>
    <n v="4993.75"/>
  </r>
  <r>
    <x v="1"/>
    <x v="148"/>
    <n v="4812.5"/>
    <n v="1"/>
    <n v="4812.5"/>
  </r>
  <r>
    <x v="1"/>
    <x v="149"/>
    <n v="5106.25"/>
    <n v="1"/>
    <n v="5106.25"/>
  </r>
  <r>
    <x v="1"/>
    <x v="150"/>
    <n v="5425"/>
    <n v="1"/>
    <n v="5425"/>
  </r>
  <r>
    <x v="1"/>
    <x v="151"/>
    <n v="5500"/>
    <n v="1"/>
    <n v="5500"/>
  </r>
  <r>
    <x v="1"/>
    <x v="152"/>
    <n v="5512.5"/>
    <n v="1"/>
    <n v="5512.5"/>
  </r>
  <r>
    <x v="1"/>
    <x v="153"/>
    <n v="6218.75"/>
    <n v="1"/>
    <n v="6218.75"/>
  </r>
  <r>
    <x v="1"/>
    <x v="154"/>
    <n v="5943.75"/>
    <n v="1"/>
    <n v="5943.75"/>
  </r>
  <r>
    <x v="1"/>
    <x v="155"/>
    <n v="5843.75"/>
    <n v="1"/>
    <n v="5843.75"/>
  </r>
  <r>
    <x v="1"/>
    <x v="156"/>
    <n v="6100"/>
    <n v="1"/>
    <n v="6100"/>
  </r>
  <r>
    <x v="1"/>
    <x v="157"/>
    <n v="5962.5"/>
    <n v="1"/>
    <n v="5962.5"/>
  </r>
  <r>
    <x v="1"/>
    <x v="158"/>
    <n v="6018.75"/>
    <n v="1"/>
    <n v="6018.75"/>
  </r>
  <r>
    <x v="1"/>
    <x v="159"/>
    <n v="6325"/>
    <n v="1"/>
    <n v="6325"/>
  </r>
  <r>
    <x v="1"/>
    <x v="160"/>
    <n v="6131.25"/>
    <n v="1"/>
    <n v="6131.25"/>
  </r>
  <r>
    <x v="1"/>
    <x v="161"/>
    <n v="6012.5"/>
    <n v="1"/>
    <n v="6012.5"/>
  </r>
  <r>
    <x v="1"/>
    <x v="162"/>
    <n v="6462.5"/>
    <n v="1"/>
    <n v="6462.5"/>
  </r>
  <r>
    <x v="1"/>
    <x v="163"/>
    <n v="6231.25"/>
    <n v="1"/>
    <n v="6231.25"/>
  </r>
  <r>
    <x v="1"/>
    <x v="164"/>
    <n v="6212.5"/>
    <n v="1"/>
    <n v="6212.5"/>
  </r>
  <r>
    <x v="1"/>
    <x v="165"/>
    <n v="6206.25"/>
    <n v="1"/>
    <n v="6206.25"/>
  </r>
  <r>
    <x v="1"/>
    <x v="166"/>
    <n v="5981.25"/>
    <n v="1"/>
    <n v="5981.25"/>
  </r>
  <r>
    <x v="1"/>
    <x v="167"/>
    <n v="5993.75"/>
    <n v="1"/>
    <n v="5993.75"/>
  </r>
  <r>
    <x v="1"/>
    <x v="168"/>
    <n v="6068.75"/>
    <n v="1"/>
    <n v="6068.75"/>
  </r>
  <r>
    <x v="1"/>
    <x v="169"/>
    <n v="5568.75"/>
    <n v="1"/>
    <n v="5568.75"/>
  </r>
  <r>
    <x v="1"/>
    <x v="170"/>
    <n v="5812.5"/>
    <n v="1"/>
    <n v="5812.5"/>
  </r>
  <r>
    <x v="1"/>
    <x v="171"/>
    <n v="5531.25"/>
    <n v="1"/>
    <n v="5531.25"/>
  </r>
  <r>
    <x v="1"/>
    <x v="172"/>
    <n v="6312.5"/>
    <n v="1"/>
    <n v="6312.5"/>
  </r>
  <r>
    <x v="1"/>
    <x v="173"/>
    <n v="6056.25"/>
    <n v="1"/>
    <n v="6056.25"/>
  </r>
  <r>
    <x v="1"/>
    <x v="174"/>
    <n v="6068.75"/>
    <n v="1"/>
    <n v="6068.75"/>
  </r>
  <r>
    <x v="1"/>
    <x v="175"/>
    <n v="6075"/>
    <n v="1"/>
    <n v="6075"/>
  </r>
  <r>
    <x v="1"/>
    <x v="176"/>
    <n v="5731.25"/>
    <n v="1"/>
    <n v="5731.25"/>
  </r>
  <r>
    <x v="1"/>
    <x v="177"/>
    <n v="5418.75"/>
    <n v="1"/>
    <n v="5418.75"/>
  </r>
  <r>
    <x v="1"/>
    <x v="178"/>
    <n v="5743.75"/>
    <n v="1"/>
    <n v="5743.75"/>
  </r>
  <r>
    <x v="1"/>
    <x v="179"/>
    <n v="5587.5"/>
    <n v="1"/>
    <n v="5587.5"/>
  </r>
  <r>
    <x v="1"/>
    <x v="180"/>
    <n v="5650"/>
    <n v="1"/>
    <n v="5650"/>
  </r>
  <r>
    <x v="1"/>
    <x v="181"/>
    <n v="6300"/>
    <n v="1"/>
    <n v="6300"/>
  </r>
  <r>
    <x v="1"/>
    <x v="182"/>
    <n v="6825"/>
    <n v="1"/>
    <n v="6825"/>
  </r>
  <r>
    <x v="1"/>
    <x v="183"/>
    <n v="6806.25"/>
    <n v="1"/>
    <n v="6806.25"/>
  </r>
  <r>
    <x v="1"/>
    <x v="184"/>
    <n v="6643.75"/>
    <n v="1"/>
    <n v="6643.75"/>
  </r>
  <r>
    <x v="1"/>
    <x v="185"/>
    <n v="6475"/>
    <n v="1"/>
    <n v="6475"/>
  </r>
  <r>
    <x v="1"/>
    <x v="186"/>
    <n v="6450"/>
    <n v="1"/>
    <n v="6450"/>
  </r>
  <r>
    <x v="1"/>
    <x v="187"/>
    <n v="6106.25"/>
    <n v="1"/>
    <n v="6106.25"/>
  </r>
  <r>
    <x v="1"/>
    <x v="188"/>
    <n v="6118.75"/>
    <n v="1"/>
    <n v="6118.75"/>
  </r>
  <r>
    <x v="1"/>
    <x v="189"/>
    <n v="6125"/>
    <n v="1"/>
    <n v="6125"/>
  </r>
  <r>
    <x v="1"/>
    <x v="190"/>
    <n v="5962.5"/>
    <n v="1"/>
    <n v="5962.5"/>
  </r>
  <r>
    <x v="1"/>
    <x v="191"/>
    <n v="5850"/>
    <n v="1"/>
    <n v="5850"/>
  </r>
  <r>
    <x v="1"/>
    <x v="192"/>
    <n v="5887.5"/>
    <n v="1"/>
    <n v="5887.5"/>
  </r>
  <r>
    <x v="1"/>
    <x v="193"/>
    <n v="6162.5"/>
    <n v="1"/>
    <n v="6162.5"/>
  </r>
  <r>
    <x v="1"/>
    <x v="194"/>
    <n v="7550"/>
    <n v="1"/>
    <n v="7550"/>
  </r>
  <r>
    <x v="1"/>
    <x v="195"/>
    <n v="8118.75"/>
    <n v="1"/>
    <n v="8118.75"/>
  </r>
  <r>
    <x v="1"/>
    <x v="196"/>
    <n v="7600"/>
    <n v="1"/>
    <n v="7600"/>
  </r>
  <r>
    <x v="1"/>
    <x v="197"/>
    <n v="7575"/>
    <n v="1"/>
    <n v="7575"/>
  </r>
  <r>
    <x v="1"/>
    <x v="198"/>
    <n v="8343.75"/>
    <n v="1"/>
    <n v="8343.75"/>
  </r>
  <r>
    <x v="1"/>
    <x v="199"/>
    <n v="8787.5"/>
    <n v="1"/>
    <n v="8787.5"/>
  </r>
  <r>
    <x v="1"/>
    <x v="200"/>
    <n v="8125"/>
    <n v="1"/>
    <n v="8125"/>
  </r>
  <r>
    <x v="1"/>
    <x v="201"/>
    <n v="8518.75"/>
    <n v="1"/>
    <n v="8518.75"/>
  </r>
  <r>
    <x v="1"/>
    <x v="202"/>
    <n v="9812.5"/>
    <n v="1"/>
    <n v="9812.5"/>
  </r>
  <r>
    <x v="1"/>
    <x v="203"/>
    <n v="9181.25"/>
    <n v="1"/>
    <n v="9181.25"/>
  </r>
  <r>
    <x v="1"/>
    <x v="204"/>
    <n v="8225"/>
    <n v="1"/>
    <n v="8225"/>
  </r>
  <r>
    <x v="1"/>
    <x v="205"/>
    <n v="8793.75"/>
    <n v="1"/>
    <n v="8793.75"/>
  </r>
  <r>
    <x v="1"/>
    <x v="206"/>
    <n v="7800"/>
    <n v="1"/>
    <n v="7800"/>
  </r>
  <r>
    <x v="1"/>
    <x v="207"/>
    <n v="9518.75"/>
    <n v="1"/>
    <n v="9518.75"/>
  </r>
  <r>
    <x v="1"/>
    <x v="208"/>
    <n v="11850"/>
    <n v="1"/>
    <n v="11850"/>
  </r>
  <r>
    <x v="1"/>
    <x v="209"/>
    <n v="12975"/>
    <n v="1"/>
    <n v="12975"/>
  </r>
  <r>
    <x v="1"/>
    <x v="210"/>
    <n v="14675"/>
    <n v="1"/>
    <n v="14675"/>
  </r>
  <r>
    <x v="1"/>
    <x v="211"/>
    <n v="11512.5"/>
    <n v="1"/>
    <n v="11512.5"/>
  </r>
  <r>
    <x v="1"/>
    <x v="212"/>
    <n v="11762.5"/>
    <n v="1"/>
    <n v="11762.5"/>
  </r>
  <r>
    <x v="1"/>
    <x v="213"/>
    <n v="13475"/>
    <n v="1"/>
    <n v="13475"/>
  </r>
  <r>
    <x v="1"/>
    <x v="214"/>
    <n v="14306.25"/>
    <n v="1"/>
    <n v="14306.25"/>
  </r>
  <r>
    <x v="1"/>
    <x v="215"/>
    <n v="14725"/>
    <n v="1"/>
    <n v="14725"/>
  </r>
  <r>
    <x v="1"/>
    <x v="216"/>
    <n v="12462.5"/>
    <n v="1"/>
    <n v="12462.5"/>
  </r>
  <r>
    <x v="1"/>
    <x v="217"/>
    <n v="13193.75"/>
    <n v="1"/>
    <n v="13193.75"/>
  </r>
  <r>
    <x v="1"/>
    <x v="218"/>
    <n v="15087.5"/>
    <n v="1"/>
    <n v="15087.5"/>
  </r>
  <r>
    <x v="1"/>
    <x v="219"/>
    <n v="15950"/>
    <n v="1"/>
    <n v="15950"/>
  </r>
  <r>
    <x v="1"/>
    <x v="220"/>
    <n v="17187.5"/>
    <n v="1"/>
    <n v="17187.5"/>
  </r>
  <r>
    <x v="1"/>
    <x v="221"/>
    <n v="16181.25"/>
    <n v="1"/>
    <n v="16181.25"/>
  </r>
  <r>
    <x v="1"/>
    <x v="222"/>
    <n v="14875"/>
    <n v="1"/>
    <n v="14875"/>
  </r>
  <r>
    <x v="1"/>
    <x v="223"/>
    <n v="15881.25"/>
    <n v="1"/>
    <n v="15881.25"/>
  </r>
  <r>
    <x v="1"/>
    <x v="224"/>
    <n v="15312.5"/>
    <n v="1"/>
    <n v="15312.5"/>
  </r>
  <r>
    <x v="1"/>
    <x v="225"/>
    <n v="17762.5"/>
    <n v="1"/>
    <n v="17762.5"/>
  </r>
  <r>
    <x v="1"/>
    <x v="226"/>
    <n v="18518.75"/>
    <n v="1"/>
    <n v="18518.75"/>
  </r>
  <r>
    <x v="1"/>
    <x v="227"/>
    <n v="18550"/>
    <n v="1"/>
    <n v="18550"/>
  </r>
  <r>
    <x v="1"/>
    <x v="228"/>
    <n v="17962.5"/>
    <n v="1"/>
    <n v="17962.5"/>
  </r>
  <r>
    <x v="1"/>
    <x v="229"/>
    <n v="18437.5"/>
    <n v="1"/>
    <n v="18437.5"/>
  </r>
  <r>
    <x v="1"/>
    <x v="230"/>
    <n v="18681.25"/>
    <n v="1"/>
    <n v="18681.25"/>
  </r>
  <r>
    <x v="1"/>
    <x v="231"/>
    <n v="19293.75"/>
    <n v="1"/>
    <n v="19293.75"/>
  </r>
  <r>
    <x v="1"/>
    <x v="232"/>
    <n v="19850"/>
    <n v="1"/>
    <n v="19850"/>
  </r>
  <r>
    <x v="1"/>
    <x v="233"/>
    <n v="20375"/>
    <n v="1"/>
    <n v="20375"/>
  </r>
  <r>
    <x v="1"/>
    <x v="234"/>
    <n v="20868.75"/>
    <n v="1"/>
    <n v="20868.75"/>
  </r>
  <r>
    <x v="1"/>
    <x v="235"/>
    <n v="20756.25"/>
    <n v="1"/>
    <n v="20756.25"/>
  </r>
  <r>
    <x v="1"/>
    <x v="236"/>
    <n v="20493.75"/>
    <n v="1"/>
    <n v="20493.75"/>
  </r>
  <r>
    <x v="1"/>
    <x v="237"/>
    <n v="20606.25"/>
    <n v="1"/>
    <n v="20606.25"/>
  </r>
  <r>
    <x v="1"/>
    <x v="238"/>
    <n v="21075"/>
    <n v="1"/>
    <n v="21075"/>
  </r>
  <r>
    <x v="1"/>
    <x v="239"/>
    <n v="21287.5"/>
    <n v="1"/>
    <n v="21287.5"/>
  </r>
  <r>
    <x v="1"/>
    <x v="240"/>
    <n v="21931.25"/>
    <n v="1"/>
    <n v="21931.25"/>
  </r>
  <r>
    <x v="1"/>
    <x v="241"/>
    <n v="21893.75"/>
    <n v="1"/>
    <n v="21893.75"/>
  </r>
  <r>
    <x v="1"/>
    <x v="242"/>
    <n v="21162.5"/>
    <n v="1"/>
    <n v="21162.5"/>
  </r>
  <r>
    <x v="1"/>
    <x v="243"/>
    <n v="21031.25"/>
    <n v="1"/>
    <n v="21031.25"/>
  </r>
  <r>
    <x v="1"/>
    <x v="244"/>
    <n v="20818.75"/>
    <n v="1"/>
    <n v="20818.75"/>
  </r>
  <r>
    <x v="1"/>
    <x v="245"/>
    <n v="21143.75"/>
    <n v="1"/>
    <n v="21143.75"/>
  </r>
  <r>
    <x v="1"/>
    <x v="246"/>
    <n v="21287.5"/>
    <n v="1"/>
    <n v="21287.5"/>
  </r>
  <r>
    <x v="1"/>
    <x v="247"/>
    <n v="21481.25"/>
    <n v="1"/>
    <n v="21481.25"/>
  </r>
  <r>
    <x v="1"/>
    <x v="248"/>
    <n v="20456.25"/>
    <n v="1"/>
    <n v="20456.25"/>
  </r>
  <r>
    <x v="1"/>
    <x v="249"/>
    <n v="20650"/>
    <n v="1"/>
    <n v="20650"/>
  </r>
  <r>
    <x v="1"/>
    <x v="250"/>
    <n v="20843.75"/>
    <n v="1"/>
    <n v="20843.75"/>
  </r>
  <r>
    <x v="1"/>
    <x v="251"/>
    <n v="20862.5"/>
    <n v="1"/>
    <n v="20862.5"/>
  </r>
  <r>
    <x v="1"/>
    <x v="252"/>
    <n v="20175"/>
    <n v="1"/>
    <n v="20175"/>
  </r>
  <r>
    <x v="1"/>
    <x v="253"/>
    <n v="20100"/>
    <n v="1"/>
    <n v="20100"/>
  </r>
  <r>
    <x v="1"/>
    <x v="254"/>
    <n v="20331.25"/>
    <n v="1"/>
    <n v="20331.25"/>
  </r>
  <r>
    <x v="1"/>
    <x v="255"/>
    <n v="19818.75"/>
    <n v="1"/>
    <n v="19818.75"/>
  </r>
  <r>
    <x v="1"/>
    <x v="256"/>
    <n v="19950"/>
    <n v="1"/>
    <n v="19950"/>
  </r>
  <r>
    <x v="1"/>
    <x v="257"/>
    <n v="19731.25"/>
    <n v="1"/>
    <n v="19731.25"/>
  </r>
  <r>
    <x v="1"/>
    <x v="258"/>
    <n v="20031.25"/>
    <n v="1"/>
    <n v="20031.25"/>
  </r>
  <r>
    <x v="1"/>
    <x v="259"/>
    <n v="20156.25"/>
    <n v="1"/>
    <n v="20156.25"/>
  </r>
  <r>
    <x v="1"/>
    <x v="260"/>
    <n v="19543.75"/>
    <n v="1"/>
    <n v="19543.75"/>
  </r>
  <r>
    <x v="1"/>
    <x v="261"/>
    <n v="19768.75"/>
    <n v="1"/>
    <n v="19768.75"/>
  </r>
  <r>
    <x v="1"/>
    <x v="262"/>
    <n v="19843.75"/>
    <n v="1"/>
    <n v="19843.75"/>
  </r>
  <r>
    <x v="1"/>
    <x v="263"/>
    <n v="20350"/>
    <n v="1"/>
    <n v="20350"/>
  </r>
  <r>
    <x v="1"/>
    <x v="264"/>
    <n v="20618.75"/>
    <n v="1"/>
    <n v="20618.75"/>
  </r>
  <r>
    <x v="1"/>
    <x v="265"/>
    <n v="20912.5"/>
    <n v="1"/>
    <n v="20912.5"/>
  </r>
  <r>
    <x v="1"/>
    <x v="266"/>
    <n v="20881.25"/>
    <n v="1"/>
    <n v="20881.25"/>
  </r>
  <r>
    <x v="1"/>
    <x v="267"/>
    <n v="20406.25"/>
    <n v="1"/>
    <n v="20406.25"/>
  </r>
  <r>
    <x v="1"/>
    <x v="268"/>
    <n v="20256.25"/>
    <n v="1"/>
    <n v="20256.25"/>
  </r>
  <r>
    <x v="1"/>
    <x v="269"/>
    <n v="20600"/>
    <n v="1"/>
    <n v="20600"/>
  </r>
  <r>
    <x v="1"/>
    <x v="270"/>
    <n v="20937.5"/>
    <n v="1"/>
    <n v="20937.5"/>
  </r>
  <r>
    <x v="1"/>
    <x v="271"/>
    <n v="20718.75"/>
    <n v="1"/>
    <n v="20718.75"/>
  </r>
  <r>
    <x v="1"/>
    <x v="272"/>
    <n v="20931.25"/>
    <n v="1"/>
    <n v="20931.25"/>
  </r>
  <r>
    <x v="1"/>
    <x v="273"/>
    <n v="20981.25"/>
    <n v="1"/>
    <n v="20981.25"/>
  </r>
  <r>
    <x v="1"/>
    <x v="274"/>
    <n v="20950"/>
    <n v="1"/>
    <n v="20950"/>
  </r>
  <r>
    <x v="1"/>
    <x v="275"/>
    <n v="20943.75"/>
    <n v="1"/>
    <n v="20943.75"/>
  </r>
  <r>
    <x v="1"/>
    <x v="276"/>
    <n v="20925"/>
    <n v="1"/>
    <n v="20925"/>
  </r>
  <r>
    <x v="1"/>
    <x v="277"/>
    <n v="20725"/>
    <n v="1"/>
    <n v="20725"/>
  </r>
  <r>
    <x v="1"/>
    <x v="278"/>
    <n v="21193.75"/>
    <n v="1"/>
    <n v="21193.75"/>
  </r>
  <r>
    <x v="1"/>
    <x v="279"/>
    <n v="21475"/>
    <n v="1"/>
    <n v="21475"/>
  </r>
  <r>
    <x v="1"/>
    <x v="280"/>
    <n v="21237.5"/>
    <n v="1"/>
    <n v="21237.5"/>
  </r>
  <r>
    <x v="1"/>
    <x v="281"/>
    <n v="21425"/>
    <n v="1"/>
    <n v="21425"/>
  </r>
  <r>
    <x v="1"/>
    <x v="282"/>
    <n v="22300"/>
    <n v="1"/>
    <n v="22300"/>
  </r>
  <r>
    <x v="1"/>
    <x v="283"/>
    <n v="22381.25"/>
    <n v="1"/>
    <n v="22381.25"/>
  </r>
  <r>
    <x v="1"/>
    <x v="284"/>
    <n v="21881.25"/>
    <n v="1"/>
    <n v="21881.25"/>
  </r>
  <r>
    <x v="1"/>
    <x v="285"/>
    <n v="21868.75"/>
    <n v="1"/>
    <n v="21868.75"/>
  </r>
  <r>
    <x v="1"/>
    <x v="286"/>
    <n v="21675"/>
    <n v="1"/>
    <n v="21675"/>
  </r>
  <r>
    <x v="1"/>
    <x v="287"/>
    <n v="22875"/>
    <n v="1"/>
    <n v="22875"/>
  </r>
  <r>
    <x v="1"/>
    <x v="288"/>
    <n v="22568.75"/>
    <n v="1"/>
    <n v="22568.75"/>
  </r>
  <r>
    <x v="1"/>
    <x v="289"/>
    <n v="22700"/>
    <n v="1"/>
    <n v="22700"/>
  </r>
  <r>
    <x v="1"/>
    <x v="290"/>
    <n v="22318.75"/>
    <n v="1"/>
    <n v="22318.75"/>
  </r>
  <r>
    <x v="1"/>
    <x v="291"/>
    <n v="22675"/>
    <n v="1"/>
    <n v="22675"/>
  </r>
  <r>
    <x v="1"/>
    <x v="292"/>
    <n v="22200"/>
    <n v="1"/>
    <n v="22200"/>
  </r>
  <r>
    <x v="1"/>
    <x v="293"/>
    <n v="20550"/>
    <n v="1"/>
    <n v="20550"/>
  </r>
  <r>
    <x v="1"/>
    <x v="294"/>
    <n v="19975"/>
    <n v="1"/>
    <n v="19975"/>
  </r>
  <r>
    <x v="1"/>
    <x v="295"/>
    <n v="20393.75"/>
    <n v="1"/>
    <n v="20393.75"/>
  </r>
  <r>
    <x v="1"/>
    <x v="296"/>
    <n v="20356.25"/>
    <n v="1"/>
    <n v="20356.25"/>
  </r>
  <r>
    <x v="1"/>
    <x v="297"/>
    <n v="20118.75"/>
    <n v="1"/>
    <n v="20118.75"/>
  </r>
  <r>
    <x v="1"/>
    <x v="298"/>
    <n v="20043.75"/>
    <n v="1"/>
    <n v="20043.75"/>
  </r>
  <r>
    <x v="1"/>
    <x v="299"/>
    <n v="20068.75"/>
    <n v="1"/>
    <n v="20068.75"/>
  </r>
  <r>
    <x v="1"/>
    <x v="300"/>
    <n v="20418.75"/>
    <n v="1"/>
    <n v="20418.75"/>
  </r>
  <r>
    <x v="1"/>
    <x v="301"/>
    <n v="20887.5"/>
    <n v="1"/>
    <n v="20887.5"/>
  </r>
  <r>
    <x v="1"/>
    <x v="302"/>
    <n v="20825"/>
    <n v="1"/>
    <n v="20825"/>
  </r>
  <r>
    <x v="1"/>
    <x v="303"/>
    <n v="20287.5"/>
    <n v="1"/>
    <n v="20287.5"/>
  </r>
  <r>
    <x v="1"/>
    <x v="304"/>
    <n v="20200"/>
    <n v="1"/>
    <n v="20200"/>
  </r>
  <r>
    <x v="1"/>
    <x v="305"/>
    <n v="20893.75"/>
    <n v="1"/>
    <n v="20893.75"/>
  </r>
  <r>
    <x v="1"/>
    <x v="306"/>
    <n v="20450"/>
    <n v="1"/>
    <n v="20450"/>
  </r>
  <r>
    <x v="1"/>
    <x v="307"/>
    <n v="20687.5"/>
    <n v="1"/>
    <n v="20687.5"/>
  </r>
  <r>
    <x v="1"/>
    <x v="308"/>
    <n v="20506.25"/>
    <n v="1"/>
    <n v="20506.25"/>
  </r>
  <r>
    <x v="1"/>
    <x v="309"/>
    <n v="20537.5"/>
    <n v="1"/>
    <n v="20537.5"/>
  </r>
  <r>
    <x v="1"/>
    <x v="310"/>
    <n v="20656.25"/>
    <n v="1"/>
    <n v="20656.25"/>
  </r>
  <r>
    <x v="1"/>
    <x v="311"/>
    <n v="20693.75"/>
    <n v="1"/>
    <n v="20693.75"/>
  </r>
  <r>
    <x v="1"/>
    <x v="312"/>
    <n v="20531.25"/>
    <n v="1"/>
    <n v="20531.25"/>
  </r>
  <r>
    <x v="1"/>
    <x v="313"/>
    <n v="20400"/>
    <n v="1"/>
    <n v="20400"/>
  </r>
  <r>
    <x v="1"/>
    <x v="314"/>
    <n v="20756.25"/>
    <n v="1"/>
    <n v="20756.25"/>
  </r>
  <r>
    <x v="1"/>
    <x v="315"/>
    <n v="20800"/>
    <n v="1"/>
    <n v="20800"/>
  </r>
  <r>
    <x v="1"/>
    <x v="316"/>
    <n v="20775"/>
    <n v="1"/>
    <n v="20775"/>
  </r>
  <r>
    <x v="1"/>
    <x v="317"/>
    <n v="21168.75"/>
    <n v="1"/>
    <n v="21168.75"/>
  </r>
  <r>
    <x v="1"/>
    <x v="318"/>
    <n v="21156.25"/>
    <n v="1"/>
    <n v="21156.25"/>
  </r>
  <r>
    <x v="1"/>
    <x v="319"/>
    <n v="21562.5"/>
    <n v="1"/>
    <n v="21562.5"/>
  </r>
  <r>
    <x v="1"/>
    <x v="320"/>
    <n v="21225"/>
    <n v="1"/>
    <n v="21225"/>
  </r>
  <r>
    <x v="1"/>
    <x v="321"/>
    <n v="21200"/>
    <n v="1"/>
    <n v="21200"/>
  </r>
  <r>
    <x v="1"/>
    <x v="322"/>
    <n v="21081.25"/>
    <n v="1"/>
    <n v="21081.25"/>
  </r>
  <r>
    <x v="1"/>
    <x v="323"/>
    <n v="20493.75"/>
    <n v="1"/>
    <n v="20493.75"/>
  </r>
  <r>
    <x v="1"/>
    <x v="324"/>
    <n v="20725"/>
    <n v="1"/>
    <n v="20725"/>
  </r>
  <r>
    <x v="1"/>
    <x v="325"/>
    <n v="20600"/>
    <n v="1"/>
    <n v="20600"/>
  </r>
  <r>
    <x v="1"/>
    <x v="326"/>
    <n v="21231.25"/>
    <n v="1"/>
    <n v="21231.25"/>
  </r>
  <r>
    <x v="1"/>
    <x v="327"/>
    <n v="21712.5"/>
    <n v="1"/>
    <n v="21712.5"/>
  </r>
  <r>
    <x v="1"/>
    <x v="328"/>
    <n v="22131.25"/>
    <n v="1"/>
    <n v="22131.25"/>
  </r>
  <r>
    <x v="1"/>
    <x v="329"/>
    <n v="22050"/>
    <n v="1"/>
    <n v="22050"/>
  </r>
  <r>
    <x v="1"/>
    <x v="330"/>
    <n v="21637.5"/>
    <n v="1"/>
    <n v="21637.5"/>
  </r>
  <r>
    <x v="1"/>
    <x v="331"/>
    <n v="21250"/>
    <n v="1"/>
    <n v="21250"/>
  </r>
  <r>
    <x v="1"/>
    <x v="332"/>
    <n v="21925"/>
    <n v="1"/>
    <n v="21925"/>
  </r>
  <r>
    <x v="1"/>
    <x v="333"/>
    <n v="22343.75"/>
    <n v="1"/>
    <n v="22343.75"/>
  </r>
  <r>
    <x v="1"/>
    <x v="334"/>
    <n v="22387.5"/>
    <n v="1"/>
    <n v="22387.5"/>
  </r>
  <r>
    <x v="1"/>
    <x v="335"/>
    <n v="22637.5"/>
    <n v="1"/>
    <n v="22637.5"/>
  </r>
  <r>
    <x v="1"/>
    <x v="336"/>
    <n v="22700"/>
    <n v="1"/>
    <n v="22700"/>
  </r>
  <r>
    <x v="1"/>
    <x v="337"/>
    <n v="22300"/>
    <n v="1"/>
    <n v="22300"/>
  </r>
  <r>
    <x v="1"/>
    <x v="338"/>
    <n v="22250"/>
    <n v="1"/>
    <n v="22250"/>
  </r>
  <r>
    <x v="1"/>
    <x v="339"/>
    <n v="22250"/>
    <n v="1"/>
    <n v="22250"/>
  </r>
  <r>
    <x v="1"/>
    <x v="340"/>
    <n v="22087.5"/>
    <n v="1"/>
    <n v="22087.5"/>
  </r>
  <r>
    <x v="1"/>
    <x v="341"/>
    <n v="21812.5"/>
    <n v="1"/>
    <n v="21812.5"/>
  </r>
  <r>
    <x v="1"/>
    <x v="342"/>
    <n v="22093.75"/>
    <n v="1"/>
    <n v="22093.75"/>
  </r>
  <r>
    <x v="1"/>
    <x v="343"/>
    <n v="21668.75"/>
    <n v="1"/>
    <n v="21668.75"/>
  </r>
  <r>
    <x v="1"/>
    <x v="344"/>
    <n v="21593.75"/>
    <n v="1"/>
    <n v="21593.75"/>
  </r>
  <r>
    <x v="1"/>
    <x v="345"/>
    <n v="21437.5"/>
    <n v="1"/>
    <n v="21437.5"/>
  </r>
  <r>
    <x v="1"/>
    <x v="346"/>
    <n v="21437.5"/>
    <n v="1"/>
    <n v="21437.5"/>
  </r>
  <r>
    <x v="1"/>
    <x v="347"/>
    <n v="22500"/>
    <n v="1"/>
    <n v="22500"/>
  </r>
  <r>
    <x v="1"/>
    <x v="348"/>
    <n v="22587.5"/>
    <n v="1"/>
    <n v="22587.5"/>
  </r>
  <r>
    <x v="1"/>
    <x v="349"/>
    <n v="23081.25"/>
    <n v="1"/>
    <n v="23081.25"/>
  </r>
  <r>
    <x v="1"/>
    <x v="350"/>
    <n v="23200"/>
    <n v="1"/>
    <n v="23200"/>
  </r>
  <r>
    <x v="1"/>
    <x v="351"/>
    <n v="23225"/>
    <n v="1"/>
    <n v="23225"/>
  </r>
  <r>
    <x v="1"/>
    <x v="352"/>
    <n v="23200"/>
    <n v="1"/>
    <n v="23200"/>
  </r>
  <r>
    <x v="1"/>
    <x v="353"/>
    <n v="22962.5"/>
    <n v="1"/>
    <n v="22962.5"/>
  </r>
  <r>
    <x v="1"/>
    <x v="354"/>
    <n v="23406.25"/>
    <n v="1"/>
    <n v="23406.25"/>
  </r>
  <r>
    <x v="1"/>
    <x v="355"/>
    <n v="23387.5"/>
    <n v="1"/>
    <n v="23387.5"/>
  </r>
  <r>
    <x v="1"/>
    <x v="356"/>
    <n v="22950"/>
    <n v="1"/>
    <n v="22950"/>
  </r>
  <r>
    <x v="1"/>
    <x v="357"/>
    <n v="21031.25"/>
    <n v="1"/>
    <n v="21031.25"/>
  </r>
  <r>
    <x v="1"/>
    <x v="358"/>
    <n v="21006.25"/>
    <n v="1"/>
    <n v="21006.25"/>
  </r>
  <r>
    <x v="1"/>
    <x v="359"/>
    <n v="20181.25"/>
    <n v="1"/>
    <n v="20181.25"/>
  </r>
  <r>
    <x v="1"/>
    <x v="360"/>
    <n v="20162.5"/>
    <n v="1"/>
    <n v="20162.5"/>
  </r>
  <r>
    <x v="1"/>
    <x v="361"/>
    <n v="20450"/>
    <n v="1"/>
    <n v="20450"/>
  </r>
  <r>
    <x v="1"/>
    <x v="362"/>
    <n v="20356.25"/>
    <n v="1"/>
    <n v="20356.25"/>
  </r>
  <r>
    <x v="1"/>
    <x v="363"/>
    <n v="20262.5"/>
    <n v="1"/>
    <n v="20262.5"/>
  </r>
  <r>
    <x v="1"/>
    <x v="364"/>
    <n v="20243.75"/>
    <n v="1"/>
    <n v="20243.75"/>
  </r>
  <r>
    <x v="1"/>
    <x v="365"/>
    <n v="20268.75"/>
    <n v="1"/>
    <n v="20268.75"/>
  </r>
  <r>
    <x v="1"/>
    <x v="366"/>
    <n v="20531.25"/>
    <n v="1"/>
    <n v="20531.25"/>
  </r>
  <r>
    <x v="1"/>
    <x v="367"/>
    <n v="20162.5"/>
    <n v="1"/>
    <n v="20162.5"/>
  </r>
  <r>
    <x v="1"/>
    <x v="368"/>
    <n v="19956.25"/>
    <n v="1"/>
    <n v="19956.25"/>
  </r>
  <r>
    <x v="1"/>
    <x v="369"/>
    <n v="19987.5"/>
    <n v="1"/>
    <n v="19987.5"/>
  </r>
  <r>
    <x v="1"/>
    <x v="370"/>
    <n v="20062.5"/>
    <n v="1"/>
    <n v="20062.5"/>
  </r>
  <r>
    <x v="1"/>
    <x v="371"/>
    <n v="20468.75"/>
    <n v="1"/>
    <n v="20468.75"/>
  </r>
  <r>
    <x v="1"/>
    <x v="372"/>
    <n v="20887.5"/>
    <n v="1"/>
    <n v="20887.5"/>
  </r>
  <r>
    <x v="1"/>
    <x v="373"/>
    <n v="21137.5"/>
    <n v="1"/>
    <n v="21137.5"/>
  </r>
  <r>
    <x v="1"/>
    <x v="374"/>
    <n v="21300"/>
    <n v="1"/>
    <n v="21300"/>
  </r>
  <r>
    <x v="1"/>
    <x v="375"/>
    <n v="20962.5"/>
    <n v="1"/>
    <n v="20962.5"/>
  </r>
  <r>
    <x v="1"/>
    <x v="376"/>
    <n v="20681.25"/>
    <n v="1"/>
    <n v="20681.25"/>
  </r>
  <r>
    <x v="1"/>
    <x v="377"/>
    <n v="20856.25"/>
    <n v="1"/>
    <n v="20856.25"/>
  </r>
  <r>
    <x v="1"/>
    <x v="378"/>
    <n v="21468.75"/>
    <n v="1"/>
    <n v="21468.75"/>
  </r>
  <r>
    <x v="1"/>
    <x v="379"/>
    <n v="21912.5"/>
    <n v="1"/>
    <n v="21912.5"/>
  </r>
  <r>
    <x v="1"/>
    <x v="380"/>
    <n v="21850"/>
    <n v="1"/>
    <n v="21850"/>
  </r>
  <r>
    <x v="1"/>
    <x v="381"/>
    <n v="22043.75"/>
    <n v="1"/>
    <n v="22043.75"/>
  </r>
  <r>
    <x v="1"/>
    <x v="382"/>
    <n v="21743.75"/>
    <n v="1"/>
    <n v="21743.75"/>
  </r>
  <r>
    <x v="1"/>
    <x v="383"/>
    <n v="22043.75"/>
    <n v="1"/>
    <n v="22043.75"/>
  </r>
  <r>
    <x v="1"/>
    <x v="384"/>
    <n v="21625"/>
    <n v="1"/>
    <n v="21625"/>
  </r>
  <r>
    <x v="1"/>
    <x v="385"/>
    <n v="21350"/>
    <n v="1"/>
    <n v="21350"/>
  </r>
  <r>
    <x v="1"/>
    <x v="386"/>
    <n v="21062.5"/>
    <n v="1"/>
    <n v="21062.5"/>
  </r>
  <r>
    <x v="1"/>
    <x v="387"/>
    <n v="21018.75"/>
    <n v="1"/>
    <n v="21018.75"/>
  </r>
  <r>
    <x v="1"/>
    <x v="388"/>
    <n v="21081.25"/>
    <n v="1"/>
    <n v="21081.25"/>
  </r>
  <r>
    <x v="1"/>
    <x v="389"/>
    <n v="20881.25"/>
    <n v="1"/>
    <n v="20881.25"/>
  </r>
  <r>
    <x v="1"/>
    <x v="390"/>
    <n v="20593.75"/>
    <n v="1"/>
    <n v="20593.75"/>
  </r>
  <r>
    <x v="1"/>
    <x v="391"/>
    <n v="20875"/>
    <n v="1"/>
    <n v="20875"/>
  </r>
  <r>
    <x v="1"/>
    <x v="392"/>
    <n v="20893.75"/>
    <n v="1"/>
    <n v="20893.75"/>
  </r>
  <r>
    <x v="1"/>
    <x v="393"/>
    <n v="21131.25"/>
    <n v="1"/>
    <n v="21131.25"/>
  </r>
  <r>
    <x v="1"/>
    <x v="394"/>
    <n v="21306.25"/>
    <n v="1"/>
    <n v="21306.25"/>
  </r>
  <r>
    <x v="1"/>
    <x v="395"/>
    <n v="21368.75"/>
    <n v="1"/>
    <n v="21368.75"/>
  </r>
  <r>
    <x v="1"/>
    <x v="396"/>
    <n v="21025"/>
    <n v="1"/>
    <n v="21025"/>
  </r>
  <r>
    <x v="1"/>
    <x v="397"/>
    <n v="21206.25"/>
    <n v="1"/>
    <n v="21206.25"/>
  </r>
  <r>
    <x v="1"/>
    <x v="398"/>
    <n v="21006.25"/>
    <n v="1"/>
    <n v="21006.25"/>
  </r>
  <r>
    <x v="1"/>
    <x v="399"/>
    <n v="21212.5"/>
    <n v="1"/>
    <n v="21212.5"/>
  </r>
  <r>
    <x v="1"/>
    <x v="400"/>
    <n v="21243.75"/>
    <n v="1"/>
    <n v="21243.75"/>
  </r>
  <r>
    <x v="1"/>
    <x v="401"/>
    <n v="20950"/>
    <n v="1"/>
    <n v="20950"/>
  </r>
  <r>
    <x v="1"/>
    <x v="402"/>
    <n v="21100"/>
    <n v="1"/>
    <n v="21100"/>
  </r>
  <r>
    <x v="1"/>
    <x v="403"/>
    <n v="21756.25"/>
    <n v="1"/>
    <n v="21756.25"/>
  </r>
  <r>
    <x v="1"/>
    <x v="404"/>
    <n v="21593.75"/>
    <n v="1"/>
    <n v="21593.75"/>
  </r>
  <r>
    <x v="1"/>
    <x v="405"/>
    <n v="21593.75"/>
    <n v="1"/>
    <n v="21593.75"/>
  </r>
  <r>
    <x v="1"/>
    <x v="406"/>
    <n v="21818.75"/>
    <n v="1"/>
    <n v="21818.75"/>
  </r>
  <r>
    <x v="1"/>
    <x v="407"/>
    <n v="21737.5"/>
    <n v="1"/>
    <n v="21737.5"/>
  </r>
  <r>
    <x v="1"/>
    <x v="408"/>
    <n v="22331.25"/>
    <n v="1"/>
    <n v="22331.25"/>
  </r>
  <r>
    <x v="1"/>
    <x v="409"/>
    <n v="22337.5"/>
    <n v="1"/>
    <n v="22337.5"/>
  </r>
  <r>
    <x v="1"/>
    <x v="410"/>
    <n v="22250"/>
    <n v="1"/>
    <n v="22250"/>
  </r>
  <r>
    <x v="1"/>
    <x v="411"/>
    <n v="22506.25"/>
    <n v="1"/>
    <n v="22506.25"/>
  </r>
  <r>
    <x v="1"/>
    <x v="412"/>
    <n v="22637.5"/>
    <n v="1"/>
    <n v="22637.5"/>
  </r>
  <r>
    <x v="1"/>
    <x v="413"/>
    <n v="22587.5"/>
    <n v="1"/>
    <n v="22587.5"/>
  </r>
  <r>
    <x v="1"/>
    <x v="414"/>
    <n v="22081.25"/>
    <n v="1"/>
    <n v="22081.25"/>
  </r>
  <r>
    <x v="1"/>
    <x v="415"/>
    <n v="21687.5"/>
    <n v="1"/>
    <n v="21687.5"/>
  </r>
  <r>
    <x v="1"/>
    <x v="416"/>
    <n v="22575"/>
    <n v="1"/>
    <n v="22575"/>
  </r>
  <r>
    <x v="1"/>
    <x v="417"/>
    <n v="22175"/>
    <n v="1"/>
    <n v="22175"/>
  </r>
  <r>
    <x v="1"/>
    <x v="418"/>
    <n v="22512.5"/>
    <n v="1"/>
    <n v="22512.5"/>
  </r>
  <r>
    <x v="1"/>
    <x v="419"/>
    <n v="24143.75"/>
    <n v="1"/>
    <n v="24143.75"/>
  </r>
  <r>
    <x v="1"/>
    <x v="420"/>
    <n v="24443.75"/>
    <n v="1"/>
    <n v="24443.75"/>
  </r>
  <r>
    <x v="1"/>
    <x v="421"/>
    <n v="24762.5"/>
    <n v="1"/>
    <n v="24762.5"/>
  </r>
  <r>
    <x v="1"/>
    <x v="422"/>
    <n v="25143.75"/>
    <n v="1"/>
    <n v="25143.75"/>
  </r>
  <r>
    <x v="1"/>
    <x v="423"/>
    <n v="25381.25"/>
    <n v="1"/>
    <n v="25381.25"/>
  </r>
  <r>
    <x v="1"/>
    <x v="424"/>
    <n v="25487.5"/>
    <n v="1"/>
    <n v="25487.5"/>
  </r>
  <r>
    <x v="1"/>
    <x v="425"/>
    <n v="25568.75"/>
    <n v="1"/>
    <n v="25568.75"/>
  </r>
  <r>
    <x v="1"/>
    <x v="426"/>
    <n v="26156.25"/>
    <n v="1"/>
    <n v="26156.25"/>
  </r>
  <r>
    <x v="1"/>
    <x v="427"/>
    <n v="25956.25"/>
    <n v="1"/>
    <n v="25956.25"/>
  </r>
  <r>
    <x v="1"/>
    <x v="428"/>
    <n v="25937.5"/>
    <n v="1"/>
    <n v="25937.5"/>
  </r>
  <r>
    <x v="1"/>
    <x v="429"/>
    <n v="25893.75"/>
    <n v="1"/>
    <n v="25893.75"/>
  </r>
  <r>
    <x v="1"/>
    <x v="430"/>
    <n v="25981.25"/>
    <n v="1"/>
    <n v="25981.25"/>
  </r>
  <r>
    <x v="1"/>
    <x v="431"/>
    <n v="26506.25"/>
    <n v="1"/>
    <n v="26506.25"/>
  </r>
  <r>
    <x v="1"/>
    <x v="432"/>
    <n v="26637.5"/>
    <n v="1"/>
    <n v="26637.5"/>
  </r>
  <r>
    <x v="1"/>
    <x v="433"/>
    <n v="26462.5"/>
    <n v="1"/>
    <n v="26462.5"/>
  </r>
  <r>
    <x v="1"/>
    <x v="434"/>
    <n v="26937.5"/>
    <n v="1"/>
    <n v="26937.5"/>
  </r>
  <r>
    <x v="1"/>
    <x v="435"/>
    <n v="26637.5"/>
    <n v="1"/>
    <n v="26637.5"/>
  </r>
  <r>
    <x v="1"/>
    <x v="436"/>
    <n v="26606.25"/>
    <n v="1"/>
    <n v="26606.25"/>
  </r>
  <r>
    <x v="1"/>
    <x v="437"/>
    <n v="26087.5"/>
    <n v="1"/>
    <n v="26087.5"/>
  </r>
  <r>
    <x v="1"/>
    <x v="438"/>
    <n v="26150"/>
    <n v="1"/>
    <n v="26150"/>
  </r>
  <r>
    <x v="1"/>
    <x v="439"/>
    <n v="26287.5"/>
    <n v="1"/>
    <n v="26287.5"/>
  </r>
  <r>
    <x v="1"/>
    <x v="440"/>
    <n v="26837.5"/>
    <n v="1"/>
    <n v="26837.5"/>
  </r>
  <r>
    <x v="1"/>
    <x v="441"/>
    <n v="26462.5"/>
    <n v="1"/>
    <n v="26462.5"/>
  </r>
  <r>
    <x v="1"/>
    <x v="442"/>
    <n v="26325"/>
    <n v="1"/>
    <n v="26325"/>
  </r>
  <r>
    <x v="1"/>
    <x v="443"/>
    <n v="26506.25"/>
    <n v="1"/>
    <n v="26506.25"/>
  </r>
  <r>
    <x v="1"/>
    <x v="444"/>
    <n v="26493.75"/>
    <n v="1"/>
    <n v="26493.75"/>
  </r>
  <r>
    <x v="1"/>
    <x v="445"/>
    <n v="26831.25"/>
    <n v="1"/>
    <n v="26831.25"/>
  </r>
  <r>
    <x v="1"/>
    <x v="446"/>
    <n v="27331.25"/>
    <n v="1"/>
    <n v="27331.25"/>
  </r>
  <r>
    <x v="1"/>
    <x v="447"/>
    <n v="26893.75"/>
    <n v="1"/>
    <n v="26893.75"/>
  </r>
  <r>
    <x v="1"/>
    <x v="448"/>
    <n v="26818.75"/>
    <n v="1"/>
    <n v="26818.75"/>
  </r>
  <r>
    <x v="1"/>
    <x v="449"/>
    <n v="27037.5"/>
    <n v="1"/>
    <n v="27037.5"/>
  </r>
  <r>
    <x v="1"/>
    <x v="450"/>
    <n v="27356.25"/>
    <n v="1"/>
    <n v="27356.25"/>
  </r>
  <r>
    <x v="1"/>
    <x v="451"/>
    <n v="27100"/>
    <n v="1"/>
    <n v="27100"/>
  </r>
  <r>
    <x v="1"/>
    <x v="452"/>
    <n v="27456.25"/>
    <n v="1"/>
    <n v="27456.25"/>
  </r>
  <r>
    <x v="1"/>
    <x v="453"/>
    <n v="27187.5"/>
    <n v="1"/>
    <n v="27187.5"/>
  </r>
  <r>
    <x v="1"/>
    <x v="454"/>
    <n v="27212.5"/>
    <n v="1"/>
    <n v="27212.5"/>
  </r>
  <r>
    <x v="1"/>
    <x v="455"/>
    <n v="27218.75"/>
    <n v="1"/>
    <n v="27218.75"/>
  </r>
  <r>
    <x v="1"/>
    <x v="456"/>
    <n v="27237.5"/>
    <n v="1"/>
    <n v="27237.5"/>
  </r>
  <r>
    <x v="1"/>
    <x v="457"/>
    <n v="27425"/>
    <n v="1"/>
    <n v="27425"/>
  </r>
  <r>
    <x v="1"/>
    <x v="458"/>
    <n v="27456.25"/>
    <n v="1"/>
    <n v="27456.25"/>
  </r>
  <r>
    <x v="1"/>
    <x v="459"/>
    <n v="27537.5"/>
    <n v="1"/>
    <n v="27537.5"/>
  </r>
  <r>
    <x v="1"/>
    <x v="460"/>
    <n v="27262.5"/>
    <n v="1"/>
    <n v="27262.5"/>
  </r>
  <r>
    <x v="1"/>
    <x v="461"/>
    <n v="27468.75"/>
    <n v="1"/>
    <n v="27468.75"/>
  </r>
  <r>
    <x v="1"/>
    <x v="462"/>
    <n v="27700"/>
    <n v="1"/>
    <n v="27700"/>
  </r>
  <r>
    <x v="1"/>
    <x v="463"/>
    <n v="27700"/>
    <n v="1"/>
    <n v="27700"/>
  </r>
  <r>
    <x v="1"/>
    <x v="464"/>
    <n v="27406.25"/>
    <n v="1"/>
    <n v="27406.25"/>
  </r>
  <r>
    <x v="1"/>
    <x v="465"/>
    <n v="27556.25"/>
    <n v="1"/>
    <n v="27556.25"/>
  </r>
  <r>
    <x v="1"/>
    <x v="466"/>
    <n v="27393.75"/>
    <n v="1"/>
    <n v="27393.75"/>
  </r>
  <r>
    <x v="1"/>
    <x v="467"/>
    <n v="27662.5"/>
    <n v="1"/>
    <n v="27662.5"/>
  </r>
  <r>
    <x v="1"/>
    <x v="468"/>
    <n v="28475"/>
    <n v="1"/>
    <n v="28475"/>
  </r>
  <r>
    <x v="1"/>
    <x v="469"/>
    <n v="28000"/>
    <n v="1"/>
    <n v="28000"/>
  </r>
  <r>
    <x v="1"/>
    <x v="470"/>
    <n v="28112.5"/>
    <n v="1"/>
    <n v="28112.5"/>
  </r>
  <r>
    <x v="1"/>
    <x v="471"/>
    <n v="28175"/>
    <n v="1"/>
    <n v="28175"/>
  </r>
  <r>
    <x v="1"/>
    <x v="472"/>
    <n v="28568.75"/>
    <n v="1"/>
    <n v="28568.75"/>
  </r>
  <r>
    <x v="1"/>
    <x v="473"/>
    <n v="28193.75"/>
    <n v="1"/>
    <n v="28193.75"/>
  </r>
  <r>
    <x v="1"/>
    <x v="474"/>
    <n v="28318.75"/>
    <n v="1"/>
    <n v="28318.75"/>
  </r>
  <r>
    <x v="1"/>
    <x v="475"/>
    <n v="28550"/>
    <n v="1"/>
    <n v="28550"/>
  </r>
  <r>
    <x v="1"/>
    <x v="476"/>
    <n v="28331.25"/>
    <n v="1"/>
    <n v="28331.25"/>
  </r>
  <r>
    <x v="1"/>
    <x v="477"/>
    <n v="28362.5"/>
    <n v="1"/>
    <n v="28362.5"/>
  </r>
  <r>
    <x v="1"/>
    <x v="478"/>
    <n v="28556.25"/>
    <n v="1"/>
    <n v="28556.25"/>
  </r>
  <r>
    <x v="1"/>
    <x v="479"/>
    <n v="28706.25"/>
    <n v="1"/>
    <n v="28706.25"/>
  </r>
  <r>
    <x v="1"/>
    <x v="480"/>
    <n v="28518.75"/>
    <n v="1"/>
    <n v="28518.75"/>
  </r>
  <r>
    <x v="1"/>
    <x v="481"/>
    <n v="28768.75"/>
    <n v="1"/>
    <n v="28768.75"/>
  </r>
  <r>
    <x v="1"/>
    <x v="482"/>
    <n v="28681.25"/>
    <n v="1"/>
    <n v="28681.25"/>
  </r>
  <r>
    <x v="1"/>
    <x v="483"/>
    <n v="28293.75"/>
    <n v="1"/>
    <n v="28293.75"/>
  </r>
  <r>
    <x v="1"/>
    <x v="484"/>
    <n v="28343.75"/>
    <n v="1"/>
    <n v="28343.75"/>
  </r>
  <r>
    <x v="1"/>
    <x v="485"/>
    <n v="28556.25"/>
    <n v="1"/>
    <n v="28556.25"/>
  </r>
  <r>
    <x v="1"/>
    <x v="486"/>
    <n v="28512.5"/>
    <n v="1"/>
    <n v="28512.5"/>
  </r>
  <r>
    <x v="1"/>
    <x v="487"/>
    <n v="28800"/>
    <n v="1"/>
    <n v="28800"/>
  </r>
  <r>
    <x v="1"/>
    <x v="488"/>
    <n v="28731.25"/>
    <n v="1"/>
    <n v="28731.25"/>
  </r>
  <r>
    <x v="1"/>
    <x v="489"/>
    <n v="29087.5"/>
    <n v="1"/>
    <n v="29087.5"/>
  </r>
  <r>
    <x v="1"/>
    <x v="490"/>
    <n v="29125"/>
    <n v="1"/>
    <n v="29125"/>
  </r>
  <r>
    <x v="1"/>
    <x v="491"/>
    <n v="29062.5"/>
    <n v="1"/>
    <n v="29062.5"/>
  </r>
  <r>
    <x v="1"/>
    <x v="492"/>
    <n v="29481.25"/>
    <n v="1"/>
    <n v="29481.25"/>
  </r>
  <r>
    <x v="1"/>
    <x v="493"/>
    <n v="29343.75"/>
    <n v="1"/>
    <n v="29343.75"/>
  </r>
  <r>
    <x v="1"/>
    <x v="494"/>
    <n v="29468.75"/>
    <n v="1"/>
    <n v="29468.75"/>
  </r>
  <r>
    <x v="1"/>
    <x v="495"/>
    <n v="30043.75"/>
    <n v="1"/>
    <n v="30043.75"/>
  </r>
  <r>
    <x v="1"/>
    <x v="496"/>
    <n v="30418.75"/>
    <n v="1"/>
    <n v="30418.75"/>
  </r>
  <r>
    <x v="1"/>
    <x v="497"/>
    <n v="30375"/>
    <n v="1"/>
    <n v="30375"/>
  </r>
  <r>
    <x v="1"/>
    <x v="498"/>
    <n v="30318.75"/>
    <n v="1"/>
    <n v="30318.75"/>
  </r>
  <r>
    <x v="1"/>
    <x v="499"/>
    <n v="30531.25"/>
    <n v="1"/>
    <n v="30531.25"/>
  </r>
  <r>
    <x v="1"/>
    <x v="500"/>
    <n v="30512.5"/>
    <n v="1"/>
    <n v="30512.5"/>
  </r>
  <r>
    <x v="1"/>
    <x v="501"/>
    <n v="30975"/>
    <n v="1"/>
    <n v="30975"/>
  </r>
  <r>
    <x v="1"/>
    <x v="502"/>
    <n v="31443.75"/>
    <n v="1"/>
    <n v="31443.75"/>
  </r>
  <r>
    <x v="1"/>
    <x v="503"/>
    <n v="31425"/>
    <n v="1"/>
    <n v="31425"/>
  </r>
  <r>
    <x v="1"/>
    <x v="504"/>
    <n v="31175"/>
    <n v="1"/>
    <n v="31175"/>
  </r>
  <r>
    <x v="1"/>
    <x v="505"/>
    <n v="31043.75"/>
    <n v="1"/>
    <n v="31043.75"/>
  </r>
  <r>
    <x v="1"/>
    <x v="506"/>
    <n v="31181.25"/>
    <n v="1"/>
    <n v="31181.25"/>
  </r>
  <r>
    <x v="1"/>
    <x v="507"/>
    <n v="31468.75"/>
    <n v="1"/>
    <n v="31468.75"/>
  </r>
  <r>
    <x v="1"/>
    <x v="508"/>
    <n v="30881.25"/>
    <n v="1"/>
    <n v="30881.25"/>
  </r>
  <r>
    <x v="1"/>
    <x v="509"/>
    <n v="31275"/>
    <n v="1"/>
    <n v="31275"/>
  </r>
  <r>
    <x v="1"/>
    <x v="510"/>
    <n v="31250"/>
    <n v="1"/>
    <n v="31250"/>
  </r>
  <r>
    <x v="1"/>
    <x v="511"/>
    <n v="31568.75"/>
    <n v="1"/>
    <n v="31568.75"/>
  </r>
  <r>
    <x v="1"/>
    <x v="512"/>
    <n v="31618.75"/>
    <n v="1"/>
    <n v="31618.75"/>
  </r>
  <r>
    <x v="1"/>
    <x v="513"/>
    <n v="31500"/>
    <n v="1"/>
    <n v="31500"/>
  </r>
  <r>
    <x v="1"/>
    <x v="514"/>
    <n v="31450"/>
    <n v="1"/>
    <n v="31450"/>
  </r>
  <r>
    <x v="1"/>
    <x v="515"/>
    <n v="31325"/>
    <n v="1"/>
    <n v="31325"/>
  </r>
  <r>
    <x v="1"/>
    <x v="516"/>
    <n v="32450"/>
    <n v="1"/>
    <n v="32450"/>
  </r>
  <r>
    <x v="1"/>
    <x v="517"/>
    <n v="32375"/>
    <n v="1"/>
    <n v="32375"/>
  </r>
  <r>
    <x v="1"/>
    <x v="518"/>
    <n v="32437.5"/>
    <n v="1"/>
    <n v="32437.5"/>
  </r>
  <r>
    <x v="1"/>
    <x v="519"/>
    <n v="32787.5"/>
    <n v="1"/>
    <n v="32787.5"/>
  </r>
  <r>
    <x v="1"/>
    <x v="520"/>
    <n v="31775"/>
    <n v="1"/>
    <n v="31775"/>
  </r>
  <r>
    <x v="1"/>
    <x v="521"/>
    <n v="31525"/>
    <n v="1"/>
    <n v="31525"/>
  </r>
  <r>
    <x v="1"/>
    <x v="522"/>
    <n v="31500"/>
    <n v="1"/>
    <n v="31500"/>
  </r>
  <r>
    <x v="1"/>
    <x v="523"/>
    <n v="31531.25"/>
    <n v="1"/>
    <n v="31531.25"/>
  </r>
  <r>
    <x v="1"/>
    <x v="524"/>
    <n v="31456.25"/>
    <n v="1"/>
    <n v="31456.25"/>
  </r>
  <r>
    <x v="1"/>
    <x v="525"/>
    <n v="31456.25"/>
    <n v="1"/>
    <n v="31456.25"/>
  </r>
  <r>
    <x v="1"/>
    <x v="526"/>
    <n v="31368.75"/>
    <n v="1"/>
    <n v="31368.75"/>
  </r>
  <r>
    <x v="1"/>
    <x v="527"/>
    <n v="31275"/>
    <n v="1"/>
    <n v="31275"/>
  </r>
  <r>
    <x v="1"/>
    <x v="528"/>
    <n v="31337.5"/>
    <n v="1"/>
    <n v="31337.5"/>
  </r>
  <r>
    <x v="1"/>
    <x v="529"/>
    <n v="30681.25"/>
    <n v="1"/>
    <n v="30681.25"/>
  </r>
  <r>
    <x v="1"/>
    <x v="530"/>
    <n v="30587.5"/>
    <n v="1"/>
    <n v="30587.5"/>
  </r>
  <r>
    <x v="1"/>
    <x v="531"/>
    <n v="30518.75"/>
    <n v="1"/>
    <n v="30518.75"/>
  </r>
  <r>
    <x v="1"/>
    <x v="532"/>
    <n v="30275"/>
    <n v="1"/>
    <n v="30275"/>
  </r>
  <r>
    <x v="1"/>
    <x v="533"/>
    <n v="30725"/>
    <n v="1"/>
    <n v="30725"/>
  </r>
  <r>
    <x v="1"/>
    <x v="534"/>
    <n v="31100"/>
    <n v="1"/>
    <n v="31100"/>
  </r>
  <r>
    <x v="1"/>
    <x v="535"/>
    <n v="31600"/>
    <n v="1"/>
    <n v="31600"/>
  </r>
  <r>
    <x v="1"/>
    <x v="536"/>
    <n v="31362.5"/>
    <n v="1"/>
    <n v="31362.5"/>
  </r>
  <r>
    <x v="1"/>
    <x v="537"/>
    <n v="31625"/>
    <n v="1"/>
    <n v="31625"/>
  </r>
  <r>
    <x v="1"/>
    <x v="538"/>
    <n v="32575"/>
    <n v="1"/>
    <n v="32575"/>
  </r>
  <r>
    <x v="1"/>
    <x v="539"/>
    <n v="31937.5"/>
    <n v="1"/>
    <n v="31937.5"/>
  </r>
  <r>
    <x v="1"/>
    <x v="540"/>
    <n v="31881.25"/>
    <n v="1"/>
    <n v="31881.25"/>
  </r>
  <r>
    <x v="1"/>
    <x v="541"/>
    <n v="32075"/>
    <n v="1"/>
    <n v="32075"/>
  </r>
  <r>
    <x v="1"/>
    <x v="542"/>
    <n v="32006.25"/>
    <n v="1"/>
    <n v="32006.25"/>
  </r>
  <r>
    <x v="1"/>
    <x v="543"/>
    <n v="32225"/>
    <n v="1"/>
    <n v="32225"/>
  </r>
  <r>
    <x v="1"/>
    <x v="544"/>
    <n v="32775"/>
    <n v="1"/>
    <n v="32775"/>
  </r>
  <r>
    <x v="1"/>
    <x v="545"/>
    <n v="32381.25"/>
    <n v="1"/>
    <n v="32381.25"/>
  </r>
  <r>
    <x v="1"/>
    <x v="546"/>
    <n v="32687.5"/>
    <n v="1"/>
    <n v="32687.5"/>
  </r>
  <r>
    <x v="1"/>
    <x v="547"/>
    <n v="32287.5"/>
    <n v="1"/>
    <n v="32287.5"/>
  </r>
  <r>
    <x v="1"/>
    <x v="548"/>
    <n v="32062.5"/>
    <n v="1"/>
    <n v="32062.5"/>
  </r>
  <r>
    <x v="1"/>
    <x v="549"/>
    <n v="31637.5"/>
    <n v="1"/>
    <n v="31637.5"/>
  </r>
  <r>
    <x v="1"/>
    <x v="550"/>
    <n v="31418.75"/>
    <n v="1"/>
    <n v="31418.75"/>
  </r>
  <r>
    <x v="1"/>
    <x v="551"/>
    <n v="31068.75"/>
    <n v="1"/>
    <n v="31068.75"/>
  </r>
  <r>
    <x v="1"/>
    <x v="552"/>
    <n v="30912.5"/>
    <n v="1"/>
    <n v="30912.5"/>
  </r>
  <r>
    <x v="1"/>
    <x v="553"/>
    <n v="30881.25"/>
    <n v="1"/>
    <n v="30881.25"/>
  </r>
  <r>
    <x v="1"/>
    <x v="554"/>
    <n v="30843.75"/>
    <n v="1"/>
    <n v="30843.75"/>
  </r>
  <r>
    <x v="1"/>
    <x v="555"/>
    <n v="31375"/>
    <n v="1"/>
    <n v="31375"/>
  </r>
  <r>
    <x v="1"/>
    <x v="556"/>
    <n v="31481.25"/>
    <n v="1"/>
    <n v="31481.25"/>
  </r>
  <r>
    <x v="1"/>
    <x v="557"/>
    <n v="31575"/>
    <n v="1"/>
    <n v="31575"/>
  </r>
  <r>
    <x v="1"/>
    <x v="558"/>
    <n v="31018.75"/>
    <n v="1"/>
    <n v="31018.75"/>
  </r>
  <r>
    <x v="1"/>
    <x v="559"/>
    <n v="30831.25"/>
    <n v="1"/>
    <n v="30831.25"/>
  </r>
  <r>
    <x v="1"/>
    <x v="560"/>
    <n v="30918.75"/>
    <n v="1"/>
    <n v="30918.75"/>
  </r>
  <r>
    <x v="1"/>
    <x v="561"/>
    <n v="31206.25"/>
    <n v="1"/>
    <n v="31206.25"/>
  </r>
  <r>
    <x v="1"/>
    <x v="562"/>
    <n v="31437.5"/>
    <n v="1"/>
    <n v="31437.5"/>
  </r>
  <r>
    <x v="1"/>
    <x v="563"/>
    <n v="31706.25"/>
    <n v="1"/>
    <n v="31706.25"/>
  </r>
  <r>
    <x v="1"/>
    <x v="564"/>
    <n v="30806.25"/>
    <n v="1"/>
    <n v="30806.25"/>
  </r>
  <r>
    <x v="1"/>
    <x v="565"/>
    <n v="30681.25"/>
    <n v="1"/>
    <n v="30681.25"/>
  </r>
  <r>
    <x v="1"/>
    <x v="566"/>
    <n v="30962.5"/>
    <n v="1"/>
    <n v="30962.5"/>
  </r>
  <r>
    <x v="1"/>
    <x v="567"/>
    <n v="30900"/>
    <n v="1"/>
    <n v="30900"/>
  </r>
  <r>
    <x v="1"/>
    <x v="568"/>
    <n v="30850"/>
    <n v="1"/>
    <n v="30850"/>
  </r>
  <r>
    <x v="1"/>
    <x v="569"/>
    <n v="30781.25"/>
    <n v="1"/>
    <n v="30781.25"/>
  </r>
  <r>
    <x v="1"/>
    <x v="570"/>
    <n v="30475"/>
    <n v="1"/>
    <n v="30475"/>
  </r>
  <r>
    <x v="1"/>
    <x v="571"/>
    <n v="30793.75"/>
    <n v="1"/>
    <n v="30793.75"/>
  </r>
  <r>
    <x v="1"/>
    <x v="572"/>
    <n v="30475"/>
    <n v="1"/>
    <n v="30475"/>
  </r>
  <r>
    <x v="1"/>
    <x v="573"/>
    <n v="30531.25"/>
    <n v="1"/>
    <n v="30531.25"/>
  </r>
  <r>
    <x v="1"/>
    <x v="574"/>
    <n v="30481.25"/>
    <n v="1"/>
    <n v="30481.25"/>
  </r>
  <r>
    <x v="1"/>
    <x v="575"/>
    <n v="31400"/>
    <n v="1"/>
    <n v="31400"/>
  </r>
  <r>
    <x v="1"/>
    <x v="576"/>
    <n v="31131.25"/>
    <n v="1"/>
    <n v="31131.25"/>
  </r>
  <r>
    <x v="1"/>
    <x v="577"/>
    <n v="31200"/>
    <n v="1"/>
    <n v="31200"/>
  </r>
  <r>
    <x v="1"/>
    <x v="578"/>
    <n v="31187.5"/>
    <n v="1"/>
    <n v="31187.5"/>
  </r>
  <r>
    <x v="1"/>
    <x v="579"/>
    <n v="30987.5"/>
    <n v="1"/>
    <n v="30987.5"/>
  </r>
  <r>
    <x v="1"/>
    <x v="580"/>
    <n v="30250"/>
    <n v="1"/>
    <n v="30250"/>
  </r>
  <r>
    <x v="1"/>
    <x v="581"/>
    <n v="29800"/>
    <n v="1"/>
    <n v="29800"/>
  </r>
  <r>
    <x v="1"/>
    <x v="582"/>
    <n v="29606.25"/>
    <n v="1"/>
    <n v="29606.25"/>
  </r>
  <r>
    <x v="1"/>
    <x v="583"/>
    <n v="29687.5"/>
    <n v="1"/>
    <n v="29687.5"/>
  </r>
  <r>
    <x v="1"/>
    <x v="584"/>
    <n v="29581.25"/>
    <n v="1"/>
    <n v="29581.25"/>
  </r>
  <r>
    <x v="1"/>
    <x v="585"/>
    <n v="29406.25"/>
    <n v="1"/>
    <n v="29406.25"/>
  </r>
  <r>
    <x v="1"/>
    <x v="586"/>
    <n v="28962.5"/>
    <n v="1"/>
    <n v="28962.5"/>
  </r>
  <r>
    <x v="1"/>
    <x v="587"/>
    <n v="29300"/>
    <n v="1"/>
    <n v="29300"/>
  </r>
  <r>
    <x v="1"/>
    <x v="588"/>
    <n v="30087.5"/>
    <n v="1"/>
    <n v="30087.5"/>
  </r>
  <r>
    <x v="1"/>
    <x v="589"/>
    <n v="29956.25"/>
    <n v="1"/>
    <n v="29956.25"/>
  </r>
  <r>
    <x v="1"/>
    <x v="590"/>
    <n v="30168.75"/>
    <n v="1"/>
    <n v="30168.75"/>
  </r>
  <r>
    <x v="1"/>
    <x v="591"/>
    <n v="30331.25"/>
    <n v="1"/>
    <n v="30331.25"/>
  </r>
  <r>
    <x v="1"/>
    <x v="592"/>
    <n v="29637.5"/>
    <n v="1"/>
    <n v="29637.5"/>
  </r>
  <r>
    <x v="1"/>
    <x v="593"/>
    <n v="29587.5"/>
    <n v="1"/>
    <n v="29587.5"/>
  </r>
  <r>
    <x v="1"/>
    <x v="594"/>
    <n v="29887.5"/>
    <n v="1"/>
    <n v="29887.5"/>
  </r>
  <r>
    <x v="1"/>
    <x v="595"/>
    <n v="30250"/>
    <n v="1"/>
    <n v="30250"/>
  </r>
  <r>
    <x v="1"/>
    <x v="596"/>
    <n v="30412.5"/>
    <n v="1"/>
    <n v="30412.5"/>
  </r>
  <r>
    <x v="1"/>
    <x v="597"/>
    <n v="30431.25"/>
    <n v="1"/>
    <n v="30431.25"/>
  </r>
  <r>
    <x v="1"/>
    <x v="598"/>
    <n v="30356.25"/>
    <n v="1"/>
    <n v="30356.25"/>
  </r>
  <r>
    <x v="1"/>
    <x v="599"/>
    <n v="30400"/>
    <n v="1"/>
    <n v="30400"/>
  </r>
  <r>
    <x v="1"/>
    <x v="600"/>
    <n v="29818.75"/>
    <n v="1"/>
    <n v="29818.75"/>
  </r>
  <r>
    <x v="1"/>
    <x v="601"/>
    <n v="29793.75"/>
    <n v="1"/>
    <n v="29793.75"/>
  </r>
  <r>
    <x v="1"/>
    <x v="602"/>
    <n v="29831.25"/>
    <n v="1"/>
    <n v="29831.25"/>
  </r>
  <r>
    <x v="1"/>
    <x v="603"/>
    <n v="30168.75"/>
    <n v="1"/>
    <n v="30168.75"/>
  </r>
  <r>
    <x v="1"/>
    <x v="604"/>
    <n v="30150"/>
    <n v="1"/>
    <n v="30150"/>
  </r>
  <r>
    <x v="1"/>
    <x v="605"/>
    <n v="30450"/>
    <n v="1"/>
    <n v="30450"/>
  </r>
  <r>
    <x v="1"/>
    <x v="606"/>
    <n v="30656.25"/>
    <n v="1"/>
    <n v="30656.25"/>
  </r>
  <r>
    <x v="1"/>
    <x v="607"/>
    <n v="30600"/>
    <n v="1"/>
    <n v="30600"/>
  </r>
  <r>
    <x v="1"/>
    <x v="608"/>
    <n v="30493.75"/>
    <n v="1"/>
    <n v="30493.75"/>
  </r>
  <r>
    <x v="1"/>
    <x v="609"/>
    <n v="30450"/>
    <n v="1"/>
    <n v="30450"/>
  </r>
  <r>
    <x v="1"/>
    <x v="610"/>
    <n v="30800"/>
    <n v="1"/>
    <n v="30800"/>
  </r>
  <r>
    <x v="1"/>
    <x v="611"/>
    <n v="30437.5"/>
    <n v="1"/>
    <n v="30437.5"/>
  </r>
  <r>
    <x v="1"/>
    <x v="612"/>
    <n v="30050"/>
    <n v="1"/>
    <n v="30050"/>
  </r>
  <r>
    <x v="1"/>
    <x v="613"/>
    <n v="29718.75"/>
    <n v="1"/>
    <n v="29718.75"/>
  </r>
  <r>
    <x v="1"/>
    <x v="614"/>
    <n v="29625"/>
    <n v="1"/>
    <n v="29625"/>
  </r>
  <r>
    <x v="1"/>
    <x v="615"/>
    <n v="29437.5"/>
    <n v="1"/>
    <n v="29437.5"/>
  </r>
  <r>
    <x v="1"/>
    <x v="616"/>
    <n v="29518.75"/>
    <n v="1"/>
    <n v="29518.75"/>
  </r>
  <r>
    <x v="1"/>
    <x v="617"/>
    <n v="29968.75"/>
    <n v="1"/>
    <n v="29968.75"/>
  </r>
  <r>
    <x v="1"/>
    <x v="618"/>
    <n v="30450"/>
    <n v="1"/>
    <n v="30450"/>
  </r>
  <r>
    <x v="1"/>
    <x v="619"/>
    <n v="30525"/>
    <n v="1"/>
    <n v="30525"/>
  </r>
  <r>
    <x v="1"/>
    <x v="620"/>
    <n v="30531.25"/>
    <n v="1"/>
    <n v="30531.25"/>
  </r>
  <r>
    <x v="1"/>
    <x v="621"/>
    <n v="30831.25"/>
    <n v="1"/>
    <n v="30831.25"/>
  </r>
  <r>
    <x v="1"/>
    <x v="622"/>
    <n v="31150"/>
    <n v="1"/>
    <n v="31150"/>
  </r>
  <r>
    <x v="1"/>
    <x v="623"/>
    <n v="30706.25"/>
    <n v="1"/>
    <n v="30706.25"/>
  </r>
  <r>
    <x v="1"/>
    <x v="624"/>
    <n v="31262.5"/>
    <n v="1"/>
    <n v="31262.5"/>
  </r>
  <r>
    <x v="1"/>
    <x v="625"/>
    <n v="31156.25"/>
    <n v="1"/>
    <n v="31156.25"/>
  </r>
  <r>
    <x v="1"/>
    <x v="626"/>
    <n v="31137.5"/>
    <n v="1"/>
    <n v="31137.5"/>
  </r>
  <r>
    <x v="1"/>
    <x v="627"/>
    <n v="31393.75"/>
    <n v="1"/>
    <n v="31393.75"/>
  </r>
  <r>
    <x v="1"/>
    <x v="628"/>
    <n v="31043.75"/>
    <n v="1"/>
    <n v="31043.75"/>
  </r>
  <r>
    <x v="1"/>
    <x v="629"/>
    <n v="31568.75"/>
    <n v="1"/>
    <n v="31568.75"/>
  </r>
  <r>
    <x v="1"/>
    <x v="630"/>
    <n v="31493.75"/>
    <n v="1"/>
    <n v="31493.75"/>
  </r>
  <r>
    <x v="1"/>
    <x v="631"/>
    <n v="31468.75"/>
    <n v="1"/>
    <n v="31468.75"/>
  </r>
  <r>
    <x v="1"/>
    <x v="632"/>
    <n v="31443.75"/>
    <n v="1"/>
    <n v="31443.75"/>
  </r>
  <r>
    <x v="1"/>
    <x v="633"/>
    <n v="31912.5"/>
    <n v="1"/>
    <n v="31912.5"/>
  </r>
  <r>
    <x v="1"/>
    <x v="634"/>
    <n v="31750"/>
    <n v="1"/>
    <n v="31750"/>
  </r>
  <r>
    <x v="1"/>
    <x v="635"/>
    <n v="32031.25"/>
    <n v="1"/>
    <n v="32031.25"/>
  </r>
  <r>
    <x v="1"/>
    <x v="636"/>
    <n v="31831.25"/>
    <n v="1"/>
    <n v="31831.25"/>
  </r>
  <r>
    <x v="1"/>
    <x v="637"/>
    <n v="31625"/>
    <n v="1"/>
    <n v="31625"/>
  </r>
  <r>
    <x v="1"/>
    <x v="638"/>
    <n v="31412.5"/>
    <n v="1"/>
    <n v="31412.5"/>
  </r>
  <r>
    <x v="1"/>
    <x v="639"/>
    <n v="31287.5"/>
    <n v="1"/>
    <n v="31287.5"/>
  </r>
  <r>
    <x v="1"/>
    <x v="640"/>
    <n v="31243.75"/>
    <n v="1"/>
    <n v="31243.75"/>
  </r>
  <r>
    <x v="1"/>
    <x v="641"/>
    <n v="30793.75"/>
    <n v="1"/>
    <n v="30793.75"/>
  </r>
  <r>
    <x v="1"/>
    <x v="642"/>
    <n v="30718.75"/>
    <n v="1"/>
    <n v="30718.75"/>
  </r>
  <r>
    <x v="1"/>
    <x v="643"/>
    <n v="30706.25"/>
    <n v="1"/>
    <n v="30706.25"/>
  </r>
  <r>
    <x v="1"/>
    <x v="644"/>
    <n v="30693.75"/>
    <n v="1"/>
    <n v="30693.75"/>
  </r>
  <r>
    <x v="1"/>
    <x v="645"/>
    <n v="30812.5"/>
    <n v="1"/>
    <n v="30812.5"/>
  </r>
  <r>
    <x v="1"/>
    <x v="646"/>
    <n v="30918.75"/>
    <n v="1"/>
    <n v="30918.75"/>
  </r>
  <r>
    <x v="1"/>
    <x v="647"/>
    <n v="31212.5"/>
    <n v="1"/>
    <n v="31212.5"/>
  </r>
  <r>
    <x v="1"/>
    <x v="648"/>
    <n v="30806.25"/>
    <n v="1"/>
    <n v="30806.25"/>
  </r>
  <r>
    <x v="1"/>
    <x v="649"/>
    <n v="31268.75"/>
    <n v="1"/>
    <n v="31268.75"/>
  </r>
  <r>
    <x v="1"/>
    <x v="650"/>
    <n v="31212.5"/>
    <n v="1"/>
    <n v="31212.5"/>
  </r>
  <r>
    <x v="1"/>
    <x v="651"/>
    <n v="31068.75"/>
    <n v="1"/>
    <n v="31068.75"/>
  </r>
  <r>
    <x v="1"/>
    <x v="652"/>
    <n v="31425"/>
    <n v="1"/>
    <n v="31425"/>
  </r>
  <r>
    <x v="1"/>
    <x v="653"/>
    <n v="31775"/>
    <n v="1"/>
    <n v="31775"/>
  </r>
  <r>
    <x v="1"/>
    <x v="654"/>
    <n v="31406.25"/>
    <n v="1"/>
    <n v="31406.25"/>
  </r>
  <r>
    <x v="1"/>
    <x v="655"/>
    <n v="31812.5"/>
    <n v="1"/>
    <n v="31812.5"/>
  </r>
  <r>
    <x v="1"/>
    <x v="656"/>
    <n v="32050"/>
    <n v="1"/>
    <n v="32050"/>
  </r>
  <r>
    <x v="1"/>
    <x v="657"/>
    <n v="32143.75"/>
    <n v="1"/>
    <n v="32143.75"/>
  </r>
  <r>
    <x v="1"/>
    <x v="658"/>
    <n v="32250"/>
    <n v="1"/>
    <n v="32250"/>
  </r>
  <r>
    <x v="1"/>
    <x v="659"/>
    <n v="32831.25"/>
    <n v="1"/>
    <n v="32831.25"/>
  </r>
  <r>
    <x v="1"/>
    <x v="660"/>
    <n v="32387.5"/>
    <n v="1"/>
    <n v="32387.5"/>
  </r>
  <r>
    <x v="1"/>
    <x v="661"/>
    <n v="32487.5"/>
    <n v="1"/>
    <n v="32487.5"/>
  </r>
  <r>
    <x v="1"/>
    <x v="662"/>
    <n v="32512.5"/>
    <n v="1"/>
    <n v="32512.5"/>
  </r>
  <r>
    <x v="1"/>
    <x v="663"/>
    <n v="32562.5"/>
    <n v="1"/>
    <n v="32562.5"/>
  </r>
  <r>
    <x v="1"/>
    <x v="664"/>
    <n v="32581.25"/>
    <n v="1"/>
    <n v="32581.25"/>
  </r>
  <r>
    <x v="1"/>
    <x v="665"/>
    <n v="32625"/>
    <n v="1"/>
    <n v="32625"/>
  </r>
  <r>
    <x v="1"/>
    <x v="666"/>
    <n v="32431.25"/>
    <n v="1"/>
    <n v="32431.25"/>
  </r>
  <r>
    <x v="1"/>
    <x v="667"/>
    <n v="32137.5"/>
    <n v="1"/>
    <n v="32137.5"/>
  </r>
  <r>
    <x v="1"/>
    <x v="668"/>
    <n v="32250"/>
    <n v="1"/>
    <n v="32250"/>
  </r>
  <r>
    <x v="1"/>
    <x v="669"/>
    <n v="32162.5"/>
    <n v="1"/>
    <n v="32162.5"/>
  </r>
  <r>
    <x v="1"/>
    <x v="670"/>
    <n v="32131.25"/>
    <n v="1"/>
    <n v="32131.25"/>
  </r>
  <r>
    <x v="1"/>
    <x v="671"/>
    <n v="32281.25"/>
    <n v="1"/>
    <n v="32281.25"/>
  </r>
  <r>
    <x v="1"/>
    <x v="672"/>
    <n v="32012.5"/>
    <n v="1"/>
    <n v="32012.5"/>
  </r>
  <r>
    <x v="1"/>
    <x v="673"/>
    <n v="32287.5"/>
    <n v="1"/>
    <n v="32287.5"/>
  </r>
  <r>
    <x v="1"/>
    <x v="674"/>
    <n v="32250"/>
    <n v="1"/>
    <n v="32250"/>
  </r>
  <r>
    <x v="1"/>
    <x v="675"/>
    <n v="32243.75"/>
    <n v="1"/>
    <n v="32243.75"/>
  </r>
  <r>
    <x v="1"/>
    <x v="676"/>
    <n v="32362.5"/>
    <n v="1"/>
    <n v="32362.5"/>
  </r>
  <r>
    <x v="1"/>
    <x v="677"/>
    <n v="32175"/>
    <n v="1"/>
    <n v="32175"/>
  </r>
  <r>
    <x v="1"/>
    <x v="678"/>
    <n v="32462.5"/>
    <n v="1"/>
    <n v="32462.5"/>
  </r>
  <r>
    <x v="1"/>
    <x v="679"/>
    <n v="32475"/>
    <n v="1"/>
    <n v="32475"/>
  </r>
  <r>
    <x v="1"/>
    <x v="680"/>
    <n v="32337.5"/>
    <n v="1"/>
    <n v="32337.5"/>
  </r>
  <r>
    <x v="1"/>
    <x v="681"/>
    <n v="32437.5"/>
    <n v="1"/>
    <n v="32437.5"/>
  </r>
  <r>
    <x v="1"/>
    <x v="682"/>
    <n v="32506.25"/>
    <n v="1"/>
    <n v="32506.25"/>
  </r>
  <r>
    <x v="1"/>
    <x v="683"/>
    <n v="32856.25"/>
    <n v="1"/>
    <n v="32856.25"/>
  </r>
  <r>
    <x v="1"/>
    <x v="684"/>
    <n v="33118.75"/>
    <n v="1"/>
    <n v="33118.75"/>
  </r>
  <r>
    <x v="1"/>
    <x v="685"/>
    <n v="33256.25"/>
    <n v="1"/>
    <n v="33256.25"/>
  </r>
  <r>
    <x v="1"/>
    <x v="686"/>
    <n v="33212.5"/>
    <n v="1"/>
    <n v="33212.5"/>
  </r>
  <r>
    <x v="1"/>
    <x v="687"/>
    <n v="32675"/>
    <n v="1"/>
    <n v="32675"/>
  </r>
  <r>
    <x v="1"/>
    <x v="688"/>
    <n v="32731.25"/>
    <n v="1"/>
    <n v="32731.25"/>
  </r>
  <r>
    <x v="1"/>
    <x v="689"/>
    <n v="32856.25"/>
    <n v="1"/>
    <n v="32856.25"/>
  </r>
  <r>
    <x v="1"/>
    <x v="690"/>
    <n v="33500"/>
    <n v="1"/>
    <n v="33500"/>
  </r>
  <r>
    <x v="1"/>
    <x v="691"/>
    <n v="33875"/>
    <n v="1"/>
    <n v="33875"/>
  </r>
  <r>
    <x v="1"/>
    <x v="692"/>
    <n v="33625"/>
    <n v="1"/>
    <n v="33625"/>
  </r>
  <r>
    <x v="1"/>
    <x v="693"/>
    <n v="34243.75"/>
    <n v="1"/>
    <n v="34243.75"/>
  </r>
  <r>
    <x v="1"/>
    <x v="694"/>
    <n v="34587.5"/>
    <n v="1"/>
    <n v="34587.5"/>
  </r>
  <r>
    <x v="1"/>
    <x v="695"/>
    <n v="35025"/>
    <n v="1"/>
    <n v="35025"/>
  </r>
  <r>
    <x v="1"/>
    <x v="696"/>
    <n v="35550"/>
    <n v="1"/>
    <n v="35550"/>
  </r>
  <r>
    <x v="1"/>
    <x v="697"/>
    <n v="35731.25"/>
    <n v="1"/>
    <n v="35731.25"/>
  </r>
  <r>
    <x v="1"/>
    <x v="698"/>
    <n v="35681.25"/>
    <n v="1"/>
    <n v="35681.25"/>
  </r>
  <r>
    <x v="1"/>
    <x v="699"/>
    <n v="35531.25"/>
    <n v="1"/>
    <n v="35531.25"/>
  </r>
  <r>
    <x v="1"/>
    <x v="700"/>
    <n v="35968.75"/>
    <n v="1"/>
    <n v="35968.75"/>
  </r>
  <r>
    <x v="1"/>
    <x v="701"/>
    <n v="35518.75"/>
    <n v="1"/>
    <n v="35518.75"/>
  </r>
  <r>
    <x v="1"/>
    <x v="702"/>
    <n v="35812.5"/>
    <n v="1"/>
    <n v="35812.5"/>
  </r>
  <r>
    <x v="1"/>
    <x v="703"/>
    <n v="35725"/>
    <n v="1"/>
    <n v="35725"/>
  </r>
  <r>
    <x v="1"/>
    <x v="704"/>
    <n v="36131.25"/>
    <n v="1"/>
    <n v="36131.25"/>
  </r>
  <r>
    <x v="1"/>
    <x v="705"/>
    <n v="36781.25"/>
    <n v="1"/>
    <n v="36781.25"/>
  </r>
  <r>
    <x v="1"/>
    <x v="706"/>
    <n v="36906.25"/>
    <n v="1"/>
    <n v="36906.25"/>
  </r>
  <r>
    <x v="1"/>
    <x v="707"/>
    <n v="36856.25"/>
    <n v="1"/>
    <n v="36856.25"/>
  </r>
  <r>
    <x v="1"/>
    <x v="708"/>
    <n v="37375"/>
    <n v="1"/>
    <n v="37375"/>
  </r>
  <r>
    <x v="1"/>
    <x v="709"/>
    <n v="37131.25"/>
    <n v="1"/>
    <n v="37131.25"/>
  </r>
  <r>
    <x v="1"/>
    <x v="710"/>
    <n v="36993.75"/>
    <n v="1"/>
    <n v="36993.75"/>
  </r>
  <r>
    <x v="1"/>
    <x v="711"/>
    <n v="36931.25"/>
    <n v="1"/>
    <n v="36931.25"/>
  </r>
  <r>
    <x v="1"/>
    <x v="712"/>
    <n v="37275"/>
    <n v="1"/>
    <n v="37275"/>
  </r>
  <r>
    <x v="1"/>
    <x v="713"/>
    <n v="37237.5"/>
    <n v="1"/>
    <n v="37237.5"/>
  </r>
  <r>
    <x v="1"/>
    <x v="714"/>
    <n v="36762.5"/>
    <n v="1"/>
    <n v="36762.5"/>
  </r>
  <r>
    <x v="1"/>
    <x v="715"/>
    <n v="36675"/>
    <n v="1"/>
    <n v="36675"/>
  </r>
  <r>
    <x v="1"/>
    <x v="716"/>
    <n v="36575"/>
    <n v="1"/>
    <n v="36575"/>
  </r>
  <r>
    <x v="1"/>
    <x v="717"/>
    <n v="36700"/>
    <n v="1"/>
    <n v="36700"/>
  </r>
  <r>
    <x v="1"/>
    <x v="718"/>
    <n v="36756.25"/>
    <n v="1"/>
    <n v="36756.25"/>
  </r>
  <r>
    <x v="1"/>
    <x v="719"/>
    <n v="36281.25"/>
    <n v="1"/>
    <n v="36281.25"/>
  </r>
  <r>
    <x v="1"/>
    <x v="720"/>
    <n v="36212.5"/>
    <n v="1"/>
    <n v="36212.5"/>
  </r>
  <r>
    <x v="1"/>
    <x v="721"/>
    <n v="36431.25"/>
    <n v="1"/>
    <n v="36431.25"/>
  </r>
  <r>
    <x v="1"/>
    <x v="722"/>
    <n v="36531.25"/>
    <n v="1"/>
    <n v="36531.25"/>
  </r>
  <r>
    <x v="1"/>
    <x v="723"/>
    <n v="36931.25"/>
    <n v="1"/>
    <n v="36931.25"/>
  </r>
  <r>
    <x v="1"/>
    <x v="724"/>
    <n v="36956.25"/>
    <n v="1"/>
    <n v="36956.25"/>
  </r>
  <r>
    <x v="1"/>
    <x v="725"/>
    <n v="36787.5"/>
    <n v="1"/>
    <n v="36787.5"/>
  </r>
  <r>
    <x v="1"/>
    <x v="726"/>
    <n v="36756.25"/>
    <n v="1"/>
    <n v="36756.25"/>
  </r>
  <r>
    <x v="1"/>
    <x v="727"/>
    <n v="36506.25"/>
    <n v="1"/>
    <n v="36506.25"/>
  </r>
  <r>
    <x v="1"/>
    <x v="728"/>
    <n v="36406.25"/>
    <n v="1"/>
    <n v="36406.25"/>
  </r>
  <r>
    <x v="1"/>
    <x v="729"/>
    <n v="37187.5"/>
    <n v="1"/>
    <n v="37187.5"/>
  </r>
  <r>
    <x v="1"/>
    <x v="730"/>
    <n v="36306.25"/>
    <n v="1"/>
    <n v="36306.25"/>
  </r>
  <r>
    <x v="1"/>
    <x v="731"/>
    <n v="36612.5"/>
    <n v="1"/>
    <n v="36612.5"/>
  </r>
  <r>
    <x v="1"/>
    <x v="732"/>
    <n v="36481.25"/>
    <n v="1"/>
    <n v="36481.25"/>
  </r>
  <r>
    <x v="1"/>
    <x v="733"/>
    <n v="36187.5"/>
    <n v="1"/>
    <n v="36187.5"/>
  </r>
  <r>
    <x v="1"/>
    <x v="734"/>
    <n v="36350"/>
    <n v="1"/>
    <n v="36350"/>
  </r>
  <r>
    <x v="1"/>
    <x v="735"/>
    <n v="36306.25"/>
    <n v="1"/>
    <n v="36306.25"/>
  </r>
  <r>
    <x v="1"/>
    <x v="736"/>
    <n v="37031.25"/>
    <n v="1"/>
    <n v="37031.25"/>
  </r>
  <r>
    <x v="1"/>
    <x v="737"/>
    <n v="37343.75"/>
    <n v="1"/>
    <n v="37343.75"/>
  </r>
  <r>
    <x v="1"/>
    <x v="738"/>
    <n v="37412.5"/>
    <n v="1"/>
    <n v="37412.5"/>
  </r>
  <r>
    <x v="1"/>
    <x v="739"/>
    <n v="36575"/>
    <n v="1"/>
    <n v="36575"/>
  </r>
  <r>
    <x v="1"/>
    <x v="740"/>
    <n v="36581.25"/>
    <n v="1"/>
    <n v="36581.25"/>
  </r>
  <r>
    <x v="1"/>
    <x v="741"/>
    <n v="37293.75"/>
    <n v="1"/>
    <n v="37293.75"/>
  </r>
  <r>
    <x v="1"/>
    <x v="742"/>
    <n v="37112.5"/>
    <n v="1"/>
    <n v="37112.5"/>
  </r>
  <r>
    <x v="1"/>
    <x v="743"/>
    <n v="37550"/>
    <n v="1"/>
    <n v="37550"/>
  </r>
  <r>
    <x v="1"/>
    <x v="744"/>
    <n v="37937.5"/>
    <n v="1"/>
    <n v="37937.5"/>
  </r>
  <r>
    <x v="1"/>
    <x v="745"/>
    <n v="38831.25"/>
    <n v="1"/>
    <n v="38831.25"/>
  </r>
  <r>
    <x v="1"/>
    <x v="746"/>
    <n v="39256.25"/>
    <n v="1"/>
    <n v="39256.25"/>
  </r>
  <r>
    <x v="1"/>
    <x v="747"/>
    <n v="38662.5"/>
    <n v="1"/>
    <n v="38662.5"/>
  </r>
  <r>
    <x v="1"/>
    <x v="748"/>
    <n v="38806.25"/>
    <n v="1"/>
    <n v="38806.25"/>
  </r>
  <r>
    <x v="1"/>
    <x v="749"/>
    <n v="38825"/>
    <n v="1"/>
    <n v="38825"/>
  </r>
  <r>
    <x v="1"/>
    <x v="750"/>
    <n v="38731.25"/>
    <n v="1"/>
    <n v="38731.25"/>
  </r>
  <r>
    <x v="1"/>
    <x v="751"/>
    <n v="38356.25"/>
    <n v="1"/>
    <n v="38356.25"/>
  </r>
  <r>
    <x v="1"/>
    <x v="752"/>
    <n v="38356.25"/>
    <n v="1"/>
    <n v="38356.25"/>
  </r>
  <r>
    <x v="1"/>
    <x v="753"/>
    <n v="38381.25"/>
    <n v="1"/>
    <n v="38381.25"/>
  </r>
  <r>
    <x v="1"/>
    <x v="754"/>
    <n v="37750"/>
    <n v="1"/>
    <n v="37750"/>
  </r>
  <r>
    <x v="1"/>
    <x v="755"/>
    <n v="37300"/>
    <n v="1"/>
    <n v="37300"/>
  </r>
  <r>
    <x v="1"/>
    <x v="756"/>
    <n v="36462.5"/>
    <n v="1"/>
    <n v="36462.5"/>
  </r>
  <r>
    <x v="1"/>
    <x v="757"/>
    <n v="36418.75"/>
    <n v="1"/>
    <n v="36418.75"/>
  </r>
  <r>
    <x v="1"/>
    <x v="758"/>
    <n v="36431.25"/>
    <n v="1"/>
    <n v="36431.25"/>
  </r>
  <r>
    <x v="1"/>
    <x v="759"/>
    <n v="36350"/>
    <n v="1"/>
    <n v="36350"/>
  </r>
  <r>
    <x v="1"/>
    <x v="760"/>
    <n v="36156.25"/>
    <n v="1"/>
    <n v="36156.25"/>
  </r>
  <r>
    <x v="1"/>
    <x v="761"/>
    <n v="36568.75"/>
    <n v="1"/>
    <n v="36568.75"/>
  </r>
  <r>
    <x v="1"/>
    <x v="762"/>
    <n v="36937.5"/>
    <n v="1"/>
    <n v="36937.5"/>
  </r>
  <r>
    <x v="1"/>
    <x v="763"/>
    <n v="36650"/>
    <n v="1"/>
    <n v="36650"/>
  </r>
  <r>
    <x v="1"/>
    <x v="764"/>
    <n v="36593.75"/>
    <n v="1"/>
    <n v="36593.75"/>
  </r>
  <r>
    <x v="1"/>
    <x v="765"/>
    <n v="36231.25"/>
    <n v="1"/>
    <n v="36231.25"/>
  </r>
  <r>
    <x v="1"/>
    <x v="766"/>
    <n v="36612.5"/>
    <n v="1"/>
    <n v="36612.5"/>
  </r>
  <r>
    <x v="1"/>
    <x v="767"/>
    <n v="36250"/>
    <n v="1"/>
    <n v="36250"/>
  </r>
  <r>
    <x v="1"/>
    <x v="768"/>
    <n v="35912.5"/>
    <n v="1"/>
    <n v="35912.5"/>
  </r>
  <r>
    <x v="1"/>
    <x v="769"/>
    <n v="36006.25"/>
    <n v="1"/>
    <n v="36006.25"/>
  </r>
  <r>
    <x v="1"/>
    <x v="770"/>
    <n v="36425"/>
    <n v="1"/>
    <n v="36425"/>
  </r>
  <r>
    <x v="1"/>
    <x v="771"/>
    <n v="36200"/>
    <n v="1"/>
    <n v="36200"/>
  </r>
  <r>
    <x v="1"/>
    <x v="772"/>
    <n v="36037.5"/>
    <n v="1"/>
    <n v="36037.5"/>
  </r>
  <r>
    <x v="1"/>
    <x v="773"/>
    <n v="35837.5"/>
    <n v="1"/>
    <n v="35837.5"/>
  </r>
  <r>
    <x v="1"/>
    <x v="774"/>
    <n v="35762.5"/>
    <n v="1"/>
    <n v="35762.5"/>
  </r>
  <r>
    <x v="1"/>
    <x v="775"/>
    <n v="35925"/>
    <n v="1"/>
    <n v="35925"/>
  </r>
  <r>
    <x v="1"/>
    <x v="776"/>
    <n v="35743.75"/>
    <n v="1"/>
    <n v="35743.75"/>
  </r>
  <r>
    <x v="1"/>
    <x v="777"/>
    <n v="35981.25"/>
    <n v="1"/>
    <n v="35981.25"/>
  </r>
  <r>
    <x v="1"/>
    <x v="778"/>
    <n v="35850"/>
    <n v="1"/>
    <n v="35850"/>
  </r>
  <r>
    <x v="1"/>
    <x v="779"/>
    <n v="35406.25"/>
    <n v="1"/>
    <n v="35406.25"/>
  </r>
  <r>
    <x v="1"/>
    <x v="780"/>
    <n v="35393.75"/>
    <n v="1"/>
    <n v="35393.75"/>
  </r>
  <r>
    <x v="1"/>
    <x v="781"/>
    <n v="35218.75"/>
    <n v="1"/>
    <n v="35218.75"/>
  </r>
  <r>
    <x v="1"/>
    <x v="782"/>
    <n v="35725"/>
    <n v="1"/>
    <n v="35725"/>
  </r>
  <r>
    <x v="1"/>
    <x v="783"/>
    <n v="35406.25"/>
    <n v="1"/>
    <n v="35406.25"/>
  </r>
  <r>
    <x v="1"/>
    <x v="784"/>
    <n v="36043.75"/>
    <n v="1"/>
    <n v="36043.75"/>
  </r>
  <r>
    <x v="1"/>
    <x v="785"/>
    <n v="36843.75"/>
    <n v="1"/>
    <n v="36843.75"/>
  </r>
  <r>
    <x v="1"/>
    <x v="786"/>
    <n v="36893.75"/>
    <n v="1"/>
    <n v="36893.75"/>
  </r>
  <r>
    <x v="1"/>
    <x v="787"/>
    <n v="37075"/>
    <n v="1"/>
    <n v="37075"/>
  </r>
  <r>
    <x v="1"/>
    <x v="788"/>
    <n v="37381.25"/>
    <n v="1"/>
    <n v="37381.25"/>
  </r>
  <r>
    <x v="1"/>
    <x v="789"/>
    <n v="37331.25"/>
    <n v="1"/>
    <n v="37331.25"/>
  </r>
  <r>
    <x v="1"/>
    <x v="790"/>
    <n v="36981.25"/>
    <n v="1"/>
    <n v="36981.25"/>
  </r>
  <r>
    <x v="1"/>
    <x v="791"/>
    <n v="37018.75"/>
    <n v="1"/>
    <n v="37018.75"/>
  </r>
  <r>
    <x v="1"/>
    <x v="792"/>
    <n v="37093.75"/>
    <n v="1"/>
    <n v="37093.75"/>
  </r>
  <r>
    <x v="1"/>
    <x v="793"/>
    <n v="37087.5"/>
    <n v="1"/>
    <n v="37087.5"/>
  </r>
  <r>
    <x v="1"/>
    <x v="794"/>
    <n v="37050"/>
    <n v="1"/>
    <n v="37050"/>
  </r>
  <r>
    <x v="1"/>
    <x v="795"/>
    <n v="36981.25"/>
    <n v="1"/>
    <n v="36981.25"/>
  </r>
  <r>
    <x v="1"/>
    <x v="796"/>
    <n v="37056.25"/>
    <n v="1"/>
    <n v="37056.25"/>
  </r>
  <r>
    <x v="1"/>
    <x v="797"/>
    <n v="37781.25"/>
    <n v="1"/>
    <n v="37781.25"/>
  </r>
  <r>
    <x v="1"/>
    <x v="798"/>
    <n v="37968.75"/>
    <n v="1"/>
    <n v="37968.75"/>
  </r>
  <r>
    <x v="1"/>
    <x v="799"/>
    <n v="37806.25"/>
    <n v="1"/>
    <n v="37806.25"/>
  </r>
  <r>
    <x v="1"/>
    <x v="800"/>
    <n v="38212.5"/>
    <n v="1"/>
    <n v="38212.5"/>
  </r>
  <r>
    <x v="1"/>
    <x v="801"/>
    <n v="38443.75"/>
    <n v="1"/>
    <n v="38443.75"/>
  </r>
  <r>
    <x v="1"/>
    <x v="802"/>
    <n v="38656.25"/>
    <n v="1"/>
    <n v="38656.25"/>
  </r>
  <r>
    <x v="1"/>
    <x v="803"/>
    <n v="38418.75"/>
    <n v="1"/>
    <n v="38418.75"/>
  </r>
  <r>
    <x v="1"/>
    <x v="804"/>
    <n v="38112.5"/>
    <n v="1"/>
    <n v="38112.5"/>
  </r>
  <r>
    <x v="1"/>
    <x v="805"/>
    <n v="38237.5"/>
    <n v="1"/>
    <n v="38237.5"/>
  </r>
  <r>
    <x v="1"/>
    <x v="806"/>
    <n v="37693.75"/>
    <n v="1"/>
    <n v="37693.75"/>
  </r>
  <r>
    <x v="1"/>
    <x v="807"/>
    <n v="37712.5"/>
    <n v="1"/>
    <n v="37712.5"/>
  </r>
  <r>
    <x v="1"/>
    <x v="808"/>
    <n v="37837.5"/>
    <n v="1"/>
    <n v="37837.5"/>
  </r>
  <r>
    <x v="1"/>
    <x v="809"/>
    <n v="38268.75"/>
    <n v="1"/>
    <n v="38268.75"/>
  </r>
  <r>
    <x v="1"/>
    <x v="810"/>
    <n v="38350"/>
    <n v="1"/>
    <n v="38350"/>
  </r>
  <r>
    <x v="1"/>
    <x v="811"/>
    <n v="38493.75"/>
    <n v="1"/>
    <n v="38493.75"/>
  </r>
  <r>
    <x v="1"/>
    <x v="812"/>
    <n v="38456.25"/>
    <n v="1"/>
    <n v="38456.25"/>
  </r>
  <r>
    <x v="1"/>
    <x v="813"/>
    <n v="38806.25"/>
    <n v="1"/>
    <n v="38806.25"/>
  </r>
  <r>
    <x v="1"/>
    <x v="814"/>
    <n v="39075"/>
    <n v="1"/>
    <n v="39075"/>
  </r>
  <r>
    <x v="1"/>
    <x v="815"/>
    <n v="39093.75"/>
    <n v="1"/>
    <n v="39093.75"/>
  </r>
  <r>
    <x v="1"/>
    <x v="816"/>
    <n v="39325"/>
    <n v="1"/>
    <n v="39325"/>
  </r>
  <r>
    <x v="1"/>
    <x v="817"/>
    <n v="39318.75"/>
    <n v="1"/>
    <n v="39318.75"/>
  </r>
  <r>
    <x v="1"/>
    <x v="818"/>
    <n v="39550"/>
    <n v="1"/>
    <n v="39550"/>
  </r>
  <r>
    <x v="1"/>
    <x v="819"/>
    <n v="39150"/>
    <n v="1"/>
    <n v="39150"/>
  </r>
  <r>
    <x v="1"/>
    <x v="820"/>
    <n v="39187.5"/>
    <n v="1"/>
    <n v="39187.5"/>
  </r>
  <r>
    <x v="1"/>
    <x v="821"/>
    <n v="39275"/>
    <n v="1"/>
    <n v="39275"/>
  </r>
  <r>
    <x v="1"/>
    <x v="822"/>
    <n v="39650"/>
    <n v="1"/>
    <n v="39650"/>
  </r>
  <r>
    <x v="1"/>
    <x v="823"/>
    <n v="39600"/>
    <n v="1"/>
    <n v="39600"/>
  </r>
  <r>
    <x v="1"/>
    <x v="824"/>
    <n v="39881.25"/>
    <n v="1"/>
    <n v="39881.25"/>
  </r>
  <r>
    <x v="1"/>
    <x v="825"/>
    <n v="39856.25"/>
    <n v="1"/>
    <n v="39856.25"/>
  </r>
  <r>
    <x v="1"/>
    <x v="826"/>
    <n v="40425"/>
    <n v="1"/>
    <n v="40425"/>
  </r>
  <r>
    <x v="1"/>
    <x v="827"/>
    <n v="40618.75"/>
    <n v="1"/>
    <n v="40618.75"/>
  </r>
  <r>
    <x v="1"/>
    <x v="828"/>
    <n v="40768.75"/>
    <n v="1"/>
    <n v="40768.75"/>
  </r>
  <r>
    <x v="1"/>
    <x v="829"/>
    <n v="40762.5"/>
    <n v="1"/>
    <n v="40762.5"/>
  </r>
  <r>
    <x v="1"/>
    <x v="830"/>
    <n v="40943.75"/>
    <n v="1"/>
    <n v="40943.75"/>
  </r>
  <r>
    <x v="1"/>
    <x v="831"/>
    <n v="41218.75"/>
    <n v="1"/>
    <n v="41218.75"/>
  </r>
  <r>
    <x v="1"/>
    <x v="832"/>
    <n v="41118.75"/>
    <n v="1"/>
    <n v="41118.75"/>
  </r>
  <r>
    <x v="1"/>
    <x v="833"/>
    <n v="41681.25"/>
    <n v="1"/>
    <n v="41681.25"/>
  </r>
  <r>
    <x v="1"/>
    <x v="834"/>
    <n v="42437.5"/>
    <n v="1"/>
    <n v="42437.5"/>
  </r>
  <r>
    <x v="1"/>
    <x v="835"/>
    <n v="42550"/>
    <n v="1"/>
    <n v="42550"/>
  </r>
  <r>
    <x v="1"/>
    <x v="836"/>
    <n v="43212.5"/>
    <n v="1"/>
    <n v="43212.5"/>
  </r>
  <r>
    <x v="1"/>
    <x v="837"/>
    <n v="43087.5"/>
    <n v="1"/>
    <n v="43087.5"/>
  </r>
  <r>
    <x v="1"/>
    <x v="838"/>
    <n v="43287.5"/>
    <n v="1"/>
    <n v="43287.5"/>
  </r>
  <r>
    <x v="1"/>
    <x v="839"/>
    <n v="42806.25"/>
    <n v="1"/>
    <n v="42806.25"/>
  </r>
  <r>
    <x v="1"/>
    <x v="840"/>
    <n v="42612.5"/>
    <n v="1"/>
    <n v="42612.5"/>
  </r>
  <r>
    <x v="1"/>
    <x v="841"/>
    <n v="42587.5"/>
    <n v="1"/>
    <n v="42587.5"/>
  </r>
  <r>
    <x v="1"/>
    <x v="842"/>
    <n v="43362.5"/>
    <n v="1"/>
    <n v="43362.5"/>
  </r>
  <r>
    <x v="1"/>
    <x v="843"/>
    <n v="43943.75"/>
    <n v="1"/>
    <n v="43943.75"/>
  </r>
  <r>
    <x v="1"/>
    <x v="844"/>
    <n v="43568.75"/>
    <n v="1"/>
    <n v="43568.75"/>
  </r>
  <r>
    <x v="1"/>
    <x v="845"/>
    <n v="43775"/>
    <n v="1"/>
    <n v="43775"/>
  </r>
  <r>
    <x v="1"/>
    <x v="846"/>
    <n v="43775"/>
    <n v="1"/>
    <n v="43775"/>
  </r>
  <r>
    <x v="1"/>
    <x v="847"/>
    <n v="44418.75"/>
    <n v="1"/>
    <n v="44418.75"/>
  </r>
  <r>
    <x v="1"/>
    <x v="848"/>
    <n v="44531.25"/>
    <n v="1"/>
    <n v="44531.25"/>
  </r>
  <r>
    <x v="1"/>
    <x v="849"/>
    <n v="45737.5"/>
    <n v="1"/>
    <n v="45737.5"/>
  </r>
  <r>
    <x v="1"/>
    <x v="850"/>
    <n v="45793.75"/>
    <n v="1"/>
    <n v="45793.75"/>
  </r>
  <r>
    <x v="1"/>
    <x v="851"/>
    <n v="44600"/>
    <n v="1"/>
    <n v="44600"/>
  </r>
  <r>
    <x v="1"/>
    <x v="852"/>
    <n v="44650"/>
    <n v="1"/>
    <n v="44650"/>
  </r>
  <r>
    <x v="1"/>
    <x v="853"/>
    <n v="43868.75"/>
    <n v="1"/>
    <n v="43868.75"/>
  </r>
  <r>
    <x v="1"/>
    <x v="854"/>
    <n v="43743.75"/>
    <n v="1"/>
    <n v="43743.75"/>
  </r>
  <r>
    <x v="1"/>
    <x v="855"/>
    <n v="44087.5"/>
    <n v="1"/>
    <n v="44087.5"/>
  </r>
  <r>
    <x v="1"/>
    <x v="856"/>
    <n v="43800"/>
    <n v="1"/>
    <n v="43800"/>
  </r>
  <r>
    <x v="1"/>
    <x v="857"/>
    <n v="43750"/>
    <n v="1"/>
    <n v="43750"/>
  </r>
  <r>
    <x v="1"/>
    <x v="858"/>
    <n v="44050"/>
    <n v="1"/>
    <n v="44050"/>
  </r>
  <r>
    <x v="1"/>
    <x v="859"/>
    <n v="44512.5"/>
    <n v="1"/>
    <n v="44512.5"/>
  </r>
  <r>
    <x v="1"/>
    <x v="860"/>
    <n v="44200"/>
    <n v="1"/>
    <n v="44200"/>
  </r>
  <r>
    <x v="1"/>
    <x v="861"/>
    <n v="44143.75"/>
    <n v="1"/>
    <n v="44143.75"/>
  </r>
  <r>
    <x v="1"/>
    <x v="862"/>
    <n v="44406.25"/>
    <n v="1"/>
    <n v="44406.25"/>
  </r>
  <r>
    <x v="1"/>
    <x v="863"/>
    <n v="45125"/>
    <n v="1"/>
    <n v="45125"/>
  </r>
  <r>
    <x v="1"/>
    <x v="864"/>
    <n v="45212.5"/>
    <n v="1"/>
    <n v="45212.5"/>
  </r>
  <r>
    <x v="1"/>
    <x v="865"/>
    <n v="45987.5"/>
    <n v="1"/>
    <n v="45987.5"/>
  </r>
  <r>
    <x v="1"/>
    <x v="866"/>
    <n v="46293.75"/>
    <n v="1"/>
    <n v="46293.75"/>
  </r>
  <r>
    <x v="1"/>
    <x v="867"/>
    <n v="44981.25"/>
    <n v="1"/>
    <n v="44981.25"/>
  </r>
  <r>
    <x v="1"/>
    <x v="868"/>
    <n v="44993.75"/>
    <n v="1"/>
    <n v="44993.75"/>
  </r>
  <r>
    <x v="1"/>
    <x v="869"/>
    <n v="45418.75"/>
    <n v="1"/>
    <n v="45418.75"/>
  </r>
  <r>
    <x v="1"/>
    <x v="870"/>
    <n v="45250"/>
    <n v="1"/>
    <n v="45250"/>
  </r>
  <r>
    <x v="1"/>
    <x v="871"/>
    <n v="44587.5"/>
    <n v="1"/>
    <n v="44587.5"/>
  </r>
  <r>
    <x v="1"/>
    <x v="872"/>
    <n v="44931.25"/>
    <n v="1"/>
    <n v="44931.25"/>
  </r>
  <r>
    <x v="1"/>
    <x v="873"/>
    <n v="46043.75"/>
    <n v="1"/>
    <n v="46043.75"/>
  </r>
  <r>
    <x v="1"/>
    <x v="874"/>
    <n v="46556.25"/>
    <n v="1"/>
    <n v="46556.25"/>
  </r>
  <r>
    <x v="1"/>
    <x v="875"/>
    <n v="45706.25"/>
    <n v="1"/>
    <n v="45706.25"/>
  </r>
  <r>
    <x v="1"/>
    <x v="876"/>
    <n v="45525"/>
    <n v="1"/>
    <n v="45525"/>
  </r>
  <r>
    <x v="1"/>
    <x v="877"/>
    <n v="45450"/>
    <n v="1"/>
    <n v="45450"/>
  </r>
  <r>
    <x v="1"/>
    <x v="878"/>
    <n v="45312.5"/>
    <n v="1"/>
    <n v="45312.5"/>
  </r>
  <r>
    <x v="1"/>
    <x v="879"/>
    <n v="45650"/>
    <n v="1"/>
    <n v="45650"/>
  </r>
  <r>
    <x v="1"/>
    <x v="880"/>
    <n v="45775"/>
    <n v="1"/>
    <n v="45775"/>
  </r>
  <r>
    <x v="1"/>
    <x v="881"/>
    <n v="44712.5"/>
    <n v="1"/>
    <n v="44712.5"/>
  </r>
  <r>
    <x v="1"/>
    <x v="882"/>
    <n v="44943.75"/>
    <n v="1"/>
    <n v="44943.75"/>
  </r>
  <r>
    <x v="1"/>
    <x v="883"/>
    <n v="45387.5"/>
    <n v="1"/>
    <n v="45387.5"/>
  </r>
  <r>
    <x v="1"/>
    <x v="884"/>
    <n v="45293.75"/>
    <n v="1"/>
    <n v="45293.75"/>
  </r>
  <r>
    <x v="1"/>
    <x v="885"/>
    <n v="44581.25"/>
    <n v="1"/>
    <n v="44581.25"/>
  </r>
  <r>
    <x v="1"/>
    <x v="886"/>
    <n v="44668.75"/>
    <n v="1"/>
    <n v="44668.75"/>
  </r>
  <r>
    <x v="1"/>
    <x v="887"/>
    <n v="45012.5"/>
    <n v="1"/>
    <n v="45012.5"/>
  </r>
  <r>
    <x v="1"/>
    <x v="888"/>
    <n v="44725"/>
    <n v="1"/>
    <n v="44725"/>
  </r>
  <r>
    <x v="1"/>
    <x v="889"/>
    <n v="45012.5"/>
    <n v="1"/>
    <n v="45012.5"/>
  </r>
  <r>
    <x v="1"/>
    <x v="890"/>
    <n v="44437.5"/>
    <n v="1"/>
    <n v="44437.5"/>
  </r>
  <r>
    <x v="1"/>
    <x v="891"/>
    <n v="44618.75"/>
    <n v="1"/>
    <n v="44618.75"/>
  </r>
  <r>
    <x v="1"/>
    <x v="892"/>
    <n v="45425"/>
    <n v="1"/>
    <n v="45425"/>
  </r>
  <r>
    <x v="1"/>
    <x v="893"/>
    <n v="45268.75"/>
    <n v="1"/>
    <n v="45268.75"/>
  </r>
  <r>
    <x v="1"/>
    <x v="894"/>
    <n v="45687.5"/>
    <n v="1"/>
    <n v="45687.5"/>
  </r>
  <r>
    <x v="1"/>
    <x v="895"/>
    <n v="45350"/>
    <n v="1"/>
    <n v="45350"/>
  </r>
  <r>
    <x v="1"/>
    <x v="896"/>
    <n v="45000"/>
    <n v="1"/>
    <n v="45000"/>
  </r>
  <r>
    <x v="1"/>
    <x v="897"/>
    <n v="44787.5"/>
    <n v="1"/>
    <n v="44787.5"/>
  </r>
  <r>
    <x v="1"/>
    <x v="898"/>
    <n v="44368.75"/>
    <n v="1"/>
    <n v="44368.75"/>
  </r>
  <r>
    <x v="1"/>
    <x v="899"/>
    <n v="44325"/>
    <n v="1"/>
    <n v="44325"/>
  </r>
  <r>
    <x v="1"/>
    <x v="900"/>
    <n v="44112.5"/>
    <n v="1"/>
    <n v="44112.5"/>
  </r>
  <r>
    <x v="1"/>
    <x v="901"/>
    <n v="44218.75"/>
    <n v="1"/>
    <n v="44218.75"/>
  </r>
  <r>
    <x v="1"/>
    <x v="902"/>
    <n v="45143.75"/>
    <n v="1"/>
    <n v="45143.75"/>
  </r>
  <r>
    <x v="1"/>
    <x v="903"/>
    <n v="45312.5"/>
    <n v="1"/>
    <n v="45312.5"/>
  </r>
  <r>
    <x v="1"/>
    <x v="904"/>
    <n v="44118.75"/>
    <n v="1"/>
    <n v="44118.75"/>
  </r>
  <r>
    <x v="1"/>
    <x v="905"/>
    <n v="44312.5"/>
    <n v="1"/>
    <n v="44312.5"/>
  </r>
  <r>
    <x v="1"/>
    <x v="906"/>
    <n v="44200"/>
    <n v="1"/>
    <n v="44200"/>
  </r>
  <r>
    <x v="1"/>
    <x v="907"/>
    <n v="45843.75"/>
    <n v="1"/>
    <n v="45843.75"/>
  </r>
  <r>
    <x v="1"/>
    <x v="908"/>
    <n v="45650"/>
    <n v="1"/>
    <n v="45650"/>
  </r>
  <r>
    <x v="1"/>
    <x v="909"/>
    <n v="46312.5"/>
    <n v="1"/>
    <n v="46312.5"/>
  </r>
  <r>
    <x v="1"/>
    <x v="910"/>
    <n v="46343.75"/>
    <n v="1"/>
    <n v="46343.75"/>
  </r>
  <r>
    <x v="1"/>
    <x v="911"/>
    <n v="46650"/>
    <n v="1"/>
    <n v="46650"/>
  </r>
  <r>
    <x v="1"/>
    <x v="912"/>
    <n v="46881.25"/>
    <n v="1"/>
    <n v="46881.25"/>
  </r>
  <r>
    <x v="1"/>
    <x v="913"/>
    <n v="46012.5"/>
    <n v="1"/>
    <n v="46012.5"/>
  </r>
  <r>
    <x v="1"/>
    <x v="914"/>
    <n v="46243.75"/>
    <n v="1"/>
    <n v="46243.75"/>
  </r>
  <r>
    <x v="1"/>
    <x v="915"/>
    <n v="44618.75"/>
    <n v="1"/>
    <n v="44618.75"/>
  </r>
  <r>
    <x v="1"/>
    <x v="916"/>
    <n v="43906.25"/>
    <n v="1"/>
    <n v="43906.25"/>
  </r>
  <r>
    <x v="1"/>
    <x v="917"/>
    <n v="44850"/>
    <n v="1"/>
    <n v="44850"/>
  </r>
  <r>
    <x v="1"/>
    <x v="918"/>
    <n v="44675"/>
    <n v="1"/>
    <n v="44675"/>
  </r>
  <r>
    <x v="1"/>
    <x v="919"/>
    <n v="44787.5"/>
    <n v="1"/>
    <n v="44787.5"/>
  </r>
  <r>
    <x v="1"/>
    <x v="920"/>
    <n v="45537.5"/>
    <n v="1"/>
    <n v="45537.5"/>
  </r>
  <r>
    <x v="1"/>
    <x v="921"/>
    <n v="45500"/>
    <n v="1"/>
    <n v="45500"/>
  </r>
  <r>
    <x v="1"/>
    <x v="922"/>
    <n v="45931.25"/>
    <n v="1"/>
    <n v="45931.25"/>
  </r>
  <r>
    <x v="1"/>
    <x v="923"/>
    <n v="45631.25"/>
    <n v="1"/>
    <n v="45631.25"/>
  </r>
  <r>
    <x v="1"/>
    <x v="924"/>
    <n v="45350"/>
    <n v="1"/>
    <n v="45350"/>
  </r>
  <r>
    <x v="1"/>
    <x v="925"/>
    <n v="45787.5"/>
    <n v="1"/>
    <n v="45787.5"/>
  </r>
  <r>
    <x v="1"/>
    <x v="926"/>
    <n v="46281.25"/>
    <n v="1"/>
    <n v="46281.25"/>
  </r>
  <r>
    <x v="1"/>
    <x v="927"/>
    <n v="46618.75"/>
    <n v="1"/>
    <n v="46618.75"/>
  </r>
  <r>
    <x v="1"/>
    <x v="928"/>
    <n v="46825"/>
    <n v="1"/>
    <n v="46825"/>
  </r>
  <r>
    <x v="1"/>
    <x v="929"/>
    <n v="46781.25"/>
    <n v="1"/>
    <n v="46781.25"/>
  </r>
  <r>
    <x v="1"/>
    <x v="930"/>
    <n v="46793.75"/>
    <n v="1"/>
    <n v="46793.75"/>
  </r>
  <r>
    <x v="1"/>
    <x v="931"/>
    <n v="46981.25"/>
    <n v="1"/>
    <n v="46981.25"/>
  </r>
  <r>
    <x v="1"/>
    <x v="932"/>
    <n v="46643.75"/>
    <n v="1"/>
    <n v="46643.75"/>
  </r>
  <r>
    <x v="1"/>
    <x v="933"/>
    <n v="46400"/>
    <n v="1"/>
    <n v="46400"/>
  </r>
  <r>
    <x v="1"/>
    <x v="934"/>
    <n v="46618.75"/>
    <n v="1"/>
    <n v="46618.75"/>
  </r>
  <r>
    <x v="1"/>
    <x v="935"/>
    <n v="46393.75"/>
    <n v="1"/>
    <n v="46393.75"/>
  </r>
  <r>
    <x v="1"/>
    <x v="936"/>
    <n v="46943.75"/>
    <n v="1"/>
    <n v="46943.75"/>
  </r>
  <r>
    <x v="1"/>
    <x v="937"/>
    <n v="47150"/>
    <n v="1"/>
    <n v="47150"/>
  </r>
  <r>
    <x v="1"/>
    <x v="938"/>
    <n v="46650"/>
    <n v="1"/>
    <n v="46650"/>
  </r>
  <r>
    <x v="1"/>
    <x v="939"/>
    <n v="47162.5"/>
    <n v="1"/>
    <n v="47162.5"/>
  </r>
  <r>
    <x v="1"/>
    <x v="940"/>
    <n v="47693.75"/>
    <n v="1"/>
    <n v="47693.75"/>
  </r>
  <r>
    <x v="1"/>
    <x v="941"/>
    <n v="47456.25"/>
    <n v="1"/>
    <n v="47456.25"/>
  </r>
  <r>
    <x v="1"/>
    <x v="942"/>
    <n v="47531.25"/>
    <n v="1"/>
    <n v="47531.25"/>
  </r>
  <r>
    <x v="1"/>
    <x v="943"/>
    <n v="47387.5"/>
    <n v="1"/>
    <n v="47387.5"/>
  </r>
  <r>
    <x v="1"/>
    <x v="944"/>
    <n v="46593.75"/>
    <n v="1"/>
    <n v="46593.75"/>
  </r>
  <r>
    <x v="1"/>
    <x v="945"/>
    <n v="46150"/>
    <n v="1"/>
    <n v="46150"/>
  </r>
  <r>
    <x v="1"/>
    <x v="946"/>
    <n v="46506.25"/>
    <n v="1"/>
    <n v="46506.25"/>
  </r>
  <r>
    <x v="1"/>
    <x v="947"/>
    <n v="47543.75"/>
    <n v="1"/>
    <n v="47543.75"/>
  </r>
  <r>
    <x v="1"/>
    <x v="948"/>
    <n v="47618.75"/>
    <n v="1"/>
    <n v="47618.75"/>
  </r>
  <r>
    <x v="1"/>
    <x v="949"/>
    <n v="47487.5"/>
    <n v="1"/>
    <n v="47487.5"/>
  </r>
  <r>
    <x v="1"/>
    <x v="950"/>
    <n v="47293.75"/>
    <n v="1"/>
    <n v="47293.75"/>
  </r>
  <r>
    <x v="1"/>
    <x v="951"/>
    <n v="47656.25"/>
    <n v="1"/>
    <n v="47656.25"/>
  </r>
  <r>
    <x v="1"/>
    <x v="952"/>
    <n v="49087.5"/>
    <n v="1"/>
    <n v="49087.5"/>
  </r>
  <r>
    <x v="1"/>
    <x v="953"/>
    <n v="48800"/>
    <n v="1"/>
    <n v="48800"/>
  </r>
  <r>
    <x v="1"/>
    <x v="954"/>
    <n v="48181.25"/>
    <n v="1"/>
    <n v="48181.25"/>
  </r>
  <r>
    <x v="1"/>
    <x v="955"/>
    <n v="49537.5"/>
    <n v="1"/>
    <n v="49537.5"/>
  </r>
  <r>
    <x v="1"/>
    <x v="956"/>
    <n v="50312.5"/>
    <n v="1"/>
    <n v="50312.5"/>
  </r>
  <r>
    <x v="1"/>
    <x v="957"/>
    <n v="51031.25"/>
    <n v="1"/>
    <n v="51031.25"/>
  </r>
  <r>
    <x v="1"/>
    <x v="958"/>
    <n v="51643.75"/>
    <n v="1"/>
    <n v="51643.75"/>
  </r>
  <r>
    <x v="1"/>
    <x v="959"/>
    <n v="52843.75"/>
    <n v="1"/>
    <n v="52843.75"/>
  </r>
  <r>
    <x v="1"/>
    <x v="960"/>
    <n v="52906.25"/>
    <n v="1"/>
    <n v="52906.25"/>
  </r>
  <r>
    <x v="1"/>
    <x v="961"/>
    <n v="52487.5"/>
    <n v="1"/>
    <n v="52487.5"/>
  </r>
  <r>
    <x v="1"/>
    <x v="962"/>
    <n v="52400"/>
    <n v="1"/>
    <n v="52400"/>
  </r>
  <r>
    <x v="1"/>
    <x v="963"/>
    <n v="53150"/>
    <n v="1"/>
    <n v="53150"/>
  </r>
  <r>
    <x v="1"/>
    <x v="964"/>
    <n v="53787.5"/>
    <n v="1"/>
    <n v="53787.5"/>
  </r>
  <r>
    <x v="1"/>
    <x v="965"/>
    <n v="53975"/>
    <n v="1"/>
    <n v="53975"/>
  </r>
  <r>
    <x v="1"/>
    <x v="966"/>
    <n v="53712.5"/>
    <n v="1"/>
    <n v="53712.5"/>
  </r>
  <r>
    <x v="1"/>
    <x v="967"/>
    <n v="53525"/>
    <n v="1"/>
    <n v="53525"/>
  </r>
  <r>
    <x v="1"/>
    <x v="968"/>
    <n v="52912.5"/>
    <n v="1"/>
    <n v="52912.5"/>
  </r>
  <r>
    <x v="1"/>
    <x v="969"/>
    <n v="53568.75"/>
    <n v="1"/>
    <n v="53568.75"/>
  </r>
  <r>
    <x v="1"/>
    <x v="970"/>
    <n v="53950"/>
    <n v="1"/>
    <n v="53950"/>
  </r>
  <r>
    <x v="1"/>
    <x v="971"/>
    <n v="54456.25"/>
    <n v="1"/>
    <n v="54456.25"/>
  </r>
  <r>
    <x v="1"/>
    <x v="972"/>
    <n v="54612.5"/>
    <n v="1"/>
    <n v="54612.5"/>
  </r>
  <r>
    <x v="1"/>
    <x v="973"/>
    <n v="54650"/>
    <n v="1"/>
    <n v="54650"/>
  </r>
  <r>
    <x v="1"/>
    <x v="974"/>
    <n v="54843.75"/>
    <n v="1"/>
    <n v="54843.75"/>
  </r>
  <r>
    <x v="1"/>
    <x v="975"/>
    <n v="54487.5"/>
    <n v="1"/>
    <n v="54487.5"/>
  </r>
  <r>
    <x v="1"/>
    <x v="976"/>
    <n v="54612.5"/>
    <n v="1"/>
    <n v="54612.5"/>
  </r>
  <r>
    <x v="1"/>
    <x v="977"/>
    <n v="54893.75"/>
    <n v="1"/>
    <n v="54893.75"/>
  </r>
  <r>
    <x v="1"/>
    <x v="978"/>
    <n v="55537.5"/>
    <n v="1"/>
    <n v="55537.5"/>
  </r>
  <r>
    <x v="1"/>
    <x v="979"/>
    <n v="55112.5"/>
    <n v="1"/>
    <n v="55112.5"/>
  </r>
  <r>
    <x v="1"/>
    <x v="980"/>
    <n v="54918.75"/>
    <n v="1"/>
    <n v="54918.75"/>
  </r>
  <r>
    <x v="1"/>
    <x v="981"/>
    <n v="55612.5"/>
    <n v="1"/>
    <n v="55612.5"/>
  </r>
  <r>
    <x v="1"/>
    <x v="982"/>
    <n v="56150"/>
    <n v="1"/>
    <n v="56150"/>
  </r>
  <r>
    <x v="1"/>
    <x v="983"/>
    <n v="55475"/>
    <n v="1"/>
    <n v="55475"/>
  </r>
  <r>
    <x v="1"/>
    <x v="984"/>
    <n v="55150"/>
    <n v="1"/>
    <n v="55150"/>
  </r>
  <r>
    <x v="1"/>
    <x v="985"/>
    <n v="55181.25"/>
    <n v="1"/>
    <n v="55181.25"/>
  </r>
  <r>
    <x v="1"/>
    <x v="986"/>
    <n v="57075"/>
    <n v="1"/>
    <n v="57075"/>
  </r>
  <r>
    <x v="1"/>
    <x v="987"/>
    <n v="56875"/>
    <n v="1"/>
    <n v="56875"/>
  </r>
  <r>
    <x v="1"/>
    <x v="988"/>
    <n v="56687.5"/>
    <n v="1"/>
    <n v="56687.5"/>
  </r>
  <r>
    <x v="1"/>
    <x v="989"/>
    <n v="56712.5"/>
    <n v="1"/>
    <n v="56712.5"/>
  </r>
  <r>
    <x v="1"/>
    <x v="990"/>
    <n v="57050"/>
    <n v="1"/>
    <n v="57050"/>
  </r>
  <r>
    <x v="1"/>
    <x v="991"/>
    <n v="56593.75"/>
    <n v="1"/>
    <n v="56593.75"/>
  </r>
  <r>
    <x v="1"/>
    <x v="992"/>
    <n v="57456.25"/>
    <n v="1"/>
    <n v="57456.25"/>
  </r>
  <r>
    <x v="1"/>
    <x v="993"/>
    <n v="56487.5"/>
    <n v="1"/>
    <n v="56487.5"/>
  </r>
  <r>
    <x v="1"/>
    <x v="994"/>
    <n v="56606.25"/>
    <n v="1"/>
    <n v="56606.25"/>
  </r>
  <r>
    <x v="1"/>
    <x v="995"/>
    <n v="56868.75"/>
    <n v="1"/>
    <n v="56868.75"/>
  </r>
  <r>
    <x v="1"/>
    <x v="996"/>
    <n v="56637.5"/>
    <n v="1"/>
    <n v="56637.5"/>
  </r>
  <r>
    <x v="1"/>
    <x v="997"/>
    <n v="56175"/>
    <n v="1"/>
    <n v="56175"/>
  </r>
  <r>
    <x v="1"/>
    <x v="998"/>
    <n v="55993.75"/>
    <n v="1"/>
    <n v="55993.75"/>
  </r>
  <r>
    <x v="1"/>
    <x v="999"/>
    <n v="56493.75"/>
    <n v="1"/>
    <n v="56493.75"/>
  </r>
  <r>
    <x v="1"/>
    <x v="1000"/>
    <n v="52881.25"/>
    <n v="1"/>
    <n v="52881.25"/>
  </r>
  <r>
    <x v="1"/>
    <x v="1001"/>
    <n v="52412.5"/>
    <n v="1"/>
    <n v="52412.5"/>
  </r>
  <r>
    <x v="1"/>
    <x v="1002"/>
    <n v="52825"/>
    <n v="1"/>
    <n v="52825"/>
  </r>
  <r>
    <x v="1"/>
    <x v="1003"/>
    <n v="53056.25"/>
    <n v="1"/>
    <n v="53056.25"/>
  </r>
  <r>
    <x v="1"/>
    <x v="1004"/>
    <n v="53150"/>
    <n v="1"/>
    <n v="53150"/>
  </r>
  <r>
    <x v="1"/>
    <x v="1005"/>
    <n v="53006.25"/>
    <n v="1"/>
    <n v="53006.25"/>
  </r>
  <r>
    <x v="1"/>
    <x v="1006"/>
    <n v="52937.5"/>
    <n v="1"/>
    <n v="52937.5"/>
  </r>
  <r>
    <x v="1"/>
    <x v="1007"/>
    <n v="53118.75"/>
    <n v="1"/>
    <n v="53118.75"/>
  </r>
  <r>
    <x v="1"/>
    <x v="1008"/>
    <n v="53231.25"/>
    <n v="1"/>
    <n v="53231.25"/>
  </r>
  <r>
    <x v="1"/>
    <x v="1009"/>
    <n v="53218.75"/>
    <n v="1"/>
    <n v="53218.75"/>
  </r>
  <r>
    <x v="1"/>
    <x v="1010"/>
    <n v="53268.75"/>
    <n v="1"/>
    <n v="53268.75"/>
  </r>
  <r>
    <x v="1"/>
    <x v="1011"/>
    <n v="53006.25"/>
    <n v="1"/>
    <n v="53006.25"/>
  </r>
  <r>
    <x v="1"/>
    <x v="1012"/>
    <n v="53325"/>
    <n v="1"/>
    <n v="53325"/>
  </r>
  <r>
    <x v="1"/>
    <x v="1013"/>
    <n v="53156.25"/>
    <n v="1"/>
    <n v="53156.25"/>
  </r>
  <r>
    <x v="1"/>
    <x v="1014"/>
    <n v="53175"/>
    <n v="1"/>
    <n v="53175"/>
  </r>
  <r>
    <x v="1"/>
    <x v="1015"/>
    <n v="53381.25"/>
    <n v="1"/>
    <n v="53381.25"/>
  </r>
  <r>
    <x v="1"/>
    <x v="1016"/>
    <n v="52993.75"/>
    <n v="1"/>
    <n v="52993.75"/>
  </r>
  <r>
    <x v="1"/>
    <x v="1017"/>
    <n v="53381.25"/>
    <n v="1"/>
    <n v="53381.25"/>
  </r>
  <r>
    <x v="1"/>
    <x v="1018"/>
    <n v="53362.5"/>
    <n v="1"/>
    <n v="53362.5"/>
  </r>
  <r>
    <x v="1"/>
    <x v="1019"/>
    <n v="54062.5"/>
    <n v="1"/>
    <n v="54062.5"/>
  </r>
  <r>
    <x v="1"/>
    <x v="1020"/>
    <n v="54143.75"/>
    <n v="1"/>
    <n v="54143.75"/>
  </r>
  <r>
    <x v="1"/>
    <x v="1021"/>
    <n v="53787.5"/>
    <n v="1"/>
    <n v="53787.5"/>
  </r>
  <r>
    <x v="1"/>
    <x v="1022"/>
    <n v="54087.5"/>
    <n v="1"/>
    <n v="54087.5"/>
  </r>
  <r>
    <x v="1"/>
    <x v="1023"/>
    <n v="54450"/>
    <n v="1"/>
    <n v="54450"/>
  </r>
  <r>
    <x v="1"/>
    <x v="1024"/>
    <n v="54200"/>
    <n v="1"/>
    <n v="54200"/>
  </r>
  <r>
    <x v="1"/>
    <x v="1025"/>
    <n v="54775"/>
    <n v="1"/>
    <n v="54775"/>
  </r>
  <r>
    <x v="1"/>
    <x v="1026"/>
    <n v="54987.5"/>
    <n v="1"/>
    <n v="54987.5"/>
  </r>
  <r>
    <x v="1"/>
    <x v="1027"/>
    <n v="54975"/>
    <n v="1"/>
    <n v="54975"/>
  </r>
  <r>
    <x v="1"/>
    <x v="1028"/>
    <n v="55337.5"/>
    <n v="1"/>
    <n v="55337.5"/>
  </r>
  <r>
    <x v="1"/>
    <x v="1029"/>
    <n v="56725"/>
    <n v="1"/>
    <n v="56725"/>
  </r>
  <r>
    <x v="1"/>
    <x v="1030"/>
    <n v="56231.25"/>
    <n v="1"/>
    <n v="56231.25"/>
  </r>
  <r>
    <x v="1"/>
    <x v="1031"/>
    <n v="57087.5"/>
    <n v="1"/>
    <n v="57087.5"/>
  </r>
  <r>
    <x v="1"/>
    <x v="1032"/>
    <n v="57225"/>
    <n v="1"/>
    <n v="57225"/>
  </r>
  <r>
    <x v="1"/>
    <x v="1033"/>
    <n v="57493.75"/>
    <n v="1"/>
    <n v="57493.75"/>
  </r>
  <r>
    <x v="1"/>
    <x v="1034"/>
    <n v="57068.75"/>
    <n v="1"/>
    <n v="57068.75"/>
  </r>
  <r>
    <x v="1"/>
    <x v="1035"/>
    <n v="56137.5"/>
    <n v="1"/>
    <n v="56137.5"/>
  </r>
  <r>
    <x v="1"/>
    <x v="1036"/>
    <n v="56500"/>
    <n v="1"/>
    <n v="56500"/>
  </r>
  <r>
    <x v="1"/>
    <x v="1037"/>
    <n v="55731.25"/>
    <n v="1"/>
    <n v="55731.25"/>
  </r>
  <r>
    <x v="1"/>
    <x v="1038"/>
    <n v="55550"/>
    <n v="1"/>
    <n v="55550"/>
  </r>
  <r>
    <x v="1"/>
    <x v="1039"/>
    <n v="55775"/>
    <n v="1"/>
    <n v="55775"/>
  </r>
  <r>
    <x v="1"/>
    <x v="1040"/>
    <n v="56312.5"/>
    <n v="1"/>
    <n v="56312.5"/>
  </r>
  <r>
    <x v="1"/>
    <x v="1041"/>
    <n v="56406.25"/>
    <n v="1"/>
    <n v="56406.25"/>
  </r>
  <r>
    <x v="1"/>
    <x v="1042"/>
    <n v="59081.25"/>
    <n v="1"/>
    <n v="59081.25"/>
  </r>
  <r>
    <x v="1"/>
    <x v="1043"/>
    <n v="60381.25"/>
    <n v="1"/>
    <n v="60381.25"/>
  </r>
  <r>
    <x v="1"/>
    <x v="1044"/>
    <n v="60393.75"/>
    <n v="1"/>
    <n v="60393.75"/>
  </r>
  <r>
    <x v="1"/>
    <x v="1045"/>
    <n v="59862.5"/>
    <n v="1"/>
    <n v="59862.5"/>
  </r>
  <r>
    <x v="1"/>
    <x v="1046"/>
    <n v="60287.5"/>
    <n v="1"/>
    <n v="60287.5"/>
  </r>
  <r>
    <x v="1"/>
    <x v="1047"/>
    <n v="59450"/>
    <n v="1"/>
    <n v="59450"/>
  </r>
  <r>
    <x v="1"/>
    <x v="1048"/>
    <n v="59687.5"/>
    <n v="1"/>
    <n v="59687.5"/>
  </r>
  <r>
    <x v="1"/>
    <x v="1049"/>
    <n v="59300"/>
    <n v="1"/>
    <n v="59300"/>
  </r>
  <r>
    <x v="1"/>
    <x v="1050"/>
    <n v="59481.25"/>
    <n v="1"/>
    <n v="59481.25"/>
  </r>
  <r>
    <x v="1"/>
    <x v="1051"/>
    <n v="60300"/>
    <n v="1"/>
    <n v="60300"/>
  </r>
  <r>
    <x v="1"/>
    <x v="1052"/>
    <n v="59662.5"/>
    <n v="1"/>
    <n v="59662.5"/>
  </r>
  <r>
    <x v="1"/>
    <x v="1053"/>
    <n v="61175"/>
    <n v="1"/>
    <n v="61175"/>
  </r>
  <r>
    <x v="1"/>
    <x v="1054"/>
    <n v="61331.25"/>
    <n v="1"/>
    <n v="61331.25"/>
  </r>
  <r>
    <x v="1"/>
    <x v="1055"/>
    <n v="60856.25"/>
    <n v="1"/>
    <n v="60856.25"/>
  </r>
  <r>
    <x v="1"/>
    <x v="1056"/>
    <n v="61518.75"/>
    <n v="1"/>
    <n v="61518.75"/>
  </r>
  <r>
    <x v="1"/>
    <x v="1057"/>
    <n v="61606.25"/>
    <n v="1"/>
    <n v="61606.25"/>
  </r>
  <r>
    <x v="1"/>
    <x v="1058"/>
    <n v="61581.25"/>
    <n v="1"/>
    <n v="61581.25"/>
  </r>
  <r>
    <x v="1"/>
    <x v="1059"/>
    <n v="62900"/>
    <n v="1"/>
    <n v="62900"/>
  </r>
  <r>
    <x v="1"/>
    <x v="1060"/>
    <n v="63743.75"/>
    <n v="1"/>
    <n v="63743.75"/>
  </r>
  <r>
    <x v="1"/>
    <x v="1061"/>
    <n v="63762.5"/>
    <n v="1"/>
    <n v="63762.5"/>
  </r>
  <r>
    <x v="1"/>
    <x v="1062"/>
    <n v="63806.25"/>
    <n v="1"/>
    <n v="63806.25"/>
  </r>
  <r>
    <x v="1"/>
    <x v="1063"/>
    <n v="65462.5"/>
    <n v="1"/>
    <n v="65462.5"/>
  </r>
  <r>
    <x v="1"/>
    <x v="1064"/>
    <n v="64750"/>
    <n v="1"/>
    <n v="64750"/>
  </r>
  <r>
    <x v="1"/>
    <x v="1065"/>
    <n v="64843.75"/>
    <n v="1"/>
    <n v="64843.75"/>
  </r>
  <r>
    <x v="1"/>
    <x v="1066"/>
    <n v="65468.75"/>
    <n v="1"/>
    <n v="65468.75"/>
  </r>
  <r>
    <x v="1"/>
    <x v="1067"/>
    <n v="65431.25"/>
    <n v="1"/>
    <n v="65431.25"/>
  </r>
  <r>
    <x v="1"/>
    <x v="1068"/>
    <n v="65625"/>
    <n v="1"/>
    <n v="65625"/>
  </r>
  <r>
    <x v="1"/>
    <x v="1069"/>
    <n v="66012.5"/>
    <n v="1"/>
    <n v="66012.5"/>
  </r>
  <r>
    <x v="1"/>
    <x v="1070"/>
    <n v="67193.75"/>
    <n v="1"/>
    <n v="67193.75"/>
  </r>
  <r>
    <x v="1"/>
    <x v="1071"/>
    <n v="67118.75"/>
    <n v="1"/>
    <n v="67118.75"/>
  </r>
  <r>
    <x v="1"/>
    <x v="1072"/>
    <n v="68331.25"/>
    <n v="1"/>
    <n v="68331.25"/>
  </r>
  <r>
    <x v="1"/>
    <x v="1073"/>
    <n v="68131.25"/>
    <n v="1"/>
    <n v="68131.25"/>
  </r>
  <r>
    <x v="1"/>
    <x v="1074"/>
    <n v="68393.75"/>
    <n v="1"/>
    <n v="68393.75"/>
  </r>
  <r>
    <x v="1"/>
    <x v="1075"/>
    <n v="69856.25"/>
    <n v="1"/>
    <n v="69856.25"/>
  </r>
  <r>
    <x v="1"/>
    <x v="1076"/>
    <n v="69437.5"/>
    <n v="1"/>
    <n v="69437.5"/>
  </r>
  <r>
    <x v="1"/>
    <x v="1077"/>
    <n v="69600"/>
    <n v="1"/>
    <n v="69600"/>
  </r>
  <r>
    <x v="1"/>
    <x v="1078"/>
    <n v="70162.5"/>
    <n v="1"/>
    <n v="70162.5"/>
  </r>
  <r>
    <x v="1"/>
    <x v="1079"/>
    <n v="69843.75"/>
    <n v="1"/>
    <n v="69843.75"/>
  </r>
  <r>
    <x v="1"/>
    <x v="1080"/>
    <n v="69881.25"/>
    <n v="1"/>
    <n v="69881.25"/>
  </r>
  <r>
    <x v="1"/>
    <x v="1081"/>
    <n v="70800"/>
    <n v="1"/>
    <n v="70800"/>
  </r>
  <r>
    <x v="1"/>
    <x v="1082"/>
    <n v="69906.25"/>
    <n v="1"/>
    <n v="69906.25"/>
  </r>
  <r>
    <x v="1"/>
    <x v="1083"/>
    <n v="70637.5"/>
    <n v="1"/>
    <n v="70637.5"/>
  </r>
  <r>
    <x v="1"/>
    <x v="1084"/>
    <n v="71050"/>
    <n v="1"/>
    <n v="71050"/>
  </r>
  <r>
    <x v="1"/>
    <x v="1085"/>
    <n v="71781.25"/>
    <n v="1"/>
    <n v="71781.25"/>
  </r>
  <r>
    <x v="1"/>
    <x v="1086"/>
    <n v="69556.25"/>
    <n v="1"/>
    <n v="69556.25"/>
  </r>
  <r>
    <x v="1"/>
    <x v="1087"/>
    <n v="70800"/>
    <n v="1"/>
    <n v="70800"/>
  </r>
  <r>
    <x v="1"/>
    <x v="1088"/>
    <n v="72000"/>
    <n v="1"/>
    <n v="72000"/>
  </r>
  <r>
    <x v="1"/>
    <x v="1089"/>
    <n v="73662.5"/>
    <n v="1"/>
    <n v="73662.5"/>
  </r>
  <r>
    <x v="1"/>
    <x v="1090"/>
    <n v="73637.5"/>
    <n v="1"/>
    <n v="73637.5"/>
  </r>
  <r>
    <x v="1"/>
    <x v="1091"/>
    <n v="73681.25"/>
    <n v="1"/>
    <n v="73681.25"/>
  </r>
  <r>
    <x v="1"/>
    <x v="1092"/>
    <n v="73387.5"/>
    <n v="1"/>
    <n v="73387.5"/>
  </r>
  <r>
    <x v="1"/>
    <x v="1093"/>
    <n v="73862.5"/>
    <n v="1"/>
    <n v="73862.5"/>
  </r>
  <r>
    <x v="1"/>
    <x v="1094"/>
    <n v="75681.25"/>
    <n v="1"/>
    <n v="75681.25"/>
  </r>
  <r>
    <x v="1"/>
    <x v="1095"/>
    <n v="75468.75"/>
    <n v="1"/>
    <n v="75468.75"/>
  </r>
  <r>
    <x v="1"/>
    <x v="1096"/>
    <n v="75812.5"/>
    <n v="1"/>
    <n v="75812.5"/>
  </r>
  <r>
    <x v="1"/>
    <x v="1097"/>
    <n v="74687.5"/>
    <n v="1"/>
    <n v="74687.5"/>
  </r>
  <r>
    <x v="1"/>
    <x v="1098"/>
    <n v="75200"/>
    <n v="1"/>
    <n v="75200"/>
  </r>
  <r>
    <x v="1"/>
    <x v="1099"/>
    <n v="74343.75"/>
    <n v="1"/>
    <n v="74343.75"/>
  </r>
  <r>
    <x v="1"/>
    <x v="1100"/>
    <n v="74125"/>
    <n v="1"/>
    <n v="74125"/>
  </r>
  <r>
    <x v="1"/>
    <x v="1101"/>
    <n v="74300"/>
    <n v="1"/>
    <n v="74300"/>
  </r>
  <r>
    <x v="1"/>
    <x v="1102"/>
    <n v="74650"/>
    <n v="1"/>
    <n v="74650"/>
  </r>
  <r>
    <x v="1"/>
    <x v="1103"/>
    <n v="74881.25"/>
    <n v="1"/>
    <n v="74881.25"/>
  </r>
  <r>
    <x v="1"/>
    <x v="1104"/>
    <n v="75118.75"/>
    <n v="1"/>
    <n v="75118.75"/>
  </r>
  <r>
    <x v="1"/>
    <x v="1105"/>
    <n v="74743.75"/>
    <n v="1"/>
    <n v="74743.75"/>
  </r>
  <r>
    <x v="1"/>
    <x v="1106"/>
    <n v="74225"/>
    <n v="1"/>
    <n v="74225"/>
  </r>
  <r>
    <x v="1"/>
    <x v="1107"/>
    <n v="73637.5"/>
    <n v="1"/>
    <n v="73637.5"/>
  </r>
  <r>
    <x v="1"/>
    <x v="1108"/>
    <n v="73500"/>
    <n v="1"/>
    <n v="73500"/>
  </r>
  <r>
    <x v="1"/>
    <x v="1109"/>
    <n v="73000"/>
    <n v="1"/>
    <n v="73000"/>
  </r>
  <r>
    <x v="1"/>
    <x v="1110"/>
    <n v="72731.25"/>
    <n v="1"/>
    <n v="72731.25"/>
  </r>
  <r>
    <x v="1"/>
    <x v="1111"/>
    <n v="73968.75"/>
    <n v="1"/>
    <n v="73968.75"/>
  </r>
  <r>
    <x v="1"/>
    <x v="1112"/>
    <n v="73943.75"/>
    <n v="1"/>
    <n v="73943.75"/>
  </r>
  <r>
    <x v="1"/>
    <x v="1113"/>
    <n v="76337.5"/>
    <n v="1"/>
    <n v="76337.5"/>
  </r>
  <r>
    <x v="1"/>
    <x v="1114"/>
    <n v="76100"/>
    <n v="1"/>
    <n v="76100"/>
  </r>
  <r>
    <x v="1"/>
    <x v="1115"/>
    <n v="76493.75"/>
    <n v="1"/>
    <n v="76493.75"/>
  </r>
  <r>
    <x v="1"/>
    <x v="1116"/>
    <n v="76525"/>
    <n v="1"/>
    <n v="76525"/>
  </r>
  <r>
    <x v="1"/>
    <x v="1117"/>
    <n v="76893.75"/>
    <n v="1"/>
    <n v="76893.75"/>
  </r>
  <r>
    <x v="1"/>
    <x v="1118"/>
    <n v="76418.75"/>
    <n v="1"/>
    <n v="76418.75"/>
  </r>
  <r>
    <x v="1"/>
    <x v="1119"/>
    <n v="76443.75"/>
    <n v="1"/>
    <n v="76443.75"/>
  </r>
  <r>
    <x v="1"/>
    <x v="1120"/>
    <n v="76893.75"/>
    <n v="1"/>
    <n v="76893.75"/>
  </r>
  <r>
    <x v="1"/>
    <x v="1121"/>
    <n v="77025"/>
    <n v="1"/>
    <n v="77025"/>
  </r>
  <r>
    <x v="1"/>
    <x v="1122"/>
    <n v="77231.25"/>
    <n v="1"/>
    <n v="77231.25"/>
  </r>
  <r>
    <x v="1"/>
    <x v="1123"/>
    <n v="77843.75"/>
    <n v="1"/>
    <n v="77843.75"/>
  </r>
  <r>
    <x v="1"/>
    <x v="1124"/>
    <n v="78431.25"/>
    <n v="1"/>
    <n v="78431.25"/>
  </r>
  <r>
    <x v="1"/>
    <x v="1125"/>
    <n v="78675"/>
    <n v="1"/>
    <n v="78675"/>
  </r>
  <r>
    <x v="1"/>
    <x v="1126"/>
    <n v="78831.25"/>
    <n v="1"/>
    <n v="78831.25"/>
  </r>
  <r>
    <x v="1"/>
    <x v="1127"/>
    <n v="78618.75"/>
    <n v="1"/>
    <n v="78618.75"/>
  </r>
  <r>
    <x v="1"/>
    <x v="1128"/>
    <n v="78975"/>
    <n v="1"/>
    <n v="78975"/>
  </r>
  <r>
    <x v="1"/>
    <x v="1129"/>
    <n v="78693.75"/>
    <n v="1"/>
    <n v="78693.75"/>
  </r>
  <r>
    <x v="1"/>
    <x v="1130"/>
    <n v="78543.75"/>
    <n v="1"/>
    <n v="78543.75"/>
  </r>
  <r>
    <x v="1"/>
    <x v="1131"/>
    <n v="78637.5"/>
    <n v="1"/>
    <n v="78637.5"/>
  </r>
  <r>
    <x v="1"/>
    <x v="1132"/>
    <n v="78581.25"/>
    <n v="1"/>
    <n v="78581.25"/>
  </r>
  <r>
    <x v="1"/>
    <x v="1133"/>
    <n v="78125"/>
    <n v="1"/>
    <n v="78125"/>
  </r>
  <r>
    <x v="1"/>
    <x v="1134"/>
    <n v="77712.5"/>
    <n v="1"/>
    <n v="77712.5"/>
  </r>
  <r>
    <x v="1"/>
    <x v="1135"/>
    <n v="78368.75"/>
    <n v="1"/>
    <n v="78368.75"/>
  </r>
  <r>
    <x v="1"/>
    <x v="1136"/>
    <n v="78393.75"/>
    <n v="1"/>
    <n v="78393.75"/>
  </r>
  <r>
    <x v="1"/>
    <x v="1137"/>
    <n v="77918.75"/>
    <n v="1"/>
    <n v="77918.75"/>
  </r>
  <r>
    <x v="1"/>
    <x v="1138"/>
    <n v="78081.25"/>
    <n v="1"/>
    <n v="78081.25"/>
  </r>
  <r>
    <x v="1"/>
    <x v="1139"/>
    <n v="77681.25"/>
    <n v="1"/>
    <n v="77681.25"/>
  </r>
  <r>
    <x v="1"/>
    <x v="1140"/>
    <n v="78850"/>
    <n v="1"/>
    <n v="78850"/>
  </r>
  <r>
    <x v="1"/>
    <x v="1141"/>
    <n v="78731.25"/>
    <n v="1"/>
    <n v="78731.25"/>
  </r>
  <r>
    <x v="1"/>
    <x v="1142"/>
    <n v="78512.5"/>
    <n v="1"/>
    <n v="78512.5"/>
  </r>
  <r>
    <x v="1"/>
    <x v="1143"/>
    <n v="79268.75"/>
    <n v="1"/>
    <n v="79268.75"/>
  </r>
  <r>
    <x v="1"/>
    <x v="1144"/>
    <n v="79450"/>
    <n v="1"/>
    <n v="79450"/>
  </r>
  <r>
    <x v="1"/>
    <x v="1145"/>
    <n v="79631.25"/>
    <n v="1"/>
    <n v="79631.25"/>
  </r>
  <r>
    <x v="1"/>
    <x v="1146"/>
    <n v="79481.25"/>
    <n v="1"/>
    <n v="79481.25"/>
  </r>
  <r>
    <x v="1"/>
    <x v="1147"/>
    <n v="79062.5"/>
    <n v="1"/>
    <n v="79062.5"/>
  </r>
  <r>
    <x v="1"/>
    <x v="1148"/>
    <n v="78662.5"/>
    <n v="1"/>
    <n v="78662.5"/>
  </r>
  <r>
    <x v="1"/>
    <x v="1149"/>
    <n v="78837.5"/>
    <n v="1"/>
    <n v="78837.5"/>
  </r>
  <r>
    <x v="1"/>
    <x v="1150"/>
    <n v="79081.25"/>
    <n v="1"/>
    <n v="79081.25"/>
  </r>
  <r>
    <x v="1"/>
    <x v="1151"/>
    <n v="79225"/>
    <n v="1"/>
    <n v="79225"/>
  </r>
  <r>
    <x v="1"/>
    <x v="1152"/>
    <n v="80143.75"/>
    <n v="1"/>
    <n v="80143.75"/>
  </r>
  <r>
    <x v="1"/>
    <x v="1153"/>
    <n v="81131.25"/>
    <n v="1"/>
    <n v="81131.25"/>
  </r>
  <r>
    <x v="1"/>
    <x v="1154"/>
    <n v="80481.25"/>
    <n v="1"/>
    <n v="80481.25"/>
  </r>
  <r>
    <x v="1"/>
    <x v="1155"/>
    <n v="80456.25"/>
    <n v="1"/>
    <n v="80456.25"/>
  </r>
  <r>
    <x v="1"/>
    <x v="1156"/>
    <n v="80393.75"/>
    <n v="1"/>
    <n v="80393.75"/>
  </r>
  <r>
    <x v="1"/>
    <x v="1157"/>
    <n v="80687.5"/>
    <n v="1"/>
    <n v="80687.5"/>
  </r>
  <r>
    <x v="1"/>
    <x v="1158"/>
    <n v="80493.75"/>
    <n v="1"/>
    <n v="80493.75"/>
  </r>
  <r>
    <x v="1"/>
    <x v="1159"/>
    <n v="81168.75"/>
    <n v="1"/>
    <n v="81168.75"/>
  </r>
  <r>
    <x v="1"/>
    <x v="1160"/>
    <n v="81306.25"/>
    <n v="1"/>
    <n v="81306.25"/>
  </r>
  <r>
    <x v="1"/>
    <x v="1161"/>
    <n v="80981.25"/>
    <n v="1"/>
    <n v="80981.25"/>
  </r>
  <r>
    <x v="1"/>
    <x v="1162"/>
    <n v="80843.75"/>
    <n v="1"/>
    <n v="80843.75"/>
  </r>
  <r>
    <x v="1"/>
    <x v="1163"/>
    <n v="81356.25"/>
    <n v="1"/>
    <n v="81356.25"/>
  </r>
  <r>
    <x v="1"/>
    <x v="1164"/>
    <n v="81287.5"/>
    <n v="1"/>
    <n v="81287.5"/>
  </r>
  <r>
    <x v="1"/>
    <x v="1165"/>
    <n v="81631.25"/>
    <n v="1"/>
    <n v="81631.25"/>
  </r>
  <r>
    <x v="1"/>
    <x v="1166"/>
    <n v="80856.25"/>
    <n v="1"/>
    <n v="80856.25"/>
  </r>
  <r>
    <x v="1"/>
    <x v="1167"/>
    <n v="80493.75"/>
    <n v="1"/>
    <n v="80493.75"/>
  </r>
  <r>
    <x v="1"/>
    <x v="1168"/>
    <n v="80975"/>
    <n v="1"/>
    <n v="80975"/>
  </r>
  <r>
    <x v="1"/>
    <x v="1169"/>
    <n v="81512.5"/>
    <n v="1"/>
    <n v="81512.5"/>
  </r>
  <r>
    <x v="1"/>
    <x v="1170"/>
    <n v="80962.5"/>
    <n v="1"/>
    <n v="80962.5"/>
  </r>
  <r>
    <x v="1"/>
    <x v="1171"/>
    <n v="80962.5"/>
    <n v="1"/>
    <n v="80962.5"/>
  </r>
  <r>
    <x v="1"/>
    <x v="1172"/>
    <n v="80968.75"/>
    <n v="1"/>
    <n v="80968.75"/>
  </r>
  <r>
    <x v="1"/>
    <x v="1173"/>
    <n v="81806.25"/>
    <n v="1"/>
    <n v="81806.25"/>
  </r>
  <r>
    <x v="1"/>
    <x v="1174"/>
    <n v="81925"/>
    <n v="1"/>
    <n v="81925"/>
  </r>
  <r>
    <x v="1"/>
    <x v="1175"/>
    <n v="81725"/>
    <n v="1"/>
    <n v="81725"/>
  </r>
  <r>
    <x v="1"/>
    <x v="1176"/>
    <n v="81175"/>
    <n v="1"/>
    <n v="81175"/>
  </r>
  <r>
    <x v="1"/>
    <x v="1177"/>
    <n v="80825"/>
    <n v="1"/>
    <n v="80825"/>
  </r>
  <r>
    <x v="1"/>
    <x v="1178"/>
    <n v="81437.5"/>
    <n v="1"/>
    <n v="81437.5"/>
  </r>
  <r>
    <x v="1"/>
    <x v="1179"/>
    <n v="81262.5"/>
    <n v="1"/>
    <n v="81262.5"/>
  </r>
  <r>
    <x v="1"/>
    <x v="1180"/>
    <n v="81462.5"/>
    <n v="1"/>
    <n v="81462.5"/>
  </r>
  <r>
    <x v="1"/>
    <x v="1181"/>
    <n v="81175"/>
    <n v="1"/>
    <n v="81175"/>
  </r>
  <r>
    <x v="1"/>
    <x v="1182"/>
    <n v="81662.5"/>
    <n v="1"/>
    <n v="81662.5"/>
  </r>
  <r>
    <x v="1"/>
    <x v="1183"/>
    <n v="80987.5"/>
    <n v="1"/>
    <n v="80987.5"/>
  </r>
  <r>
    <x v="1"/>
    <x v="1184"/>
    <n v="80687.5"/>
    <n v="1"/>
    <n v="80687.5"/>
  </r>
  <r>
    <x v="1"/>
    <x v="1185"/>
    <n v="81743.75"/>
    <n v="1"/>
    <n v="81743.75"/>
  </r>
  <r>
    <x v="1"/>
    <x v="1186"/>
    <n v="82181.25"/>
    <n v="1"/>
    <n v="82181.25"/>
  </r>
  <r>
    <x v="1"/>
    <x v="1187"/>
    <n v="82750"/>
    <n v="1"/>
    <n v="82750"/>
  </r>
  <r>
    <x v="1"/>
    <x v="1188"/>
    <n v="83381.25"/>
    <n v="1"/>
    <n v="83381.25"/>
  </r>
  <r>
    <x v="1"/>
    <x v="1189"/>
    <n v="84412.5"/>
    <n v="1"/>
    <n v="84412.5"/>
  </r>
  <r>
    <x v="1"/>
    <x v="1190"/>
    <n v="84156.25"/>
    <n v="1"/>
    <n v="84156.25"/>
  </r>
  <r>
    <x v="1"/>
    <x v="1191"/>
    <n v="84468.75"/>
    <n v="1"/>
    <n v="84468.75"/>
  </r>
  <r>
    <x v="1"/>
    <x v="1192"/>
    <n v="84250"/>
    <n v="1"/>
    <n v="84250"/>
  </r>
  <r>
    <x v="1"/>
    <x v="1193"/>
    <n v="84012.5"/>
    <n v="1"/>
    <n v="84012.5"/>
  </r>
  <r>
    <x v="1"/>
    <x v="1194"/>
    <n v="83743.75"/>
    <n v="1"/>
    <n v="83743.75"/>
  </r>
  <r>
    <x v="1"/>
    <x v="1195"/>
    <n v="84237.5"/>
    <n v="1"/>
    <n v="84237.5"/>
  </r>
  <r>
    <x v="1"/>
    <x v="1196"/>
    <n v="83993.75"/>
    <n v="1"/>
    <n v="83993.75"/>
  </r>
  <r>
    <x v="1"/>
    <x v="1197"/>
    <n v="84375"/>
    <n v="1"/>
    <n v="84375"/>
  </r>
  <r>
    <x v="1"/>
    <x v="1198"/>
    <n v="84587.5"/>
    <n v="1"/>
    <n v="84587.5"/>
  </r>
  <r>
    <x v="1"/>
    <x v="1199"/>
    <n v="84287.5"/>
    <n v="1"/>
    <n v="84287.5"/>
  </r>
  <r>
    <x v="1"/>
    <x v="1200"/>
    <n v="84825"/>
    <n v="1"/>
    <n v="84825"/>
  </r>
  <r>
    <x v="1"/>
    <x v="1201"/>
    <n v="85550"/>
    <n v="1"/>
    <n v="85550"/>
  </r>
  <r>
    <x v="1"/>
    <x v="1202"/>
    <n v="86125"/>
    <n v="1"/>
    <n v="86125"/>
  </r>
  <r>
    <x v="1"/>
    <x v="1203"/>
    <n v="85987.5"/>
    <n v="1"/>
    <n v="85987.5"/>
  </r>
  <r>
    <x v="1"/>
    <x v="1204"/>
    <n v="85925"/>
    <n v="1"/>
    <n v="85925"/>
  </r>
  <r>
    <x v="1"/>
    <x v="1205"/>
    <n v="86062.5"/>
    <n v="1"/>
    <n v="86062.5"/>
  </r>
  <r>
    <x v="1"/>
    <x v="1206"/>
    <n v="86081.25"/>
    <n v="1"/>
    <n v="86081.25"/>
  </r>
  <r>
    <x v="1"/>
    <x v="1207"/>
    <n v="86456.25"/>
    <n v="1"/>
    <n v="86456.25"/>
  </r>
  <r>
    <x v="1"/>
    <x v="1208"/>
    <n v="86118.75"/>
    <n v="1"/>
    <n v="86118.75"/>
  </r>
  <r>
    <x v="1"/>
    <x v="1209"/>
    <n v="86812.5"/>
    <n v="1"/>
    <n v="86812.5"/>
  </r>
  <r>
    <x v="1"/>
    <x v="1210"/>
    <n v="86581.25"/>
    <n v="1"/>
    <n v="86581.25"/>
  </r>
  <r>
    <x v="1"/>
    <x v="1211"/>
    <n v="85875"/>
    <n v="1"/>
    <n v="85875"/>
  </r>
  <r>
    <x v="1"/>
    <x v="1212"/>
    <n v="86187.5"/>
    <n v="1"/>
    <n v="86187.5"/>
  </r>
  <r>
    <x v="1"/>
    <x v="1213"/>
    <n v="85625"/>
    <n v="1"/>
    <n v="85625"/>
  </r>
  <r>
    <x v="1"/>
    <x v="1214"/>
    <n v="85400"/>
    <n v="1"/>
    <n v="85400"/>
  </r>
  <r>
    <x v="1"/>
    <x v="1215"/>
    <n v="85868.75"/>
    <n v="1"/>
    <n v="85868.75"/>
  </r>
  <r>
    <x v="1"/>
    <x v="1216"/>
    <n v="85887.5"/>
    <n v="1"/>
    <n v="85887.5"/>
  </r>
  <r>
    <x v="1"/>
    <x v="1217"/>
    <n v="86425"/>
    <n v="1"/>
    <n v="86425"/>
  </r>
  <r>
    <x v="1"/>
    <x v="1218"/>
    <n v="86300"/>
    <n v="1"/>
    <n v="86300"/>
  </r>
  <r>
    <x v="1"/>
    <x v="1219"/>
    <n v="86256.25"/>
    <n v="1"/>
    <n v="86256.25"/>
  </r>
  <r>
    <x v="1"/>
    <x v="1220"/>
    <n v="86400"/>
    <n v="1"/>
    <n v="86400"/>
  </r>
  <r>
    <x v="1"/>
    <x v="1221"/>
    <n v="86287.5"/>
    <n v="1"/>
    <n v="86287.5"/>
  </r>
  <r>
    <x v="1"/>
    <x v="1222"/>
    <n v="86262.5"/>
    <n v="1"/>
    <n v="86262.5"/>
  </r>
  <r>
    <x v="1"/>
    <x v="1223"/>
    <n v="86075"/>
    <n v="1"/>
    <n v="86075"/>
  </r>
  <r>
    <x v="1"/>
    <x v="1224"/>
    <n v="86262.5"/>
    <n v="1"/>
    <n v="86262.5"/>
  </r>
  <r>
    <x v="1"/>
    <x v="1225"/>
    <n v="86200"/>
    <n v="1"/>
    <n v="86200"/>
  </r>
  <r>
    <x v="1"/>
    <x v="1226"/>
    <n v="86100"/>
    <n v="1"/>
    <n v="86100"/>
  </r>
  <r>
    <x v="1"/>
    <x v="1227"/>
    <n v="85906.25"/>
    <n v="1"/>
    <n v="85906.25"/>
  </r>
  <r>
    <x v="1"/>
    <x v="1228"/>
    <n v="85681.25"/>
    <n v="1"/>
    <n v="85681.25"/>
  </r>
  <r>
    <x v="1"/>
    <x v="1229"/>
    <n v="85562.5"/>
    <n v="1"/>
    <n v="85562.5"/>
  </r>
  <r>
    <x v="1"/>
    <x v="1230"/>
    <n v="84837.5"/>
    <n v="1"/>
    <n v="84837.5"/>
  </r>
  <r>
    <x v="1"/>
    <x v="1231"/>
    <n v="84268.75"/>
    <n v="1"/>
    <n v="84268.75"/>
  </r>
  <r>
    <x v="1"/>
    <x v="1232"/>
    <n v="84681.25"/>
    <n v="1"/>
    <n v="84681.25"/>
  </r>
  <r>
    <x v="1"/>
    <x v="1233"/>
    <n v="84106.25"/>
    <n v="1"/>
    <n v="84106.25"/>
  </r>
  <r>
    <x v="1"/>
    <x v="1234"/>
    <n v="84050"/>
    <n v="1"/>
    <n v="84050"/>
  </r>
  <r>
    <x v="1"/>
    <x v="1235"/>
    <n v="84137.5"/>
    <n v="1"/>
    <n v="84137.5"/>
  </r>
  <r>
    <x v="1"/>
    <x v="1236"/>
    <n v="83793.75"/>
    <n v="1"/>
    <n v="83793.75"/>
  </r>
  <r>
    <x v="1"/>
    <x v="1237"/>
    <n v="84200"/>
    <n v="1"/>
    <n v="84200"/>
  </r>
  <r>
    <x v="1"/>
    <x v="1238"/>
    <n v="83643.75"/>
    <n v="1"/>
    <n v="83643.75"/>
  </r>
  <r>
    <x v="1"/>
    <x v="1239"/>
    <n v="83668.75"/>
    <n v="1"/>
    <n v="83668.75"/>
  </r>
  <r>
    <x v="1"/>
    <x v="1240"/>
    <n v="83612.5"/>
    <n v="1"/>
    <n v="83612.5"/>
  </r>
  <r>
    <x v="1"/>
    <x v="1241"/>
    <n v="83050"/>
    <n v="1"/>
    <n v="83050"/>
  </r>
  <r>
    <x v="1"/>
    <x v="1242"/>
    <n v="83118.75"/>
    <n v="1"/>
    <n v="83118.75"/>
  </r>
  <r>
    <x v="1"/>
    <x v="1243"/>
    <n v="83043.75"/>
    <n v="1"/>
    <n v="83043.75"/>
  </r>
  <r>
    <x v="1"/>
    <x v="1244"/>
    <n v="82775"/>
    <n v="1"/>
    <n v="82775"/>
  </r>
  <r>
    <x v="1"/>
    <x v="1245"/>
    <n v="82587.5"/>
    <n v="1"/>
    <n v="82587.5"/>
  </r>
  <r>
    <x v="1"/>
    <x v="1246"/>
    <n v="82100"/>
    <n v="1"/>
    <n v="82100"/>
  </r>
  <r>
    <x v="1"/>
    <x v="1247"/>
    <n v="83487.5"/>
    <n v="1"/>
    <n v="83487.5"/>
  </r>
  <r>
    <x v="1"/>
    <x v="1248"/>
    <n v="83431.25"/>
    <n v="1"/>
    <n v="83431.25"/>
  </r>
  <r>
    <x v="1"/>
    <x v="1249"/>
    <n v="84018.75"/>
    <n v="1"/>
    <n v="84018.75"/>
  </r>
  <r>
    <x v="1"/>
    <x v="1250"/>
    <n v="84037.5"/>
    <n v="1"/>
    <n v="84037.5"/>
  </r>
  <r>
    <x v="1"/>
    <x v="1251"/>
    <n v="83231.25"/>
    <n v="1"/>
    <n v="83231.25"/>
  </r>
  <r>
    <x v="1"/>
    <x v="1252"/>
    <n v="83143.75"/>
    <n v="1"/>
    <n v="83143.75"/>
  </r>
  <r>
    <x v="1"/>
    <x v="1253"/>
    <n v="83043.75"/>
    <n v="1"/>
    <n v="83043.75"/>
  </r>
  <r>
    <x v="1"/>
    <x v="1254"/>
    <n v="83243.75"/>
    <n v="1"/>
    <n v="83243.75"/>
  </r>
  <r>
    <x v="1"/>
    <x v="1255"/>
    <n v="82993.75"/>
    <n v="1"/>
    <n v="82993.75"/>
  </r>
  <r>
    <x v="1"/>
    <x v="1256"/>
    <n v="83075"/>
    <n v="1"/>
    <n v="83075"/>
  </r>
  <r>
    <x v="1"/>
    <x v="1257"/>
    <n v="84131.25"/>
    <n v="1"/>
    <n v="84131.25"/>
  </r>
  <r>
    <x v="1"/>
    <x v="1258"/>
    <n v="83937.5"/>
    <n v="1"/>
    <n v="83937.5"/>
  </r>
  <r>
    <x v="1"/>
    <x v="1259"/>
    <n v="83268.75"/>
    <n v="1"/>
    <n v="83268.75"/>
  </r>
  <r>
    <x v="1"/>
    <x v="1260"/>
    <n v="82750"/>
    <n v="1"/>
    <n v="82750"/>
  </r>
  <r>
    <x v="1"/>
    <x v="1261"/>
    <n v="83375"/>
    <n v="1"/>
    <n v="83375"/>
  </r>
  <r>
    <x v="1"/>
    <x v="1262"/>
    <n v="83062.5"/>
    <n v="1"/>
    <n v="83062.5"/>
  </r>
  <r>
    <x v="1"/>
    <x v="1263"/>
    <n v="82700"/>
    <n v="1"/>
    <n v="82700"/>
  </r>
  <r>
    <x v="1"/>
    <x v="1264"/>
    <n v="83362.5"/>
    <n v="1"/>
    <n v="83362.5"/>
  </r>
  <r>
    <x v="1"/>
    <x v="1265"/>
    <n v="83900"/>
    <n v="1"/>
    <n v="83900"/>
  </r>
  <r>
    <x v="1"/>
    <x v="1266"/>
    <n v="84081.25"/>
    <n v="1"/>
    <n v="84081.25"/>
  </r>
  <r>
    <x v="1"/>
    <x v="1267"/>
    <n v="84550"/>
    <n v="1"/>
    <n v="84550"/>
  </r>
  <r>
    <x v="1"/>
    <x v="1268"/>
    <n v="84131.25"/>
    <n v="1"/>
    <n v="84131.25"/>
  </r>
  <r>
    <x v="1"/>
    <x v="1269"/>
    <n v="84087.5"/>
    <n v="1"/>
    <n v="84087.5"/>
  </r>
  <r>
    <x v="1"/>
    <x v="1270"/>
    <n v="83906.25"/>
    <n v="1"/>
    <n v="83906.25"/>
  </r>
  <r>
    <x v="1"/>
    <x v="1271"/>
    <n v="84193.75"/>
    <n v="1"/>
    <n v="84193.75"/>
  </r>
  <r>
    <x v="1"/>
    <x v="1272"/>
    <n v="84225"/>
    <n v="1"/>
    <n v="84225"/>
  </r>
  <r>
    <x v="1"/>
    <x v="1273"/>
    <n v="84750"/>
    <n v="1"/>
    <n v="84750"/>
  </r>
  <r>
    <x v="1"/>
    <x v="1274"/>
    <n v="84868.75"/>
    <n v="1"/>
    <n v="84868.75"/>
  </r>
  <r>
    <x v="1"/>
    <x v="1275"/>
    <n v="84500"/>
    <n v="1"/>
    <n v="84500"/>
  </r>
  <r>
    <x v="1"/>
    <x v="1276"/>
    <n v="84487.5"/>
    <n v="1"/>
    <n v="84487.5"/>
  </r>
  <r>
    <x v="1"/>
    <x v="1277"/>
    <n v="84875"/>
    <n v="1"/>
    <n v="84875"/>
  </r>
  <r>
    <x v="1"/>
    <x v="1278"/>
    <n v="84881.25"/>
    <n v="1"/>
    <n v="84881.25"/>
  </r>
  <r>
    <x v="1"/>
    <x v="1279"/>
    <n v="85231.25"/>
    <n v="1"/>
    <n v="85231.25"/>
  </r>
  <r>
    <x v="1"/>
    <x v="1280"/>
    <n v="85193.75"/>
    <n v="1"/>
    <n v="85193.75"/>
  </r>
  <r>
    <x v="1"/>
    <x v="1281"/>
    <n v="84706.25"/>
    <n v="1"/>
    <n v="84706.25"/>
  </r>
  <r>
    <x v="1"/>
    <x v="1282"/>
    <n v="84375"/>
    <n v="1"/>
    <n v="84375"/>
  </r>
  <r>
    <x v="1"/>
    <x v="1283"/>
    <n v="84756.25"/>
    <n v="1"/>
    <n v="84756.25"/>
  </r>
  <r>
    <x v="1"/>
    <x v="1284"/>
    <n v="84556.25"/>
    <n v="1"/>
    <n v="84556.25"/>
  </r>
  <r>
    <x v="1"/>
    <x v="1285"/>
    <n v="84337.5"/>
    <n v="1"/>
    <n v="84337.5"/>
  </r>
  <r>
    <x v="1"/>
    <x v="1286"/>
    <n v="84506.25"/>
    <n v="1"/>
    <n v="84506.25"/>
  </r>
  <r>
    <x v="1"/>
    <x v="1287"/>
    <n v="84231.25"/>
    <n v="1"/>
    <n v="84231.25"/>
  </r>
  <r>
    <x v="1"/>
    <x v="1288"/>
    <n v="84187.5"/>
    <n v="1"/>
    <n v="84187.5"/>
  </r>
  <r>
    <x v="1"/>
    <x v="1289"/>
    <n v="84212.5"/>
    <n v="1"/>
    <n v="84212.5"/>
  </r>
  <r>
    <x v="1"/>
    <x v="1290"/>
    <n v="84187.5"/>
    <n v="1"/>
    <n v="84187.5"/>
  </r>
  <r>
    <x v="1"/>
    <x v="1291"/>
    <n v="84337.5"/>
    <n v="1"/>
    <n v="84337.5"/>
  </r>
  <r>
    <x v="1"/>
    <x v="1292"/>
    <n v="84175"/>
    <n v="1"/>
    <n v="84175"/>
  </r>
  <r>
    <x v="1"/>
    <x v="1293"/>
    <n v="84293.75"/>
    <n v="1"/>
    <n v="84293.75"/>
  </r>
  <r>
    <x v="1"/>
    <x v="1294"/>
    <n v="84287.5"/>
    <n v="1"/>
    <n v="84287.5"/>
  </r>
  <r>
    <x v="1"/>
    <x v="1295"/>
    <n v="84606.25"/>
    <n v="1"/>
    <n v="84606.25"/>
  </r>
  <r>
    <x v="1"/>
    <x v="1296"/>
    <n v="85043.75"/>
    <n v="1"/>
    <n v="85043.75"/>
  </r>
  <r>
    <x v="1"/>
    <x v="1297"/>
    <n v="84762.5"/>
    <n v="1"/>
    <n v="84762.5"/>
  </r>
  <r>
    <x v="1"/>
    <x v="1298"/>
    <n v="84456.25"/>
    <n v="1"/>
    <n v="84456.25"/>
  </r>
  <r>
    <x v="1"/>
    <x v="1299"/>
    <n v="83675"/>
    <n v="1"/>
    <n v="83675"/>
  </r>
  <r>
    <x v="1"/>
    <x v="1300"/>
    <n v="84212.5"/>
    <n v="1"/>
    <n v="84212.5"/>
  </r>
  <r>
    <x v="1"/>
    <x v="1301"/>
    <n v="83668.75"/>
    <n v="1"/>
    <n v="83668.75"/>
  </r>
  <r>
    <x v="1"/>
    <x v="1302"/>
    <n v="84062.5"/>
    <n v="1"/>
    <n v="84062.5"/>
  </r>
  <r>
    <x v="1"/>
    <x v="1303"/>
    <n v="83406.25"/>
    <n v="1"/>
    <n v="83406.25"/>
  </r>
  <r>
    <x v="1"/>
    <x v="1304"/>
    <n v="82525"/>
    <n v="1"/>
    <n v="82525"/>
  </r>
  <r>
    <x v="1"/>
    <x v="1305"/>
    <n v="82512.5"/>
    <n v="1"/>
    <n v="82512.5"/>
  </r>
  <r>
    <x v="1"/>
    <x v="1306"/>
    <n v="82600"/>
    <n v="1"/>
    <n v="82600"/>
  </r>
  <r>
    <x v="1"/>
    <x v="1307"/>
    <n v="81825"/>
    <n v="1"/>
    <n v="81825"/>
  </r>
  <r>
    <x v="1"/>
    <x v="1308"/>
    <n v="81881.25"/>
    <n v="1"/>
    <n v="81881.25"/>
  </r>
  <r>
    <x v="1"/>
    <x v="1309"/>
    <n v="81800"/>
    <n v="1"/>
    <n v="81800"/>
  </r>
  <r>
    <x v="1"/>
    <x v="1310"/>
    <n v="81256.25"/>
    <n v="1"/>
    <n v="81256.25"/>
  </r>
  <r>
    <x v="1"/>
    <x v="1311"/>
    <n v="81006.25"/>
    <n v="1"/>
    <n v="81006.25"/>
  </r>
  <r>
    <x v="1"/>
    <x v="1312"/>
    <n v="80987.5"/>
    <n v="1"/>
    <n v="80987.5"/>
  </r>
  <r>
    <x v="1"/>
    <x v="1313"/>
    <n v="81300"/>
    <n v="1"/>
    <n v="81300"/>
  </r>
  <r>
    <x v="1"/>
    <x v="1314"/>
    <n v="81393.75"/>
    <n v="1"/>
    <n v="81393.75"/>
  </r>
  <r>
    <x v="1"/>
    <x v="1315"/>
    <n v="81606.25"/>
    <n v="1"/>
    <n v="81606.25"/>
  </r>
  <r>
    <x v="1"/>
    <x v="1316"/>
    <n v="81118.75"/>
    <n v="1"/>
    <n v="81118.75"/>
  </r>
  <r>
    <x v="1"/>
    <x v="1317"/>
    <n v="81256.25"/>
    <n v="1"/>
    <n v="81256.25"/>
  </r>
  <r>
    <x v="1"/>
    <x v="1318"/>
    <n v="81331.25"/>
    <n v="1"/>
    <n v="81331.25"/>
  </r>
  <r>
    <x v="1"/>
    <x v="1319"/>
    <n v="81431.25"/>
    <n v="1"/>
    <n v="81431.25"/>
  </r>
  <r>
    <x v="1"/>
    <x v="1320"/>
    <n v="80581.25"/>
    <n v="1"/>
    <n v="80581.25"/>
  </r>
  <r>
    <x v="1"/>
    <x v="1321"/>
    <n v="80881.25"/>
    <n v="1"/>
    <n v="80881.25"/>
  </r>
  <r>
    <x v="1"/>
    <x v="1322"/>
    <n v="80362.5"/>
    <n v="1"/>
    <n v="80362.5"/>
  </r>
  <r>
    <x v="1"/>
    <x v="1323"/>
    <n v="80231.25"/>
    <n v="1"/>
    <n v="80231.25"/>
  </r>
  <r>
    <x v="1"/>
    <x v="1324"/>
    <n v="80243.75"/>
    <n v="1"/>
    <n v="80243.75"/>
  </r>
  <r>
    <x v="1"/>
    <x v="1325"/>
    <n v="80356.25"/>
    <n v="1"/>
    <n v="80356.25"/>
  </r>
  <r>
    <x v="1"/>
    <x v="1326"/>
    <n v="79875"/>
    <n v="1"/>
    <n v="79875"/>
  </r>
  <r>
    <x v="1"/>
    <x v="1327"/>
    <n v="80000"/>
    <n v="1"/>
    <n v="80000"/>
  </r>
  <r>
    <x v="1"/>
    <x v="1328"/>
    <n v="80112.5"/>
    <n v="1"/>
    <n v="80112.5"/>
  </r>
  <r>
    <x v="1"/>
    <x v="1329"/>
    <n v="80037.5"/>
    <n v="1"/>
    <n v="80037.5"/>
  </r>
  <r>
    <x v="1"/>
    <x v="1330"/>
    <n v="80131.25"/>
    <n v="1"/>
    <n v="80131.25"/>
  </r>
  <r>
    <x v="1"/>
    <x v="1331"/>
    <n v="80000"/>
    <n v="1"/>
    <n v="80000"/>
  </r>
  <r>
    <x v="1"/>
    <x v="1332"/>
    <n v="80087.5"/>
    <n v="1"/>
    <n v="80087.5"/>
  </r>
  <r>
    <x v="1"/>
    <x v="1333"/>
    <n v="80206.25"/>
    <n v="1"/>
    <n v="80206.25"/>
  </r>
  <r>
    <x v="1"/>
    <x v="1334"/>
    <n v="80081.25"/>
    <n v="1"/>
    <n v="80081.25"/>
  </r>
  <r>
    <x v="1"/>
    <x v="1335"/>
    <n v="80087.5"/>
    <n v="1"/>
    <n v="80087.5"/>
  </r>
  <r>
    <x v="1"/>
    <x v="1336"/>
    <n v="80131.25"/>
    <n v="1"/>
    <n v="80131.25"/>
  </r>
  <r>
    <x v="1"/>
    <x v="1337"/>
    <n v="80193.75"/>
    <n v="1"/>
    <n v="80193.75"/>
  </r>
  <r>
    <x v="1"/>
    <x v="1338"/>
    <n v="80131.25"/>
    <n v="1"/>
    <n v="80131.25"/>
  </r>
  <r>
    <x v="1"/>
    <x v="1339"/>
    <n v="80400"/>
    <n v="1"/>
    <n v="80400"/>
  </r>
  <r>
    <x v="1"/>
    <x v="1340"/>
    <n v="80268.75"/>
    <n v="1"/>
    <n v="80268.75"/>
  </r>
  <r>
    <x v="1"/>
    <x v="1341"/>
    <n v="80518.75"/>
    <n v="1"/>
    <n v="80518.75"/>
  </r>
  <r>
    <x v="1"/>
    <x v="1342"/>
    <n v="80600"/>
    <n v="1"/>
    <n v="80600"/>
  </r>
  <r>
    <x v="1"/>
    <x v="1343"/>
    <n v="80318.75"/>
    <n v="1"/>
    <n v="80318.75"/>
  </r>
  <r>
    <x v="1"/>
    <x v="1344"/>
    <n v="81025"/>
    <n v="1"/>
    <n v="81025"/>
  </r>
  <r>
    <x v="1"/>
    <x v="1345"/>
    <n v="81300"/>
    <n v="1"/>
    <n v="81300"/>
  </r>
  <r>
    <x v="1"/>
    <x v="1346"/>
    <n v="81387.5"/>
    <n v="1"/>
    <n v="81387.5"/>
  </r>
  <r>
    <x v="1"/>
    <x v="1347"/>
    <n v="81831.25"/>
    <n v="1"/>
    <n v="81831.25"/>
  </r>
  <r>
    <x v="1"/>
    <x v="1348"/>
    <n v="81787.5"/>
    <n v="1"/>
    <n v="81787.5"/>
  </r>
  <r>
    <x v="1"/>
    <x v="1349"/>
    <n v="82006.25"/>
    <n v="1"/>
    <n v="82006.25"/>
  </r>
  <r>
    <x v="1"/>
    <x v="1350"/>
    <n v="82218.75"/>
    <n v="1"/>
    <n v="82218.75"/>
  </r>
  <r>
    <x v="1"/>
    <x v="1351"/>
    <n v="82481.25"/>
    <n v="1"/>
    <n v="82481.25"/>
  </r>
  <r>
    <x v="1"/>
    <x v="1352"/>
    <n v="82337.5"/>
    <n v="1"/>
    <n v="82337.5"/>
  </r>
  <r>
    <x v="1"/>
    <x v="1353"/>
    <n v="82200"/>
    <n v="1"/>
    <n v="82200"/>
  </r>
  <r>
    <x v="1"/>
    <x v="1354"/>
    <n v="82368.75"/>
    <n v="1"/>
    <n v="82368.75"/>
  </r>
  <r>
    <x v="1"/>
    <x v="1355"/>
    <n v="82293.75"/>
    <n v="1"/>
    <n v="82293.75"/>
  </r>
  <r>
    <x v="1"/>
    <x v="1356"/>
    <n v="82706.25"/>
    <n v="1"/>
    <n v="82706.25"/>
  </r>
  <r>
    <x v="1"/>
    <x v="1357"/>
    <n v="83056.25"/>
    <n v="1"/>
    <n v="83056.25"/>
  </r>
  <r>
    <x v="1"/>
    <x v="1358"/>
    <n v="83237.5"/>
    <n v="1"/>
    <n v="83237.5"/>
  </r>
  <r>
    <x v="1"/>
    <x v="1359"/>
    <n v="83600"/>
    <n v="1"/>
    <n v="83600"/>
  </r>
  <r>
    <x v="1"/>
    <x v="1360"/>
    <n v="84100"/>
    <n v="1"/>
    <n v="84100"/>
  </r>
  <r>
    <x v="1"/>
    <x v="1361"/>
    <n v="84812.5"/>
    <n v="1"/>
    <n v="84812.5"/>
  </r>
  <r>
    <x v="1"/>
    <x v="1362"/>
    <n v="85387.5"/>
    <n v="1"/>
    <n v="85387.5"/>
  </r>
  <r>
    <x v="1"/>
    <x v="1363"/>
    <n v="84781.25"/>
    <n v="1"/>
    <n v="84781.25"/>
  </r>
  <r>
    <x v="1"/>
    <x v="1364"/>
    <n v="84943.75"/>
    <n v="1"/>
    <n v="84943.75"/>
  </r>
  <r>
    <x v="1"/>
    <x v="1365"/>
    <n v="85143.75"/>
    <n v="1"/>
    <n v="85143.75"/>
  </r>
  <r>
    <x v="1"/>
    <x v="1366"/>
    <n v="85137.5"/>
    <n v="1"/>
    <n v="85137.5"/>
  </r>
  <r>
    <x v="1"/>
    <x v="1367"/>
    <n v="85600"/>
    <n v="1"/>
    <n v="85600"/>
  </r>
  <r>
    <x v="1"/>
    <x v="1368"/>
    <n v="86243.75"/>
    <n v="1"/>
    <n v="86243.75"/>
  </r>
  <r>
    <x v="1"/>
    <x v="1369"/>
    <n v="85525"/>
    <n v="1"/>
    <n v="85525"/>
  </r>
  <r>
    <x v="1"/>
    <x v="1370"/>
    <n v="85281.25"/>
    <n v="1"/>
    <n v="85281.25"/>
  </r>
  <r>
    <x v="1"/>
    <x v="1371"/>
    <n v="85818.75"/>
    <n v="1"/>
    <n v="85818.75"/>
  </r>
  <r>
    <x v="1"/>
    <x v="1372"/>
    <n v="85562.5"/>
    <n v="1"/>
    <n v="85562.5"/>
  </r>
  <r>
    <x v="1"/>
    <x v="1373"/>
    <n v="85343.75"/>
    <n v="1"/>
    <n v="85343.75"/>
  </r>
  <r>
    <x v="1"/>
    <x v="1374"/>
    <n v="84862.5"/>
    <n v="1"/>
    <n v="84862.5"/>
  </r>
  <r>
    <x v="1"/>
    <x v="1375"/>
    <n v="84881.25"/>
    <n v="1"/>
    <n v="84881.25"/>
  </r>
  <r>
    <x v="1"/>
    <x v="1376"/>
    <n v="86412.5"/>
    <n v="1"/>
    <n v="86412.5"/>
  </r>
  <r>
    <x v="1"/>
    <x v="1377"/>
    <n v="86168.75"/>
    <n v="1"/>
    <n v="86168.75"/>
  </r>
  <r>
    <x v="1"/>
    <x v="1378"/>
    <n v="86512.5"/>
    <n v="1"/>
    <n v="86512.5"/>
  </r>
  <r>
    <x v="1"/>
    <x v="1379"/>
    <n v="87100"/>
    <n v="1"/>
    <n v="87100"/>
  </r>
  <r>
    <x v="1"/>
    <x v="1380"/>
    <n v="86925"/>
    <n v="1"/>
    <n v="86925"/>
  </r>
  <r>
    <x v="1"/>
    <x v="1381"/>
    <n v="89468.75"/>
    <n v="1"/>
    <n v="89468.75"/>
  </r>
  <r>
    <x v="1"/>
    <x v="1382"/>
    <n v="88962.5"/>
    <n v="1"/>
    <n v="88962.5"/>
  </r>
  <r>
    <x v="1"/>
    <x v="1383"/>
    <n v="88506.25"/>
    <n v="1"/>
    <n v="88506.25"/>
  </r>
  <r>
    <x v="1"/>
    <x v="1384"/>
    <n v="88418.75"/>
    <n v="1"/>
    <n v="88418.75"/>
  </r>
  <r>
    <x v="1"/>
    <x v="1385"/>
    <n v="89243.75"/>
    <n v="1"/>
    <n v="89243.75"/>
  </r>
  <r>
    <x v="1"/>
    <x v="1386"/>
    <n v="89987.5"/>
    <n v="1"/>
    <n v="89987.5"/>
  </r>
  <r>
    <x v="1"/>
    <x v="1387"/>
    <n v="89837.5"/>
    <n v="1"/>
    <n v="89837.5"/>
  </r>
  <r>
    <x v="1"/>
    <x v="1388"/>
    <n v="90187.5"/>
    <n v="1"/>
    <n v="90187.5"/>
  </r>
  <r>
    <x v="1"/>
    <x v="1389"/>
    <n v="89575"/>
    <n v="1"/>
    <n v="89575"/>
  </r>
  <r>
    <x v="1"/>
    <x v="1390"/>
    <n v="89606.25"/>
    <n v="1"/>
    <n v="89606.25"/>
  </r>
  <r>
    <x v="1"/>
    <x v="1391"/>
    <n v="89293.75"/>
    <n v="1"/>
    <n v="89293.75"/>
  </r>
  <r>
    <x v="1"/>
    <x v="1392"/>
    <n v="89943.75"/>
    <n v="1"/>
    <n v="89943.75"/>
  </r>
  <r>
    <x v="1"/>
    <x v="1393"/>
    <n v="89612.5"/>
    <n v="1"/>
    <n v="89612.5"/>
  </r>
  <r>
    <x v="1"/>
    <x v="1394"/>
    <n v="89762.5"/>
    <n v="1"/>
    <n v="89762.5"/>
  </r>
  <r>
    <x v="1"/>
    <x v="1395"/>
    <n v="89606.25"/>
    <n v="1"/>
    <n v="89606.25"/>
  </r>
  <r>
    <x v="1"/>
    <x v="1396"/>
    <n v="89425"/>
    <n v="1"/>
    <n v="89425"/>
  </r>
  <r>
    <x v="1"/>
    <x v="1397"/>
    <n v="90506.25"/>
    <n v="1"/>
    <n v="90506.25"/>
  </r>
  <r>
    <x v="1"/>
    <x v="1398"/>
    <n v="91100"/>
    <n v="1"/>
    <n v="91100"/>
  </r>
  <r>
    <x v="1"/>
    <x v="1399"/>
    <n v="91250"/>
    <n v="1"/>
    <n v="91250"/>
  </r>
  <r>
    <x v="1"/>
    <x v="1400"/>
    <n v="91475"/>
    <n v="1"/>
    <n v="91475"/>
  </r>
  <r>
    <x v="1"/>
    <x v="1401"/>
    <n v="91287.5"/>
    <n v="1"/>
    <n v="91287.5"/>
  </r>
  <r>
    <x v="1"/>
    <x v="1402"/>
    <n v="91262.5"/>
    <n v="1"/>
    <n v="91262.5"/>
  </r>
  <r>
    <x v="1"/>
    <x v="1403"/>
    <n v="91737.5"/>
    <n v="1"/>
    <n v="91737.5"/>
  </r>
  <r>
    <x v="1"/>
    <x v="1404"/>
    <n v="91381.25"/>
    <n v="1"/>
    <n v="91381.25"/>
  </r>
  <r>
    <x v="1"/>
    <x v="1405"/>
    <n v="90925"/>
    <n v="1"/>
    <n v="90925"/>
  </r>
  <r>
    <x v="1"/>
    <x v="1406"/>
    <n v="90875"/>
    <n v="1"/>
    <n v="90875"/>
  </r>
  <r>
    <x v="1"/>
    <x v="1407"/>
    <n v="91418.75"/>
    <n v="1"/>
    <n v="91418.75"/>
  </r>
  <r>
    <x v="1"/>
    <x v="1408"/>
    <n v="92262.5"/>
    <n v="1"/>
    <n v="92262.5"/>
  </r>
  <r>
    <x v="1"/>
    <x v="1409"/>
    <n v="92475"/>
    <n v="1"/>
    <n v="92475"/>
  </r>
  <r>
    <x v="1"/>
    <x v="1410"/>
    <n v="92931.25"/>
    <n v="1"/>
    <n v="92931.25"/>
  </r>
  <r>
    <x v="1"/>
    <x v="1411"/>
    <n v="92650"/>
    <n v="1"/>
    <n v="92650"/>
  </r>
  <r>
    <x v="1"/>
    <x v="1412"/>
    <n v="92331.25"/>
    <n v="1"/>
    <n v="92331.25"/>
  </r>
  <r>
    <x v="1"/>
    <x v="1413"/>
    <n v="91968.75"/>
    <n v="1"/>
    <n v="91968.75"/>
  </r>
  <r>
    <x v="1"/>
    <x v="1414"/>
    <n v="91956.25"/>
    <n v="1"/>
    <n v="91956.25"/>
  </r>
  <r>
    <x v="1"/>
    <x v="1415"/>
    <n v="91462.5"/>
    <n v="1"/>
    <n v="91462.5"/>
  </r>
  <r>
    <x v="1"/>
    <x v="1416"/>
    <n v="91018.75"/>
    <n v="1"/>
    <n v="91018.75"/>
  </r>
  <r>
    <x v="1"/>
    <x v="1417"/>
    <n v="90700"/>
    <n v="1"/>
    <n v="90700"/>
  </r>
  <r>
    <x v="1"/>
    <x v="1418"/>
    <n v="90612.5"/>
    <n v="1"/>
    <n v="90612.5"/>
  </r>
  <r>
    <x v="1"/>
    <x v="1419"/>
    <n v="90600"/>
    <n v="1"/>
    <n v="90600"/>
  </r>
  <r>
    <x v="1"/>
    <x v="1420"/>
    <n v="90212.5"/>
    <n v="1"/>
    <n v="90212.5"/>
  </r>
  <r>
    <x v="1"/>
    <x v="1421"/>
    <n v="90306.25"/>
    <n v="1"/>
    <n v="90306.25"/>
  </r>
  <r>
    <x v="1"/>
    <x v="1422"/>
    <n v="90168.75"/>
    <n v="1"/>
    <n v="90168.75"/>
  </r>
  <r>
    <x v="1"/>
    <x v="1423"/>
    <n v="90950"/>
    <n v="1"/>
    <n v="90950"/>
  </r>
  <r>
    <x v="1"/>
    <x v="1424"/>
    <n v="90856.25"/>
    <n v="1"/>
    <n v="90856.25"/>
  </r>
  <r>
    <x v="1"/>
    <x v="1425"/>
    <n v="90925"/>
    <n v="1"/>
    <n v="90925"/>
  </r>
  <r>
    <x v="1"/>
    <x v="1426"/>
    <n v="91262.5"/>
    <n v="1"/>
    <n v="91262.5"/>
  </r>
  <r>
    <x v="1"/>
    <x v="1427"/>
    <n v="91050"/>
    <n v="1"/>
    <n v="91050"/>
  </r>
  <r>
    <x v="1"/>
    <x v="1428"/>
    <n v="91525"/>
    <n v="1"/>
    <n v="91525"/>
  </r>
  <r>
    <x v="1"/>
    <x v="1429"/>
    <n v="91493.75"/>
    <n v="1"/>
    <n v="91493.75"/>
  </r>
  <r>
    <x v="1"/>
    <x v="1430"/>
    <n v="91487.5"/>
    <n v="1"/>
    <n v="91487.5"/>
  </r>
  <r>
    <x v="1"/>
    <x v="1431"/>
    <n v="91700"/>
    <n v="1"/>
    <n v="91700"/>
  </r>
  <r>
    <x v="1"/>
    <x v="1432"/>
    <n v="91887.5"/>
    <n v="1"/>
    <n v="91887.5"/>
  </r>
  <r>
    <x v="1"/>
    <x v="1433"/>
    <n v="91887.5"/>
    <n v="1"/>
    <n v="91887.5"/>
  </r>
  <r>
    <x v="1"/>
    <x v="1434"/>
    <n v="91537.5"/>
    <n v="1"/>
    <n v="91537.5"/>
  </r>
  <r>
    <x v="1"/>
    <x v="1435"/>
    <n v="91318.75"/>
    <n v="1"/>
    <n v="91318.75"/>
  </r>
  <r>
    <x v="1"/>
    <x v="1436"/>
    <n v="91387.5"/>
    <n v="1"/>
    <n v="91387.5"/>
  </r>
  <r>
    <x v="1"/>
    <x v="1437"/>
    <n v="91650"/>
    <n v="1"/>
    <n v="91650"/>
  </r>
  <r>
    <x v="1"/>
    <x v="1438"/>
    <n v="91493.75"/>
    <n v="1"/>
    <n v="91493.75"/>
  </r>
  <r>
    <x v="1"/>
    <x v="1439"/>
    <n v="91431.25"/>
    <n v="1"/>
    <n v="91431.25"/>
  </r>
  <r>
    <x v="1"/>
    <x v="1440"/>
    <n v="91612.5"/>
    <n v="1"/>
    <n v="91612.5"/>
  </r>
  <r>
    <x v="1"/>
    <x v="1441"/>
    <n v="91581.25"/>
    <n v="1"/>
    <n v="91581.25"/>
  </r>
  <r>
    <x v="1"/>
    <x v="1442"/>
    <n v="91618.75"/>
    <n v="1"/>
    <n v="91618.75"/>
  </r>
  <r>
    <x v="1"/>
    <x v="1443"/>
    <n v="91375"/>
    <n v="1"/>
    <n v="91375"/>
  </r>
  <r>
    <x v="1"/>
    <x v="1444"/>
    <n v="91150"/>
    <n v="1"/>
    <n v="91150"/>
  </r>
  <r>
    <x v="1"/>
    <x v="1445"/>
    <n v="91268.75"/>
    <n v="1"/>
    <n v="91268.75"/>
  </r>
  <r>
    <x v="1"/>
    <x v="1446"/>
    <n v="90762.5"/>
    <n v="1"/>
    <n v="90762.5"/>
  </r>
  <r>
    <x v="1"/>
    <x v="1447"/>
    <n v="90768.75"/>
    <n v="1"/>
    <n v="90768.75"/>
  </r>
  <r>
    <x v="1"/>
    <x v="1448"/>
    <n v="90675"/>
    <n v="1"/>
    <n v="90675"/>
  </r>
  <r>
    <x v="1"/>
    <x v="1449"/>
    <n v="90606.25"/>
    <n v="1"/>
    <n v="90606.25"/>
  </r>
  <r>
    <x v="1"/>
    <x v="1450"/>
    <n v="90756.25"/>
    <n v="1"/>
    <n v="90756.25"/>
  </r>
  <r>
    <x v="1"/>
    <x v="1451"/>
    <n v="91437.5"/>
    <n v="1"/>
    <n v="91437.5"/>
  </r>
  <r>
    <x v="1"/>
    <x v="1452"/>
    <n v="91187.5"/>
    <n v="1"/>
    <n v="91187.5"/>
  </r>
  <r>
    <x v="1"/>
    <x v="1453"/>
    <n v="90543.75"/>
    <n v="1"/>
    <n v="90543.75"/>
  </r>
  <r>
    <x v="1"/>
    <x v="1454"/>
    <n v="90618.75"/>
    <n v="1"/>
    <n v="90618.75"/>
  </r>
  <r>
    <x v="1"/>
    <x v="1455"/>
    <n v="90775"/>
    <n v="1"/>
    <n v="90775"/>
  </r>
  <r>
    <x v="1"/>
    <x v="1456"/>
    <n v="90218.75"/>
    <n v="1"/>
    <n v="90218.75"/>
  </r>
  <r>
    <x v="1"/>
    <x v="1457"/>
    <n v="89912.5"/>
    <n v="1"/>
    <n v="89912.5"/>
  </r>
  <r>
    <x v="1"/>
    <x v="1458"/>
    <n v="89581.25"/>
    <n v="1"/>
    <n v="89581.25"/>
  </r>
  <r>
    <x v="1"/>
    <x v="1459"/>
    <n v="89993.75"/>
    <n v="1"/>
    <n v="89993.75"/>
  </r>
  <r>
    <x v="1"/>
    <x v="1460"/>
    <n v="90068.75"/>
    <n v="1"/>
    <n v="90068.75"/>
  </r>
  <r>
    <x v="1"/>
    <x v="1461"/>
    <n v="89968.75"/>
    <n v="1"/>
    <n v="89968.75"/>
  </r>
  <r>
    <x v="1"/>
    <x v="1462"/>
    <n v="90825"/>
    <n v="1"/>
    <n v="90825"/>
  </r>
  <r>
    <x v="1"/>
    <x v="1463"/>
    <n v="91025"/>
    <n v="1"/>
    <n v="91025"/>
  </r>
  <r>
    <x v="1"/>
    <x v="1464"/>
    <n v="90718.75"/>
    <n v="1"/>
    <n v="90718.75"/>
  </r>
  <r>
    <x v="1"/>
    <x v="1465"/>
    <n v="90543.75"/>
    <n v="1"/>
    <n v="90543.75"/>
  </r>
  <r>
    <x v="1"/>
    <x v="1466"/>
    <n v="90500"/>
    <n v="1"/>
    <n v="90500"/>
  </r>
  <r>
    <x v="1"/>
    <x v="1467"/>
    <n v="90418.75"/>
    <n v="1"/>
    <n v="90418.75"/>
  </r>
  <r>
    <x v="1"/>
    <x v="1468"/>
    <n v="90612.5"/>
    <n v="1"/>
    <n v="90612.5"/>
  </r>
  <r>
    <x v="1"/>
    <x v="1469"/>
    <n v="90043.75"/>
    <n v="1"/>
    <n v="90043.75"/>
  </r>
  <r>
    <x v="1"/>
    <x v="1470"/>
    <n v="90018.75"/>
    <n v="1"/>
    <n v="90018.75"/>
  </r>
  <r>
    <x v="1"/>
    <x v="1471"/>
    <n v="90012.5"/>
    <n v="1"/>
    <n v="90012.5"/>
  </r>
  <r>
    <x v="1"/>
    <x v="1472"/>
    <n v="90193.75"/>
    <n v="1"/>
    <n v="90193.75"/>
  </r>
  <r>
    <x v="1"/>
    <x v="1473"/>
    <n v="89818.75"/>
    <n v="1"/>
    <n v="89818.75"/>
  </r>
  <r>
    <x v="1"/>
    <x v="1474"/>
    <n v="89425"/>
    <n v="1"/>
    <n v="89425"/>
  </r>
  <r>
    <x v="1"/>
    <x v="1475"/>
    <n v="89581.25"/>
    <n v="1"/>
    <n v="89581.25"/>
  </r>
  <r>
    <x v="1"/>
    <x v="1476"/>
    <n v="89593.75"/>
    <n v="1"/>
    <n v="89593.75"/>
  </r>
  <r>
    <x v="1"/>
    <x v="1477"/>
    <n v="89650"/>
    <n v="1"/>
    <n v="89650"/>
  </r>
  <r>
    <x v="1"/>
    <x v="1478"/>
    <n v="89543.75"/>
    <n v="1"/>
    <n v="89543.75"/>
  </r>
  <r>
    <x v="1"/>
    <x v="1479"/>
    <n v="89406.25"/>
    <n v="1"/>
    <n v="89406.25"/>
  </r>
  <r>
    <x v="1"/>
    <x v="1480"/>
    <n v="89931.25"/>
    <n v="1"/>
    <n v="89931.25"/>
  </r>
  <r>
    <x v="1"/>
    <x v="1481"/>
    <n v="89631.25"/>
    <n v="1"/>
    <n v="89631.25"/>
  </r>
  <r>
    <x v="1"/>
    <x v="1482"/>
    <n v="89600"/>
    <n v="1"/>
    <n v="89600"/>
  </r>
  <r>
    <x v="1"/>
    <x v="1483"/>
    <n v="89768.75"/>
    <n v="1"/>
    <n v="89768.75"/>
  </r>
  <r>
    <x v="1"/>
    <x v="1484"/>
    <n v="90043.75"/>
    <n v="1"/>
    <n v="90043.75"/>
  </r>
  <r>
    <x v="1"/>
    <x v="1485"/>
    <n v="89993.75"/>
    <n v="1"/>
    <n v="89993.75"/>
  </r>
  <r>
    <x v="1"/>
    <x v="1486"/>
    <n v="89950"/>
    <n v="1"/>
    <n v="89950"/>
  </r>
  <r>
    <x v="1"/>
    <x v="1487"/>
    <n v="89468.75"/>
    <n v="1"/>
    <n v="89468.75"/>
  </r>
  <r>
    <x v="1"/>
    <x v="1488"/>
    <n v="89650"/>
    <n v="1"/>
    <n v="89650"/>
  </r>
  <r>
    <x v="1"/>
    <x v="1489"/>
    <n v="89693.75"/>
    <n v="1"/>
    <n v="89693.75"/>
  </r>
  <r>
    <x v="1"/>
    <x v="1490"/>
    <n v="89718.75"/>
    <n v="1"/>
    <n v="89718.75"/>
  </r>
  <r>
    <x v="1"/>
    <x v="1491"/>
    <n v="89662.5"/>
    <n v="1"/>
    <n v="89662.5"/>
  </r>
  <r>
    <x v="1"/>
    <x v="1492"/>
    <n v="89875"/>
    <n v="1"/>
    <n v="89875"/>
  </r>
  <r>
    <x v="1"/>
    <x v="1493"/>
    <n v="89831.25"/>
    <n v="1"/>
    <n v="89831.25"/>
  </r>
  <r>
    <x v="1"/>
    <x v="1494"/>
    <n v="90862.5"/>
    <n v="1"/>
    <n v="90862.5"/>
  </r>
  <r>
    <x v="1"/>
    <x v="1495"/>
    <n v="89875"/>
    <n v="1"/>
    <n v="89875"/>
  </r>
  <r>
    <x v="1"/>
    <x v="1496"/>
    <n v="90125"/>
    <n v="1"/>
    <n v="90125"/>
  </r>
  <r>
    <x v="1"/>
    <x v="1497"/>
    <n v="90743.75"/>
    <n v="1"/>
    <n v="90743.75"/>
  </r>
  <r>
    <x v="1"/>
    <x v="1498"/>
    <n v="91775"/>
    <n v="1"/>
    <n v="91775"/>
  </r>
  <r>
    <x v="1"/>
    <x v="1499"/>
    <n v="93318.75"/>
    <n v="1"/>
    <n v="93318.75"/>
  </r>
  <r>
    <x v="1"/>
    <x v="1500"/>
    <n v="93143.75"/>
    <n v="1"/>
    <n v="93143.75"/>
  </r>
  <r>
    <x v="1"/>
    <x v="1501"/>
    <n v="93400"/>
    <n v="1"/>
    <n v="93400"/>
  </r>
  <r>
    <x v="1"/>
    <x v="1502"/>
    <n v="93475"/>
    <n v="1"/>
    <n v="93475"/>
  </r>
  <r>
    <x v="1"/>
    <x v="1503"/>
    <n v="93856.25"/>
    <n v="1"/>
    <n v="93856.25"/>
  </r>
  <r>
    <x v="1"/>
    <x v="1504"/>
    <n v="94100"/>
    <n v="1"/>
    <n v="94100"/>
  </r>
  <r>
    <x v="1"/>
    <x v="1505"/>
    <n v="94187.5"/>
    <n v="1"/>
    <n v="94187.5"/>
  </r>
  <r>
    <x v="1"/>
    <x v="1506"/>
    <n v="93987.5"/>
    <n v="1"/>
    <n v="93987.5"/>
  </r>
  <r>
    <x v="1"/>
    <x v="1507"/>
    <n v="93831.25"/>
    <n v="1"/>
    <n v="93831.25"/>
  </r>
  <r>
    <x v="1"/>
    <x v="1508"/>
    <n v="94018.75"/>
    <n v="1"/>
    <n v="94018.75"/>
  </r>
  <r>
    <x v="1"/>
    <x v="1509"/>
    <n v="93781.25"/>
    <n v="1"/>
    <n v="93781.25"/>
  </r>
  <r>
    <x v="1"/>
    <x v="1510"/>
    <n v="94206.25"/>
    <n v="1"/>
    <n v="94206.25"/>
  </r>
  <r>
    <x v="1"/>
    <x v="1511"/>
    <n v="94268.75"/>
    <n v="1"/>
    <n v="94268.75"/>
  </r>
  <r>
    <x v="1"/>
    <x v="1512"/>
    <n v="94118.75"/>
    <n v="1"/>
    <n v="94118.75"/>
  </r>
  <r>
    <x v="1"/>
    <x v="1513"/>
    <n v="94087.5"/>
    <n v="1"/>
    <n v="94087.5"/>
  </r>
  <r>
    <x v="1"/>
    <x v="1514"/>
    <n v="94425"/>
    <n v="1"/>
    <n v="94425"/>
  </r>
  <r>
    <x v="1"/>
    <x v="1515"/>
    <n v="94118.75"/>
    <n v="1"/>
    <n v="94118.75"/>
  </r>
  <r>
    <x v="1"/>
    <x v="1516"/>
    <n v="94212.5"/>
    <n v="1"/>
    <n v="94212.5"/>
  </r>
  <r>
    <x v="1"/>
    <x v="1517"/>
    <n v="93900"/>
    <n v="1"/>
    <n v="93900"/>
  </r>
  <r>
    <x v="1"/>
    <x v="1518"/>
    <n v="93856.25"/>
    <n v="1"/>
    <n v="93856.25"/>
  </r>
  <r>
    <x v="1"/>
    <x v="1519"/>
    <n v="93900"/>
    <n v="1"/>
    <n v="93900"/>
  </r>
  <r>
    <x v="1"/>
    <x v="1520"/>
    <n v="93781.25"/>
    <n v="1"/>
    <n v="93781.25"/>
  </r>
  <r>
    <x v="1"/>
    <x v="1521"/>
    <n v="93756.25"/>
    <n v="1"/>
    <n v="93756.25"/>
  </r>
  <r>
    <x v="1"/>
    <x v="1522"/>
    <n v="93762.5"/>
    <n v="1"/>
    <n v="93762.5"/>
  </r>
  <r>
    <x v="1"/>
    <x v="1523"/>
    <n v="93325"/>
    <n v="1"/>
    <n v="93325"/>
  </r>
  <r>
    <x v="1"/>
    <x v="1524"/>
    <n v="92968.75"/>
    <n v="1"/>
    <n v="92968.75"/>
  </r>
  <r>
    <x v="1"/>
    <x v="1525"/>
    <n v="93025"/>
    <n v="1"/>
    <n v="93025"/>
  </r>
  <r>
    <x v="1"/>
    <x v="1526"/>
    <n v="92887.5"/>
    <n v="1"/>
    <n v="92887.5"/>
  </r>
  <r>
    <x v="1"/>
    <x v="1527"/>
    <n v="93243.75"/>
    <n v="1"/>
    <n v="93243.75"/>
  </r>
  <r>
    <x v="1"/>
    <x v="1528"/>
    <n v="92675"/>
    <n v="1"/>
    <n v="92675"/>
  </r>
  <r>
    <x v="1"/>
    <x v="1529"/>
    <n v="92256.25"/>
    <n v="1"/>
    <n v="92256.25"/>
  </r>
  <r>
    <x v="1"/>
    <x v="1530"/>
    <n v="92912.5"/>
    <n v="1"/>
    <n v="92912.5"/>
  </r>
  <r>
    <x v="1"/>
    <x v="1531"/>
    <n v="93031.25"/>
    <n v="1"/>
    <n v="93031.25"/>
  </r>
  <r>
    <x v="1"/>
    <x v="1532"/>
    <n v="93106.25"/>
    <n v="1"/>
    <n v="93106.25"/>
  </r>
  <r>
    <x v="1"/>
    <x v="1533"/>
    <n v="92593.75"/>
    <n v="1"/>
    <n v="92593.75"/>
  </r>
  <r>
    <x v="1"/>
    <x v="1534"/>
    <n v="92656.25"/>
    <n v="1"/>
    <n v="92656.25"/>
  </r>
  <r>
    <x v="1"/>
    <x v="1535"/>
    <n v="92631.25"/>
    <n v="1"/>
    <n v="92631.25"/>
  </r>
  <r>
    <x v="1"/>
    <x v="1536"/>
    <n v="92425"/>
    <n v="1"/>
    <n v="92425"/>
  </r>
  <r>
    <x v="1"/>
    <x v="1537"/>
    <n v="92362.5"/>
    <n v="1"/>
    <n v="92362.5"/>
  </r>
  <r>
    <x v="1"/>
    <x v="1538"/>
    <n v="92537.5"/>
    <n v="1"/>
    <n v="92537.5"/>
  </r>
  <r>
    <x v="1"/>
    <x v="1539"/>
    <n v="92687.5"/>
    <n v="1"/>
    <n v="92687.5"/>
  </r>
  <r>
    <x v="1"/>
    <x v="1540"/>
    <n v="92806.25"/>
    <n v="1"/>
    <n v="92806.25"/>
  </r>
  <r>
    <x v="1"/>
    <x v="1541"/>
    <n v="93187.5"/>
    <n v="1"/>
    <n v="93187.5"/>
  </r>
  <r>
    <x v="2"/>
    <x v="0"/>
    <n v="230"/>
    <n v="1"/>
    <n v="230"/>
  </r>
  <r>
    <x v="2"/>
    <x v="1"/>
    <n v="-50"/>
    <n v="1"/>
    <n v="-50"/>
  </r>
  <r>
    <x v="2"/>
    <x v="2"/>
    <n v="2720"/>
    <n v="1"/>
    <n v="2720"/>
  </r>
  <r>
    <x v="2"/>
    <x v="3"/>
    <n v="3700"/>
    <n v="1"/>
    <n v="3700"/>
  </r>
  <r>
    <x v="2"/>
    <x v="4"/>
    <n v="3900"/>
    <n v="1"/>
    <n v="3900"/>
  </r>
  <r>
    <x v="2"/>
    <x v="5"/>
    <n v="3900"/>
    <n v="1"/>
    <n v="3900"/>
  </r>
  <r>
    <x v="2"/>
    <x v="6"/>
    <n v="3700"/>
    <n v="1"/>
    <n v="3700"/>
  </r>
  <r>
    <x v="2"/>
    <x v="7"/>
    <n v="4650"/>
    <n v="1"/>
    <n v="4650"/>
  </r>
  <r>
    <x v="2"/>
    <x v="8"/>
    <n v="5990"/>
    <n v="1"/>
    <n v="5990"/>
  </r>
  <r>
    <x v="2"/>
    <x v="9"/>
    <n v="3140"/>
    <n v="1"/>
    <n v="3140"/>
  </r>
  <r>
    <x v="2"/>
    <x v="10"/>
    <n v="4940"/>
    <n v="1"/>
    <n v="4940"/>
  </r>
  <r>
    <x v="2"/>
    <x v="11"/>
    <n v="4720"/>
    <n v="1"/>
    <n v="4720"/>
  </r>
  <r>
    <x v="2"/>
    <x v="12"/>
    <n v="4560"/>
    <n v="1"/>
    <n v="4560"/>
  </r>
  <r>
    <x v="2"/>
    <x v="13"/>
    <n v="4600"/>
    <n v="1"/>
    <n v="4600"/>
  </r>
  <r>
    <x v="2"/>
    <x v="14"/>
    <n v="5020"/>
    <n v="1"/>
    <n v="5020"/>
  </r>
  <r>
    <x v="2"/>
    <x v="15"/>
    <n v="3990"/>
    <n v="1"/>
    <n v="3990"/>
  </r>
  <r>
    <x v="2"/>
    <x v="16"/>
    <n v="3070"/>
    <n v="1"/>
    <n v="3070"/>
  </r>
  <r>
    <x v="2"/>
    <x v="17"/>
    <n v="2960"/>
    <n v="1"/>
    <n v="2960"/>
  </r>
  <r>
    <x v="2"/>
    <x v="18"/>
    <n v="3090"/>
    <n v="1"/>
    <n v="3090"/>
  </r>
  <r>
    <x v="2"/>
    <x v="19"/>
    <n v="3270"/>
    <n v="1"/>
    <n v="3270"/>
  </r>
  <r>
    <x v="2"/>
    <x v="20"/>
    <n v="3540"/>
    <n v="1"/>
    <n v="3540"/>
  </r>
  <r>
    <x v="2"/>
    <x v="21"/>
    <n v="830"/>
    <n v="1"/>
    <n v="830"/>
  </r>
  <r>
    <x v="2"/>
    <x v="22"/>
    <n v="-10"/>
    <n v="1"/>
    <n v="-10"/>
  </r>
  <r>
    <x v="2"/>
    <x v="23"/>
    <n v="1430"/>
    <n v="1"/>
    <n v="1430"/>
  </r>
  <r>
    <x v="2"/>
    <x v="24"/>
    <n v="2650"/>
    <n v="1"/>
    <n v="2650"/>
  </r>
  <r>
    <x v="2"/>
    <x v="25"/>
    <n v="2650"/>
    <n v="1"/>
    <n v="2650"/>
  </r>
  <r>
    <x v="2"/>
    <x v="26"/>
    <n v="3460"/>
    <n v="1"/>
    <n v="3460"/>
  </r>
  <r>
    <x v="2"/>
    <x v="27"/>
    <n v="1830"/>
    <n v="1"/>
    <n v="1830"/>
  </r>
  <r>
    <x v="2"/>
    <x v="28"/>
    <n v="2740"/>
    <n v="1"/>
    <n v="2740"/>
  </r>
  <r>
    <x v="2"/>
    <x v="29"/>
    <n v="2740"/>
    <n v="1"/>
    <n v="2740"/>
  </r>
  <r>
    <x v="2"/>
    <x v="30"/>
    <n v="4640"/>
    <n v="1"/>
    <n v="4640"/>
  </r>
  <r>
    <x v="2"/>
    <x v="31"/>
    <n v="3140"/>
    <n v="1"/>
    <n v="3140"/>
  </r>
  <r>
    <x v="2"/>
    <x v="32"/>
    <n v="4990"/>
    <n v="1"/>
    <n v="4990"/>
  </r>
  <r>
    <x v="2"/>
    <x v="33"/>
    <n v="2380"/>
    <n v="1"/>
    <n v="2380"/>
  </r>
  <r>
    <x v="2"/>
    <x v="34"/>
    <n v="3050"/>
    <n v="1"/>
    <n v="3050"/>
  </r>
  <r>
    <x v="2"/>
    <x v="35"/>
    <n v="3050"/>
    <n v="1"/>
    <n v="3050"/>
  </r>
  <r>
    <x v="2"/>
    <x v="36"/>
    <n v="4050"/>
    <n v="1"/>
    <n v="4050"/>
  </r>
  <r>
    <x v="2"/>
    <x v="37"/>
    <n v="3750"/>
    <n v="1"/>
    <n v="3750"/>
  </r>
  <r>
    <x v="2"/>
    <x v="38"/>
    <n v="3500"/>
    <n v="1"/>
    <n v="3500"/>
  </r>
  <r>
    <x v="2"/>
    <x v="39"/>
    <n v="3820"/>
    <n v="1"/>
    <n v="3820"/>
  </r>
  <r>
    <x v="2"/>
    <x v="40"/>
    <n v="8580"/>
    <n v="1"/>
    <n v="8580"/>
  </r>
  <r>
    <x v="2"/>
    <x v="41"/>
    <n v="7770"/>
    <n v="1"/>
    <n v="7770"/>
  </r>
  <r>
    <x v="2"/>
    <x v="42"/>
    <n v="6010"/>
    <n v="1"/>
    <n v="6010"/>
  </r>
  <r>
    <x v="2"/>
    <x v="43"/>
    <n v="5780"/>
    <n v="1"/>
    <n v="5780"/>
  </r>
  <r>
    <x v="2"/>
    <x v="44"/>
    <n v="5670"/>
    <n v="1"/>
    <n v="5670"/>
  </r>
  <r>
    <x v="2"/>
    <x v="45"/>
    <n v="7150"/>
    <n v="1"/>
    <n v="7150"/>
  </r>
  <r>
    <x v="2"/>
    <x v="46"/>
    <n v="7020"/>
    <n v="1"/>
    <n v="7020"/>
  </r>
  <r>
    <x v="2"/>
    <x v="47"/>
    <n v="7020"/>
    <n v="1"/>
    <n v="7020"/>
  </r>
  <r>
    <x v="2"/>
    <x v="48"/>
    <n v="7020"/>
    <n v="1"/>
    <n v="7020"/>
  </r>
  <r>
    <x v="2"/>
    <x v="49"/>
    <n v="8200"/>
    <n v="1"/>
    <n v="8200"/>
  </r>
  <r>
    <x v="2"/>
    <x v="50"/>
    <n v="6730"/>
    <n v="1"/>
    <n v="6730"/>
  </r>
  <r>
    <x v="2"/>
    <x v="51"/>
    <n v="7610"/>
    <n v="1"/>
    <n v="7610"/>
  </r>
  <r>
    <x v="2"/>
    <x v="52"/>
    <n v="7460"/>
    <n v="1"/>
    <n v="7460"/>
  </r>
  <r>
    <x v="2"/>
    <x v="53"/>
    <n v="7190"/>
    <n v="1"/>
    <n v="7190"/>
  </r>
  <r>
    <x v="2"/>
    <x v="54"/>
    <n v="5010"/>
    <n v="1"/>
    <n v="5010"/>
  </r>
  <r>
    <x v="2"/>
    <x v="55"/>
    <n v="5570"/>
    <n v="1"/>
    <n v="5570"/>
  </r>
  <r>
    <x v="2"/>
    <x v="56"/>
    <n v="5160"/>
    <n v="1"/>
    <n v="5160"/>
  </r>
  <r>
    <x v="2"/>
    <x v="57"/>
    <n v="3410"/>
    <n v="1"/>
    <n v="3410"/>
  </r>
  <r>
    <x v="2"/>
    <x v="58"/>
    <n v="4080"/>
    <n v="1"/>
    <n v="4080"/>
  </r>
  <r>
    <x v="2"/>
    <x v="59"/>
    <n v="3970"/>
    <n v="1"/>
    <n v="3970"/>
  </r>
  <r>
    <x v="2"/>
    <x v="60"/>
    <n v="4110"/>
    <n v="1"/>
    <n v="4110"/>
  </r>
  <r>
    <x v="2"/>
    <x v="61"/>
    <n v="4320"/>
    <n v="1"/>
    <n v="4320"/>
  </r>
  <r>
    <x v="2"/>
    <x v="62"/>
    <n v="2870"/>
    <n v="1"/>
    <n v="2870"/>
  </r>
  <r>
    <x v="2"/>
    <x v="63"/>
    <n v="3570"/>
    <n v="1"/>
    <n v="3570"/>
  </r>
  <r>
    <x v="2"/>
    <x v="64"/>
    <n v="2320"/>
    <n v="1"/>
    <n v="2320"/>
  </r>
  <r>
    <x v="2"/>
    <x v="65"/>
    <n v="1990"/>
    <n v="1"/>
    <n v="1990"/>
  </r>
  <r>
    <x v="2"/>
    <x v="66"/>
    <n v="1860"/>
    <n v="1"/>
    <n v="1860"/>
  </r>
  <r>
    <x v="2"/>
    <x v="67"/>
    <n v="1830"/>
    <n v="1"/>
    <n v="1830"/>
  </r>
  <r>
    <x v="2"/>
    <x v="68"/>
    <n v="3290"/>
    <n v="1"/>
    <n v="3290"/>
  </r>
  <r>
    <x v="2"/>
    <x v="69"/>
    <n v="3210"/>
    <n v="1"/>
    <n v="3210"/>
  </r>
  <r>
    <x v="2"/>
    <x v="70"/>
    <n v="3030"/>
    <n v="1"/>
    <n v="3030"/>
  </r>
  <r>
    <x v="2"/>
    <x v="71"/>
    <n v="3660"/>
    <n v="1"/>
    <n v="3660"/>
  </r>
  <r>
    <x v="2"/>
    <x v="72"/>
    <n v="6560"/>
    <n v="1"/>
    <n v="6560"/>
  </r>
  <r>
    <x v="2"/>
    <x v="73"/>
    <n v="6780"/>
    <n v="1"/>
    <n v="6780"/>
  </r>
  <r>
    <x v="2"/>
    <x v="74"/>
    <n v="8920"/>
    <n v="1"/>
    <n v="8920"/>
  </r>
  <r>
    <x v="2"/>
    <x v="75"/>
    <n v="9170"/>
    <n v="1"/>
    <n v="9170"/>
  </r>
  <r>
    <x v="2"/>
    <x v="76"/>
    <n v="8840"/>
    <n v="1"/>
    <n v="8840"/>
  </r>
  <r>
    <x v="2"/>
    <x v="77"/>
    <n v="8780"/>
    <n v="1"/>
    <n v="8780"/>
  </r>
  <r>
    <x v="2"/>
    <x v="78"/>
    <n v="9290"/>
    <n v="1"/>
    <n v="9290"/>
  </r>
  <r>
    <x v="2"/>
    <x v="79"/>
    <n v="10070"/>
    <n v="1"/>
    <n v="10070"/>
  </r>
  <r>
    <x v="2"/>
    <x v="80"/>
    <n v="9590"/>
    <n v="1"/>
    <n v="9590"/>
  </r>
  <r>
    <x v="2"/>
    <x v="81"/>
    <n v="9900"/>
    <n v="1"/>
    <n v="9900"/>
  </r>
  <r>
    <x v="2"/>
    <x v="82"/>
    <n v="9140"/>
    <n v="1"/>
    <n v="9140"/>
  </r>
  <r>
    <x v="2"/>
    <x v="83"/>
    <n v="8930"/>
    <n v="1"/>
    <n v="8930"/>
  </r>
  <r>
    <x v="2"/>
    <x v="84"/>
    <n v="8920"/>
    <n v="1"/>
    <n v="8920"/>
  </r>
  <r>
    <x v="2"/>
    <x v="85"/>
    <n v="7630"/>
    <n v="1"/>
    <n v="7630"/>
  </r>
  <r>
    <x v="2"/>
    <x v="86"/>
    <n v="7000"/>
    <n v="1"/>
    <n v="7000"/>
  </r>
  <r>
    <x v="2"/>
    <x v="87"/>
    <n v="6410"/>
    <n v="1"/>
    <n v="6410"/>
  </r>
  <r>
    <x v="2"/>
    <x v="88"/>
    <n v="5500"/>
    <n v="1"/>
    <n v="5500"/>
  </r>
  <r>
    <x v="2"/>
    <x v="89"/>
    <n v="5610"/>
    <n v="1"/>
    <n v="5610"/>
  </r>
  <r>
    <x v="2"/>
    <x v="90"/>
    <n v="5490"/>
    <n v="1"/>
    <n v="5490"/>
  </r>
  <r>
    <x v="2"/>
    <x v="91"/>
    <n v="5510"/>
    <n v="1"/>
    <n v="5510"/>
  </r>
  <r>
    <x v="2"/>
    <x v="92"/>
    <n v="5910"/>
    <n v="1"/>
    <n v="5910"/>
  </r>
  <r>
    <x v="2"/>
    <x v="93"/>
    <n v="6810"/>
    <n v="1"/>
    <n v="6810"/>
  </r>
  <r>
    <x v="2"/>
    <x v="94"/>
    <n v="8010"/>
    <n v="1"/>
    <n v="8010"/>
  </r>
  <r>
    <x v="2"/>
    <x v="95"/>
    <n v="8010"/>
    <n v="1"/>
    <n v="8010"/>
  </r>
  <r>
    <x v="2"/>
    <x v="96"/>
    <n v="9140"/>
    <n v="1"/>
    <n v="9140"/>
  </r>
  <r>
    <x v="2"/>
    <x v="97"/>
    <n v="9400"/>
    <n v="1"/>
    <n v="9400"/>
  </r>
  <r>
    <x v="2"/>
    <x v="98"/>
    <n v="10220"/>
    <n v="1"/>
    <n v="10220"/>
  </r>
  <r>
    <x v="2"/>
    <x v="99"/>
    <n v="11470"/>
    <n v="1"/>
    <n v="11470"/>
  </r>
  <r>
    <x v="2"/>
    <x v="100"/>
    <n v="10960"/>
    <n v="1"/>
    <n v="10960"/>
  </r>
  <r>
    <x v="2"/>
    <x v="101"/>
    <n v="11060"/>
    <n v="1"/>
    <n v="11060"/>
  </r>
  <r>
    <x v="2"/>
    <x v="102"/>
    <n v="9970"/>
    <n v="1"/>
    <n v="9970"/>
  </r>
  <r>
    <x v="2"/>
    <x v="103"/>
    <n v="11380"/>
    <n v="1"/>
    <n v="11380"/>
  </r>
  <r>
    <x v="2"/>
    <x v="104"/>
    <n v="10900"/>
    <n v="1"/>
    <n v="10900"/>
  </r>
  <r>
    <x v="2"/>
    <x v="105"/>
    <n v="11830"/>
    <n v="1"/>
    <n v="11830"/>
  </r>
  <r>
    <x v="2"/>
    <x v="106"/>
    <n v="12640"/>
    <n v="1"/>
    <n v="12640"/>
  </r>
  <r>
    <x v="2"/>
    <x v="107"/>
    <n v="12490"/>
    <n v="1"/>
    <n v="12490"/>
  </r>
  <r>
    <x v="2"/>
    <x v="108"/>
    <n v="12300"/>
    <n v="1"/>
    <n v="12300"/>
  </r>
  <r>
    <x v="2"/>
    <x v="109"/>
    <n v="12690"/>
    <n v="1"/>
    <n v="12690"/>
  </r>
  <r>
    <x v="2"/>
    <x v="110"/>
    <n v="12840"/>
    <n v="1"/>
    <n v="12840"/>
  </r>
  <r>
    <x v="2"/>
    <x v="111"/>
    <n v="13200"/>
    <n v="1"/>
    <n v="13200"/>
  </r>
  <r>
    <x v="2"/>
    <x v="112"/>
    <n v="12920"/>
    <n v="1"/>
    <n v="12920"/>
  </r>
  <r>
    <x v="2"/>
    <x v="113"/>
    <n v="12640"/>
    <n v="1"/>
    <n v="12640"/>
  </r>
  <r>
    <x v="2"/>
    <x v="114"/>
    <n v="10680"/>
    <n v="1"/>
    <n v="10680"/>
  </r>
  <r>
    <x v="2"/>
    <x v="115"/>
    <n v="10340"/>
    <n v="1"/>
    <n v="10340"/>
  </r>
  <r>
    <x v="2"/>
    <x v="116"/>
    <n v="10580"/>
    <n v="1"/>
    <n v="10580"/>
  </r>
  <r>
    <x v="2"/>
    <x v="117"/>
    <n v="10910"/>
    <n v="1"/>
    <n v="10910"/>
  </r>
  <r>
    <x v="2"/>
    <x v="118"/>
    <n v="10060"/>
    <n v="1"/>
    <n v="10060"/>
  </r>
  <r>
    <x v="2"/>
    <x v="119"/>
    <n v="10180"/>
    <n v="1"/>
    <n v="10180"/>
  </r>
  <r>
    <x v="2"/>
    <x v="120"/>
    <n v="10020"/>
    <n v="1"/>
    <n v="10020"/>
  </r>
  <r>
    <x v="2"/>
    <x v="121"/>
    <n v="8770"/>
    <n v="1"/>
    <n v="8770"/>
  </r>
  <r>
    <x v="2"/>
    <x v="122"/>
    <n v="9300"/>
    <n v="1"/>
    <n v="9300"/>
  </r>
  <r>
    <x v="2"/>
    <x v="123"/>
    <n v="9020"/>
    <n v="1"/>
    <n v="9020"/>
  </r>
  <r>
    <x v="2"/>
    <x v="124"/>
    <n v="8440"/>
    <n v="1"/>
    <n v="8440"/>
  </r>
  <r>
    <x v="2"/>
    <x v="125"/>
    <n v="8440"/>
    <n v="1"/>
    <n v="8440"/>
  </r>
  <r>
    <x v="2"/>
    <x v="126"/>
    <n v="8450"/>
    <n v="1"/>
    <n v="8450"/>
  </r>
  <r>
    <x v="2"/>
    <x v="127"/>
    <n v="10210"/>
    <n v="1"/>
    <n v="10210"/>
  </r>
  <r>
    <x v="2"/>
    <x v="128"/>
    <n v="10540"/>
    <n v="1"/>
    <n v="10540"/>
  </r>
  <r>
    <x v="2"/>
    <x v="129"/>
    <n v="10080"/>
    <n v="1"/>
    <n v="10080"/>
  </r>
  <r>
    <x v="2"/>
    <x v="130"/>
    <n v="10710"/>
    <n v="1"/>
    <n v="10710"/>
  </r>
  <r>
    <x v="2"/>
    <x v="131"/>
    <n v="10680"/>
    <n v="1"/>
    <n v="10680"/>
  </r>
  <r>
    <x v="2"/>
    <x v="132"/>
    <n v="10260"/>
    <n v="1"/>
    <n v="10260"/>
  </r>
  <r>
    <x v="2"/>
    <x v="133"/>
    <n v="10490"/>
    <n v="1"/>
    <n v="10490"/>
  </r>
  <r>
    <x v="2"/>
    <x v="134"/>
    <n v="11580"/>
    <n v="1"/>
    <n v="11580"/>
  </r>
  <r>
    <x v="2"/>
    <x v="135"/>
    <n v="10990"/>
    <n v="1"/>
    <n v="10990"/>
  </r>
  <r>
    <x v="2"/>
    <x v="136"/>
    <n v="11080"/>
    <n v="1"/>
    <n v="11080"/>
  </r>
  <r>
    <x v="2"/>
    <x v="137"/>
    <n v="11180"/>
    <n v="1"/>
    <n v="11180"/>
  </r>
  <r>
    <x v="2"/>
    <x v="138"/>
    <n v="11250"/>
    <n v="1"/>
    <n v="11250"/>
  </r>
  <r>
    <x v="2"/>
    <x v="139"/>
    <n v="10950"/>
    <n v="1"/>
    <n v="10950"/>
  </r>
  <r>
    <x v="2"/>
    <x v="140"/>
    <n v="10440"/>
    <n v="1"/>
    <n v="10440"/>
  </r>
  <r>
    <x v="2"/>
    <x v="141"/>
    <n v="10320"/>
    <n v="1"/>
    <n v="10320"/>
  </r>
  <r>
    <x v="2"/>
    <x v="142"/>
    <n v="10100"/>
    <n v="1"/>
    <n v="10100"/>
  </r>
  <r>
    <x v="2"/>
    <x v="143"/>
    <n v="10340"/>
    <n v="1"/>
    <n v="10340"/>
  </r>
  <r>
    <x v="2"/>
    <x v="144"/>
    <n v="10540"/>
    <n v="1"/>
    <n v="10540"/>
  </r>
  <r>
    <x v="2"/>
    <x v="145"/>
    <n v="11360"/>
    <n v="1"/>
    <n v="11360"/>
  </r>
  <r>
    <x v="2"/>
    <x v="146"/>
    <n v="11710"/>
    <n v="1"/>
    <n v="11710"/>
  </r>
  <r>
    <x v="2"/>
    <x v="147"/>
    <n v="12200"/>
    <n v="1"/>
    <n v="12200"/>
  </r>
  <r>
    <x v="2"/>
    <x v="148"/>
    <n v="12200"/>
    <n v="1"/>
    <n v="12200"/>
  </r>
  <r>
    <x v="2"/>
    <x v="149"/>
    <n v="12200"/>
    <n v="1"/>
    <n v="12200"/>
  </r>
  <r>
    <x v="2"/>
    <x v="150"/>
    <n v="11100"/>
    <n v="1"/>
    <n v="11100"/>
  </r>
  <r>
    <x v="2"/>
    <x v="151"/>
    <n v="11480"/>
    <n v="1"/>
    <n v="11480"/>
  </r>
  <r>
    <x v="2"/>
    <x v="152"/>
    <n v="11390"/>
    <n v="1"/>
    <n v="11390"/>
  </r>
  <r>
    <x v="2"/>
    <x v="153"/>
    <n v="12920"/>
    <n v="1"/>
    <n v="12920"/>
  </r>
  <r>
    <x v="2"/>
    <x v="154"/>
    <n v="15940"/>
    <n v="1"/>
    <n v="15940"/>
  </r>
  <r>
    <x v="2"/>
    <x v="155"/>
    <n v="16620"/>
    <n v="1"/>
    <n v="16620"/>
  </r>
  <r>
    <x v="2"/>
    <x v="156"/>
    <n v="16270"/>
    <n v="1"/>
    <n v="16270"/>
  </r>
  <r>
    <x v="2"/>
    <x v="157"/>
    <n v="16270"/>
    <n v="1"/>
    <n v="16270"/>
  </r>
  <r>
    <x v="2"/>
    <x v="158"/>
    <n v="18460"/>
    <n v="1"/>
    <n v="18460"/>
  </r>
  <r>
    <x v="2"/>
    <x v="159"/>
    <n v="19550"/>
    <n v="1"/>
    <n v="19550"/>
  </r>
  <r>
    <x v="2"/>
    <x v="160"/>
    <n v="20210"/>
    <n v="1"/>
    <n v="20210"/>
  </r>
  <r>
    <x v="2"/>
    <x v="161"/>
    <n v="19850"/>
    <n v="1"/>
    <n v="19850"/>
  </r>
  <r>
    <x v="2"/>
    <x v="162"/>
    <n v="20370"/>
    <n v="1"/>
    <n v="20370"/>
  </r>
  <r>
    <x v="2"/>
    <x v="163"/>
    <n v="20350"/>
    <n v="1"/>
    <n v="20350"/>
  </r>
  <r>
    <x v="2"/>
    <x v="164"/>
    <n v="19900"/>
    <n v="1"/>
    <n v="19900"/>
  </r>
  <r>
    <x v="2"/>
    <x v="165"/>
    <n v="19700"/>
    <n v="1"/>
    <n v="19700"/>
  </r>
  <r>
    <x v="2"/>
    <x v="166"/>
    <n v="19700"/>
    <n v="1"/>
    <n v="19700"/>
  </r>
  <r>
    <x v="2"/>
    <x v="167"/>
    <n v="19950"/>
    <n v="1"/>
    <n v="19950"/>
  </r>
  <r>
    <x v="2"/>
    <x v="168"/>
    <n v="19940"/>
    <n v="1"/>
    <n v="19940"/>
  </r>
  <r>
    <x v="2"/>
    <x v="169"/>
    <n v="19900"/>
    <n v="1"/>
    <n v="19900"/>
  </r>
  <r>
    <x v="2"/>
    <x v="170"/>
    <n v="19730"/>
    <n v="1"/>
    <n v="19730"/>
  </r>
  <r>
    <x v="2"/>
    <x v="171"/>
    <n v="18590"/>
    <n v="1"/>
    <n v="18590"/>
  </r>
  <r>
    <x v="2"/>
    <x v="172"/>
    <n v="19390"/>
    <n v="1"/>
    <n v="19390"/>
  </r>
  <r>
    <x v="2"/>
    <x v="173"/>
    <n v="19020"/>
    <n v="1"/>
    <n v="19020"/>
  </r>
  <r>
    <x v="2"/>
    <x v="174"/>
    <n v="19090"/>
    <n v="1"/>
    <n v="19090"/>
  </r>
  <r>
    <x v="2"/>
    <x v="175"/>
    <n v="19790"/>
    <n v="1"/>
    <n v="19790"/>
  </r>
  <r>
    <x v="2"/>
    <x v="176"/>
    <n v="20260"/>
    <n v="1"/>
    <n v="20260"/>
  </r>
  <r>
    <x v="2"/>
    <x v="177"/>
    <n v="20940"/>
    <n v="1"/>
    <n v="20940"/>
  </r>
  <r>
    <x v="2"/>
    <x v="178"/>
    <n v="21400"/>
    <n v="1"/>
    <n v="21400"/>
  </r>
  <r>
    <x v="2"/>
    <x v="179"/>
    <n v="20550"/>
    <n v="1"/>
    <n v="20550"/>
  </r>
  <r>
    <x v="2"/>
    <x v="180"/>
    <n v="20540"/>
    <n v="1"/>
    <n v="20540"/>
  </r>
  <r>
    <x v="2"/>
    <x v="181"/>
    <n v="21580"/>
    <n v="1"/>
    <n v="21580"/>
  </r>
  <r>
    <x v="2"/>
    <x v="182"/>
    <n v="22010"/>
    <n v="1"/>
    <n v="22010"/>
  </r>
  <r>
    <x v="2"/>
    <x v="183"/>
    <n v="21750"/>
    <n v="1"/>
    <n v="21750"/>
  </r>
  <r>
    <x v="2"/>
    <x v="184"/>
    <n v="21590"/>
    <n v="1"/>
    <n v="21590"/>
  </r>
  <r>
    <x v="2"/>
    <x v="185"/>
    <n v="21330"/>
    <n v="1"/>
    <n v="21330"/>
  </r>
  <r>
    <x v="2"/>
    <x v="186"/>
    <n v="21280"/>
    <n v="1"/>
    <n v="21280"/>
  </r>
  <r>
    <x v="2"/>
    <x v="187"/>
    <n v="20980"/>
    <n v="1"/>
    <n v="20980"/>
  </r>
  <r>
    <x v="2"/>
    <x v="188"/>
    <n v="20910"/>
    <n v="1"/>
    <n v="20910"/>
  </r>
  <r>
    <x v="2"/>
    <x v="189"/>
    <n v="20780"/>
    <n v="1"/>
    <n v="20780"/>
  </r>
  <r>
    <x v="2"/>
    <x v="190"/>
    <n v="21560"/>
    <n v="1"/>
    <n v="21560"/>
  </r>
  <r>
    <x v="2"/>
    <x v="191"/>
    <n v="21560"/>
    <n v="1"/>
    <n v="21560"/>
  </r>
  <r>
    <x v="2"/>
    <x v="192"/>
    <n v="21410"/>
    <n v="1"/>
    <n v="21410"/>
  </r>
  <r>
    <x v="2"/>
    <x v="193"/>
    <n v="22680"/>
    <n v="1"/>
    <n v="22680"/>
  </r>
  <r>
    <x v="2"/>
    <x v="194"/>
    <n v="23430"/>
    <n v="1"/>
    <n v="23430"/>
  </r>
  <r>
    <x v="2"/>
    <x v="195"/>
    <n v="25090"/>
    <n v="1"/>
    <n v="25090"/>
  </r>
  <r>
    <x v="2"/>
    <x v="196"/>
    <n v="26880"/>
    <n v="1"/>
    <n v="26880"/>
  </r>
  <r>
    <x v="2"/>
    <x v="197"/>
    <n v="26880"/>
    <n v="1"/>
    <n v="26880"/>
  </r>
  <r>
    <x v="2"/>
    <x v="198"/>
    <n v="23790"/>
    <n v="1"/>
    <n v="23790"/>
  </r>
  <r>
    <x v="2"/>
    <x v="199"/>
    <n v="23530"/>
    <n v="1"/>
    <n v="23530"/>
  </r>
  <r>
    <x v="2"/>
    <x v="200"/>
    <n v="20500"/>
    <n v="1"/>
    <n v="20500"/>
  </r>
  <r>
    <x v="2"/>
    <x v="201"/>
    <n v="19080"/>
    <n v="1"/>
    <n v="19080"/>
  </r>
  <r>
    <x v="2"/>
    <x v="202"/>
    <n v="20930"/>
    <n v="1"/>
    <n v="20930"/>
  </r>
  <r>
    <x v="2"/>
    <x v="203"/>
    <n v="19400"/>
    <n v="1"/>
    <n v="19400"/>
  </r>
  <r>
    <x v="2"/>
    <x v="204"/>
    <n v="16610"/>
    <n v="1"/>
    <n v="16610"/>
  </r>
  <r>
    <x v="2"/>
    <x v="205"/>
    <n v="20680"/>
    <n v="1"/>
    <n v="20680"/>
  </r>
  <r>
    <x v="2"/>
    <x v="206"/>
    <n v="20320"/>
    <n v="1"/>
    <n v="20320"/>
  </r>
  <r>
    <x v="2"/>
    <x v="207"/>
    <n v="22200"/>
    <n v="1"/>
    <n v="22200"/>
  </r>
  <r>
    <x v="2"/>
    <x v="208"/>
    <n v="23920"/>
    <n v="1"/>
    <n v="23920"/>
  </r>
  <r>
    <x v="2"/>
    <x v="209"/>
    <n v="22220"/>
    <n v="1"/>
    <n v="22220"/>
  </r>
  <r>
    <x v="2"/>
    <x v="210"/>
    <n v="20570"/>
    <n v="1"/>
    <n v="20570"/>
  </r>
  <r>
    <x v="2"/>
    <x v="211"/>
    <n v="20570"/>
    <n v="1"/>
    <n v="20570"/>
  </r>
  <r>
    <x v="2"/>
    <x v="212"/>
    <n v="17560"/>
    <n v="1"/>
    <n v="17560"/>
  </r>
  <r>
    <x v="2"/>
    <x v="213"/>
    <n v="24010"/>
    <n v="1"/>
    <n v="24010"/>
  </r>
  <r>
    <x v="2"/>
    <x v="214"/>
    <n v="15720"/>
    <n v="1"/>
    <n v="15720"/>
  </r>
  <r>
    <x v="2"/>
    <x v="215"/>
    <n v="15930"/>
    <n v="1"/>
    <n v="15930"/>
  </r>
  <r>
    <x v="2"/>
    <x v="216"/>
    <n v="16890"/>
    <n v="1"/>
    <n v="16890"/>
  </r>
  <r>
    <x v="2"/>
    <x v="217"/>
    <n v="13700"/>
    <n v="1"/>
    <n v="13700"/>
  </r>
  <r>
    <x v="2"/>
    <x v="218"/>
    <n v="15200"/>
    <n v="1"/>
    <n v="15200"/>
  </r>
  <r>
    <x v="2"/>
    <x v="219"/>
    <n v="15200"/>
    <n v="1"/>
    <n v="15200"/>
  </r>
  <r>
    <x v="2"/>
    <x v="220"/>
    <n v="12830"/>
    <n v="1"/>
    <n v="12830"/>
  </r>
  <r>
    <x v="2"/>
    <x v="221"/>
    <n v="13380"/>
    <n v="1"/>
    <n v="13380"/>
  </r>
  <r>
    <x v="2"/>
    <x v="222"/>
    <n v="22310"/>
    <n v="1"/>
    <n v="22310"/>
  </r>
  <r>
    <x v="2"/>
    <x v="223"/>
    <n v="29650"/>
    <n v="1"/>
    <n v="29650"/>
  </r>
  <r>
    <x v="2"/>
    <x v="224"/>
    <n v="31450"/>
    <n v="1"/>
    <n v="31450"/>
  </r>
  <r>
    <x v="2"/>
    <x v="225"/>
    <n v="32490"/>
    <n v="1"/>
    <n v="32490"/>
  </r>
  <r>
    <x v="2"/>
    <x v="226"/>
    <n v="28540"/>
    <n v="1"/>
    <n v="28540"/>
  </r>
  <r>
    <x v="2"/>
    <x v="227"/>
    <n v="29970"/>
    <n v="1"/>
    <n v="29970"/>
  </r>
  <r>
    <x v="2"/>
    <x v="228"/>
    <n v="29570"/>
    <n v="1"/>
    <n v="29570"/>
  </r>
  <r>
    <x v="2"/>
    <x v="229"/>
    <n v="33180"/>
    <n v="1"/>
    <n v="33180"/>
  </r>
  <r>
    <x v="2"/>
    <x v="230"/>
    <n v="31960"/>
    <n v="1"/>
    <n v="31960"/>
  </r>
  <r>
    <x v="2"/>
    <x v="231"/>
    <n v="34090"/>
    <n v="1"/>
    <n v="34090"/>
  </r>
  <r>
    <x v="2"/>
    <x v="232"/>
    <n v="32850"/>
    <n v="1"/>
    <n v="32850"/>
  </r>
  <r>
    <x v="2"/>
    <x v="233"/>
    <n v="32510"/>
    <n v="1"/>
    <n v="32510"/>
  </r>
  <r>
    <x v="2"/>
    <x v="234"/>
    <n v="36050"/>
    <n v="1"/>
    <n v="36050"/>
  </r>
  <r>
    <x v="2"/>
    <x v="235"/>
    <n v="36830"/>
    <n v="1"/>
    <n v="36830"/>
  </r>
  <r>
    <x v="2"/>
    <x v="236"/>
    <n v="35700"/>
    <n v="1"/>
    <n v="35700"/>
  </r>
  <r>
    <x v="2"/>
    <x v="237"/>
    <n v="37170"/>
    <n v="1"/>
    <n v="37170"/>
  </r>
  <r>
    <x v="2"/>
    <x v="238"/>
    <n v="36610"/>
    <n v="1"/>
    <n v="36610"/>
  </r>
  <r>
    <x v="2"/>
    <x v="239"/>
    <n v="40980"/>
    <n v="1"/>
    <n v="40980"/>
  </r>
  <r>
    <x v="2"/>
    <x v="240"/>
    <n v="39910"/>
    <n v="1"/>
    <n v="39910"/>
  </r>
  <r>
    <x v="2"/>
    <x v="241"/>
    <n v="40480"/>
    <n v="1"/>
    <n v="40480"/>
  </r>
  <r>
    <x v="2"/>
    <x v="242"/>
    <n v="36380"/>
    <n v="1"/>
    <n v="36380"/>
  </r>
  <r>
    <x v="2"/>
    <x v="243"/>
    <n v="36080"/>
    <n v="1"/>
    <n v="36080"/>
  </r>
  <r>
    <x v="2"/>
    <x v="244"/>
    <n v="35220"/>
    <n v="1"/>
    <n v="35220"/>
  </r>
  <r>
    <x v="2"/>
    <x v="245"/>
    <n v="35490"/>
    <n v="1"/>
    <n v="35490"/>
  </r>
  <r>
    <x v="2"/>
    <x v="246"/>
    <n v="35160"/>
    <n v="1"/>
    <n v="35160"/>
  </r>
  <r>
    <x v="2"/>
    <x v="247"/>
    <n v="33700"/>
    <n v="1"/>
    <n v="33700"/>
  </r>
  <r>
    <x v="2"/>
    <x v="248"/>
    <n v="34880"/>
    <n v="1"/>
    <n v="34880"/>
  </r>
  <r>
    <x v="2"/>
    <x v="249"/>
    <n v="35540"/>
    <n v="1"/>
    <n v="35540"/>
  </r>
  <r>
    <x v="2"/>
    <x v="250"/>
    <n v="35540"/>
    <n v="1"/>
    <n v="35540"/>
  </r>
  <r>
    <x v="2"/>
    <x v="251"/>
    <n v="37120"/>
    <n v="1"/>
    <n v="37120"/>
  </r>
  <r>
    <x v="2"/>
    <x v="252"/>
    <n v="37290"/>
    <n v="1"/>
    <n v="37290"/>
  </r>
  <r>
    <x v="2"/>
    <x v="253"/>
    <n v="34780"/>
    <n v="1"/>
    <n v="34780"/>
  </r>
  <r>
    <x v="2"/>
    <x v="254"/>
    <n v="37800"/>
    <n v="1"/>
    <n v="37800"/>
  </r>
  <r>
    <x v="2"/>
    <x v="255"/>
    <n v="37630"/>
    <n v="1"/>
    <n v="37630"/>
  </r>
  <r>
    <x v="2"/>
    <x v="256"/>
    <n v="37630"/>
    <n v="1"/>
    <n v="37630"/>
  </r>
  <r>
    <x v="2"/>
    <x v="257"/>
    <n v="36220"/>
    <n v="1"/>
    <n v="36220"/>
  </r>
  <r>
    <x v="2"/>
    <x v="258"/>
    <n v="36000"/>
    <n v="1"/>
    <n v="36000"/>
  </r>
  <r>
    <x v="2"/>
    <x v="259"/>
    <n v="37290"/>
    <n v="1"/>
    <n v="37290"/>
  </r>
  <r>
    <x v="2"/>
    <x v="260"/>
    <n v="40050"/>
    <n v="1"/>
    <n v="40050"/>
  </r>
  <r>
    <x v="2"/>
    <x v="261"/>
    <n v="41920"/>
    <n v="1"/>
    <n v="41920"/>
  </r>
  <r>
    <x v="2"/>
    <x v="262"/>
    <n v="41820"/>
    <n v="1"/>
    <n v="41820"/>
  </r>
  <r>
    <x v="2"/>
    <x v="263"/>
    <n v="42090"/>
    <n v="1"/>
    <n v="42090"/>
  </r>
  <r>
    <x v="2"/>
    <x v="264"/>
    <n v="41850"/>
    <n v="1"/>
    <n v="41850"/>
  </r>
  <r>
    <x v="2"/>
    <x v="265"/>
    <n v="42150"/>
    <n v="1"/>
    <n v="42150"/>
  </r>
  <r>
    <x v="2"/>
    <x v="266"/>
    <n v="39590"/>
    <n v="1"/>
    <n v="39590"/>
  </r>
  <r>
    <x v="2"/>
    <x v="267"/>
    <n v="39820"/>
    <n v="1"/>
    <n v="39820"/>
  </r>
  <r>
    <x v="2"/>
    <x v="268"/>
    <n v="41180"/>
    <n v="1"/>
    <n v="41180"/>
  </r>
  <r>
    <x v="2"/>
    <x v="269"/>
    <n v="43410"/>
    <n v="1"/>
    <n v="43410"/>
  </r>
  <r>
    <x v="2"/>
    <x v="270"/>
    <n v="43150"/>
    <n v="1"/>
    <n v="43150"/>
  </r>
  <r>
    <x v="2"/>
    <x v="271"/>
    <n v="42500"/>
    <n v="1"/>
    <n v="42500"/>
  </r>
  <r>
    <x v="2"/>
    <x v="272"/>
    <n v="43240"/>
    <n v="1"/>
    <n v="43240"/>
  </r>
  <r>
    <x v="2"/>
    <x v="273"/>
    <n v="42440"/>
    <n v="1"/>
    <n v="42440"/>
  </r>
  <r>
    <x v="2"/>
    <x v="274"/>
    <n v="42080"/>
    <n v="1"/>
    <n v="42080"/>
  </r>
  <r>
    <x v="2"/>
    <x v="275"/>
    <n v="42900"/>
    <n v="1"/>
    <n v="42900"/>
  </r>
  <r>
    <x v="2"/>
    <x v="276"/>
    <n v="44740"/>
    <n v="1"/>
    <n v="44740"/>
  </r>
  <r>
    <x v="2"/>
    <x v="277"/>
    <n v="43680"/>
    <n v="1"/>
    <n v="43680"/>
  </r>
  <r>
    <x v="2"/>
    <x v="278"/>
    <n v="42420"/>
    <n v="1"/>
    <n v="42420"/>
  </r>
  <r>
    <x v="2"/>
    <x v="279"/>
    <n v="44590"/>
    <n v="1"/>
    <n v="44590"/>
  </r>
  <r>
    <x v="2"/>
    <x v="280"/>
    <n v="44380"/>
    <n v="1"/>
    <n v="44380"/>
  </r>
  <r>
    <x v="2"/>
    <x v="281"/>
    <n v="43910"/>
    <n v="1"/>
    <n v="43910"/>
  </r>
  <r>
    <x v="2"/>
    <x v="282"/>
    <n v="44050"/>
    <n v="1"/>
    <n v="44050"/>
  </r>
  <r>
    <x v="2"/>
    <x v="283"/>
    <n v="46000"/>
    <n v="1"/>
    <n v="46000"/>
  </r>
  <r>
    <x v="2"/>
    <x v="284"/>
    <n v="46280"/>
    <n v="1"/>
    <n v="46280"/>
  </r>
  <r>
    <x v="2"/>
    <x v="285"/>
    <n v="48610"/>
    <n v="1"/>
    <n v="48610"/>
  </r>
  <r>
    <x v="2"/>
    <x v="286"/>
    <n v="47720"/>
    <n v="1"/>
    <n v="47720"/>
  </r>
  <r>
    <x v="2"/>
    <x v="287"/>
    <n v="46870"/>
    <n v="1"/>
    <n v="46870"/>
  </r>
  <r>
    <x v="2"/>
    <x v="288"/>
    <n v="49020"/>
    <n v="1"/>
    <n v="49020"/>
  </r>
  <r>
    <x v="2"/>
    <x v="289"/>
    <n v="50870"/>
    <n v="1"/>
    <n v="50870"/>
  </r>
  <r>
    <x v="2"/>
    <x v="290"/>
    <n v="50910"/>
    <n v="1"/>
    <n v="50910"/>
  </r>
  <r>
    <x v="2"/>
    <x v="291"/>
    <n v="49840"/>
    <n v="1"/>
    <n v="49840"/>
  </r>
  <r>
    <x v="2"/>
    <x v="292"/>
    <n v="49520"/>
    <n v="1"/>
    <n v="49520"/>
  </r>
  <r>
    <x v="2"/>
    <x v="293"/>
    <n v="46340"/>
    <n v="1"/>
    <n v="46340"/>
  </r>
  <r>
    <x v="2"/>
    <x v="294"/>
    <n v="45700"/>
    <n v="1"/>
    <n v="45700"/>
  </r>
  <r>
    <x v="2"/>
    <x v="295"/>
    <n v="45810"/>
    <n v="1"/>
    <n v="45810"/>
  </r>
  <r>
    <x v="2"/>
    <x v="296"/>
    <n v="45030"/>
    <n v="1"/>
    <n v="45030"/>
  </r>
  <r>
    <x v="2"/>
    <x v="297"/>
    <n v="46430"/>
    <n v="1"/>
    <n v="46430"/>
  </r>
  <r>
    <x v="2"/>
    <x v="298"/>
    <n v="47220"/>
    <n v="1"/>
    <n v="47220"/>
  </r>
  <r>
    <x v="2"/>
    <x v="299"/>
    <n v="47480"/>
    <n v="1"/>
    <n v="47480"/>
  </r>
  <r>
    <x v="2"/>
    <x v="300"/>
    <n v="48960"/>
    <n v="1"/>
    <n v="48960"/>
  </r>
  <r>
    <x v="2"/>
    <x v="301"/>
    <n v="49600"/>
    <n v="1"/>
    <n v="49600"/>
  </r>
  <r>
    <x v="2"/>
    <x v="302"/>
    <n v="50000"/>
    <n v="1"/>
    <n v="50000"/>
  </r>
  <r>
    <x v="2"/>
    <x v="303"/>
    <n v="51080"/>
    <n v="1"/>
    <n v="51080"/>
  </r>
  <r>
    <x v="2"/>
    <x v="304"/>
    <n v="50850"/>
    <n v="1"/>
    <n v="50850"/>
  </r>
  <r>
    <x v="2"/>
    <x v="305"/>
    <n v="50130"/>
    <n v="1"/>
    <n v="50130"/>
  </r>
  <r>
    <x v="2"/>
    <x v="306"/>
    <n v="48070"/>
    <n v="1"/>
    <n v="48070"/>
  </r>
  <r>
    <x v="2"/>
    <x v="307"/>
    <n v="48990"/>
    <n v="1"/>
    <n v="48990"/>
  </r>
  <r>
    <x v="2"/>
    <x v="308"/>
    <n v="46710"/>
    <n v="1"/>
    <n v="46710"/>
  </r>
  <r>
    <x v="2"/>
    <x v="309"/>
    <n v="47020"/>
    <n v="1"/>
    <n v="47020"/>
  </r>
  <r>
    <x v="2"/>
    <x v="310"/>
    <n v="47020"/>
    <n v="1"/>
    <n v="47020"/>
  </r>
  <r>
    <x v="2"/>
    <x v="311"/>
    <n v="47760"/>
    <n v="1"/>
    <n v="47760"/>
  </r>
  <r>
    <x v="2"/>
    <x v="312"/>
    <n v="45290"/>
    <n v="1"/>
    <n v="45290"/>
  </r>
  <r>
    <x v="2"/>
    <x v="313"/>
    <n v="46300"/>
    <n v="1"/>
    <n v="46300"/>
  </r>
  <r>
    <x v="2"/>
    <x v="314"/>
    <n v="47680"/>
    <n v="1"/>
    <n v="47680"/>
  </r>
  <r>
    <x v="2"/>
    <x v="315"/>
    <n v="47020"/>
    <n v="1"/>
    <n v="47020"/>
  </r>
  <r>
    <x v="2"/>
    <x v="316"/>
    <n v="47240"/>
    <n v="1"/>
    <n v="47240"/>
  </r>
  <r>
    <x v="2"/>
    <x v="317"/>
    <n v="46500"/>
    <n v="1"/>
    <n v="46500"/>
  </r>
  <r>
    <x v="2"/>
    <x v="318"/>
    <n v="46450"/>
    <n v="1"/>
    <n v="46450"/>
  </r>
  <r>
    <x v="2"/>
    <x v="319"/>
    <n v="45450"/>
    <n v="1"/>
    <n v="45450"/>
  </r>
  <r>
    <x v="2"/>
    <x v="320"/>
    <n v="46110"/>
    <n v="1"/>
    <n v="46110"/>
  </r>
  <r>
    <x v="2"/>
    <x v="321"/>
    <n v="47070"/>
    <n v="1"/>
    <n v="47070"/>
  </r>
  <r>
    <x v="2"/>
    <x v="322"/>
    <n v="46850"/>
    <n v="1"/>
    <n v="46850"/>
  </r>
  <r>
    <x v="2"/>
    <x v="323"/>
    <n v="48180"/>
    <n v="1"/>
    <n v="48180"/>
  </r>
  <r>
    <x v="2"/>
    <x v="324"/>
    <n v="51810"/>
    <n v="1"/>
    <n v="51810"/>
  </r>
  <r>
    <x v="2"/>
    <x v="325"/>
    <n v="50630"/>
    <n v="1"/>
    <n v="50630"/>
  </r>
  <r>
    <x v="2"/>
    <x v="326"/>
    <n v="51900"/>
    <n v="1"/>
    <n v="51900"/>
  </r>
  <r>
    <x v="2"/>
    <x v="327"/>
    <n v="52800"/>
    <n v="1"/>
    <n v="52800"/>
  </r>
  <r>
    <x v="2"/>
    <x v="328"/>
    <n v="54990"/>
    <n v="1"/>
    <n v="54990"/>
  </r>
  <r>
    <x v="2"/>
    <x v="329"/>
    <n v="55790"/>
    <n v="1"/>
    <n v="55790"/>
  </r>
  <r>
    <x v="2"/>
    <x v="330"/>
    <n v="54510"/>
    <n v="1"/>
    <n v="54510"/>
  </r>
  <r>
    <x v="2"/>
    <x v="331"/>
    <n v="54510"/>
    <n v="1"/>
    <n v="54510"/>
  </r>
  <r>
    <x v="2"/>
    <x v="332"/>
    <n v="51960"/>
    <n v="1"/>
    <n v="51960"/>
  </r>
  <r>
    <x v="2"/>
    <x v="333"/>
    <n v="51490"/>
    <n v="1"/>
    <n v="51490"/>
  </r>
  <r>
    <x v="2"/>
    <x v="334"/>
    <n v="51490"/>
    <n v="1"/>
    <n v="51490"/>
  </r>
  <r>
    <x v="2"/>
    <x v="335"/>
    <n v="51060"/>
    <n v="1"/>
    <n v="51060"/>
  </r>
  <r>
    <x v="2"/>
    <x v="336"/>
    <n v="47030"/>
    <n v="1"/>
    <n v="47030"/>
  </r>
  <r>
    <x v="2"/>
    <x v="337"/>
    <n v="44810"/>
    <n v="1"/>
    <n v="44810"/>
  </r>
  <r>
    <x v="2"/>
    <x v="338"/>
    <n v="45260"/>
    <n v="1"/>
    <n v="45260"/>
  </r>
  <r>
    <x v="2"/>
    <x v="339"/>
    <n v="46150"/>
    <n v="1"/>
    <n v="46150"/>
  </r>
  <r>
    <x v="2"/>
    <x v="340"/>
    <n v="45790"/>
    <n v="1"/>
    <n v="45790"/>
  </r>
  <r>
    <x v="2"/>
    <x v="341"/>
    <n v="43900"/>
    <n v="1"/>
    <n v="43900"/>
  </r>
  <r>
    <x v="2"/>
    <x v="342"/>
    <n v="54400"/>
    <n v="1"/>
    <n v="54400"/>
  </r>
  <r>
    <x v="2"/>
    <x v="343"/>
    <n v="48940"/>
    <n v="1"/>
    <n v="48940"/>
  </r>
  <r>
    <x v="2"/>
    <x v="344"/>
    <n v="44250"/>
    <n v="1"/>
    <n v="44250"/>
  </r>
  <r>
    <x v="2"/>
    <x v="345"/>
    <n v="44380"/>
    <n v="1"/>
    <n v="44380"/>
  </r>
  <r>
    <x v="2"/>
    <x v="346"/>
    <n v="44380"/>
    <n v="1"/>
    <n v="44380"/>
  </r>
  <r>
    <x v="2"/>
    <x v="347"/>
    <n v="47550"/>
    <n v="1"/>
    <n v="47550"/>
  </r>
  <r>
    <x v="2"/>
    <x v="348"/>
    <n v="48850"/>
    <n v="1"/>
    <n v="48850"/>
  </r>
  <r>
    <x v="2"/>
    <x v="349"/>
    <n v="51980"/>
    <n v="1"/>
    <n v="51980"/>
  </r>
  <r>
    <x v="2"/>
    <x v="350"/>
    <n v="53530"/>
    <n v="1"/>
    <n v="53530"/>
  </r>
  <r>
    <x v="2"/>
    <x v="351"/>
    <n v="53150"/>
    <n v="1"/>
    <n v="53150"/>
  </r>
  <r>
    <x v="2"/>
    <x v="352"/>
    <n v="53740"/>
    <n v="1"/>
    <n v="53740"/>
  </r>
  <r>
    <x v="2"/>
    <x v="353"/>
    <n v="50330"/>
    <n v="1"/>
    <n v="50330"/>
  </r>
  <r>
    <x v="2"/>
    <x v="354"/>
    <n v="50110"/>
    <n v="1"/>
    <n v="50110"/>
  </r>
  <r>
    <x v="2"/>
    <x v="355"/>
    <n v="47410"/>
    <n v="1"/>
    <n v="47410"/>
  </r>
  <r>
    <x v="2"/>
    <x v="356"/>
    <n v="47690"/>
    <n v="1"/>
    <n v="47690"/>
  </r>
  <r>
    <x v="2"/>
    <x v="357"/>
    <n v="49930"/>
    <n v="1"/>
    <n v="49930"/>
  </r>
  <r>
    <x v="2"/>
    <x v="358"/>
    <n v="49580"/>
    <n v="1"/>
    <n v="49580"/>
  </r>
  <r>
    <x v="2"/>
    <x v="359"/>
    <n v="48860"/>
    <n v="1"/>
    <n v="48860"/>
  </r>
  <r>
    <x v="2"/>
    <x v="360"/>
    <n v="48860"/>
    <n v="1"/>
    <n v="48860"/>
  </r>
  <r>
    <x v="2"/>
    <x v="361"/>
    <n v="44200"/>
    <n v="1"/>
    <n v="44200"/>
  </r>
  <r>
    <x v="2"/>
    <x v="362"/>
    <n v="41240"/>
    <n v="1"/>
    <n v="41240"/>
  </r>
  <r>
    <x v="2"/>
    <x v="363"/>
    <n v="38830"/>
    <n v="1"/>
    <n v="38830"/>
  </r>
  <r>
    <x v="2"/>
    <x v="364"/>
    <n v="39030"/>
    <n v="1"/>
    <n v="39030"/>
  </r>
  <r>
    <x v="2"/>
    <x v="365"/>
    <n v="39610"/>
    <n v="1"/>
    <n v="39610"/>
  </r>
  <r>
    <x v="2"/>
    <x v="366"/>
    <n v="38650"/>
    <n v="1"/>
    <n v="38650"/>
  </r>
  <r>
    <x v="2"/>
    <x v="367"/>
    <n v="37540"/>
    <n v="1"/>
    <n v="37540"/>
  </r>
  <r>
    <x v="2"/>
    <x v="368"/>
    <n v="39150"/>
    <n v="1"/>
    <n v="39150"/>
  </r>
  <r>
    <x v="2"/>
    <x v="369"/>
    <n v="38500"/>
    <n v="1"/>
    <n v="38500"/>
  </r>
  <r>
    <x v="2"/>
    <x v="370"/>
    <n v="39330"/>
    <n v="1"/>
    <n v="39330"/>
  </r>
  <r>
    <x v="2"/>
    <x v="371"/>
    <n v="39300"/>
    <n v="1"/>
    <n v="39300"/>
  </r>
  <r>
    <x v="2"/>
    <x v="372"/>
    <n v="38240"/>
    <n v="1"/>
    <n v="38240"/>
  </r>
  <r>
    <x v="2"/>
    <x v="373"/>
    <n v="35350"/>
    <n v="1"/>
    <n v="35350"/>
  </r>
  <r>
    <x v="2"/>
    <x v="374"/>
    <n v="35900"/>
    <n v="1"/>
    <n v="35900"/>
  </r>
  <r>
    <x v="2"/>
    <x v="375"/>
    <n v="35850"/>
    <n v="1"/>
    <n v="35850"/>
  </r>
  <r>
    <x v="2"/>
    <x v="376"/>
    <n v="35490"/>
    <n v="1"/>
    <n v="35490"/>
  </r>
  <r>
    <x v="2"/>
    <x v="377"/>
    <n v="38820"/>
    <n v="1"/>
    <n v="38820"/>
  </r>
  <r>
    <x v="2"/>
    <x v="378"/>
    <n v="38820"/>
    <n v="1"/>
    <n v="38820"/>
  </r>
  <r>
    <x v="2"/>
    <x v="379"/>
    <n v="40670"/>
    <n v="1"/>
    <n v="40670"/>
  </r>
  <r>
    <x v="2"/>
    <x v="380"/>
    <n v="41090"/>
    <n v="1"/>
    <n v="41090"/>
  </r>
  <r>
    <x v="2"/>
    <x v="381"/>
    <n v="40970"/>
    <n v="1"/>
    <n v="40970"/>
  </r>
  <r>
    <x v="2"/>
    <x v="382"/>
    <n v="41320"/>
    <n v="1"/>
    <n v="41320"/>
  </r>
  <r>
    <x v="2"/>
    <x v="383"/>
    <n v="43080"/>
    <n v="1"/>
    <n v="43080"/>
  </r>
  <r>
    <x v="2"/>
    <x v="384"/>
    <n v="43180"/>
    <n v="1"/>
    <n v="43180"/>
  </r>
  <r>
    <x v="2"/>
    <x v="385"/>
    <n v="41390"/>
    <n v="1"/>
    <n v="41390"/>
  </r>
  <r>
    <x v="2"/>
    <x v="386"/>
    <n v="42630"/>
    <n v="1"/>
    <n v="42630"/>
  </r>
  <r>
    <x v="2"/>
    <x v="387"/>
    <n v="42630"/>
    <n v="1"/>
    <n v="42630"/>
  </r>
  <r>
    <x v="2"/>
    <x v="388"/>
    <n v="42630"/>
    <n v="1"/>
    <n v="42630"/>
  </r>
  <r>
    <x v="2"/>
    <x v="389"/>
    <n v="43680"/>
    <n v="1"/>
    <n v="43680"/>
  </r>
  <r>
    <x v="2"/>
    <x v="390"/>
    <n v="39140"/>
    <n v="1"/>
    <n v="39140"/>
  </r>
  <r>
    <x v="2"/>
    <x v="391"/>
    <n v="39810"/>
    <n v="1"/>
    <n v="39810"/>
  </r>
  <r>
    <x v="2"/>
    <x v="392"/>
    <n v="41400"/>
    <n v="1"/>
    <n v="41400"/>
  </r>
  <r>
    <x v="2"/>
    <x v="393"/>
    <n v="42740"/>
    <n v="1"/>
    <n v="42740"/>
  </r>
  <r>
    <x v="2"/>
    <x v="394"/>
    <n v="42740"/>
    <n v="1"/>
    <n v="42740"/>
  </r>
  <r>
    <x v="2"/>
    <x v="395"/>
    <n v="44000"/>
    <n v="1"/>
    <n v="44000"/>
  </r>
  <r>
    <x v="2"/>
    <x v="396"/>
    <n v="43690"/>
    <n v="1"/>
    <n v="43690"/>
  </r>
  <r>
    <x v="2"/>
    <x v="397"/>
    <n v="43360"/>
    <n v="1"/>
    <n v="43360"/>
  </r>
  <r>
    <x v="2"/>
    <x v="398"/>
    <n v="41540"/>
    <n v="1"/>
    <n v="41540"/>
  </r>
  <r>
    <x v="2"/>
    <x v="399"/>
    <n v="40180"/>
    <n v="1"/>
    <n v="40180"/>
  </r>
  <r>
    <x v="2"/>
    <x v="400"/>
    <n v="40160"/>
    <n v="1"/>
    <n v="40160"/>
  </r>
  <r>
    <x v="2"/>
    <x v="401"/>
    <n v="40090"/>
    <n v="1"/>
    <n v="40090"/>
  </r>
  <r>
    <x v="2"/>
    <x v="402"/>
    <n v="41840"/>
    <n v="1"/>
    <n v="41840"/>
  </r>
  <r>
    <x v="2"/>
    <x v="403"/>
    <n v="39950"/>
    <n v="1"/>
    <n v="39950"/>
  </r>
  <r>
    <x v="2"/>
    <x v="404"/>
    <n v="39990"/>
    <n v="1"/>
    <n v="39990"/>
  </r>
  <r>
    <x v="2"/>
    <x v="405"/>
    <n v="37930"/>
    <n v="1"/>
    <n v="37930"/>
  </r>
  <r>
    <x v="2"/>
    <x v="406"/>
    <n v="38400"/>
    <n v="1"/>
    <n v="38400"/>
  </r>
  <r>
    <x v="2"/>
    <x v="407"/>
    <n v="39440"/>
    <n v="1"/>
    <n v="39440"/>
  </r>
  <r>
    <x v="2"/>
    <x v="408"/>
    <n v="38580"/>
    <n v="1"/>
    <n v="38580"/>
  </r>
  <r>
    <x v="2"/>
    <x v="409"/>
    <n v="41250"/>
    <n v="1"/>
    <n v="41250"/>
  </r>
  <r>
    <x v="2"/>
    <x v="410"/>
    <n v="41810"/>
    <n v="1"/>
    <n v="41810"/>
  </r>
  <r>
    <x v="2"/>
    <x v="411"/>
    <n v="41510"/>
    <n v="1"/>
    <n v="41510"/>
  </r>
  <r>
    <x v="2"/>
    <x v="412"/>
    <n v="41790"/>
    <n v="1"/>
    <n v="41790"/>
  </r>
  <r>
    <x v="2"/>
    <x v="413"/>
    <n v="42800"/>
    <n v="1"/>
    <n v="42800"/>
  </r>
  <r>
    <x v="2"/>
    <x v="414"/>
    <n v="43010"/>
    <n v="1"/>
    <n v="43010"/>
  </r>
  <r>
    <x v="2"/>
    <x v="415"/>
    <n v="40330"/>
    <n v="1"/>
    <n v="40330"/>
  </r>
  <r>
    <x v="2"/>
    <x v="416"/>
    <n v="42990"/>
    <n v="1"/>
    <n v="42990"/>
  </r>
  <r>
    <x v="2"/>
    <x v="417"/>
    <n v="43780"/>
    <n v="1"/>
    <n v="43780"/>
  </r>
  <r>
    <x v="2"/>
    <x v="418"/>
    <n v="44160"/>
    <n v="1"/>
    <n v="44160"/>
  </r>
  <r>
    <x v="2"/>
    <x v="419"/>
    <n v="50550"/>
    <n v="1"/>
    <n v="50550"/>
  </r>
  <r>
    <x v="2"/>
    <x v="420"/>
    <n v="50520"/>
    <n v="1"/>
    <n v="50520"/>
  </r>
  <r>
    <x v="2"/>
    <x v="421"/>
    <n v="52440"/>
    <n v="1"/>
    <n v="52440"/>
  </r>
  <r>
    <x v="2"/>
    <x v="422"/>
    <n v="52970"/>
    <n v="1"/>
    <n v="52970"/>
  </r>
  <r>
    <x v="2"/>
    <x v="423"/>
    <n v="53080"/>
    <n v="1"/>
    <n v="53080"/>
  </r>
  <r>
    <x v="2"/>
    <x v="424"/>
    <n v="53630"/>
    <n v="1"/>
    <n v="53630"/>
  </r>
  <r>
    <x v="2"/>
    <x v="425"/>
    <n v="52550"/>
    <n v="1"/>
    <n v="52550"/>
  </r>
  <r>
    <x v="2"/>
    <x v="426"/>
    <n v="50840"/>
    <n v="1"/>
    <n v="50840"/>
  </r>
  <r>
    <x v="2"/>
    <x v="427"/>
    <n v="51240"/>
    <n v="1"/>
    <n v="51240"/>
  </r>
  <r>
    <x v="2"/>
    <x v="428"/>
    <n v="50380"/>
    <n v="1"/>
    <n v="50380"/>
  </r>
  <r>
    <x v="2"/>
    <x v="429"/>
    <n v="49570"/>
    <n v="1"/>
    <n v="49570"/>
  </r>
  <r>
    <x v="2"/>
    <x v="430"/>
    <n v="49570"/>
    <n v="1"/>
    <n v="49570"/>
  </r>
  <r>
    <x v="2"/>
    <x v="431"/>
    <n v="54070"/>
    <n v="1"/>
    <n v="54070"/>
  </r>
  <r>
    <x v="2"/>
    <x v="432"/>
    <n v="56100"/>
    <n v="1"/>
    <n v="56100"/>
  </r>
  <r>
    <x v="2"/>
    <x v="433"/>
    <n v="54700"/>
    <n v="1"/>
    <n v="54700"/>
  </r>
  <r>
    <x v="2"/>
    <x v="434"/>
    <n v="54370"/>
    <n v="1"/>
    <n v="54370"/>
  </r>
  <r>
    <x v="2"/>
    <x v="435"/>
    <n v="56010"/>
    <n v="1"/>
    <n v="56010"/>
  </r>
  <r>
    <x v="2"/>
    <x v="436"/>
    <n v="57680"/>
    <n v="1"/>
    <n v="57680"/>
  </r>
  <r>
    <x v="2"/>
    <x v="437"/>
    <n v="56850"/>
    <n v="1"/>
    <n v="56850"/>
  </r>
  <r>
    <x v="2"/>
    <x v="438"/>
    <n v="58320"/>
    <n v="1"/>
    <n v="58320"/>
  </r>
  <r>
    <x v="2"/>
    <x v="439"/>
    <n v="60970"/>
    <n v="1"/>
    <n v="60970"/>
  </r>
  <r>
    <x v="2"/>
    <x v="440"/>
    <n v="61570"/>
    <n v="1"/>
    <n v="61570"/>
  </r>
  <r>
    <x v="2"/>
    <x v="441"/>
    <n v="61110"/>
    <n v="1"/>
    <n v="61110"/>
  </r>
  <r>
    <x v="2"/>
    <x v="442"/>
    <n v="60700"/>
    <n v="1"/>
    <n v="60700"/>
  </r>
  <r>
    <x v="2"/>
    <x v="443"/>
    <n v="58880"/>
    <n v="1"/>
    <n v="58880"/>
  </r>
  <r>
    <x v="2"/>
    <x v="444"/>
    <n v="56640"/>
    <n v="1"/>
    <n v="56640"/>
  </r>
  <r>
    <x v="2"/>
    <x v="445"/>
    <n v="57760"/>
    <n v="1"/>
    <n v="57760"/>
  </r>
  <r>
    <x v="2"/>
    <x v="446"/>
    <n v="57700"/>
    <n v="1"/>
    <n v="57700"/>
  </r>
  <r>
    <x v="2"/>
    <x v="447"/>
    <n v="56150"/>
    <n v="1"/>
    <n v="56150"/>
  </r>
  <r>
    <x v="2"/>
    <x v="448"/>
    <n v="55870"/>
    <n v="1"/>
    <n v="55870"/>
  </r>
  <r>
    <x v="2"/>
    <x v="449"/>
    <n v="53820"/>
    <n v="1"/>
    <n v="53820"/>
  </r>
  <r>
    <x v="2"/>
    <x v="450"/>
    <n v="53690"/>
    <n v="1"/>
    <n v="53690"/>
  </r>
  <r>
    <x v="2"/>
    <x v="451"/>
    <n v="51750"/>
    <n v="1"/>
    <n v="51750"/>
  </r>
  <r>
    <x v="2"/>
    <x v="452"/>
    <n v="50380"/>
    <n v="1"/>
    <n v="50380"/>
  </r>
  <r>
    <x v="2"/>
    <x v="453"/>
    <n v="50620"/>
    <n v="1"/>
    <n v="50620"/>
  </r>
  <r>
    <x v="2"/>
    <x v="454"/>
    <n v="50620"/>
    <n v="1"/>
    <n v="50620"/>
  </r>
  <r>
    <x v="2"/>
    <x v="455"/>
    <n v="51690"/>
    <n v="1"/>
    <n v="51690"/>
  </r>
  <r>
    <x v="2"/>
    <x v="456"/>
    <n v="52440"/>
    <n v="1"/>
    <n v="52440"/>
  </r>
  <r>
    <x v="2"/>
    <x v="457"/>
    <n v="51500"/>
    <n v="1"/>
    <n v="51500"/>
  </r>
  <r>
    <x v="2"/>
    <x v="458"/>
    <n v="49860"/>
    <n v="1"/>
    <n v="49860"/>
  </r>
  <r>
    <x v="2"/>
    <x v="459"/>
    <n v="49210"/>
    <n v="1"/>
    <n v="49210"/>
  </r>
  <r>
    <x v="2"/>
    <x v="460"/>
    <n v="49250"/>
    <n v="1"/>
    <n v="49250"/>
  </r>
  <r>
    <x v="2"/>
    <x v="461"/>
    <n v="47310"/>
    <n v="1"/>
    <n v="47310"/>
  </r>
  <r>
    <x v="2"/>
    <x v="462"/>
    <n v="47100"/>
    <n v="1"/>
    <n v="47100"/>
  </r>
  <r>
    <x v="2"/>
    <x v="463"/>
    <n v="48940"/>
    <n v="1"/>
    <n v="48940"/>
  </r>
  <r>
    <x v="2"/>
    <x v="464"/>
    <n v="49920"/>
    <n v="1"/>
    <n v="49920"/>
  </r>
  <r>
    <x v="2"/>
    <x v="465"/>
    <n v="51490"/>
    <n v="1"/>
    <n v="51490"/>
  </r>
  <r>
    <x v="2"/>
    <x v="466"/>
    <n v="51910"/>
    <n v="1"/>
    <n v="51910"/>
  </r>
  <r>
    <x v="2"/>
    <x v="467"/>
    <n v="54010"/>
    <n v="1"/>
    <n v="54010"/>
  </r>
  <r>
    <x v="2"/>
    <x v="468"/>
    <n v="54530"/>
    <n v="1"/>
    <n v="54530"/>
  </r>
  <r>
    <x v="2"/>
    <x v="469"/>
    <n v="54530"/>
    <n v="1"/>
    <n v="54530"/>
  </r>
  <r>
    <x v="2"/>
    <x v="470"/>
    <n v="54530"/>
    <n v="1"/>
    <n v="54530"/>
  </r>
  <r>
    <x v="2"/>
    <x v="471"/>
    <n v="54530"/>
    <n v="1"/>
    <n v="54530"/>
  </r>
  <r>
    <x v="2"/>
    <x v="472"/>
    <n v="51910"/>
    <n v="1"/>
    <n v="51910"/>
  </r>
  <r>
    <x v="2"/>
    <x v="473"/>
    <n v="52020"/>
    <n v="1"/>
    <n v="52020"/>
  </r>
  <r>
    <x v="2"/>
    <x v="474"/>
    <n v="52020"/>
    <n v="1"/>
    <n v="52020"/>
  </r>
  <r>
    <x v="2"/>
    <x v="475"/>
    <n v="54820"/>
    <n v="1"/>
    <n v="54820"/>
  </r>
  <r>
    <x v="2"/>
    <x v="476"/>
    <n v="53060"/>
    <n v="1"/>
    <n v="53060"/>
  </r>
  <r>
    <x v="2"/>
    <x v="477"/>
    <n v="52400"/>
    <n v="1"/>
    <n v="52400"/>
  </r>
  <r>
    <x v="2"/>
    <x v="478"/>
    <n v="50130"/>
    <n v="1"/>
    <n v="50130"/>
  </r>
  <r>
    <x v="2"/>
    <x v="479"/>
    <n v="46030"/>
    <n v="1"/>
    <n v="46030"/>
  </r>
  <r>
    <x v="2"/>
    <x v="480"/>
    <n v="47100"/>
    <n v="1"/>
    <n v="47100"/>
  </r>
  <r>
    <x v="2"/>
    <x v="481"/>
    <n v="47110"/>
    <n v="1"/>
    <n v="47110"/>
  </r>
  <r>
    <x v="2"/>
    <x v="482"/>
    <n v="47340"/>
    <n v="1"/>
    <n v="47340"/>
  </r>
  <r>
    <x v="2"/>
    <x v="483"/>
    <n v="47040"/>
    <n v="1"/>
    <n v="47040"/>
  </r>
  <r>
    <x v="2"/>
    <x v="484"/>
    <n v="46660"/>
    <n v="1"/>
    <n v="46660"/>
  </r>
  <r>
    <x v="2"/>
    <x v="485"/>
    <n v="47760"/>
    <n v="1"/>
    <n v="47760"/>
  </r>
  <r>
    <x v="2"/>
    <x v="486"/>
    <n v="47360"/>
    <n v="1"/>
    <n v="47360"/>
  </r>
  <r>
    <x v="2"/>
    <x v="487"/>
    <n v="48760"/>
    <n v="1"/>
    <n v="48760"/>
  </r>
  <r>
    <x v="2"/>
    <x v="488"/>
    <n v="49190"/>
    <n v="1"/>
    <n v="49190"/>
  </r>
  <r>
    <x v="2"/>
    <x v="489"/>
    <n v="49140"/>
    <n v="1"/>
    <n v="49140"/>
  </r>
  <r>
    <x v="2"/>
    <x v="490"/>
    <n v="50600"/>
    <n v="1"/>
    <n v="50600"/>
  </r>
  <r>
    <x v="2"/>
    <x v="491"/>
    <n v="50780"/>
    <n v="1"/>
    <n v="50780"/>
  </r>
  <r>
    <x v="2"/>
    <x v="492"/>
    <n v="52890"/>
    <n v="1"/>
    <n v="52890"/>
  </r>
  <r>
    <x v="2"/>
    <x v="493"/>
    <n v="49180"/>
    <n v="1"/>
    <n v="49180"/>
  </r>
  <r>
    <x v="2"/>
    <x v="494"/>
    <n v="49970"/>
    <n v="1"/>
    <n v="49970"/>
  </r>
  <r>
    <x v="2"/>
    <x v="495"/>
    <n v="51690"/>
    <n v="1"/>
    <n v="51690"/>
  </r>
  <r>
    <x v="2"/>
    <x v="496"/>
    <n v="51630"/>
    <n v="1"/>
    <n v="51630"/>
  </r>
  <r>
    <x v="2"/>
    <x v="497"/>
    <n v="49600"/>
    <n v="1"/>
    <n v="49600"/>
  </r>
  <r>
    <x v="2"/>
    <x v="498"/>
    <n v="50310"/>
    <n v="1"/>
    <n v="50310"/>
  </r>
  <r>
    <x v="2"/>
    <x v="499"/>
    <n v="49460"/>
    <n v="1"/>
    <n v="49460"/>
  </r>
  <r>
    <x v="2"/>
    <x v="500"/>
    <n v="49310"/>
    <n v="1"/>
    <n v="49310"/>
  </r>
  <r>
    <x v="2"/>
    <x v="501"/>
    <n v="49680"/>
    <n v="1"/>
    <n v="49680"/>
  </r>
  <r>
    <x v="2"/>
    <x v="502"/>
    <n v="52340"/>
    <n v="1"/>
    <n v="52340"/>
  </r>
  <r>
    <x v="2"/>
    <x v="503"/>
    <n v="52440"/>
    <n v="1"/>
    <n v="52440"/>
  </r>
  <r>
    <x v="2"/>
    <x v="504"/>
    <n v="49570"/>
    <n v="1"/>
    <n v="49570"/>
  </r>
  <r>
    <x v="2"/>
    <x v="505"/>
    <n v="51560"/>
    <n v="1"/>
    <n v="51560"/>
  </r>
  <r>
    <x v="2"/>
    <x v="506"/>
    <n v="51560"/>
    <n v="1"/>
    <n v="51560"/>
  </r>
  <r>
    <x v="2"/>
    <x v="507"/>
    <n v="53320"/>
    <n v="1"/>
    <n v="53320"/>
  </r>
  <r>
    <x v="2"/>
    <x v="508"/>
    <n v="52430"/>
    <n v="1"/>
    <n v="52430"/>
  </r>
  <r>
    <x v="2"/>
    <x v="509"/>
    <n v="53380"/>
    <n v="1"/>
    <n v="53380"/>
  </r>
  <r>
    <x v="2"/>
    <x v="510"/>
    <n v="55020"/>
    <n v="1"/>
    <n v="55020"/>
  </r>
  <r>
    <x v="2"/>
    <x v="511"/>
    <n v="55020"/>
    <n v="1"/>
    <n v="55020"/>
  </r>
  <r>
    <x v="2"/>
    <x v="512"/>
    <n v="55020"/>
    <n v="1"/>
    <n v="55020"/>
  </r>
  <r>
    <x v="2"/>
    <x v="513"/>
    <n v="58430"/>
    <n v="1"/>
    <n v="58430"/>
  </r>
  <r>
    <x v="2"/>
    <x v="514"/>
    <n v="58590"/>
    <n v="1"/>
    <n v="58590"/>
  </r>
  <r>
    <x v="2"/>
    <x v="515"/>
    <n v="58790"/>
    <n v="1"/>
    <n v="58790"/>
  </r>
  <r>
    <x v="2"/>
    <x v="516"/>
    <n v="55730"/>
    <n v="1"/>
    <n v="55730"/>
  </r>
  <r>
    <x v="2"/>
    <x v="517"/>
    <n v="53980"/>
    <n v="1"/>
    <n v="53980"/>
  </r>
  <r>
    <x v="2"/>
    <x v="518"/>
    <n v="54030"/>
    <n v="1"/>
    <n v="54030"/>
  </r>
  <r>
    <x v="2"/>
    <x v="519"/>
    <n v="56190"/>
    <n v="1"/>
    <n v="56190"/>
  </r>
  <r>
    <x v="2"/>
    <x v="520"/>
    <n v="57240"/>
    <n v="1"/>
    <n v="57240"/>
  </r>
  <r>
    <x v="2"/>
    <x v="521"/>
    <n v="57860"/>
    <n v="1"/>
    <n v="57860"/>
  </r>
  <r>
    <x v="2"/>
    <x v="522"/>
    <n v="58700"/>
    <n v="1"/>
    <n v="58700"/>
  </r>
  <r>
    <x v="2"/>
    <x v="523"/>
    <n v="59940"/>
    <n v="1"/>
    <n v="59940"/>
  </r>
  <r>
    <x v="2"/>
    <x v="524"/>
    <n v="59940"/>
    <n v="1"/>
    <n v="59940"/>
  </r>
  <r>
    <x v="2"/>
    <x v="525"/>
    <n v="60170"/>
    <n v="1"/>
    <n v="60170"/>
  </r>
  <r>
    <x v="2"/>
    <x v="526"/>
    <n v="60270"/>
    <n v="1"/>
    <n v="60270"/>
  </r>
  <r>
    <x v="2"/>
    <x v="527"/>
    <n v="58580"/>
    <n v="1"/>
    <n v="58580"/>
  </r>
  <r>
    <x v="2"/>
    <x v="528"/>
    <n v="60530"/>
    <n v="1"/>
    <n v="60530"/>
  </r>
  <r>
    <x v="2"/>
    <x v="529"/>
    <n v="60530"/>
    <n v="1"/>
    <n v="60530"/>
  </r>
  <r>
    <x v="2"/>
    <x v="530"/>
    <n v="60530"/>
    <n v="1"/>
    <n v="60530"/>
  </r>
  <r>
    <x v="2"/>
    <x v="531"/>
    <n v="60530"/>
    <n v="1"/>
    <n v="60530"/>
  </r>
  <r>
    <x v="2"/>
    <x v="532"/>
    <n v="59680"/>
    <n v="1"/>
    <n v="59680"/>
  </r>
  <r>
    <x v="2"/>
    <x v="533"/>
    <n v="60050"/>
    <n v="1"/>
    <n v="60050"/>
  </r>
  <r>
    <x v="2"/>
    <x v="534"/>
    <n v="60190"/>
    <n v="1"/>
    <n v="60190"/>
  </r>
  <r>
    <x v="2"/>
    <x v="535"/>
    <n v="58150"/>
    <n v="1"/>
    <n v="58150"/>
  </r>
  <r>
    <x v="2"/>
    <x v="536"/>
    <n v="58380"/>
    <n v="1"/>
    <n v="58380"/>
  </r>
  <r>
    <x v="2"/>
    <x v="537"/>
    <n v="58960"/>
    <n v="1"/>
    <n v="58960"/>
  </r>
  <r>
    <x v="2"/>
    <x v="538"/>
    <n v="60520"/>
    <n v="1"/>
    <n v="60520"/>
  </r>
  <r>
    <x v="2"/>
    <x v="539"/>
    <n v="62120"/>
    <n v="1"/>
    <n v="62120"/>
  </r>
  <r>
    <x v="2"/>
    <x v="541"/>
    <n v="62510"/>
    <n v="1"/>
    <n v="62510"/>
  </r>
  <r>
    <x v="2"/>
    <x v="542"/>
    <n v="62510"/>
    <n v="1"/>
    <n v="62510"/>
  </r>
  <r>
    <x v="2"/>
    <x v="543"/>
    <n v="62990"/>
    <n v="1"/>
    <n v="62990"/>
  </r>
  <r>
    <x v="2"/>
    <x v="544"/>
    <n v="63750"/>
    <n v="1"/>
    <n v="63750"/>
  </r>
  <r>
    <x v="2"/>
    <x v="545"/>
    <n v="63510"/>
    <n v="1"/>
    <n v="63510"/>
  </r>
  <r>
    <x v="2"/>
    <x v="546"/>
    <n v="63080"/>
    <n v="1"/>
    <n v="63080"/>
  </r>
  <r>
    <x v="2"/>
    <x v="547"/>
    <n v="62360"/>
    <n v="1"/>
    <n v="62360"/>
  </r>
  <r>
    <x v="2"/>
    <x v="548"/>
    <n v="62680"/>
    <n v="1"/>
    <n v="62680"/>
  </r>
  <r>
    <x v="2"/>
    <x v="549"/>
    <n v="61300"/>
    <n v="1"/>
    <n v="61300"/>
  </r>
  <r>
    <x v="2"/>
    <x v="550"/>
    <n v="61510"/>
    <n v="1"/>
    <n v="61510"/>
  </r>
  <r>
    <x v="2"/>
    <x v="551"/>
    <n v="60730"/>
    <n v="1"/>
    <n v="60730"/>
  </r>
  <r>
    <x v="2"/>
    <x v="552"/>
    <n v="62320"/>
    <n v="1"/>
    <n v="62320"/>
  </r>
  <r>
    <x v="2"/>
    <x v="553"/>
    <n v="63540"/>
    <n v="1"/>
    <n v="63540"/>
  </r>
  <r>
    <x v="2"/>
    <x v="554"/>
    <n v="63720"/>
    <n v="1"/>
    <n v="63720"/>
  </r>
  <r>
    <x v="2"/>
    <x v="555"/>
    <n v="64360"/>
    <n v="1"/>
    <n v="64360"/>
  </r>
  <r>
    <x v="2"/>
    <x v="556"/>
    <n v="64860"/>
    <n v="1"/>
    <n v="64860"/>
  </r>
  <r>
    <x v="2"/>
    <x v="557"/>
    <n v="63310"/>
    <n v="1"/>
    <n v="63310"/>
  </r>
  <r>
    <x v="2"/>
    <x v="558"/>
    <n v="64040"/>
    <n v="1"/>
    <n v="64040"/>
  </r>
  <r>
    <x v="2"/>
    <x v="559"/>
    <n v="62330"/>
    <n v="1"/>
    <n v="62330"/>
  </r>
  <r>
    <x v="2"/>
    <x v="560"/>
    <n v="62970"/>
    <n v="1"/>
    <n v="62970"/>
  </r>
  <r>
    <x v="2"/>
    <x v="561"/>
    <n v="61820"/>
    <n v="1"/>
    <n v="61820"/>
  </r>
  <r>
    <x v="2"/>
    <x v="562"/>
    <n v="60230"/>
    <n v="1"/>
    <n v="60230"/>
  </r>
  <r>
    <x v="2"/>
    <x v="563"/>
    <n v="57800"/>
    <n v="1"/>
    <n v="57800"/>
  </r>
  <r>
    <x v="2"/>
    <x v="564"/>
    <n v="59650"/>
    <n v="1"/>
    <n v="59650"/>
  </r>
  <r>
    <x v="2"/>
    <x v="565"/>
    <n v="59370"/>
    <n v="1"/>
    <n v="59370"/>
  </r>
  <r>
    <x v="2"/>
    <x v="566"/>
    <n v="59370"/>
    <n v="1"/>
    <n v="59370"/>
  </r>
  <r>
    <x v="2"/>
    <x v="567"/>
    <n v="60180"/>
    <n v="1"/>
    <n v="60180"/>
  </r>
  <r>
    <x v="2"/>
    <x v="568"/>
    <n v="59680"/>
    <n v="1"/>
    <n v="59680"/>
  </r>
  <r>
    <x v="2"/>
    <x v="569"/>
    <n v="58850"/>
    <n v="1"/>
    <n v="58850"/>
  </r>
  <r>
    <x v="2"/>
    <x v="570"/>
    <n v="60770"/>
    <n v="1"/>
    <n v="60770"/>
  </r>
  <r>
    <x v="2"/>
    <x v="571"/>
    <n v="61800"/>
    <n v="1"/>
    <n v="61800"/>
  </r>
  <r>
    <x v="2"/>
    <x v="572"/>
    <n v="61720"/>
    <n v="1"/>
    <n v="61720"/>
  </r>
  <r>
    <x v="2"/>
    <x v="573"/>
    <n v="62580"/>
    <n v="1"/>
    <n v="62580"/>
  </r>
  <r>
    <x v="2"/>
    <x v="574"/>
    <n v="62630"/>
    <n v="1"/>
    <n v="62630"/>
  </r>
  <r>
    <x v="2"/>
    <x v="575"/>
    <n v="61630"/>
    <n v="1"/>
    <n v="61630"/>
  </r>
  <r>
    <x v="2"/>
    <x v="576"/>
    <n v="61120"/>
    <n v="1"/>
    <n v="61120"/>
  </r>
  <r>
    <x v="2"/>
    <x v="577"/>
    <n v="62050"/>
    <n v="1"/>
    <n v="62050"/>
  </r>
  <r>
    <x v="2"/>
    <x v="578"/>
    <n v="62570"/>
    <n v="1"/>
    <n v="62570"/>
  </r>
  <r>
    <x v="2"/>
    <x v="579"/>
    <n v="60360"/>
    <n v="1"/>
    <n v="60360"/>
  </r>
  <r>
    <x v="2"/>
    <x v="580"/>
    <n v="59400"/>
    <n v="1"/>
    <n v="59400"/>
  </r>
  <r>
    <x v="2"/>
    <x v="581"/>
    <n v="57770"/>
    <n v="1"/>
    <n v="57770"/>
  </r>
  <r>
    <x v="2"/>
    <x v="582"/>
    <n v="57930"/>
    <n v="1"/>
    <n v="57930"/>
  </r>
  <r>
    <x v="2"/>
    <x v="583"/>
    <n v="58060"/>
    <n v="1"/>
    <n v="58060"/>
  </r>
  <r>
    <x v="2"/>
    <x v="584"/>
    <n v="58280"/>
    <n v="1"/>
    <n v="58280"/>
  </r>
  <r>
    <x v="2"/>
    <x v="585"/>
    <n v="58170"/>
    <n v="1"/>
    <n v="58170"/>
  </r>
  <r>
    <x v="2"/>
    <x v="586"/>
    <n v="57730"/>
    <n v="1"/>
    <n v="57730"/>
  </r>
  <r>
    <x v="2"/>
    <x v="587"/>
    <n v="56340"/>
    <n v="1"/>
    <n v="56340"/>
  </r>
  <r>
    <x v="2"/>
    <x v="588"/>
    <n v="55940"/>
    <n v="1"/>
    <n v="55940"/>
  </r>
  <r>
    <x v="2"/>
    <x v="589"/>
    <n v="53210"/>
    <n v="1"/>
    <n v="53210"/>
  </r>
  <r>
    <x v="2"/>
    <x v="590"/>
    <n v="52740"/>
    <n v="1"/>
    <n v="52740"/>
  </r>
  <r>
    <x v="2"/>
    <x v="591"/>
    <n v="52990"/>
    <n v="1"/>
    <n v="52990"/>
  </r>
  <r>
    <x v="2"/>
    <x v="592"/>
    <n v="54230"/>
    <n v="1"/>
    <n v="54230"/>
  </r>
  <r>
    <x v="2"/>
    <x v="593"/>
    <n v="54090"/>
    <n v="1"/>
    <n v="54090"/>
  </r>
  <r>
    <x v="2"/>
    <x v="594"/>
    <n v="54690"/>
    <n v="1"/>
    <n v="54690"/>
  </r>
  <r>
    <x v="2"/>
    <x v="595"/>
    <n v="55620"/>
    <n v="1"/>
    <n v="55620"/>
  </r>
  <r>
    <x v="2"/>
    <x v="596"/>
    <n v="55370"/>
    <n v="1"/>
    <n v="55370"/>
  </r>
  <r>
    <x v="2"/>
    <x v="597"/>
    <n v="55510"/>
    <n v="1"/>
    <n v="55510"/>
  </r>
  <r>
    <x v="2"/>
    <x v="598"/>
    <n v="53950"/>
    <n v="1"/>
    <n v="53950"/>
  </r>
  <r>
    <x v="2"/>
    <x v="599"/>
    <n v="53990"/>
    <n v="1"/>
    <n v="53990"/>
  </r>
  <r>
    <x v="2"/>
    <x v="600"/>
    <n v="53960"/>
    <n v="1"/>
    <n v="53960"/>
  </r>
  <r>
    <x v="2"/>
    <x v="601"/>
    <n v="56200"/>
    <n v="1"/>
    <n v="56200"/>
  </r>
  <r>
    <x v="2"/>
    <x v="602"/>
    <n v="57240"/>
    <n v="1"/>
    <n v="57240"/>
  </r>
  <r>
    <x v="2"/>
    <x v="603"/>
    <n v="57300"/>
    <n v="1"/>
    <n v="57300"/>
  </r>
  <r>
    <x v="2"/>
    <x v="604"/>
    <n v="57230"/>
    <n v="1"/>
    <n v="57230"/>
  </r>
  <r>
    <x v="2"/>
    <x v="605"/>
    <n v="60350"/>
    <n v="1"/>
    <n v="60350"/>
  </r>
  <r>
    <x v="2"/>
    <x v="606"/>
    <n v="64110"/>
    <n v="1"/>
    <n v="64110"/>
  </r>
  <r>
    <x v="2"/>
    <x v="607"/>
    <n v="64170"/>
    <n v="1"/>
    <n v="64170"/>
  </r>
  <r>
    <x v="2"/>
    <x v="608"/>
    <n v="63600"/>
    <n v="1"/>
    <n v="63600"/>
  </r>
  <r>
    <x v="2"/>
    <x v="609"/>
    <n v="63940"/>
    <n v="1"/>
    <n v="63940"/>
  </r>
  <r>
    <x v="2"/>
    <x v="610"/>
    <n v="62210"/>
    <n v="1"/>
    <n v="62210"/>
  </r>
  <r>
    <x v="2"/>
    <x v="611"/>
    <n v="61170"/>
    <n v="1"/>
    <n v="61170"/>
  </r>
  <r>
    <x v="2"/>
    <x v="612"/>
    <n v="61350"/>
    <n v="1"/>
    <n v="61350"/>
  </r>
  <r>
    <x v="2"/>
    <x v="613"/>
    <n v="61870"/>
    <n v="1"/>
    <n v="61870"/>
  </r>
  <r>
    <x v="2"/>
    <x v="614"/>
    <n v="61500"/>
    <n v="1"/>
    <n v="61500"/>
  </r>
  <r>
    <x v="2"/>
    <x v="615"/>
    <n v="61630"/>
    <n v="1"/>
    <n v="61630"/>
  </r>
  <r>
    <x v="2"/>
    <x v="616"/>
    <n v="62720"/>
    <n v="1"/>
    <n v="62720"/>
  </r>
  <r>
    <x v="2"/>
    <x v="617"/>
    <n v="61060"/>
    <n v="1"/>
    <n v="61060"/>
  </r>
  <r>
    <x v="2"/>
    <x v="618"/>
    <n v="60760"/>
    <n v="1"/>
    <n v="60760"/>
  </r>
  <r>
    <x v="2"/>
    <x v="619"/>
    <n v="61850"/>
    <n v="1"/>
    <n v="61850"/>
  </r>
  <r>
    <x v="2"/>
    <x v="620"/>
    <n v="61850"/>
    <n v="1"/>
    <n v="61850"/>
  </r>
  <r>
    <x v="2"/>
    <x v="621"/>
    <n v="62270"/>
    <n v="1"/>
    <n v="62270"/>
  </r>
  <r>
    <x v="2"/>
    <x v="622"/>
    <n v="63640"/>
    <n v="1"/>
    <n v="63640"/>
  </r>
  <r>
    <x v="2"/>
    <x v="623"/>
    <n v="62680"/>
    <n v="1"/>
    <n v="62680"/>
  </r>
  <r>
    <x v="2"/>
    <x v="624"/>
    <n v="63480"/>
    <n v="1"/>
    <n v="63480"/>
  </r>
  <r>
    <x v="2"/>
    <x v="625"/>
    <n v="62950"/>
    <n v="1"/>
    <n v="62950"/>
  </r>
  <r>
    <x v="2"/>
    <x v="626"/>
    <n v="62950"/>
    <n v="1"/>
    <n v="62950"/>
  </r>
  <r>
    <x v="2"/>
    <x v="627"/>
    <n v="61850"/>
    <n v="1"/>
    <n v="61850"/>
  </r>
  <r>
    <x v="2"/>
    <x v="628"/>
    <n v="60030"/>
    <n v="1"/>
    <n v="60030"/>
  </r>
  <r>
    <x v="2"/>
    <x v="629"/>
    <n v="60870"/>
    <n v="1"/>
    <n v="60870"/>
  </r>
  <r>
    <x v="2"/>
    <x v="630"/>
    <n v="61120"/>
    <n v="1"/>
    <n v="61120"/>
  </r>
  <r>
    <x v="2"/>
    <x v="631"/>
    <n v="62690"/>
    <n v="1"/>
    <n v="62690"/>
  </r>
  <r>
    <x v="2"/>
    <x v="632"/>
    <n v="62600"/>
    <n v="1"/>
    <n v="62600"/>
  </r>
  <r>
    <x v="2"/>
    <x v="633"/>
    <n v="62320"/>
    <n v="1"/>
    <n v="62320"/>
  </r>
  <r>
    <x v="2"/>
    <x v="634"/>
    <n v="60710"/>
    <n v="1"/>
    <n v="60710"/>
  </r>
  <r>
    <x v="2"/>
    <x v="635"/>
    <n v="61080"/>
    <n v="1"/>
    <n v="61080"/>
  </r>
  <r>
    <x v="2"/>
    <x v="636"/>
    <n v="60460"/>
    <n v="1"/>
    <n v="60460"/>
  </r>
  <r>
    <x v="2"/>
    <x v="637"/>
    <n v="60290"/>
    <n v="1"/>
    <n v="60290"/>
  </r>
  <r>
    <x v="2"/>
    <x v="638"/>
    <n v="59690"/>
    <n v="1"/>
    <n v="59690"/>
  </r>
  <r>
    <x v="2"/>
    <x v="639"/>
    <n v="60180"/>
    <n v="1"/>
    <n v="60180"/>
  </r>
  <r>
    <x v="2"/>
    <x v="640"/>
    <n v="60520"/>
    <n v="1"/>
    <n v="60520"/>
  </r>
  <r>
    <x v="2"/>
    <x v="641"/>
    <n v="58550"/>
    <n v="1"/>
    <n v="58550"/>
  </r>
  <r>
    <x v="2"/>
    <x v="642"/>
    <n v="58970"/>
    <n v="1"/>
    <n v="58970"/>
  </r>
  <r>
    <x v="2"/>
    <x v="643"/>
    <n v="60190"/>
    <n v="1"/>
    <n v="60190"/>
  </r>
  <r>
    <x v="2"/>
    <x v="644"/>
    <n v="60420"/>
    <n v="1"/>
    <n v="60420"/>
  </r>
  <r>
    <x v="2"/>
    <x v="645"/>
    <n v="60730"/>
    <n v="1"/>
    <n v="60730"/>
  </r>
  <r>
    <x v="2"/>
    <x v="646"/>
    <n v="60190"/>
    <n v="1"/>
    <n v="60190"/>
  </r>
  <r>
    <x v="2"/>
    <x v="647"/>
    <n v="59490"/>
    <n v="1"/>
    <n v="59490"/>
  </r>
  <r>
    <x v="2"/>
    <x v="648"/>
    <n v="57180"/>
    <n v="1"/>
    <n v="57180"/>
  </r>
  <r>
    <x v="2"/>
    <x v="649"/>
    <n v="64080"/>
    <n v="1"/>
    <n v="64080"/>
  </r>
  <r>
    <x v="2"/>
    <x v="650"/>
    <n v="61220"/>
    <n v="1"/>
    <n v="61220"/>
  </r>
  <r>
    <x v="2"/>
    <x v="651"/>
    <n v="61140"/>
    <n v="1"/>
    <n v="61140"/>
  </r>
  <r>
    <x v="2"/>
    <x v="652"/>
    <n v="61040"/>
    <n v="1"/>
    <n v="61040"/>
  </r>
  <r>
    <x v="2"/>
    <x v="653"/>
    <n v="62700"/>
    <n v="1"/>
    <n v="62700"/>
  </r>
  <r>
    <x v="2"/>
    <x v="654"/>
    <n v="61890"/>
    <n v="1"/>
    <n v="61890"/>
  </r>
  <r>
    <x v="2"/>
    <x v="655"/>
    <n v="63270"/>
    <n v="1"/>
    <n v="63270"/>
  </r>
  <r>
    <x v="2"/>
    <x v="656"/>
    <n v="63020"/>
    <n v="1"/>
    <n v="63020"/>
  </r>
  <r>
    <x v="2"/>
    <x v="657"/>
    <n v="62310"/>
    <n v="1"/>
    <n v="62310"/>
  </r>
  <r>
    <x v="2"/>
    <x v="658"/>
    <n v="62700"/>
    <n v="1"/>
    <n v="62700"/>
  </r>
  <r>
    <x v="2"/>
    <x v="659"/>
    <n v="63510"/>
    <n v="1"/>
    <n v="63510"/>
  </r>
  <r>
    <x v="2"/>
    <x v="660"/>
    <n v="63450"/>
    <n v="1"/>
    <n v="63450"/>
  </r>
  <r>
    <x v="2"/>
    <x v="661"/>
    <n v="63570"/>
    <n v="1"/>
    <n v="63570"/>
  </r>
  <r>
    <x v="2"/>
    <x v="662"/>
    <n v="62690"/>
    <n v="1"/>
    <n v="62690"/>
  </r>
  <r>
    <x v="2"/>
    <x v="663"/>
    <n v="63830"/>
    <n v="1"/>
    <n v="63830"/>
  </r>
  <r>
    <x v="2"/>
    <x v="664"/>
    <n v="62920"/>
    <n v="1"/>
    <n v="62920"/>
  </r>
  <r>
    <x v="2"/>
    <x v="665"/>
    <n v="61810"/>
    <n v="1"/>
    <n v="61810"/>
  </r>
  <r>
    <x v="2"/>
    <x v="666"/>
    <n v="59290"/>
    <n v="1"/>
    <n v="59290"/>
  </r>
  <r>
    <x v="2"/>
    <x v="667"/>
    <n v="59860"/>
    <n v="1"/>
    <n v="59860"/>
  </r>
  <r>
    <x v="2"/>
    <x v="668"/>
    <n v="59860"/>
    <n v="1"/>
    <n v="59860"/>
  </r>
  <r>
    <x v="2"/>
    <x v="669"/>
    <n v="59860"/>
    <n v="1"/>
    <n v="59860"/>
  </r>
  <r>
    <x v="2"/>
    <x v="670"/>
    <n v="59530"/>
    <n v="1"/>
    <n v="59530"/>
  </r>
  <r>
    <x v="2"/>
    <x v="671"/>
    <n v="59130"/>
    <n v="1"/>
    <n v="59130"/>
  </r>
  <r>
    <x v="2"/>
    <x v="672"/>
    <n v="58900"/>
    <n v="1"/>
    <n v="58900"/>
  </r>
  <r>
    <x v="2"/>
    <x v="673"/>
    <n v="60070"/>
    <n v="1"/>
    <n v="60070"/>
  </r>
  <r>
    <x v="2"/>
    <x v="674"/>
    <n v="59800"/>
    <n v="1"/>
    <n v="59800"/>
  </r>
  <r>
    <x v="2"/>
    <x v="675"/>
    <n v="59970"/>
    <n v="1"/>
    <n v="59970"/>
  </r>
  <r>
    <x v="2"/>
    <x v="676"/>
    <n v="61320"/>
    <n v="1"/>
    <n v="61320"/>
  </r>
  <r>
    <x v="2"/>
    <x v="677"/>
    <n v="59990"/>
    <n v="1"/>
    <n v="59990"/>
  </r>
  <r>
    <x v="2"/>
    <x v="678"/>
    <n v="60170"/>
    <n v="1"/>
    <n v="60170"/>
  </r>
  <r>
    <x v="2"/>
    <x v="679"/>
    <n v="60670"/>
    <n v="1"/>
    <n v="60670"/>
  </r>
  <r>
    <x v="2"/>
    <x v="680"/>
    <n v="60280"/>
    <n v="1"/>
    <n v="60280"/>
  </r>
  <r>
    <x v="2"/>
    <x v="681"/>
    <n v="60090"/>
    <n v="1"/>
    <n v="60090"/>
  </r>
  <r>
    <x v="2"/>
    <x v="682"/>
    <n v="60480"/>
    <n v="1"/>
    <n v="60480"/>
  </r>
  <r>
    <x v="2"/>
    <x v="683"/>
    <n v="59920"/>
    <n v="1"/>
    <n v="59920"/>
  </r>
  <r>
    <x v="2"/>
    <x v="684"/>
    <n v="63830"/>
    <n v="1"/>
    <n v="63830"/>
  </r>
  <r>
    <x v="2"/>
    <x v="685"/>
    <n v="62840"/>
    <n v="1"/>
    <n v="62840"/>
  </r>
  <r>
    <x v="2"/>
    <x v="686"/>
    <n v="63600"/>
    <n v="1"/>
    <n v="63600"/>
  </r>
  <r>
    <x v="2"/>
    <x v="687"/>
    <n v="63370"/>
    <n v="1"/>
    <n v="63370"/>
  </r>
  <r>
    <x v="2"/>
    <x v="688"/>
    <n v="64930"/>
    <n v="1"/>
    <n v="64930"/>
  </r>
  <r>
    <x v="2"/>
    <x v="689"/>
    <n v="65970"/>
    <n v="1"/>
    <n v="65970"/>
  </r>
  <r>
    <x v="2"/>
    <x v="690"/>
    <n v="64140"/>
    <n v="1"/>
    <n v="64140"/>
  </r>
  <r>
    <x v="2"/>
    <x v="691"/>
    <n v="63530"/>
    <n v="1"/>
    <n v="63530"/>
  </r>
  <r>
    <x v="2"/>
    <x v="692"/>
    <n v="62510"/>
    <n v="1"/>
    <n v="62510"/>
  </r>
  <r>
    <x v="2"/>
    <x v="693"/>
    <n v="62810"/>
    <n v="1"/>
    <n v="62810"/>
  </r>
  <r>
    <x v="2"/>
    <x v="694"/>
    <n v="62270"/>
    <n v="1"/>
    <n v="62270"/>
  </r>
  <r>
    <x v="2"/>
    <x v="695"/>
    <n v="61090"/>
    <n v="1"/>
    <n v="61090"/>
  </r>
  <r>
    <x v="2"/>
    <x v="696"/>
    <n v="61770"/>
    <n v="1"/>
    <n v="61770"/>
  </r>
  <r>
    <x v="2"/>
    <x v="697"/>
    <n v="61430"/>
    <n v="1"/>
    <n v="61430"/>
  </r>
  <r>
    <x v="2"/>
    <x v="698"/>
    <n v="60860"/>
    <n v="1"/>
    <n v="60860"/>
  </r>
  <r>
    <x v="2"/>
    <x v="699"/>
    <n v="59440"/>
    <n v="1"/>
    <n v="59440"/>
  </r>
  <r>
    <x v="2"/>
    <x v="700"/>
    <n v="59580"/>
    <n v="1"/>
    <n v="59580"/>
  </r>
  <r>
    <x v="2"/>
    <x v="701"/>
    <n v="59870"/>
    <n v="1"/>
    <n v="59870"/>
  </r>
  <r>
    <x v="2"/>
    <x v="702"/>
    <n v="59100"/>
    <n v="1"/>
    <n v="59100"/>
  </r>
  <r>
    <x v="2"/>
    <x v="703"/>
    <n v="58430"/>
    <n v="1"/>
    <n v="58430"/>
  </r>
  <r>
    <x v="2"/>
    <x v="704"/>
    <n v="58450"/>
    <n v="1"/>
    <n v="58450"/>
  </r>
  <r>
    <x v="2"/>
    <x v="705"/>
    <n v="57730"/>
    <n v="1"/>
    <n v="57730"/>
  </r>
  <r>
    <x v="2"/>
    <x v="706"/>
    <n v="56150"/>
    <n v="1"/>
    <n v="56150"/>
  </r>
  <r>
    <x v="2"/>
    <x v="707"/>
    <n v="52250"/>
    <n v="1"/>
    <n v="52250"/>
  </r>
  <r>
    <x v="2"/>
    <x v="708"/>
    <n v="51590"/>
    <n v="1"/>
    <n v="51590"/>
  </r>
  <r>
    <x v="2"/>
    <x v="709"/>
    <n v="52330"/>
    <n v="1"/>
    <n v="52330"/>
  </r>
  <r>
    <x v="2"/>
    <x v="710"/>
    <n v="52440"/>
    <n v="1"/>
    <n v="52440"/>
  </r>
  <r>
    <x v="2"/>
    <x v="711"/>
    <n v="51700"/>
    <n v="1"/>
    <n v="51700"/>
  </r>
  <r>
    <x v="2"/>
    <x v="712"/>
    <n v="49940"/>
    <n v="1"/>
    <n v="49940"/>
  </r>
  <r>
    <x v="2"/>
    <x v="713"/>
    <n v="51210"/>
    <n v="1"/>
    <n v="51210"/>
  </r>
  <r>
    <x v="2"/>
    <x v="714"/>
    <n v="49940"/>
    <n v="1"/>
    <n v="49940"/>
  </r>
  <r>
    <x v="2"/>
    <x v="715"/>
    <n v="49110"/>
    <n v="1"/>
    <n v="49110"/>
  </r>
  <r>
    <x v="2"/>
    <x v="716"/>
    <n v="49570"/>
    <n v="1"/>
    <n v="49570"/>
  </r>
  <r>
    <x v="2"/>
    <x v="717"/>
    <n v="49920"/>
    <n v="1"/>
    <n v="49920"/>
  </r>
  <r>
    <x v="2"/>
    <x v="718"/>
    <n v="50720"/>
    <n v="1"/>
    <n v="50720"/>
  </r>
  <r>
    <x v="2"/>
    <x v="719"/>
    <n v="51670"/>
    <n v="1"/>
    <n v="51670"/>
  </r>
  <r>
    <x v="2"/>
    <x v="720"/>
    <n v="49960"/>
    <n v="1"/>
    <n v="49960"/>
  </r>
  <r>
    <x v="2"/>
    <x v="721"/>
    <n v="49490"/>
    <n v="1"/>
    <n v="49490"/>
  </r>
  <r>
    <x v="2"/>
    <x v="722"/>
    <n v="49130"/>
    <n v="1"/>
    <n v="49130"/>
  </r>
  <r>
    <x v="2"/>
    <x v="723"/>
    <n v="49170"/>
    <n v="1"/>
    <n v="49170"/>
  </r>
  <r>
    <x v="2"/>
    <x v="724"/>
    <n v="49670"/>
    <n v="1"/>
    <n v="49670"/>
  </r>
  <r>
    <x v="2"/>
    <x v="725"/>
    <n v="49340"/>
    <n v="1"/>
    <n v="49340"/>
  </r>
  <r>
    <x v="2"/>
    <x v="726"/>
    <n v="50550"/>
    <n v="1"/>
    <n v="50550"/>
  </r>
  <r>
    <x v="2"/>
    <x v="727"/>
    <n v="48350"/>
    <n v="1"/>
    <n v="48350"/>
  </r>
  <r>
    <x v="2"/>
    <x v="728"/>
    <n v="47930"/>
    <n v="1"/>
    <n v="47930"/>
  </r>
  <r>
    <x v="2"/>
    <x v="729"/>
    <n v="48090"/>
    <n v="1"/>
    <n v="48090"/>
  </r>
  <r>
    <x v="2"/>
    <x v="730"/>
    <n v="48330"/>
    <n v="1"/>
    <n v="48330"/>
  </r>
  <r>
    <x v="2"/>
    <x v="731"/>
    <n v="49900"/>
    <n v="1"/>
    <n v="49900"/>
  </r>
  <r>
    <x v="2"/>
    <x v="732"/>
    <n v="50940"/>
    <n v="1"/>
    <n v="50940"/>
  </r>
  <r>
    <x v="2"/>
    <x v="733"/>
    <n v="49570"/>
    <n v="1"/>
    <n v="49570"/>
  </r>
  <r>
    <x v="2"/>
    <x v="734"/>
    <n v="50250"/>
    <n v="1"/>
    <n v="50250"/>
  </r>
  <r>
    <x v="2"/>
    <x v="735"/>
    <n v="49990"/>
    <n v="1"/>
    <n v="49990"/>
  </r>
  <r>
    <x v="2"/>
    <x v="736"/>
    <n v="48780"/>
    <n v="1"/>
    <n v="48780"/>
  </r>
  <r>
    <x v="2"/>
    <x v="737"/>
    <n v="49990"/>
    <n v="1"/>
    <n v="49990"/>
  </r>
  <r>
    <x v="2"/>
    <x v="738"/>
    <n v="49980"/>
    <n v="1"/>
    <n v="49980"/>
  </r>
  <r>
    <x v="2"/>
    <x v="739"/>
    <n v="47920"/>
    <n v="1"/>
    <n v="47920"/>
  </r>
  <r>
    <x v="2"/>
    <x v="740"/>
    <n v="48190"/>
    <n v="1"/>
    <n v="48190"/>
  </r>
  <r>
    <x v="2"/>
    <x v="741"/>
    <n v="50800"/>
    <n v="1"/>
    <n v="50800"/>
  </r>
  <r>
    <x v="2"/>
    <x v="742"/>
    <n v="52210"/>
    <n v="1"/>
    <n v="52210"/>
  </r>
  <r>
    <x v="2"/>
    <x v="743"/>
    <n v="53140"/>
    <n v="1"/>
    <n v="53140"/>
  </r>
  <r>
    <x v="2"/>
    <x v="744"/>
    <n v="52530"/>
    <n v="1"/>
    <n v="52530"/>
  </r>
  <r>
    <x v="2"/>
    <x v="745"/>
    <n v="49890"/>
    <n v="1"/>
    <n v="49890"/>
  </r>
  <r>
    <x v="2"/>
    <x v="746"/>
    <n v="49600"/>
    <n v="1"/>
    <n v="49600"/>
  </r>
  <r>
    <x v="2"/>
    <x v="747"/>
    <n v="49660"/>
    <n v="1"/>
    <n v="49660"/>
  </r>
  <r>
    <x v="2"/>
    <x v="748"/>
    <n v="47180"/>
    <n v="1"/>
    <n v="47180"/>
  </r>
  <r>
    <x v="2"/>
    <x v="749"/>
    <n v="47850"/>
    <n v="1"/>
    <n v="47850"/>
  </r>
  <r>
    <x v="2"/>
    <x v="750"/>
    <n v="46870"/>
    <n v="1"/>
    <n v="46870"/>
  </r>
  <r>
    <x v="2"/>
    <x v="751"/>
    <n v="42940"/>
    <n v="1"/>
    <n v="42940"/>
  </r>
  <r>
    <x v="2"/>
    <x v="752"/>
    <n v="43110"/>
    <n v="1"/>
    <n v="43110"/>
  </r>
  <r>
    <x v="2"/>
    <x v="753"/>
    <n v="43470"/>
    <n v="1"/>
    <n v="43470"/>
  </r>
  <r>
    <x v="2"/>
    <x v="754"/>
    <n v="41400"/>
    <n v="1"/>
    <n v="41400"/>
  </r>
  <r>
    <x v="2"/>
    <x v="755"/>
    <n v="40480"/>
    <n v="1"/>
    <n v="40480"/>
  </r>
  <r>
    <x v="2"/>
    <x v="756"/>
    <n v="41280"/>
    <n v="1"/>
    <n v="41280"/>
  </r>
  <r>
    <x v="2"/>
    <x v="757"/>
    <n v="41490"/>
    <n v="1"/>
    <n v="41490"/>
  </r>
  <r>
    <x v="2"/>
    <x v="758"/>
    <n v="41790"/>
    <n v="1"/>
    <n v="41790"/>
  </r>
  <r>
    <x v="2"/>
    <x v="759"/>
    <n v="41200"/>
    <n v="1"/>
    <n v="41200"/>
  </r>
  <r>
    <x v="2"/>
    <x v="760"/>
    <n v="42170"/>
    <n v="1"/>
    <n v="42170"/>
  </r>
  <r>
    <x v="2"/>
    <x v="761"/>
    <n v="43190"/>
    <n v="1"/>
    <n v="43190"/>
  </r>
  <r>
    <x v="2"/>
    <x v="762"/>
    <n v="43910"/>
    <n v="1"/>
    <n v="43910"/>
  </r>
  <r>
    <x v="2"/>
    <x v="763"/>
    <n v="42880"/>
    <n v="1"/>
    <n v="42880"/>
  </r>
  <r>
    <x v="2"/>
    <x v="764"/>
    <n v="42990"/>
    <n v="1"/>
    <n v="42990"/>
  </r>
  <r>
    <x v="2"/>
    <x v="765"/>
    <n v="43140"/>
    <n v="1"/>
    <n v="43140"/>
  </r>
  <r>
    <x v="2"/>
    <x v="766"/>
    <n v="41550"/>
    <n v="1"/>
    <n v="41550"/>
  </r>
  <r>
    <x v="2"/>
    <x v="767"/>
    <n v="42120"/>
    <n v="1"/>
    <n v="42120"/>
  </r>
  <r>
    <x v="2"/>
    <x v="768"/>
    <n v="41640"/>
    <n v="1"/>
    <n v="41640"/>
  </r>
  <r>
    <x v="2"/>
    <x v="769"/>
    <n v="41840"/>
    <n v="1"/>
    <n v="41840"/>
  </r>
  <r>
    <x v="2"/>
    <x v="770"/>
    <n v="41030"/>
    <n v="1"/>
    <n v="41030"/>
  </r>
  <r>
    <x v="2"/>
    <x v="771"/>
    <n v="39230"/>
    <n v="1"/>
    <n v="39230"/>
  </r>
  <r>
    <x v="2"/>
    <x v="772"/>
    <n v="38980"/>
    <n v="1"/>
    <n v="38980"/>
  </r>
  <r>
    <x v="2"/>
    <x v="773"/>
    <n v="40230"/>
    <n v="1"/>
    <n v="40230"/>
  </r>
  <r>
    <x v="2"/>
    <x v="774"/>
    <n v="41140"/>
    <n v="1"/>
    <n v="41140"/>
  </r>
  <r>
    <x v="2"/>
    <x v="775"/>
    <n v="40800"/>
    <n v="1"/>
    <n v="40800"/>
  </r>
  <r>
    <x v="2"/>
    <x v="776"/>
    <n v="42210"/>
    <n v="1"/>
    <n v="42210"/>
  </r>
  <r>
    <x v="2"/>
    <x v="777"/>
    <n v="40010"/>
    <n v="1"/>
    <n v="40010"/>
  </r>
  <r>
    <x v="2"/>
    <x v="778"/>
    <n v="38380"/>
    <n v="1"/>
    <n v="38380"/>
  </r>
  <r>
    <x v="2"/>
    <x v="779"/>
    <n v="37450"/>
    <n v="1"/>
    <n v="37450"/>
  </r>
  <r>
    <x v="2"/>
    <x v="780"/>
    <n v="36030"/>
    <n v="1"/>
    <n v="36030"/>
  </r>
  <r>
    <x v="2"/>
    <x v="781"/>
    <n v="36360"/>
    <n v="1"/>
    <n v="36360"/>
  </r>
  <r>
    <x v="2"/>
    <x v="782"/>
    <n v="36940"/>
    <n v="1"/>
    <n v="36940"/>
  </r>
  <r>
    <x v="2"/>
    <x v="783"/>
    <n v="35410"/>
    <n v="1"/>
    <n v="35410"/>
  </r>
  <r>
    <x v="2"/>
    <x v="784"/>
    <n v="35950"/>
    <n v="1"/>
    <n v="35950"/>
  </r>
  <r>
    <x v="2"/>
    <x v="785"/>
    <n v="34810"/>
    <n v="1"/>
    <n v="34810"/>
  </r>
  <r>
    <x v="2"/>
    <x v="786"/>
    <n v="35810"/>
    <n v="1"/>
    <n v="35810"/>
  </r>
  <r>
    <x v="2"/>
    <x v="787"/>
    <n v="35490"/>
    <n v="1"/>
    <n v="35490"/>
  </r>
  <r>
    <x v="2"/>
    <x v="788"/>
    <n v="35460"/>
    <n v="1"/>
    <n v="35460"/>
  </r>
  <r>
    <x v="2"/>
    <x v="789"/>
    <n v="35430"/>
    <n v="1"/>
    <n v="35430"/>
  </r>
  <r>
    <x v="2"/>
    <x v="790"/>
    <n v="37390"/>
    <n v="1"/>
    <n v="37390"/>
  </r>
  <r>
    <x v="2"/>
    <x v="791"/>
    <n v="36740"/>
    <n v="1"/>
    <n v="36740"/>
  </r>
  <r>
    <x v="2"/>
    <x v="792"/>
    <n v="36660"/>
    <n v="1"/>
    <n v="36660"/>
  </r>
  <r>
    <x v="2"/>
    <x v="793"/>
    <n v="36660"/>
    <n v="1"/>
    <n v="36660"/>
  </r>
  <r>
    <x v="2"/>
    <x v="794"/>
    <n v="35340"/>
    <n v="1"/>
    <n v="35340"/>
  </r>
  <r>
    <x v="2"/>
    <x v="795"/>
    <n v="34060"/>
    <n v="1"/>
    <n v="34060"/>
  </r>
  <r>
    <x v="2"/>
    <x v="796"/>
    <n v="37020"/>
    <n v="1"/>
    <n v="37020"/>
  </r>
  <r>
    <x v="2"/>
    <x v="797"/>
    <n v="38800"/>
    <n v="1"/>
    <n v="38800"/>
  </r>
  <r>
    <x v="2"/>
    <x v="798"/>
    <n v="40010"/>
    <n v="1"/>
    <n v="40010"/>
  </r>
  <r>
    <x v="2"/>
    <x v="799"/>
    <n v="40010"/>
    <n v="1"/>
    <n v="40010"/>
  </r>
  <r>
    <x v="2"/>
    <x v="800"/>
    <n v="40710"/>
    <n v="1"/>
    <n v="40710"/>
  </r>
  <r>
    <x v="2"/>
    <x v="801"/>
    <n v="40510"/>
    <n v="1"/>
    <n v="40510"/>
  </r>
  <r>
    <x v="2"/>
    <x v="802"/>
    <n v="41400"/>
    <n v="1"/>
    <n v="41400"/>
  </r>
  <r>
    <x v="2"/>
    <x v="803"/>
    <n v="40580"/>
    <n v="1"/>
    <n v="40580"/>
  </r>
  <r>
    <x v="2"/>
    <x v="804"/>
    <n v="39310"/>
    <n v="1"/>
    <n v="39310"/>
  </r>
  <r>
    <x v="2"/>
    <x v="805"/>
    <n v="39250"/>
    <n v="1"/>
    <n v="39250"/>
  </r>
  <r>
    <x v="2"/>
    <x v="806"/>
    <n v="39590"/>
    <n v="1"/>
    <n v="39590"/>
  </r>
  <r>
    <x v="2"/>
    <x v="807"/>
    <n v="39900"/>
    <n v="1"/>
    <n v="39900"/>
  </r>
  <r>
    <x v="2"/>
    <x v="808"/>
    <n v="40010"/>
    <n v="1"/>
    <n v="40010"/>
  </r>
  <r>
    <x v="2"/>
    <x v="809"/>
    <n v="40250"/>
    <n v="1"/>
    <n v="40250"/>
  </r>
  <r>
    <x v="2"/>
    <x v="810"/>
    <n v="43090"/>
    <n v="1"/>
    <n v="43090"/>
  </r>
  <r>
    <x v="2"/>
    <x v="811"/>
    <n v="42270"/>
    <n v="1"/>
    <n v="42270"/>
  </r>
  <r>
    <x v="2"/>
    <x v="812"/>
    <n v="44720"/>
    <n v="1"/>
    <n v="44720"/>
  </r>
  <r>
    <x v="2"/>
    <x v="813"/>
    <n v="43020"/>
    <n v="1"/>
    <n v="43020"/>
  </r>
  <r>
    <x v="2"/>
    <x v="814"/>
    <n v="43100"/>
    <n v="1"/>
    <n v="43100"/>
  </r>
  <r>
    <x v="2"/>
    <x v="815"/>
    <n v="45030"/>
    <n v="1"/>
    <n v="45030"/>
  </r>
  <r>
    <x v="2"/>
    <x v="816"/>
    <n v="45330"/>
    <n v="1"/>
    <n v="45330"/>
  </r>
  <r>
    <x v="2"/>
    <x v="817"/>
    <n v="44000"/>
    <n v="1"/>
    <n v="44000"/>
  </r>
  <r>
    <x v="2"/>
    <x v="818"/>
    <n v="44330"/>
    <n v="1"/>
    <n v="44330"/>
  </r>
  <r>
    <x v="2"/>
    <x v="819"/>
    <n v="44140"/>
    <n v="1"/>
    <n v="44140"/>
  </r>
  <r>
    <x v="2"/>
    <x v="820"/>
    <n v="47930"/>
    <n v="1"/>
    <n v="47930"/>
  </r>
  <r>
    <x v="2"/>
    <x v="821"/>
    <n v="47770"/>
    <n v="1"/>
    <n v="47770"/>
  </r>
  <r>
    <x v="2"/>
    <x v="822"/>
    <n v="47580"/>
    <n v="1"/>
    <n v="47580"/>
  </r>
  <r>
    <x v="2"/>
    <x v="823"/>
    <n v="47470"/>
    <n v="1"/>
    <n v="47470"/>
  </r>
  <r>
    <x v="2"/>
    <x v="824"/>
    <n v="47320"/>
    <n v="1"/>
    <n v="47320"/>
  </r>
  <r>
    <x v="2"/>
    <x v="825"/>
    <n v="48490"/>
    <n v="1"/>
    <n v="48490"/>
  </r>
  <r>
    <x v="2"/>
    <x v="826"/>
    <n v="49350"/>
    <n v="1"/>
    <n v="49350"/>
  </r>
  <r>
    <x v="2"/>
    <x v="827"/>
    <n v="48610"/>
    <n v="1"/>
    <n v="48610"/>
  </r>
  <r>
    <x v="2"/>
    <x v="828"/>
    <n v="53660"/>
    <n v="1"/>
    <n v="53660"/>
  </r>
  <r>
    <x v="2"/>
    <x v="829"/>
    <n v="53880"/>
    <n v="1"/>
    <n v="53880"/>
  </r>
  <r>
    <x v="2"/>
    <x v="830"/>
    <n v="51230"/>
    <n v="1"/>
    <n v="51230"/>
  </r>
  <r>
    <x v="2"/>
    <x v="831"/>
    <n v="46180"/>
    <n v="1"/>
    <n v="46180"/>
  </r>
  <r>
    <x v="2"/>
    <x v="832"/>
    <n v="52430"/>
    <n v="1"/>
    <n v="52430"/>
  </r>
  <r>
    <x v="2"/>
    <x v="833"/>
    <n v="51110"/>
    <n v="1"/>
    <n v="51110"/>
  </r>
  <r>
    <x v="2"/>
    <x v="834"/>
    <n v="50620"/>
    <n v="1"/>
    <n v="50620"/>
  </r>
  <r>
    <x v="2"/>
    <x v="835"/>
    <n v="51040"/>
    <n v="1"/>
    <n v="51040"/>
  </r>
  <r>
    <x v="2"/>
    <x v="836"/>
    <n v="54580"/>
    <n v="1"/>
    <n v="54580"/>
  </r>
  <r>
    <x v="2"/>
    <x v="837"/>
    <n v="56560"/>
    <n v="1"/>
    <n v="56560"/>
  </r>
  <r>
    <x v="2"/>
    <x v="838"/>
    <n v="56720"/>
    <n v="1"/>
    <n v="56720"/>
  </r>
  <r>
    <x v="2"/>
    <x v="839"/>
    <n v="56540"/>
    <n v="1"/>
    <n v="56540"/>
  </r>
  <r>
    <x v="2"/>
    <x v="840"/>
    <n v="56590"/>
    <n v="1"/>
    <n v="56590"/>
  </r>
  <r>
    <x v="2"/>
    <x v="841"/>
    <n v="56590"/>
    <n v="1"/>
    <n v="56590"/>
  </r>
  <r>
    <x v="2"/>
    <x v="842"/>
    <n v="55020"/>
    <n v="1"/>
    <n v="55020"/>
  </r>
  <r>
    <x v="2"/>
    <x v="843"/>
    <n v="56440"/>
    <n v="1"/>
    <n v="56440"/>
  </r>
  <r>
    <x v="2"/>
    <x v="844"/>
    <n v="57940"/>
    <n v="1"/>
    <n v="57940"/>
  </r>
  <r>
    <x v="2"/>
    <x v="845"/>
    <n v="58850"/>
    <n v="1"/>
    <n v="58850"/>
  </r>
  <r>
    <x v="2"/>
    <x v="846"/>
    <n v="57840"/>
    <n v="1"/>
    <n v="57840"/>
  </r>
  <r>
    <x v="2"/>
    <x v="847"/>
    <n v="58990"/>
    <n v="1"/>
    <n v="58990"/>
  </r>
  <r>
    <x v="2"/>
    <x v="848"/>
    <n v="60910"/>
    <n v="1"/>
    <n v="60910"/>
  </r>
  <r>
    <x v="2"/>
    <x v="849"/>
    <n v="62790"/>
    <n v="1"/>
    <n v="62790"/>
  </r>
  <r>
    <x v="2"/>
    <x v="850"/>
    <n v="61570"/>
    <n v="1"/>
    <n v="61570"/>
  </r>
  <r>
    <x v="2"/>
    <x v="851"/>
    <n v="62900"/>
    <n v="1"/>
    <n v="62900"/>
  </r>
  <r>
    <x v="2"/>
    <x v="852"/>
    <n v="63560"/>
    <n v="1"/>
    <n v="63560"/>
  </r>
  <r>
    <x v="2"/>
    <x v="853"/>
    <n v="63990"/>
    <n v="1"/>
    <n v="63990"/>
  </r>
  <r>
    <x v="2"/>
    <x v="854"/>
    <n v="62460"/>
    <n v="1"/>
    <n v="62460"/>
  </r>
  <r>
    <x v="2"/>
    <x v="855"/>
    <n v="60400"/>
    <n v="1"/>
    <n v="60400"/>
  </r>
  <r>
    <x v="2"/>
    <x v="856"/>
    <n v="61150"/>
    <n v="1"/>
    <n v="61150"/>
  </r>
  <r>
    <x v="2"/>
    <x v="857"/>
    <n v="61410"/>
    <n v="1"/>
    <n v="61410"/>
  </r>
  <r>
    <x v="2"/>
    <x v="858"/>
    <n v="62990"/>
    <n v="1"/>
    <n v="62990"/>
  </r>
  <r>
    <x v="2"/>
    <x v="859"/>
    <n v="62520"/>
    <n v="1"/>
    <n v="62520"/>
  </r>
  <r>
    <x v="2"/>
    <x v="860"/>
    <n v="64240"/>
    <n v="1"/>
    <n v="64240"/>
  </r>
  <r>
    <x v="2"/>
    <x v="861"/>
    <n v="63600"/>
    <n v="1"/>
    <n v="63600"/>
  </r>
  <r>
    <x v="2"/>
    <x v="862"/>
    <n v="64340"/>
    <n v="1"/>
    <n v="64340"/>
  </r>
  <r>
    <x v="2"/>
    <x v="863"/>
    <n v="63410"/>
    <n v="1"/>
    <n v="63410"/>
  </r>
  <r>
    <x v="2"/>
    <x v="864"/>
    <n v="62790"/>
    <n v="1"/>
    <n v="62790"/>
  </r>
  <r>
    <x v="2"/>
    <x v="865"/>
    <n v="60490"/>
    <n v="1"/>
    <n v="60490"/>
  </r>
  <r>
    <x v="2"/>
    <x v="866"/>
    <n v="62450"/>
    <n v="1"/>
    <n v="62450"/>
  </r>
  <r>
    <x v="2"/>
    <x v="867"/>
    <n v="62350"/>
    <n v="1"/>
    <n v="62350"/>
  </r>
  <r>
    <x v="2"/>
    <x v="868"/>
    <n v="62090"/>
    <n v="1"/>
    <n v="62090"/>
  </r>
  <r>
    <x v="2"/>
    <x v="869"/>
    <n v="64180"/>
    <n v="1"/>
    <n v="64180"/>
  </r>
  <r>
    <x v="2"/>
    <x v="870"/>
    <n v="64770"/>
    <n v="1"/>
    <n v="64770"/>
  </r>
  <r>
    <x v="2"/>
    <x v="871"/>
    <n v="66980"/>
    <n v="1"/>
    <n v="66980"/>
  </r>
  <r>
    <x v="2"/>
    <x v="872"/>
    <n v="65560"/>
    <n v="1"/>
    <n v="65560"/>
  </r>
  <r>
    <x v="2"/>
    <x v="873"/>
    <n v="61440"/>
    <n v="1"/>
    <n v="61440"/>
  </r>
  <r>
    <x v="2"/>
    <x v="874"/>
    <n v="62640"/>
    <n v="1"/>
    <n v="62640"/>
  </r>
  <r>
    <x v="2"/>
    <x v="875"/>
    <n v="60590"/>
    <n v="1"/>
    <n v="60590"/>
  </r>
  <r>
    <x v="2"/>
    <x v="876"/>
    <n v="59600"/>
    <n v="1"/>
    <n v="59600"/>
  </r>
  <r>
    <x v="2"/>
    <x v="877"/>
    <n v="61050"/>
    <n v="1"/>
    <n v="61050"/>
  </r>
  <r>
    <x v="2"/>
    <x v="878"/>
    <n v="61450"/>
    <n v="1"/>
    <n v="61450"/>
  </r>
  <r>
    <x v="2"/>
    <x v="879"/>
    <n v="61240"/>
    <n v="1"/>
    <n v="61240"/>
  </r>
  <r>
    <x v="2"/>
    <x v="880"/>
    <n v="57390"/>
    <n v="1"/>
    <n v="57390"/>
  </r>
  <r>
    <x v="2"/>
    <x v="881"/>
    <n v="57860"/>
    <n v="1"/>
    <n v="57860"/>
  </r>
  <r>
    <x v="2"/>
    <x v="882"/>
    <n v="57860"/>
    <n v="1"/>
    <n v="57860"/>
  </r>
  <r>
    <x v="2"/>
    <x v="883"/>
    <n v="58020"/>
    <n v="1"/>
    <n v="58020"/>
  </r>
  <r>
    <x v="2"/>
    <x v="884"/>
    <n v="58670"/>
    <n v="1"/>
    <n v="58670"/>
  </r>
  <r>
    <x v="2"/>
    <x v="885"/>
    <n v="55300"/>
    <n v="1"/>
    <n v="55300"/>
  </r>
  <r>
    <x v="2"/>
    <x v="886"/>
    <n v="56710"/>
    <n v="1"/>
    <n v="56710"/>
  </r>
  <r>
    <x v="2"/>
    <x v="887"/>
    <n v="57720"/>
    <n v="1"/>
    <n v="57720"/>
  </r>
  <r>
    <x v="2"/>
    <x v="888"/>
    <n v="57820"/>
    <n v="1"/>
    <n v="57820"/>
  </r>
  <r>
    <x v="2"/>
    <x v="889"/>
    <n v="58840"/>
    <n v="1"/>
    <n v="58840"/>
  </r>
  <r>
    <x v="2"/>
    <x v="890"/>
    <n v="56490"/>
    <n v="1"/>
    <n v="56490"/>
  </r>
  <r>
    <x v="2"/>
    <x v="891"/>
    <n v="55520"/>
    <n v="1"/>
    <n v="55520"/>
  </r>
  <r>
    <x v="2"/>
    <x v="892"/>
    <n v="57780"/>
    <n v="1"/>
    <n v="57780"/>
  </r>
  <r>
    <x v="2"/>
    <x v="893"/>
    <n v="58260"/>
    <n v="1"/>
    <n v="58260"/>
  </r>
  <r>
    <x v="2"/>
    <x v="894"/>
    <n v="58260"/>
    <n v="1"/>
    <n v="58260"/>
  </r>
  <r>
    <x v="2"/>
    <x v="895"/>
    <n v="57960"/>
    <n v="1"/>
    <n v="57960"/>
  </r>
  <r>
    <x v="2"/>
    <x v="896"/>
    <n v="58300"/>
    <n v="1"/>
    <n v="58300"/>
  </r>
  <r>
    <x v="2"/>
    <x v="897"/>
    <n v="58210"/>
    <n v="1"/>
    <n v="58210"/>
  </r>
  <r>
    <x v="2"/>
    <x v="898"/>
    <n v="57560"/>
    <n v="1"/>
    <n v="57560"/>
  </r>
  <r>
    <x v="2"/>
    <x v="899"/>
    <n v="56420"/>
    <n v="1"/>
    <n v="56420"/>
  </r>
  <r>
    <x v="2"/>
    <x v="900"/>
    <n v="55410"/>
    <n v="1"/>
    <n v="55410"/>
  </r>
  <r>
    <x v="2"/>
    <x v="901"/>
    <n v="55610"/>
    <n v="1"/>
    <n v="55610"/>
  </r>
  <r>
    <x v="2"/>
    <x v="902"/>
    <n v="55980"/>
    <n v="1"/>
    <n v="55980"/>
  </r>
  <r>
    <x v="2"/>
    <x v="903"/>
    <n v="56580"/>
    <n v="1"/>
    <n v="56580"/>
  </r>
  <r>
    <x v="2"/>
    <x v="904"/>
    <n v="58600"/>
    <n v="1"/>
    <n v="58600"/>
  </r>
  <r>
    <x v="2"/>
    <x v="905"/>
    <n v="59820"/>
    <n v="1"/>
    <n v="59820"/>
  </r>
  <r>
    <x v="2"/>
    <x v="906"/>
    <n v="59450"/>
    <n v="1"/>
    <n v="59450"/>
  </r>
  <r>
    <x v="2"/>
    <x v="907"/>
    <n v="57580"/>
    <n v="1"/>
    <n v="57580"/>
  </r>
  <r>
    <x v="2"/>
    <x v="908"/>
    <n v="58750"/>
    <n v="1"/>
    <n v="58750"/>
  </r>
  <r>
    <x v="2"/>
    <x v="909"/>
    <n v="57920"/>
    <n v="1"/>
    <n v="57920"/>
  </r>
  <r>
    <x v="2"/>
    <x v="910"/>
    <n v="57680"/>
    <n v="1"/>
    <n v="57680"/>
  </r>
  <r>
    <x v="2"/>
    <x v="911"/>
    <n v="54360"/>
    <n v="1"/>
    <n v="54360"/>
  </r>
  <r>
    <x v="2"/>
    <x v="912"/>
    <n v="55670"/>
    <n v="1"/>
    <n v="55670"/>
  </r>
  <r>
    <x v="2"/>
    <x v="913"/>
    <n v="59690"/>
    <n v="1"/>
    <n v="59690"/>
  </r>
  <r>
    <x v="2"/>
    <x v="914"/>
    <n v="60650"/>
    <n v="1"/>
    <n v="60650"/>
  </r>
  <r>
    <x v="2"/>
    <x v="915"/>
    <n v="61580"/>
    <n v="1"/>
    <n v="61580"/>
  </r>
  <r>
    <x v="2"/>
    <x v="916"/>
    <n v="59180"/>
    <n v="1"/>
    <n v="59180"/>
  </r>
  <r>
    <x v="2"/>
    <x v="917"/>
    <n v="57170"/>
    <n v="1"/>
    <n v="57170"/>
  </r>
  <r>
    <x v="2"/>
    <x v="918"/>
    <n v="57680"/>
    <n v="1"/>
    <n v="57680"/>
  </r>
  <r>
    <x v="2"/>
    <x v="919"/>
    <n v="57380"/>
    <n v="1"/>
    <n v="57380"/>
  </r>
  <r>
    <x v="2"/>
    <x v="920"/>
    <n v="57860"/>
    <n v="1"/>
    <n v="57860"/>
  </r>
  <r>
    <x v="2"/>
    <x v="921"/>
    <n v="57390"/>
    <n v="1"/>
    <n v="57390"/>
  </r>
  <r>
    <x v="2"/>
    <x v="922"/>
    <n v="57840"/>
    <n v="1"/>
    <n v="57840"/>
  </r>
  <r>
    <x v="2"/>
    <x v="923"/>
    <n v="57800"/>
    <n v="1"/>
    <n v="57800"/>
  </r>
  <r>
    <x v="2"/>
    <x v="924"/>
    <n v="57800"/>
    <n v="1"/>
    <n v="57800"/>
  </r>
  <r>
    <x v="2"/>
    <x v="925"/>
    <n v="58670"/>
    <n v="1"/>
    <n v="58670"/>
  </r>
  <r>
    <x v="2"/>
    <x v="926"/>
    <n v="57870"/>
    <n v="1"/>
    <n v="57870"/>
  </r>
  <r>
    <x v="2"/>
    <x v="927"/>
    <n v="57070"/>
    <n v="1"/>
    <n v="57070"/>
  </r>
  <r>
    <x v="2"/>
    <x v="928"/>
    <n v="53270"/>
    <n v="1"/>
    <n v="53270"/>
  </r>
  <r>
    <x v="2"/>
    <x v="929"/>
    <n v="50210"/>
    <n v="1"/>
    <n v="50210"/>
  </r>
  <r>
    <x v="2"/>
    <x v="930"/>
    <n v="50080"/>
    <n v="1"/>
    <n v="50080"/>
  </r>
  <r>
    <x v="2"/>
    <x v="931"/>
    <n v="50160"/>
    <n v="1"/>
    <n v="50160"/>
  </r>
  <r>
    <x v="2"/>
    <x v="932"/>
    <n v="54480"/>
    <n v="1"/>
    <n v="54480"/>
  </r>
  <r>
    <x v="2"/>
    <x v="933"/>
    <n v="55120"/>
    <n v="1"/>
    <n v="55120"/>
  </r>
  <r>
    <x v="2"/>
    <x v="934"/>
    <n v="55280"/>
    <n v="1"/>
    <n v="55280"/>
  </r>
  <r>
    <x v="2"/>
    <x v="935"/>
    <n v="52970"/>
    <n v="1"/>
    <n v="52970"/>
  </r>
  <r>
    <x v="2"/>
    <x v="936"/>
    <n v="53140"/>
    <n v="1"/>
    <n v="53140"/>
  </r>
  <r>
    <x v="2"/>
    <x v="937"/>
    <n v="53220"/>
    <n v="1"/>
    <n v="53220"/>
  </r>
  <r>
    <x v="2"/>
    <x v="938"/>
    <n v="52150"/>
    <n v="1"/>
    <n v="52150"/>
  </r>
  <r>
    <x v="2"/>
    <x v="939"/>
    <n v="50520"/>
    <n v="1"/>
    <n v="50520"/>
  </r>
  <r>
    <x v="2"/>
    <x v="940"/>
    <n v="53490"/>
    <n v="1"/>
    <n v="53490"/>
  </r>
  <r>
    <x v="2"/>
    <x v="941"/>
    <n v="52600"/>
    <n v="1"/>
    <n v="52600"/>
  </r>
  <r>
    <x v="2"/>
    <x v="942"/>
    <n v="51860"/>
    <n v="1"/>
    <n v="51860"/>
  </r>
  <r>
    <x v="2"/>
    <x v="943"/>
    <n v="50840"/>
    <n v="1"/>
    <n v="50840"/>
  </r>
  <r>
    <x v="2"/>
    <x v="944"/>
    <n v="50700"/>
    <n v="1"/>
    <n v="50700"/>
  </r>
  <r>
    <x v="2"/>
    <x v="945"/>
    <n v="50760"/>
    <n v="1"/>
    <n v="50760"/>
  </r>
  <r>
    <x v="2"/>
    <x v="946"/>
    <n v="51840"/>
    <n v="1"/>
    <n v="51840"/>
  </r>
  <r>
    <x v="2"/>
    <x v="947"/>
    <n v="53960"/>
    <n v="1"/>
    <n v="53960"/>
  </r>
  <r>
    <x v="2"/>
    <x v="948"/>
    <n v="53960"/>
    <n v="1"/>
    <n v="53960"/>
  </r>
  <r>
    <x v="2"/>
    <x v="949"/>
    <n v="53450"/>
    <n v="1"/>
    <n v="53450"/>
  </r>
  <r>
    <x v="2"/>
    <x v="950"/>
    <n v="53570"/>
    <n v="1"/>
    <n v="53570"/>
  </r>
  <r>
    <x v="2"/>
    <x v="951"/>
    <n v="54570"/>
    <n v="1"/>
    <n v="54570"/>
  </r>
  <r>
    <x v="2"/>
    <x v="952"/>
    <n v="56750"/>
    <n v="1"/>
    <n v="56750"/>
  </r>
  <r>
    <x v="2"/>
    <x v="953"/>
    <n v="55870"/>
    <n v="1"/>
    <n v="55870"/>
  </r>
  <r>
    <x v="2"/>
    <x v="954"/>
    <n v="55870"/>
    <n v="1"/>
    <n v="55870"/>
  </r>
  <r>
    <x v="2"/>
    <x v="955"/>
    <n v="56580"/>
    <n v="1"/>
    <n v="56580"/>
  </r>
  <r>
    <x v="2"/>
    <x v="956"/>
    <n v="55500"/>
    <n v="1"/>
    <n v="55500"/>
  </r>
  <r>
    <x v="2"/>
    <x v="957"/>
    <n v="54260"/>
    <n v="1"/>
    <n v="54260"/>
  </r>
  <r>
    <x v="2"/>
    <x v="958"/>
    <n v="55540"/>
    <n v="1"/>
    <n v="55540"/>
  </r>
  <r>
    <x v="2"/>
    <x v="959"/>
    <n v="57040"/>
    <n v="1"/>
    <n v="57040"/>
  </r>
  <r>
    <x v="2"/>
    <x v="960"/>
    <n v="57130"/>
    <n v="1"/>
    <n v="57130"/>
  </r>
  <r>
    <x v="2"/>
    <x v="961"/>
    <n v="57350"/>
    <n v="1"/>
    <n v="57350"/>
  </r>
  <r>
    <x v="2"/>
    <x v="962"/>
    <n v="57870"/>
    <n v="1"/>
    <n v="57870"/>
  </r>
  <r>
    <x v="2"/>
    <x v="963"/>
    <n v="55760"/>
    <n v="1"/>
    <n v="55760"/>
  </r>
  <r>
    <x v="2"/>
    <x v="964"/>
    <n v="56920"/>
    <n v="1"/>
    <n v="56920"/>
  </r>
  <r>
    <x v="2"/>
    <x v="965"/>
    <n v="56820"/>
    <n v="1"/>
    <n v="56820"/>
  </r>
  <r>
    <x v="2"/>
    <x v="966"/>
    <n v="56290"/>
    <n v="1"/>
    <n v="56290"/>
  </r>
  <r>
    <x v="2"/>
    <x v="967"/>
    <n v="55820"/>
    <n v="1"/>
    <n v="55820"/>
  </r>
  <r>
    <x v="2"/>
    <x v="968"/>
    <n v="56430"/>
    <n v="1"/>
    <n v="56430"/>
  </r>
  <r>
    <x v="2"/>
    <x v="969"/>
    <n v="57850"/>
    <n v="1"/>
    <n v="57850"/>
  </r>
  <r>
    <x v="2"/>
    <x v="970"/>
    <n v="56160"/>
    <n v="1"/>
    <n v="56160"/>
  </r>
  <r>
    <x v="2"/>
    <x v="971"/>
    <n v="54340"/>
    <n v="1"/>
    <n v="54340"/>
  </r>
  <r>
    <x v="2"/>
    <x v="972"/>
    <n v="54220"/>
    <n v="1"/>
    <n v="54220"/>
  </r>
  <r>
    <x v="2"/>
    <x v="973"/>
    <n v="53000"/>
    <n v="1"/>
    <n v="53000"/>
  </r>
  <r>
    <x v="2"/>
    <x v="974"/>
    <n v="50990"/>
    <n v="1"/>
    <n v="50990"/>
  </r>
  <r>
    <x v="2"/>
    <x v="975"/>
    <n v="49080"/>
    <n v="1"/>
    <n v="49080"/>
  </r>
  <r>
    <x v="2"/>
    <x v="976"/>
    <n v="47660"/>
    <n v="1"/>
    <n v="47660"/>
  </r>
  <r>
    <x v="2"/>
    <x v="977"/>
    <n v="48750"/>
    <n v="1"/>
    <n v="48750"/>
  </r>
  <r>
    <x v="2"/>
    <x v="978"/>
    <n v="49870"/>
    <n v="1"/>
    <n v="49870"/>
  </r>
  <r>
    <x v="2"/>
    <x v="979"/>
    <n v="50770"/>
    <n v="1"/>
    <n v="50770"/>
  </r>
  <r>
    <x v="2"/>
    <x v="980"/>
    <n v="51080"/>
    <n v="1"/>
    <n v="51080"/>
  </r>
  <r>
    <x v="2"/>
    <x v="981"/>
    <n v="51820"/>
    <n v="1"/>
    <n v="51820"/>
  </r>
  <r>
    <x v="2"/>
    <x v="982"/>
    <n v="50770"/>
    <n v="1"/>
    <n v="50770"/>
  </r>
  <r>
    <x v="2"/>
    <x v="983"/>
    <n v="50820"/>
    <n v="1"/>
    <n v="50820"/>
  </r>
  <r>
    <x v="2"/>
    <x v="984"/>
    <n v="51010"/>
    <n v="1"/>
    <n v="51010"/>
  </r>
  <r>
    <x v="2"/>
    <x v="985"/>
    <n v="51620"/>
    <n v="1"/>
    <n v="51620"/>
  </r>
  <r>
    <x v="2"/>
    <x v="986"/>
    <n v="53240"/>
    <n v="1"/>
    <n v="53240"/>
  </r>
  <r>
    <x v="2"/>
    <x v="987"/>
    <n v="53290"/>
    <n v="1"/>
    <n v="53290"/>
  </r>
  <r>
    <x v="2"/>
    <x v="988"/>
    <n v="52470"/>
    <n v="1"/>
    <n v="52470"/>
  </r>
  <r>
    <x v="2"/>
    <x v="989"/>
    <n v="50440"/>
    <n v="1"/>
    <n v="50440"/>
  </r>
  <r>
    <x v="2"/>
    <x v="990"/>
    <n v="49760"/>
    <n v="1"/>
    <n v="49760"/>
  </r>
  <r>
    <x v="2"/>
    <x v="991"/>
    <n v="50550"/>
    <n v="1"/>
    <n v="50550"/>
  </r>
  <r>
    <x v="2"/>
    <x v="992"/>
    <n v="52420"/>
    <n v="1"/>
    <n v="52420"/>
  </r>
  <r>
    <x v="2"/>
    <x v="993"/>
    <n v="50650"/>
    <n v="1"/>
    <n v="50650"/>
  </r>
  <r>
    <x v="2"/>
    <x v="994"/>
    <n v="52490"/>
    <n v="1"/>
    <n v="52490"/>
  </r>
  <r>
    <x v="2"/>
    <x v="995"/>
    <n v="53710"/>
    <n v="1"/>
    <n v="53710"/>
  </r>
  <r>
    <x v="2"/>
    <x v="996"/>
    <n v="52740"/>
    <n v="1"/>
    <n v="52740"/>
  </r>
  <r>
    <x v="2"/>
    <x v="997"/>
    <n v="52310"/>
    <n v="1"/>
    <n v="52310"/>
  </r>
  <r>
    <x v="2"/>
    <x v="998"/>
    <n v="52970"/>
    <n v="1"/>
    <n v="52970"/>
  </r>
  <r>
    <x v="2"/>
    <x v="999"/>
    <n v="50310"/>
    <n v="1"/>
    <n v="50310"/>
  </r>
  <r>
    <x v="2"/>
    <x v="1000"/>
    <n v="52540"/>
    <n v="1"/>
    <n v="52540"/>
  </r>
  <r>
    <x v="2"/>
    <x v="1001"/>
    <n v="54760"/>
    <n v="1"/>
    <n v="54760"/>
  </r>
  <r>
    <x v="2"/>
    <x v="1002"/>
    <n v="55360"/>
    <n v="1"/>
    <n v="55360"/>
  </r>
  <r>
    <x v="2"/>
    <x v="1003"/>
    <n v="54970"/>
    <n v="1"/>
    <n v="54970"/>
  </r>
  <r>
    <x v="2"/>
    <x v="1004"/>
    <n v="53300"/>
    <n v="1"/>
    <n v="53300"/>
  </r>
  <r>
    <x v="2"/>
    <x v="1005"/>
    <n v="54470"/>
    <n v="1"/>
    <n v="54470"/>
  </r>
  <r>
    <x v="2"/>
    <x v="1006"/>
    <n v="55080"/>
    <n v="1"/>
    <n v="55080"/>
  </r>
  <r>
    <x v="2"/>
    <x v="1007"/>
    <n v="55910"/>
    <n v="1"/>
    <n v="55910"/>
  </r>
  <r>
    <x v="2"/>
    <x v="1008"/>
    <n v="55910"/>
    <n v="1"/>
    <n v="55910"/>
  </r>
  <r>
    <x v="2"/>
    <x v="1009"/>
    <n v="58320"/>
    <n v="1"/>
    <n v="58320"/>
  </r>
  <r>
    <x v="2"/>
    <x v="1010"/>
    <n v="59330"/>
    <n v="1"/>
    <n v="59330"/>
  </r>
  <r>
    <x v="2"/>
    <x v="1011"/>
    <n v="58610"/>
    <n v="1"/>
    <n v="58610"/>
  </r>
  <r>
    <x v="2"/>
    <x v="1012"/>
    <n v="59920"/>
    <n v="1"/>
    <n v="59920"/>
  </r>
  <r>
    <x v="2"/>
    <x v="1013"/>
    <n v="60010"/>
    <n v="1"/>
    <n v="60010"/>
  </r>
  <r>
    <x v="2"/>
    <x v="1014"/>
    <n v="60930"/>
    <n v="1"/>
    <n v="60930"/>
  </r>
  <r>
    <x v="2"/>
    <x v="1015"/>
    <n v="63450"/>
    <n v="1"/>
    <n v="63450"/>
  </r>
  <r>
    <x v="2"/>
    <x v="1016"/>
    <n v="60780"/>
    <n v="1"/>
    <n v="60780"/>
  </r>
  <r>
    <x v="2"/>
    <x v="1017"/>
    <n v="61440"/>
    <n v="1"/>
    <n v="61440"/>
  </r>
  <r>
    <x v="2"/>
    <x v="1018"/>
    <n v="60720"/>
    <n v="1"/>
    <n v="60720"/>
  </r>
  <r>
    <x v="2"/>
    <x v="1019"/>
    <n v="62580"/>
    <n v="1"/>
    <n v="62580"/>
  </r>
  <r>
    <x v="2"/>
    <x v="1020"/>
    <n v="62580"/>
    <n v="1"/>
    <n v="62580"/>
  </r>
  <r>
    <x v="2"/>
    <x v="1021"/>
    <n v="62060"/>
    <n v="1"/>
    <n v="62060"/>
  </r>
  <r>
    <x v="2"/>
    <x v="1022"/>
    <n v="61720"/>
    <n v="1"/>
    <n v="61720"/>
  </r>
  <r>
    <x v="2"/>
    <x v="1023"/>
    <n v="64120"/>
    <n v="1"/>
    <n v="64120"/>
  </r>
  <r>
    <x v="2"/>
    <x v="1024"/>
    <n v="61840"/>
    <n v="1"/>
    <n v="61840"/>
  </r>
  <r>
    <x v="2"/>
    <x v="1025"/>
    <n v="65440"/>
    <n v="1"/>
    <n v="65440"/>
  </r>
  <r>
    <x v="2"/>
    <x v="1026"/>
    <n v="64950"/>
    <n v="1"/>
    <n v="64950"/>
  </r>
  <r>
    <x v="2"/>
    <x v="1027"/>
    <n v="64110"/>
    <n v="1"/>
    <n v="64110"/>
  </r>
  <r>
    <x v="2"/>
    <x v="1028"/>
    <n v="63570"/>
    <n v="1"/>
    <n v="63570"/>
  </r>
  <r>
    <x v="2"/>
    <x v="1029"/>
    <n v="61310"/>
    <n v="1"/>
    <n v="61310"/>
  </r>
  <r>
    <x v="2"/>
    <x v="1030"/>
    <n v="60460"/>
    <n v="1"/>
    <n v="60460"/>
  </r>
  <r>
    <x v="2"/>
    <x v="1031"/>
    <n v="62320"/>
    <n v="1"/>
    <n v="62320"/>
  </r>
  <r>
    <x v="2"/>
    <x v="1032"/>
    <n v="62320"/>
    <n v="1"/>
    <n v="62320"/>
  </r>
  <r>
    <x v="2"/>
    <x v="1033"/>
    <n v="62590"/>
    <n v="1"/>
    <n v="62590"/>
  </r>
  <r>
    <x v="2"/>
    <x v="1034"/>
    <n v="61470"/>
    <n v="1"/>
    <n v="61470"/>
  </r>
  <r>
    <x v="2"/>
    <x v="1035"/>
    <n v="60090"/>
    <n v="1"/>
    <n v="60090"/>
  </r>
  <r>
    <x v="2"/>
    <x v="1036"/>
    <n v="57960"/>
    <n v="1"/>
    <n v="57960"/>
  </r>
  <r>
    <x v="2"/>
    <x v="1037"/>
    <n v="59240"/>
    <n v="1"/>
    <n v="59240"/>
  </r>
  <r>
    <x v="2"/>
    <x v="1038"/>
    <n v="59220"/>
    <n v="1"/>
    <n v="59220"/>
  </r>
  <r>
    <x v="2"/>
    <x v="1039"/>
    <n v="58920"/>
    <n v="1"/>
    <n v="58920"/>
  </r>
  <r>
    <x v="2"/>
    <x v="1040"/>
    <n v="61210"/>
    <n v="1"/>
    <n v="61210"/>
  </r>
  <r>
    <x v="2"/>
    <x v="1041"/>
    <n v="60870"/>
    <n v="1"/>
    <n v="60870"/>
  </r>
  <r>
    <x v="2"/>
    <x v="1042"/>
    <n v="65090"/>
    <n v="1"/>
    <n v="65090"/>
  </r>
  <r>
    <x v="2"/>
    <x v="1043"/>
    <n v="65800"/>
    <n v="1"/>
    <n v="65800"/>
  </r>
  <r>
    <x v="2"/>
    <x v="1044"/>
    <n v="65800"/>
    <n v="1"/>
    <n v="65800"/>
  </r>
  <r>
    <x v="2"/>
    <x v="1045"/>
    <n v="64500"/>
    <n v="1"/>
    <n v="64500"/>
  </r>
  <r>
    <x v="2"/>
    <x v="1046"/>
    <n v="62700"/>
    <n v="1"/>
    <n v="62700"/>
  </r>
  <r>
    <x v="2"/>
    <x v="1047"/>
    <n v="63020"/>
    <n v="1"/>
    <n v="63020"/>
  </r>
  <r>
    <x v="2"/>
    <x v="1048"/>
    <n v="62960"/>
    <n v="1"/>
    <n v="62960"/>
  </r>
  <r>
    <x v="2"/>
    <x v="1049"/>
    <n v="62780"/>
    <n v="1"/>
    <n v="62780"/>
  </r>
  <r>
    <x v="2"/>
    <x v="1050"/>
    <n v="63500"/>
    <n v="1"/>
    <n v="63500"/>
  </r>
  <r>
    <x v="2"/>
    <x v="1051"/>
    <n v="63620"/>
    <n v="1"/>
    <n v="63620"/>
  </r>
  <r>
    <x v="2"/>
    <x v="1052"/>
    <n v="62210"/>
    <n v="1"/>
    <n v="62210"/>
  </r>
  <r>
    <x v="2"/>
    <x v="1053"/>
    <n v="60150"/>
    <n v="1"/>
    <n v="60150"/>
  </r>
  <r>
    <x v="2"/>
    <x v="1054"/>
    <n v="60040"/>
    <n v="1"/>
    <n v="60040"/>
  </r>
  <r>
    <x v="2"/>
    <x v="1055"/>
    <n v="59140"/>
    <n v="1"/>
    <n v="59140"/>
  </r>
  <r>
    <x v="2"/>
    <x v="1056"/>
    <n v="59050"/>
    <n v="1"/>
    <n v="59050"/>
  </r>
  <r>
    <x v="2"/>
    <x v="1057"/>
    <n v="57460"/>
    <n v="1"/>
    <n v="57460"/>
  </r>
  <r>
    <x v="2"/>
    <x v="1058"/>
    <n v="57660"/>
    <n v="1"/>
    <n v="57660"/>
  </r>
  <r>
    <x v="2"/>
    <x v="1059"/>
    <n v="59640"/>
    <n v="1"/>
    <n v="59640"/>
  </r>
  <r>
    <x v="2"/>
    <x v="1060"/>
    <n v="60730"/>
    <n v="1"/>
    <n v="60730"/>
  </r>
  <r>
    <x v="2"/>
    <x v="1061"/>
    <n v="60280"/>
    <n v="1"/>
    <n v="60280"/>
  </r>
  <r>
    <x v="2"/>
    <x v="1062"/>
    <n v="59380"/>
    <n v="1"/>
    <n v="59380"/>
  </r>
  <r>
    <x v="2"/>
    <x v="1063"/>
    <n v="62310"/>
    <n v="1"/>
    <n v="62310"/>
  </r>
  <r>
    <x v="2"/>
    <x v="1064"/>
    <n v="61800"/>
    <n v="1"/>
    <n v="61800"/>
  </r>
  <r>
    <x v="2"/>
    <x v="1065"/>
    <n v="62940"/>
    <n v="1"/>
    <n v="62940"/>
  </r>
  <r>
    <x v="2"/>
    <x v="1066"/>
    <n v="63870"/>
    <n v="1"/>
    <n v="63870"/>
  </r>
  <r>
    <x v="2"/>
    <x v="1067"/>
    <n v="61110"/>
    <n v="1"/>
    <n v="61110"/>
  </r>
  <r>
    <x v="2"/>
    <x v="1068"/>
    <n v="60330"/>
    <n v="1"/>
    <n v="60330"/>
  </r>
  <r>
    <x v="2"/>
    <x v="1069"/>
    <n v="60440"/>
    <n v="1"/>
    <n v="60440"/>
  </r>
  <r>
    <x v="2"/>
    <x v="1070"/>
    <n v="62540"/>
    <n v="1"/>
    <n v="62540"/>
  </r>
  <r>
    <x v="2"/>
    <x v="1071"/>
    <n v="63980"/>
    <n v="1"/>
    <n v="63980"/>
  </r>
  <r>
    <x v="2"/>
    <x v="1072"/>
    <n v="65320"/>
    <n v="1"/>
    <n v="65320"/>
  </r>
  <r>
    <x v="2"/>
    <x v="1073"/>
    <n v="65920"/>
    <n v="1"/>
    <n v="65920"/>
  </r>
  <r>
    <x v="2"/>
    <x v="1074"/>
    <n v="66160"/>
    <n v="1"/>
    <n v="66160"/>
  </r>
  <r>
    <x v="2"/>
    <x v="1075"/>
    <n v="66180"/>
    <n v="1"/>
    <n v="66180"/>
  </r>
  <r>
    <x v="2"/>
    <x v="1076"/>
    <n v="67070"/>
    <n v="1"/>
    <n v="67070"/>
  </r>
  <r>
    <x v="2"/>
    <x v="1077"/>
    <n v="66610"/>
    <n v="1"/>
    <n v="66610"/>
  </r>
  <r>
    <x v="2"/>
    <x v="1078"/>
    <n v="67950"/>
    <n v="1"/>
    <n v="67950"/>
  </r>
  <r>
    <x v="2"/>
    <x v="1079"/>
    <n v="68010"/>
    <n v="1"/>
    <n v="68010"/>
  </r>
  <r>
    <x v="2"/>
    <x v="1080"/>
    <n v="68280"/>
    <n v="1"/>
    <n v="68280"/>
  </r>
  <r>
    <x v="2"/>
    <x v="1081"/>
    <n v="68810"/>
    <n v="1"/>
    <n v="68810"/>
  </r>
  <r>
    <x v="2"/>
    <x v="1082"/>
    <n v="67310"/>
    <n v="1"/>
    <n v="67310"/>
  </r>
  <r>
    <x v="2"/>
    <x v="1083"/>
    <n v="66510"/>
    <n v="1"/>
    <n v="66510"/>
  </r>
  <r>
    <x v="2"/>
    <x v="1084"/>
    <n v="65040"/>
    <n v="1"/>
    <n v="65040"/>
  </r>
  <r>
    <x v="2"/>
    <x v="1085"/>
    <n v="63930"/>
    <n v="1"/>
    <n v="63930"/>
  </r>
  <r>
    <x v="2"/>
    <x v="1086"/>
    <n v="63360"/>
    <n v="1"/>
    <n v="63360"/>
  </r>
  <r>
    <x v="2"/>
    <x v="1087"/>
    <n v="62670"/>
    <n v="1"/>
    <n v="62670"/>
  </r>
  <r>
    <x v="2"/>
    <x v="1088"/>
    <n v="63320"/>
    <n v="1"/>
    <n v="63320"/>
  </r>
  <r>
    <x v="2"/>
    <x v="1089"/>
    <n v="65920"/>
    <n v="1"/>
    <n v="65920"/>
  </r>
  <r>
    <x v="2"/>
    <x v="1090"/>
    <n v="66670"/>
    <n v="1"/>
    <n v="66670"/>
  </r>
  <r>
    <x v="2"/>
    <x v="1091"/>
    <n v="66630"/>
    <n v="1"/>
    <n v="66630"/>
  </r>
  <r>
    <x v="2"/>
    <x v="1092"/>
    <n v="66270"/>
    <n v="1"/>
    <n v="66270"/>
  </r>
  <r>
    <x v="2"/>
    <x v="1093"/>
    <n v="66980"/>
    <n v="1"/>
    <n v="66980"/>
  </r>
  <r>
    <x v="2"/>
    <x v="1094"/>
    <n v="66920"/>
    <n v="1"/>
    <n v="66920"/>
  </r>
  <r>
    <x v="2"/>
    <x v="1095"/>
    <n v="68510"/>
    <n v="1"/>
    <n v="68510"/>
  </r>
  <r>
    <x v="2"/>
    <x v="1096"/>
    <n v="68510"/>
    <n v="1"/>
    <n v="68510"/>
  </r>
  <r>
    <x v="2"/>
    <x v="1097"/>
    <n v="68510"/>
    <n v="1"/>
    <n v="68510"/>
  </r>
  <r>
    <x v="2"/>
    <x v="1098"/>
    <n v="66450"/>
    <n v="1"/>
    <n v="66450"/>
  </r>
  <r>
    <x v="2"/>
    <x v="1099"/>
    <n v="68640"/>
    <n v="1"/>
    <n v="68640"/>
  </r>
  <r>
    <x v="2"/>
    <x v="1100"/>
    <n v="68640"/>
    <n v="1"/>
    <n v="68640"/>
  </r>
  <r>
    <x v="2"/>
    <x v="1101"/>
    <n v="68640"/>
    <n v="1"/>
    <n v="68640"/>
  </r>
  <r>
    <x v="2"/>
    <x v="1102"/>
    <n v="68640"/>
    <n v="1"/>
    <n v="68640"/>
  </r>
  <r>
    <x v="2"/>
    <x v="1103"/>
    <n v="67280"/>
    <n v="1"/>
    <n v="67280"/>
  </r>
  <r>
    <x v="2"/>
    <x v="1104"/>
    <n v="68450"/>
    <n v="1"/>
    <n v="68450"/>
  </r>
  <r>
    <x v="2"/>
    <x v="1105"/>
    <n v="66450"/>
    <n v="1"/>
    <n v="66450"/>
  </r>
  <r>
    <x v="2"/>
    <x v="1106"/>
    <n v="68990"/>
    <n v="1"/>
    <n v="68990"/>
  </r>
  <r>
    <x v="2"/>
    <x v="1107"/>
    <n v="68430"/>
    <n v="1"/>
    <n v="68430"/>
  </r>
  <r>
    <x v="2"/>
    <x v="1108"/>
    <n v="68820"/>
    <n v="1"/>
    <n v="68820"/>
  </r>
  <r>
    <x v="2"/>
    <x v="1109"/>
    <n v="68560"/>
    <n v="1"/>
    <n v="68560"/>
  </r>
  <r>
    <x v="2"/>
    <x v="1110"/>
    <n v="66460"/>
    <n v="1"/>
    <n v="66460"/>
  </r>
  <r>
    <x v="2"/>
    <x v="1111"/>
    <n v="68800"/>
    <n v="1"/>
    <n v="68800"/>
  </r>
  <r>
    <x v="2"/>
    <x v="1112"/>
    <n v="72490"/>
    <n v="1"/>
    <n v="72490"/>
  </r>
  <r>
    <x v="2"/>
    <x v="1113"/>
    <n v="75900"/>
    <n v="1"/>
    <n v="75900"/>
  </r>
  <r>
    <x v="2"/>
    <x v="1114"/>
    <n v="75900"/>
    <n v="1"/>
    <n v="75900"/>
  </r>
  <r>
    <x v="2"/>
    <x v="1115"/>
    <n v="75820"/>
    <n v="1"/>
    <n v="75820"/>
  </r>
  <r>
    <x v="2"/>
    <x v="1116"/>
    <n v="74230"/>
    <n v="1"/>
    <n v="74230"/>
  </r>
  <r>
    <x v="2"/>
    <x v="1117"/>
    <n v="73380"/>
    <n v="1"/>
    <n v="73380"/>
  </r>
  <r>
    <x v="2"/>
    <x v="1118"/>
    <n v="69570"/>
    <n v="1"/>
    <n v="69570"/>
  </r>
  <r>
    <x v="2"/>
    <x v="1119"/>
    <n v="70510"/>
    <n v="1"/>
    <n v="70510"/>
  </r>
  <r>
    <x v="2"/>
    <x v="1120"/>
    <n v="70510"/>
    <n v="1"/>
    <n v="70510"/>
  </r>
  <r>
    <x v="2"/>
    <x v="1121"/>
    <n v="70450"/>
    <n v="1"/>
    <n v="70450"/>
  </r>
  <r>
    <x v="2"/>
    <x v="1122"/>
    <n v="69460"/>
    <n v="1"/>
    <n v="69460"/>
  </r>
  <r>
    <x v="2"/>
    <x v="1123"/>
    <n v="70890"/>
    <n v="1"/>
    <n v="70890"/>
  </r>
  <r>
    <x v="2"/>
    <x v="1124"/>
    <n v="71650"/>
    <n v="1"/>
    <n v="71650"/>
  </r>
  <r>
    <x v="2"/>
    <x v="1125"/>
    <n v="72260"/>
    <n v="1"/>
    <n v="72260"/>
  </r>
  <r>
    <x v="2"/>
    <x v="1126"/>
    <n v="72650"/>
    <n v="1"/>
    <n v="72650"/>
  </r>
  <r>
    <x v="2"/>
    <x v="1127"/>
    <n v="73040"/>
    <n v="1"/>
    <n v="73040"/>
  </r>
  <r>
    <x v="2"/>
    <x v="1128"/>
    <n v="72530"/>
    <n v="1"/>
    <n v="72530"/>
  </r>
  <r>
    <x v="2"/>
    <x v="1129"/>
    <n v="70810"/>
    <n v="1"/>
    <n v="70810"/>
  </r>
  <r>
    <x v="2"/>
    <x v="1130"/>
    <n v="70560"/>
    <n v="1"/>
    <n v="70560"/>
  </r>
  <r>
    <x v="2"/>
    <x v="1131"/>
    <n v="71750"/>
    <n v="1"/>
    <n v="71750"/>
  </r>
  <r>
    <x v="2"/>
    <x v="1132"/>
    <n v="72010"/>
    <n v="1"/>
    <n v="72010"/>
  </r>
  <r>
    <x v="2"/>
    <x v="1133"/>
    <n v="71810"/>
    <n v="1"/>
    <n v="71810"/>
  </r>
  <r>
    <x v="2"/>
    <x v="1134"/>
    <n v="72280"/>
    <n v="1"/>
    <n v="72280"/>
  </r>
  <r>
    <x v="2"/>
    <x v="1135"/>
    <n v="71960"/>
    <n v="1"/>
    <n v="71960"/>
  </r>
  <r>
    <x v="2"/>
    <x v="1136"/>
    <n v="70370"/>
    <n v="1"/>
    <n v="70370"/>
  </r>
  <r>
    <x v="2"/>
    <x v="1137"/>
    <n v="70270"/>
    <n v="1"/>
    <n v="70270"/>
  </r>
  <r>
    <x v="2"/>
    <x v="1138"/>
    <n v="70420"/>
    <n v="1"/>
    <n v="70420"/>
  </r>
  <r>
    <x v="2"/>
    <x v="1139"/>
    <n v="70860"/>
    <n v="1"/>
    <n v="70860"/>
  </r>
  <r>
    <x v="2"/>
    <x v="1140"/>
    <n v="74550"/>
    <n v="1"/>
    <n v="74550"/>
  </r>
  <r>
    <x v="2"/>
    <x v="1141"/>
    <n v="73990"/>
    <n v="1"/>
    <n v="73990"/>
  </r>
  <r>
    <x v="2"/>
    <x v="1142"/>
    <n v="75450"/>
    <n v="1"/>
    <n v="75450"/>
  </r>
  <r>
    <x v="2"/>
    <x v="1143"/>
    <n v="69490"/>
    <n v="1"/>
    <n v="69490"/>
  </r>
  <r>
    <x v="2"/>
    <x v="1144"/>
    <n v="69660"/>
    <n v="1"/>
    <n v="69660"/>
  </r>
  <r>
    <x v="2"/>
    <x v="1145"/>
    <n v="70330"/>
    <n v="1"/>
    <n v="70330"/>
  </r>
  <r>
    <x v="2"/>
    <x v="1146"/>
    <n v="70060"/>
    <n v="1"/>
    <n v="70060"/>
  </r>
  <r>
    <x v="2"/>
    <x v="1147"/>
    <n v="71340"/>
    <n v="1"/>
    <n v="71340"/>
  </r>
  <r>
    <x v="2"/>
    <x v="1148"/>
    <n v="72850"/>
    <n v="1"/>
    <n v="72850"/>
  </r>
  <r>
    <x v="2"/>
    <x v="1149"/>
    <n v="75210"/>
    <n v="1"/>
    <n v="75210"/>
  </r>
  <r>
    <x v="2"/>
    <x v="1150"/>
    <n v="75210"/>
    <n v="1"/>
    <n v="75210"/>
  </r>
  <r>
    <x v="2"/>
    <x v="1151"/>
    <n v="75210"/>
    <n v="1"/>
    <n v="75210"/>
  </r>
  <r>
    <x v="2"/>
    <x v="1152"/>
    <n v="78360"/>
    <n v="1"/>
    <n v="78360"/>
  </r>
  <r>
    <x v="2"/>
    <x v="1153"/>
    <n v="81160"/>
    <n v="1"/>
    <n v="81160"/>
  </r>
  <r>
    <x v="2"/>
    <x v="1154"/>
    <n v="78880"/>
    <n v="1"/>
    <n v="78880"/>
  </r>
  <r>
    <x v="2"/>
    <x v="1155"/>
    <n v="76900"/>
    <n v="1"/>
    <n v="76900"/>
  </r>
  <r>
    <x v="2"/>
    <x v="1156"/>
    <n v="76860"/>
    <n v="1"/>
    <n v="76860"/>
  </r>
  <r>
    <x v="2"/>
    <x v="1157"/>
    <n v="76730"/>
    <n v="1"/>
    <n v="76730"/>
  </r>
  <r>
    <x v="2"/>
    <x v="1158"/>
    <n v="77420"/>
    <n v="1"/>
    <n v="77420"/>
  </r>
  <r>
    <x v="2"/>
    <x v="1159"/>
    <n v="77360"/>
    <n v="1"/>
    <n v="77360"/>
  </r>
  <r>
    <x v="2"/>
    <x v="1160"/>
    <n v="78350"/>
    <n v="1"/>
    <n v="78350"/>
  </r>
  <r>
    <x v="2"/>
    <x v="1161"/>
    <n v="74300"/>
    <n v="1"/>
    <n v="74300"/>
  </r>
  <r>
    <x v="2"/>
    <x v="1162"/>
    <n v="73160"/>
    <n v="1"/>
    <n v="73160"/>
  </r>
  <r>
    <x v="2"/>
    <x v="1163"/>
    <n v="75880"/>
    <n v="1"/>
    <n v="75880"/>
  </r>
  <r>
    <x v="2"/>
    <x v="1164"/>
    <n v="79740"/>
    <n v="1"/>
    <n v="79740"/>
  </r>
  <r>
    <x v="2"/>
    <x v="1165"/>
    <n v="78150"/>
    <n v="1"/>
    <n v="78150"/>
  </r>
  <r>
    <x v="2"/>
    <x v="1167"/>
    <n v="77290"/>
    <n v="1"/>
    <n v="77290"/>
  </r>
  <r>
    <x v="2"/>
    <x v="1168"/>
    <n v="77290"/>
    <n v="1"/>
    <n v="77290"/>
  </r>
  <r>
    <x v="2"/>
    <x v="1169"/>
    <n v="75590"/>
    <n v="1"/>
    <n v="75590"/>
  </r>
  <r>
    <x v="2"/>
    <x v="1170"/>
    <n v="76310"/>
    <n v="1"/>
    <n v="76310"/>
  </r>
  <r>
    <x v="2"/>
    <x v="1171"/>
    <n v="74340"/>
    <n v="1"/>
    <n v="74340"/>
  </r>
  <r>
    <x v="2"/>
    <x v="1172"/>
    <n v="77300"/>
    <n v="1"/>
    <n v="77300"/>
  </r>
  <r>
    <x v="2"/>
    <x v="1173"/>
    <n v="80940"/>
    <n v="1"/>
    <n v="80940"/>
  </r>
  <r>
    <x v="2"/>
    <x v="1174"/>
    <n v="80670"/>
    <n v="1"/>
    <n v="80670"/>
  </r>
  <r>
    <x v="2"/>
    <x v="1175"/>
    <n v="80420"/>
    <n v="1"/>
    <n v="80420"/>
  </r>
  <r>
    <x v="2"/>
    <x v="1176"/>
    <n v="79970"/>
    <n v="1"/>
    <n v="79970"/>
  </r>
  <r>
    <x v="2"/>
    <x v="1177"/>
    <n v="77700"/>
    <n v="1"/>
    <n v="77700"/>
  </r>
  <r>
    <x v="2"/>
    <x v="1178"/>
    <n v="76980"/>
    <n v="1"/>
    <n v="76980"/>
  </r>
  <r>
    <x v="2"/>
    <x v="1179"/>
    <n v="75520"/>
    <n v="1"/>
    <n v="75520"/>
  </r>
  <r>
    <x v="2"/>
    <x v="1180"/>
    <n v="75520"/>
    <n v="1"/>
    <n v="75520"/>
  </r>
  <r>
    <x v="2"/>
    <x v="1181"/>
    <n v="76420"/>
    <n v="1"/>
    <n v="76420"/>
  </r>
  <r>
    <x v="2"/>
    <x v="1182"/>
    <n v="75240"/>
    <n v="1"/>
    <n v="75240"/>
  </r>
  <r>
    <x v="2"/>
    <x v="1183"/>
    <n v="73570"/>
    <n v="1"/>
    <n v="73570"/>
  </r>
  <r>
    <x v="2"/>
    <x v="1184"/>
    <n v="72320"/>
    <n v="1"/>
    <n v="72320"/>
  </r>
  <r>
    <x v="2"/>
    <x v="1185"/>
    <n v="72590"/>
    <n v="1"/>
    <n v="72590"/>
  </r>
  <r>
    <x v="2"/>
    <x v="1186"/>
    <n v="72590"/>
    <n v="1"/>
    <n v="72590"/>
  </r>
  <r>
    <x v="2"/>
    <x v="1187"/>
    <n v="71420"/>
    <n v="1"/>
    <n v="71420"/>
  </r>
  <r>
    <x v="2"/>
    <x v="1188"/>
    <n v="73970"/>
    <n v="1"/>
    <n v="73970"/>
  </r>
  <r>
    <x v="2"/>
    <x v="1189"/>
    <n v="70970"/>
    <n v="1"/>
    <n v="70970"/>
  </r>
  <r>
    <x v="2"/>
    <x v="1190"/>
    <n v="70680"/>
    <n v="1"/>
    <n v="70680"/>
  </r>
  <r>
    <x v="2"/>
    <x v="1191"/>
    <n v="73180"/>
    <n v="1"/>
    <n v="73180"/>
  </r>
  <r>
    <x v="2"/>
    <x v="1192"/>
    <n v="72340"/>
    <n v="1"/>
    <n v="72340"/>
  </r>
  <r>
    <x v="2"/>
    <x v="1193"/>
    <n v="72450"/>
    <n v="1"/>
    <n v="72450"/>
  </r>
  <r>
    <x v="2"/>
    <x v="1194"/>
    <n v="73080"/>
    <n v="1"/>
    <n v="73080"/>
  </r>
  <r>
    <x v="2"/>
    <x v="1195"/>
    <n v="71760"/>
    <n v="1"/>
    <n v="71760"/>
  </r>
  <r>
    <x v="2"/>
    <x v="1196"/>
    <n v="67070"/>
    <n v="1"/>
    <n v="67070"/>
  </r>
  <r>
    <x v="2"/>
    <x v="1197"/>
    <n v="65500"/>
    <n v="1"/>
    <n v="65500"/>
  </r>
  <r>
    <x v="2"/>
    <x v="1198"/>
    <n v="65800"/>
    <n v="1"/>
    <n v="65800"/>
  </r>
  <r>
    <x v="2"/>
    <x v="1199"/>
    <n v="65330"/>
    <n v="1"/>
    <n v="65330"/>
  </r>
  <r>
    <x v="2"/>
    <x v="1200"/>
    <n v="65820"/>
    <n v="1"/>
    <n v="65820"/>
  </r>
  <r>
    <x v="2"/>
    <x v="1201"/>
    <n v="66360"/>
    <n v="1"/>
    <n v="66360"/>
  </r>
  <r>
    <x v="2"/>
    <x v="1202"/>
    <n v="67900"/>
    <n v="1"/>
    <n v="67900"/>
  </r>
  <r>
    <x v="2"/>
    <x v="1203"/>
    <n v="68120"/>
    <n v="1"/>
    <n v="68120"/>
  </r>
  <r>
    <x v="2"/>
    <x v="1204"/>
    <n v="68120"/>
    <n v="1"/>
    <n v="68120"/>
  </r>
  <r>
    <x v="2"/>
    <x v="1205"/>
    <n v="68080"/>
    <n v="1"/>
    <n v="68080"/>
  </r>
  <r>
    <x v="2"/>
    <x v="1206"/>
    <n v="68480"/>
    <n v="1"/>
    <n v="68480"/>
  </r>
  <r>
    <x v="2"/>
    <x v="1207"/>
    <n v="66000"/>
    <n v="1"/>
    <n v="66000"/>
  </r>
  <r>
    <x v="2"/>
    <x v="1208"/>
    <n v="66390"/>
    <n v="1"/>
    <n v="66390"/>
  </r>
  <r>
    <x v="2"/>
    <x v="1209"/>
    <n v="66540"/>
    <n v="1"/>
    <n v="66540"/>
  </r>
  <r>
    <x v="2"/>
    <x v="1210"/>
    <n v="66540"/>
    <n v="1"/>
    <n v="66540"/>
  </r>
  <r>
    <x v="2"/>
    <x v="1211"/>
    <n v="64960"/>
    <n v="1"/>
    <n v="64960"/>
  </r>
  <r>
    <x v="2"/>
    <x v="1212"/>
    <n v="67270"/>
    <n v="1"/>
    <n v="67270"/>
  </r>
  <r>
    <x v="2"/>
    <x v="1213"/>
    <n v="67270"/>
    <n v="1"/>
    <n v="67270"/>
  </r>
  <r>
    <x v="2"/>
    <x v="1214"/>
    <n v="67710"/>
    <n v="1"/>
    <n v="67710"/>
  </r>
  <r>
    <x v="2"/>
    <x v="1215"/>
    <n v="69830"/>
    <n v="1"/>
    <n v="69830"/>
  </r>
  <r>
    <x v="2"/>
    <x v="1216"/>
    <n v="70030"/>
    <n v="1"/>
    <n v="70030"/>
  </r>
  <r>
    <x v="2"/>
    <x v="1217"/>
    <n v="68140"/>
    <n v="1"/>
    <n v="68140"/>
  </r>
  <r>
    <x v="2"/>
    <x v="1218"/>
    <n v="67430"/>
    <n v="1"/>
    <n v="67430"/>
  </r>
  <r>
    <x v="2"/>
    <x v="1219"/>
    <n v="67200"/>
    <n v="1"/>
    <n v="67200"/>
  </r>
  <r>
    <x v="2"/>
    <x v="1220"/>
    <n v="68730"/>
    <n v="1"/>
    <n v="68730"/>
  </r>
  <r>
    <x v="2"/>
    <x v="1221"/>
    <n v="66760"/>
    <n v="1"/>
    <n v="66760"/>
  </r>
  <r>
    <x v="2"/>
    <x v="1222"/>
    <n v="66690"/>
    <n v="1"/>
    <n v="66690"/>
  </r>
  <r>
    <x v="2"/>
    <x v="1223"/>
    <n v="66020"/>
    <n v="1"/>
    <n v="66020"/>
  </r>
  <r>
    <x v="2"/>
    <x v="1224"/>
    <n v="65850"/>
    <n v="1"/>
    <n v="65850"/>
  </r>
  <r>
    <x v="2"/>
    <x v="1225"/>
    <n v="63810"/>
    <n v="1"/>
    <n v="63810"/>
  </r>
  <r>
    <x v="2"/>
    <x v="1226"/>
    <n v="60810"/>
    <n v="1"/>
    <n v="60810"/>
  </r>
  <r>
    <x v="2"/>
    <x v="1227"/>
    <n v="59610"/>
    <n v="1"/>
    <n v="59610"/>
  </r>
  <r>
    <x v="2"/>
    <x v="1228"/>
    <n v="59350"/>
    <n v="1"/>
    <n v="59350"/>
  </r>
  <r>
    <x v="2"/>
    <x v="1229"/>
    <n v="59340"/>
    <n v="1"/>
    <n v="59340"/>
  </r>
  <r>
    <x v="2"/>
    <x v="1230"/>
    <n v="59900"/>
    <n v="1"/>
    <n v="59900"/>
  </r>
  <r>
    <x v="2"/>
    <x v="1231"/>
    <n v="59850"/>
    <n v="1"/>
    <n v="59850"/>
  </r>
  <r>
    <x v="2"/>
    <x v="1232"/>
    <n v="60880"/>
    <n v="1"/>
    <n v="60880"/>
  </r>
  <r>
    <x v="2"/>
    <x v="1233"/>
    <n v="61450"/>
    <n v="1"/>
    <n v="61450"/>
  </r>
  <r>
    <x v="2"/>
    <x v="1234"/>
    <n v="61520"/>
    <n v="1"/>
    <n v="61520"/>
  </r>
  <r>
    <x v="2"/>
    <x v="1235"/>
    <n v="61770"/>
    <n v="1"/>
    <n v="61770"/>
  </r>
  <r>
    <x v="2"/>
    <x v="1236"/>
    <n v="59240"/>
    <n v="1"/>
    <n v="59240"/>
  </r>
  <r>
    <x v="2"/>
    <x v="1237"/>
    <n v="58860"/>
    <n v="1"/>
    <n v="58860"/>
  </r>
  <r>
    <x v="2"/>
    <x v="1238"/>
    <n v="57580"/>
    <n v="1"/>
    <n v="57580"/>
  </r>
  <r>
    <x v="2"/>
    <x v="1239"/>
    <n v="58310"/>
    <n v="1"/>
    <n v="58310"/>
  </r>
  <r>
    <x v="2"/>
    <x v="1240"/>
    <n v="58240"/>
    <n v="1"/>
    <n v="58240"/>
  </r>
  <r>
    <x v="2"/>
    <x v="1241"/>
    <n v="56990"/>
    <n v="1"/>
    <n v="56990"/>
  </r>
  <r>
    <x v="2"/>
    <x v="1242"/>
    <n v="57520"/>
    <n v="1"/>
    <n v="57520"/>
  </r>
  <r>
    <x v="2"/>
    <x v="1243"/>
    <n v="56460"/>
    <n v="1"/>
    <n v="56460"/>
  </r>
  <r>
    <x v="2"/>
    <x v="1244"/>
    <n v="56070"/>
    <n v="1"/>
    <n v="56070"/>
  </r>
  <r>
    <x v="2"/>
    <x v="1245"/>
    <n v="56420"/>
    <n v="1"/>
    <n v="56420"/>
  </r>
  <r>
    <x v="2"/>
    <x v="1246"/>
    <n v="56230"/>
    <n v="1"/>
    <n v="56230"/>
  </r>
  <r>
    <x v="2"/>
    <x v="1247"/>
    <n v="54810"/>
    <n v="1"/>
    <n v="54810"/>
  </r>
  <r>
    <x v="2"/>
    <x v="1248"/>
    <n v="54140"/>
    <n v="1"/>
    <n v="54140"/>
  </r>
  <r>
    <x v="2"/>
    <x v="1249"/>
    <n v="55280"/>
    <n v="1"/>
    <n v="55280"/>
  </r>
  <r>
    <x v="2"/>
    <x v="1250"/>
    <n v="54090"/>
    <n v="1"/>
    <n v="54090"/>
  </r>
  <r>
    <x v="2"/>
    <x v="1251"/>
    <n v="54310"/>
    <n v="1"/>
    <n v="54310"/>
  </r>
  <r>
    <x v="2"/>
    <x v="1252"/>
    <n v="54310"/>
    <n v="1"/>
    <n v="54310"/>
  </r>
  <r>
    <x v="2"/>
    <x v="1253"/>
    <n v="52820"/>
    <n v="1"/>
    <n v="52820"/>
  </r>
  <r>
    <x v="2"/>
    <x v="1254"/>
    <n v="53510"/>
    <n v="1"/>
    <n v="53510"/>
  </r>
  <r>
    <x v="2"/>
    <x v="1255"/>
    <n v="52100"/>
    <n v="1"/>
    <n v="52100"/>
  </r>
  <r>
    <x v="2"/>
    <x v="1256"/>
    <n v="53200"/>
    <n v="1"/>
    <n v="53200"/>
  </r>
  <r>
    <x v="2"/>
    <x v="1257"/>
    <n v="53460"/>
    <n v="1"/>
    <n v="53460"/>
  </r>
  <r>
    <x v="2"/>
    <x v="1258"/>
    <n v="53660"/>
    <n v="1"/>
    <n v="53660"/>
  </r>
  <r>
    <x v="2"/>
    <x v="1259"/>
    <n v="52690"/>
    <n v="1"/>
    <n v="52690"/>
  </r>
  <r>
    <x v="2"/>
    <x v="1260"/>
    <n v="52080"/>
    <n v="1"/>
    <n v="52080"/>
  </r>
  <r>
    <x v="2"/>
    <x v="1261"/>
    <n v="51930"/>
    <n v="1"/>
    <n v="51930"/>
  </r>
  <r>
    <x v="2"/>
    <x v="1262"/>
    <n v="53750"/>
    <n v="1"/>
    <n v="53750"/>
  </r>
  <r>
    <x v="2"/>
    <x v="1263"/>
    <n v="54200"/>
    <n v="1"/>
    <n v="54200"/>
  </r>
  <r>
    <x v="2"/>
    <x v="1264"/>
    <n v="53620"/>
    <n v="1"/>
    <n v="53620"/>
  </r>
  <r>
    <x v="2"/>
    <x v="1265"/>
    <n v="53200"/>
    <n v="1"/>
    <n v="53200"/>
  </r>
  <r>
    <x v="2"/>
    <x v="1266"/>
    <n v="53030"/>
    <n v="1"/>
    <n v="53030"/>
  </r>
  <r>
    <x v="2"/>
    <x v="1267"/>
    <n v="53350"/>
    <n v="1"/>
    <n v="53350"/>
  </r>
  <r>
    <x v="2"/>
    <x v="1268"/>
    <n v="53820"/>
    <n v="1"/>
    <n v="53820"/>
  </r>
  <r>
    <x v="2"/>
    <x v="1269"/>
    <n v="51380"/>
    <n v="1"/>
    <n v="51380"/>
  </r>
  <r>
    <x v="2"/>
    <x v="1270"/>
    <n v="51830"/>
    <n v="1"/>
    <n v="51830"/>
  </r>
  <r>
    <x v="2"/>
    <x v="1271"/>
    <n v="52390"/>
    <n v="1"/>
    <n v="52390"/>
  </r>
  <r>
    <x v="2"/>
    <x v="1272"/>
    <n v="51930"/>
    <n v="1"/>
    <n v="51930"/>
  </r>
  <r>
    <x v="2"/>
    <x v="1273"/>
    <n v="52460"/>
    <n v="1"/>
    <n v="52460"/>
  </r>
  <r>
    <x v="2"/>
    <x v="1274"/>
    <n v="51800"/>
    <n v="1"/>
    <n v="51800"/>
  </r>
  <r>
    <x v="2"/>
    <x v="1275"/>
    <n v="51690"/>
    <n v="1"/>
    <n v="51690"/>
  </r>
  <r>
    <x v="2"/>
    <x v="1276"/>
    <n v="51590"/>
    <n v="1"/>
    <n v="51590"/>
  </r>
  <r>
    <x v="2"/>
    <x v="1277"/>
    <n v="52080"/>
    <n v="1"/>
    <n v="52080"/>
  </r>
  <r>
    <x v="2"/>
    <x v="1278"/>
    <n v="52420"/>
    <n v="1"/>
    <n v="52420"/>
  </r>
  <r>
    <x v="2"/>
    <x v="1279"/>
    <n v="53150"/>
    <n v="1"/>
    <n v="53150"/>
  </r>
  <r>
    <x v="2"/>
    <x v="1280"/>
    <n v="52150"/>
    <n v="1"/>
    <n v="52150"/>
  </r>
  <r>
    <x v="2"/>
    <x v="1281"/>
    <n v="51400"/>
    <n v="1"/>
    <n v="51400"/>
  </r>
  <r>
    <x v="2"/>
    <x v="1282"/>
    <n v="51280"/>
    <n v="1"/>
    <n v="51280"/>
  </r>
  <r>
    <x v="2"/>
    <x v="1283"/>
    <n v="51230"/>
    <n v="1"/>
    <n v="51230"/>
  </r>
  <r>
    <x v="2"/>
    <x v="1284"/>
    <n v="50670"/>
    <n v="1"/>
    <n v="50670"/>
  </r>
  <r>
    <x v="2"/>
    <x v="1285"/>
    <n v="52200"/>
    <n v="1"/>
    <n v="52200"/>
  </r>
  <r>
    <x v="2"/>
    <x v="1286"/>
    <n v="52620"/>
    <n v="1"/>
    <n v="52620"/>
  </r>
  <r>
    <x v="2"/>
    <x v="1287"/>
    <n v="51950"/>
    <n v="1"/>
    <n v="51950"/>
  </r>
  <r>
    <x v="2"/>
    <x v="1288"/>
    <n v="52110"/>
    <n v="1"/>
    <n v="52110"/>
  </r>
  <r>
    <x v="2"/>
    <x v="1289"/>
    <n v="50690"/>
    <n v="1"/>
    <n v="50690"/>
  </r>
  <r>
    <x v="2"/>
    <x v="1290"/>
    <n v="49270"/>
    <n v="1"/>
    <n v="49270"/>
  </r>
  <r>
    <x v="2"/>
    <x v="1291"/>
    <n v="49820"/>
    <n v="1"/>
    <n v="49820"/>
  </r>
  <r>
    <x v="2"/>
    <x v="1292"/>
    <n v="49700"/>
    <n v="1"/>
    <n v="49700"/>
  </r>
  <r>
    <x v="2"/>
    <x v="1293"/>
    <n v="48830"/>
    <n v="1"/>
    <n v="48830"/>
  </r>
  <r>
    <x v="2"/>
    <x v="1294"/>
    <n v="49380"/>
    <n v="1"/>
    <n v="49380"/>
  </r>
  <r>
    <x v="2"/>
    <x v="1295"/>
    <n v="49810"/>
    <n v="1"/>
    <n v="49810"/>
  </r>
  <r>
    <x v="2"/>
    <x v="1296"/>
    <n v="50930"/>
    <n v="1"/>
    <n v="50930"/>
  </r>
  <r>
    <x v="2"/>
    <x v="1297"/>
    <n v="50770"/>
    <n v="1"/>
    <n v="50770"/>
  </r>
  <r>
    <x v="2"/>
    <x v="1298"/>
    <n v="50480"/>
    <n v="1"/>
    <n v="50480"/>
  </r>
  <r>
    <x v="2"/>
    <x v="1299"/>
    <n v="50870"/>
    <n v="1"/>
    <n v="50870"/>
  </r>
  <r>
    <x v="2"/>
    <x v="1300"/>
    <n v="50390"/>
    <n v="1"/>
    <n v="50390"/>
  </r>
  <r>
    <x v="2"/>
    <x v="1301"/>
    <n v="50150"/>
    <n v="1"/>
    <n v="50150"/>
  </r>
  <r>
    <x v="2"/>
    <x v="1302"/>
    <n v="51120"/>
    <n v="1"/>
    <n v="51120"/>
  </r>
  <r>
    <x v="2"/>
    <x v="1303"/>
    <n v="50390"/>
    <n v="1"/>
    <n v="50390"/>
  </r>
  <r>
    <x v="2"/>
    <x v="1304"/>
    <n v="51090"/>
    <n v="1"/>
    <n v="51090"/>
  </r>
  <r>
    <x v="2"/>
    <x v="1305"/>
    <n v="51470"/>
    <n v="1"/>
    <n v="51470"/>
  </r>
  <r>
    <x v="2"/>
    <x v="1306"/>
    <n v="51960"/>
    <n v="1"/>
    <n v="51960"/>
  </r>
  <r>
    <x v="2"/>
    <x v="1307"/>
    <n v="50860"/>
    <n v="1"/>
    <n v="50860"/>
  </r>
  <r>
    <x v="2"/>
    <x v="1308"/>
    <n v="50110"/>
    <n v="1"/>
    <n v="50110"/>
  </r>
  <r>
    <x v="2"/>
    <x v="1309"/>
    <n v="49770"/>
    <n v="1"/>
    <n v="49770"/>
  </r>
  <r>
    <x v="2"/>
    <x v="1310"/>
    <n v="49750"/>
    <n v="1"/>
    <n v="49750"/>
  </r>
  <r>
    <x v="2"/>
    <x v="1311"/>
    <n v="49560"/>
    <n v="1"/>
    <n v="49560"/>
  </r>
  <r>
    <x v="2"/>
    <x v="1312"/>
    <n v="49560"/>
    <n v="1"/>
    <n v="49560"/>
  </r>
  <r>
    <x v="2"/>
    <x v="1313"/>
    <n v="49560"/>
    <n v="1"/>
    <n v="49560"/>
  </r>
  <r>
    <x v="2"/>
    <x v="1314"/>
    <n v="50060"/>
    <n v="1"/>
    <n v="50060"/>
  </r>
  <r>
    <x v="2"/>
    <x v="1315"/>
    <n v="51290"/>
    <n v="1"/>
    <n v="51290"/>
  </r>
  <r>
    <x v="2"/>
    <x v="1316"/>
    <n v="51870"/>
    <n v="1"/>
    <n v="51870"/>
  </r>
  <r>
    <x v="2"/>
    <x v="1317"/>
    <n v="47950"/>
    <n v="1"/>
    <n v="47950"/>
  </r>
  <r>
    <x v="2"/>
    <x v="1318"/>
    <n v="47660"/>
    <n v="1"/>
    <n v="47660"/>
  </r>
  <r>
    <x v="2"/>
    <x v="1319"/>
    <n v="49100"/>
    <n v="1"/>
    <n v="49100"/>
  </r>
  <r>
    <x v="2"/>
    <x v="1320"/>
    <n v="48280"/>
    <n v="1"/>
    <n v="48280"/>
  </r>
  <r>
    <x v="2"/>
    <x v="1321"/>
    <n v="48800"/>
    <n v="1"/>
    <n v="48800"/>
  </r>
  <r>
    <x v="2"/>
    <x v="1322"/>
    <n v="47500"/>
    <n v="1"/>
    <n v="47500"/>
  </r>
  <r>
    <x v="2"/>
    <x v="1323"/>
    <n v="44110"/>
    <n v="1"/>
    <n v="44110"/>
  </r>
  <r>
    <x v="2"/>
    <x v="1324"/>
    <n v="43970"/>
    <n v="1"/>
    <n v="43970"/>
  </r>
  <r>
    <x v="2"/>
    <x v="1325"/>
    <n v="44580"/>
    <n v="1"/>
    <n v="44580"/>
  </r>
  <r>
    <x v="2"/>
    <x v="1326"/>
    <n v="44080"/>
    <n v="1"/>
    <n v="44080"/>
  </r>
  <r>
    <x v="2"/>
    <x v="1327"/>
    <n v="44100"/>
    <n v="1"/>
    <n v="44100"/>
  </r>
  <r>
    <x v="2"/>
    <x v="1328"/>
    <n v="43960"/>
    <n v="1"/>
    <n v="43960"/>
  </r>
  <r>
    <x v="2"/>
    <x v="1329"/>
    <n v="47170"/>
    <n v="1"/>
    <n v="47170"/>
  </r>
  <r>
    <x v="2"/>
    <x v="1330"/>
    <n v="46740"/>
    <n v="1"/>
    <n v="46740"/>
  </r>
  <r>
    <x v="2"/>
    <x v="1331"/>
    <n v="45790"/>
    <n v="1"/>
    <n v="45790"/>
  </r>
  <r>
    <x v="2"/>
    <x v="1332"/>
    <n v="46910"/>
    <n v="1"/>
    <n v="46910"/>
  </r>
  <r>
    <x v="2"/>
    <x v="1333"/>
    <n v="47130"/>
    <n v="1"/>
    <n v="47130"/>
  </r>
  <r>
    <x v="2"/>
    <x v="1334"/>
    <n v="50100"/>
    <n v="1"/>
    <n v="50100"/>
  </r>
  <r>
    <x v="2"/>
    <x v="1335"/>
    <n v="49560"/>
    <n v="1"/>
    <n v="49560"/>
  </r>
  <r>
    <x v="2"/>
    <x v="1336"/>
    <n v="49830"/>
    <n v="1"/>
    <n v="49830"/>
  </r>
  <r>
    <x v="2"/>
    <x v="1337"/>
    <n v="48850"/>
    <n v="1"/>
    <n v="48850"/>
  </r>
  <r>
    <x v="2"/>
    <x v="1338"/>
    <n v="48750"/>
    <n v="1"/>
    <n v="48750"/>
  </r>
  <r>
    <x v="2"/>
    <x v="1339"/>
    <n v="50060"/>
    <n v="1"/>
    <n v="50060"/>
  </r>
  <r>
    <x v="2"/>
    <x v="1340"/>
    <n v="49270"/>
    <n v="1"/>
    <n v="49270"/>
  </r>
  <r>
    <x v="2"/>
    <x v="1341"/>
    <n v="50050"/>
    <n v="1"/>
    <n v="50050"/>
  </r>
  <r>
    <x v="2"/>
    <x v="1342"/>
    <n v="50050"/>
    <n v="1"/>
    <n v="50050"/>
  </r>
  <r>
    <x v="2"/>
    <x v="1343"/>
    <n v="50180"/>
    <n v="1"/>
    <n v="50180"/>
  </r>
  <r>
    <x v="2"/>
    <x v="1344"/>
    <n v="47490"/>
    <n v="1"/>
    <n v="47490"/>
  </r>
  <r>
    <x v="2"/>
    <x v="1345"/>
    <n v="48250"/>
    <n v="1"/>
    <n v="48250"/>
  </r>
  <r>
    <x v="2"/>
    <x v="1346"/>
    <n v="48240"/>
    <n v="1"/>
    <n v="48240"/>
  </r>
  <r>
    <x v="2"/>
    <x v="1347"/>
    <n v="47390"/>
    <n v="1"/>
    <n v="47390"/>
  </r>
  <r>
    <x v="2"/>
    <x v="1348"/>
    <n v="46910"/>
    <n v="1"/>
    <n v="46910"/>
  </r>
  <r>
    <x v="2"/>
    <x v="1349"/>
    <n v="47000"/>
    <n v="1"/>
    <n v="47000"/>
  </r>
  <r>
    <x v="2"/>
    <x v="1350"/>
    <n v="46880"/>
    <n v="1"/>
    <n v="46880"/>
  </r>
  <r>
    <x v="2"/>
    <x v="1351"/>
    <n v="48810"/>
    <n v="1"/>
    <n v="48810"/>
  </r>
  <r>
    <x v="2"/>
    <x v="1352"/>
    <n v="49870"/>
    <n v="1"/>
    <n v="49870"/>
  </r>
  <r>
    <x v="2"/>
    <x v="1353"/>
    <n v="50780"/>
    <n v="1"/>
    <n v="50780"/>
  </r>
  <r>
    <x v="2"/>
    <x v="1354"/>
    <n v="51240"/>
    <n v="1"/>
    <n v="51240"/>
  </r>
  <r>
    <x v="2"/>
    <x v="1355"/>
    <n v="49830"/>
    <n v="1"/>
    <n v="49830"/>
  </r>
  <r>
    <x v="2"/>
    <x v="1356"/>
    <n v="51070"/>
    <n v="1"/>
    <n v="51070"/>
  </r>
  <r>
    <x v="2"/>
    <x v="1357"/>
    <n v="51030"/>
    <n v="1"/>
    <n v="51030"/>
  </r>
  <r>
    <x v="2"/>
    <x v="1358"/>
    <n v="52340"/>
    <n v="1"/>
    <n v="52340"/>
  </r>
  <r>
    <x v="2"/>
    <x v="1359"/>
    <n v="51180"/>
    <n v="1"/>
    <n v="51180"/>
  </r>
  <r>
    <x v="2"/>
    <x v="1360"/>
    <n v="51850"/>
    <n v="1"/>
    <n v="51850"/>
  </r>
  <r>
    <x v="2"/>
    <x v="1361"/>
    <n v="49660"/>
    <n v="1"/>
    <n v="49660"/>
  </r>
  <r>
    <x v="2"/>
    <x v="1362"/>
    <n v="50610"/>
    <n v="1"/>
    <n v="50610"/>
  </r>
  <r>
    <x v="2"/>
    <x v="1363"/>
    <n v="50890"/>
    <n v="1"/>
    <n v="50890"/>
  </r>
  <r>
    <x v="2"/>
    <x v="1364"/>
    <n v="50800"/>
    <n v="1"/>
    <n v="50800"/>
  </r>
  <r>
    <x v="2"/>
    <x v="1365"/>
    <n v="51420"/>
    <n v="1"/>
    <n v="51420"/>
  </r>
  <r>
    <x v="2"/>
    <x v="1366"/>
    <n v="52500"/>
    <n v="1"/>
    <n v="52500"/>
  </r>
  <r>
    <x v="2"/>
    <x v="1367"/>
    <n v="52320"/>
    <n v="1"/>
    <n v="52320"/>
  </r>
  <r>
    <x v="2"/>
    <x v="1368"/>
    <n v="54790"/>
    <n v="1"/>
    <n v="54790"/>
  </r>
  <r>
    <x v="2"/>
    <x v="1369"/>
    <n v="53950"/>
    <n v="1"/>
    <n v="53950"/>
  </r>
  <r>
    <x v="2"/>
    <x v="1370"/>
    <n v="54460"/>
    <n v="1"/>
    <n v="54460"/>
  </r>
  <r>
    <x v="2"/>
    <x v="1371"/>
    <n v="45260"/>
    <n v="1"/>
    <n v="45260"/>
  </r>
  <r>
    <x v="2"/>
    <x v="1372"/>
    <n v="48380"/>
    <n v="1"/>
    <n v="48380"/>
  </r>
  <r>
    <x v="2"/>
    <x v="1373"/>
    <n v="52750"/>
    <n v="1"/>
    <n v="52750"/>
  </r>
  <r>
    <x v="2"/>
    <x v="1374"/>
    <n v="54300"/>
    <n v="1"/>
    <n v="54300"/>
  </r>
  <r>
    <x v="2"/>
    <x v="1375"/>
    <n v="53800"/>
    <n v="1"/>
    <n v="53800"/>
  </r>
  <r>
    <x v="2"/>
    <x v="1376"/>
    <n v="52520"/>
    <n v="1"/>
    <n v="52520"/>
  </r>
  <r>
    <x v="2"/>
    <x v="1377"/>
    <n v="54350"/>
    <n v="1"/>
    <n v="54350"/>
  </r>
  <r>
    <x v="2"/>
    <x v="1378"/>
    <n v="55420"/>
    <n v="1"/>
    <n v="55420"/>
  </r>
  <r>
    <x v="2"/>
    <x v="1379"/>
    <n v="56440"/>
    <n v="1"/>
    <n v="56440"/>
  </r>
  <r>
    <x v="2"/>
    <x v="1380"/>
    <n v="55340"/>
    <n v="1"/>
    <n v="55340"/>
  </r>
  <r>
    <x v="2"/>
    <x v="1381"/>
    <n v="55990"/>
    <n v="1"/>
    <n v="55990"/>
  </r>
  <r>
    <x v="2"/>
    <x v="1382"/>
    <n v="55260"/>
    <n v="1"/>
    <n v="55260"/>
  </r>
  <r>
    <x v="2"/>
    <x v="1383"/>
    <n v="55800"/>
    <n v="1"/>
    <n v="55800"/>
  </r>
  <r>
    <x v="2"/>
    <x v="1384"/>
    <n v="55230"/>
    <n v="1"/>
    <n v="55230"/>
  </r>
  <r>
    <x v="2"/>
    <x v="1385"/>
    <n v="54000"/>
    <n v="1"/>
    <n v="54000"/>
  </r>
  <r>
    <x v="2"/>
    <x v="1386"/>
    <n v="54870"/>
    <n v="1"/>
    <n v="54870"/>
  </r>
  <r>
    <x v="2"/>
    <x v="1387"/>
    <n v="55120"/>
    <n v="1"/>
    <n v="55120"/>
  </r>
  <r>
    <x v="2"/>
    <x v="1388"/>
    <n v="55160"/>
    <n v="1"/>
    <n v="55160"/>
  </r>
  <r>
    <x v="2"/>
    <x v="1389"/>
    <n v="57130"/>
    <n v="1"/>
    <n v="57130"/>
  </r>
  <r>
    <x v="2"/>
    <x v="1390"/>
    <n v="57130"/>
    <n v="1"/>
    <n v="57130"/>
  </r>
  <r>
    <x v="2"/>
    <x v="1391"/>
    <n v="56660"/>
    <n v="1"/>
    <n v="56660"/>
  </r>
  <r>
    <x v="2"/>
    <x v="1392"/>
    <n v="57230"/>
    <n v="1"/>
    <n v="57230"/>
  </r>
  <r>
    <x v="2"/>
    <x v="1393"/>
    <n v="57010"/>
    <n v="1"/>
    <n v="57010"/>
  </r>
  <r>
    <x v="2"/>
    <x v="1394"/>
    <n v="57640"/>
    <n v="1"/>
    <n v="57640"/>
  </r>
  <r>
    <x v="2"/>
    <x v="1395"/>
    <n v="57070"/>
    <n v="1"/>
    <n v="57070"/>
  </r>
  <r>
    <x v="2"/>
    <x v="1396"/>
    <n v="55510"/>
    <n v="1"/>
    <n v="55510"/>
  </r>
  <r>
    <x v="2"/>
    <x v="1397"/>
    <n v="57900"/>
    <n v="1"/>
    <n v="57900"/>
  </r>
  <r>
    <x v="2"/>
    <x v="1398"/>
    <n v="57030"/>
    <n v="1"/>
    <n v="57030"/>
  </r>
  <r>
    <x v="2"/>
    <x v="1399"/>
    <n v="56560"/>
    <n v="1"/>
    <n v="56560"/>
  </r>
  <r>
    <x v="2"/>
    <x v="1400"/>
    <n v="56560"/>
    <n v="1"/>
    <n v="56560"/>
  </r>
  <r>
    <x v="2"/>
    <x v="1401"/>
    <n v="56010"/>
    <n v="1"/>
    <n v="56010"/>
  </r>
  <r>
    <x v="2"/>
    <x v="1402"/>
    <n v="54590"/>
    <n v="1"/>
    <n v="54590"/>
  </r>
  <r>
    <x v="2"/>
    <x v="1403"/>
    <n v="55050"/>
    <n v="1"/>
    <n v="55050"/>
  </r>
  <r>
    <x v="2"/>
    <x v="1404"/>
    <n v="54220"/>
    <n v="1"/>
    <n v="54220"/>
  </r>
  <r>
    <x v="2"/>
    <x v="1405"/>
    <n v="56390"/>
    <n v="1"/>
    <n v="56390"/>
  </r>
  <r>
    <x v="2"/>
    <x v="1406"/>
    <n v="56390"/>
    <n v="1"/>
    <n v="56390"/>
  </r>
  <r>
    <x v="2"/>
    <x v="1407"/>
    <n v="56780"/>
    <n v="1"/>
    <n v="56780"/>
  </r>
  <r>
    <x v="2"/>
    <x v="1408"/>
    <n v="57950"/>
    <n v="1"/>
    <n v="57950"/>
  </r>
  <r>
    <x v="2"/>
    <x v="1409"/>
    <n v="55720"/>
    <n v="1"/>
    <n v="55720"/>
  </r>
  <r>
    <x v="2"/>
    <x v="1410"/>
    <n v="55840"/>
    <n v="1"/>
    <n v="55840"/>
  </r>
  <r>
    <x v="2"/>
    <x v="1411"/>
    <n v="55540"/>
    <n v="1"/>
    <n v="55540"/>
  </r>
  <r>
    <x v="2"/>
    <x v="1412"/>
    <n v="55300"/>
    <n v="1"/>
    <n v="55300"/>
  </r>
  <r>
    <x v="2"/>
    <x v="1413"/>
    <n v="54810"/>
    <n v="1"/>
    <n v="54810"/>
  </r>
  <r>
    <x v="2"/>
    <x v="1414"/>
    <n v="54520"/>
    <n v="1"/>
    <n v="54520"/>
  </r>
  <r>
    <x v="2"/>
    <x v="1415"/>
    <n v="52730"/>
    <n v="1"/>
    <n v="52730"/>
  </r>
  <r>
    <x v="2"/>
    <x v="1416"/>
    <n v="52130"/>
    <n v="1"/>
    <n v="52130"/>
  </r>
  <r>
    <x v="2"/>
    <x v="1417"/>
    <n v="50640"/>
    <n v="1"/>
    <n v="50640"/>
  </r>
  <r>
    <x v="2"/>
    <x v="1418"/>
    <n v="51030"/>
    <n v="1"/>
    <n v="51030"/>
  </r>
  <r>
    <x v="2"/>
    <x v="1419"/>
    <n v="50890"/>
    <n v="1"/>
    <n v="50890"/>
  </r>
  <r>
    <x v="2"/>
    <x v="1420"/>
    <n v="50540"/>
    <n v="1"/>
    <n v="50540"/>
  </r>
  <r>
    <x v="2"/>
    <x v="1421"/>
    <n v="50580"/>
    <n v="1"/>
    <n v="50580"/>
  </r>
  <r>
    <x v="2"/>
    <x v="1422"/>
    <n v="48270"/>
    <n v="1"/>
    <n v="48270"/>
  </r>
  <r>
    <x v="2"/>
    <x v="1423"/>
    <n v="48930"/>
    <n v="1"/>
    <n v="48930"/>
  </r>
  <r>
    <x v="2"/>
    <x v="1424"/>
    <n v="49720"/>
    <n v="1"/>
    <n v="49720"/>
  </r>
  <r>
    <x v="2"/>
    <x v="1425"/>
    <n v="51040"/>
    <n v="1"/>
    <n v="51040"/>
  </r>
  <r>
    <x v="2"/>
    <x v="1426"/>
    <n v="50930"/>
    <n v="1"/>
    <n v="50930"/>
  </r>
  <r>
    <x v="2"/>
    <x v="1427"/>
    <n v="49500"/>
    <n v="1"/>
    <n v="49500"/>
  </r>
  <r>
    <x v="2"/>
    <x v="1428"/>
    <n v="48730"/>
    <n v="1"/>
    <n v="48730"/>
  </r>
  <r>
    <x v="2"/>
    <x v="1429"/>
    <n v="47480"/>
    <n v="1"/>
    <n v="47480"/>
  </r>
  <r>
    <x v="2"/>
    <x v="1430"/>
    <n v="47210"/>
    <n v="1"/>
    <n v="47210"/>
  </r>
  <r>
    <x v="2"/>
    <x v="1431"/>
    <n v="46300"/>
    <n v="1"/>
    <n v="46300"/>
  </r>
  <r>
    <x v="2"/>
    <x v="1432"/>
    <n v="47120"/>
    <n v="1"/>
    <n v="47120"/>
  </r>
  <r>
    <x v="2"/>
    <x v="1433"/>
    <n v="46760"/>
    <n v="1"/>
    <n v="46760"/>
  </r>
  <r>
    <x v="2"/>
    <x v="1434"/>
    <n v="47940"/>
    <n v="1"/>
    <n v="47940"/>
  </r>
  <r>
    <x v="2"/>
    <x v="1435"/>
    <n v="46710"/>
    <n v="1"/>
    <n v="46710"/>
  </r>
  <r>
    <x v="2"/>
    <x v="1436"/>
    <n v="46240"/>
    <n v="1"/>
    <n v="46240"/>
  </r>
  <r>
    <x v="2"/>
    <x v="1437"/>
    <n v="46400"/>
    <n v="1"/>
    <n v="46400"/>
  </r>
  <r>
    <x v="2"/>
    <x v="1438"/>
    <n v="47140"/>
    <n v="1"/>
    <n v="47140"/>
  </r>
  <r>
    <x v="2"/>
    <x v="1439"/>
    <n v="46520"/>
    <n v="1"/>
    <n v="46520"/>
  </r>
  <r>
    <x v="2"/>
    <x v="1440"/>
    <n v="46420"/>
    <n v="1"/>
    <n v="46420"/>
  </r>
  <r>
    <x v="2"/>
    <x v="1441"/>
    <n v="47150"/>
    <n v="1"/>
    <n v="47150"/>
  </r>
  <r>
    <x v="2"/>
    <x v="1442"/>
    <n v="46980"/>
    <n v="1"/>
    <n v="46980"/>
  </r>
  <r>
    <x v="2"/>
    <x v="1443"/>
    <n v="46570"/>
    <n v="1"/>
    <n v="46570"/>
  </r>
  <r>
    <x v="2"/>
    <x v="1444"/>
    <n v="46100"/>
    <n v="1"/>
    <n v="46100"/>
  </r>
  <r>
    <x v="2"/>
    <x v="1445"/>
    <n v="45830"/>
    <n v="1"/>
    <n v="45830"/>
  </r>
  <r>
    <x v="2"/>
    <x v="1446"/>
    <n v="46140"/>
    <n v="1"/>
    <n v="46140"/>
  </r>
  <r>
    <x v="2"/>
    <x v="1447"/>
    <n v="46580"/>
    <n v="1"/>
    <n v="46580"/>
  </r>
  <r>
    <x v="2"/>
    <x v="1448"/>
    <n v="46580"/>
    <n v="1"/>
    <n v="46580"/>
  </r>
  <r>
    <x v="2"/>
    <x v="1449"/>
    <n v="49260"/>
    <n v="1"/>
    <n v="49260"/>
  </r>
  <r>
    <x v="2"/>
    <x v="1450"/>
    <n v="50670"/>
    <n v="1"/>
    <n v="50670"/>
  </r>
  <r>
    <x v="2"/>
    <x v="1451"/>
    <n v="53260"/>
    <n v="1"/>
    <n v="53260"/>
  </r>
  <r>
    <x v="2"/>
    <x v="1452"/>
    <n v="52850"/>
    <n v="1"/>
    <n v="52850"/>
  </r>
  <r>
    <x v="2"/>
    <x v="1453"/>
    <n v="54170"/>
    <n v="1"/>
    <n v="54170"/>
  </r>
  <r>
    <x v="2"/>
    <x v="1454"/>
    <n v="54170"/>
    <n v="1"/>
    <n v="54170"/>
  </r>
  <r>
    <x v="2"/>
    <x v="1455"/>
    <n v="53510"/>
    <n v="1"/>
    <n v="53510"/>
  </r>
  <r>
    <x v="2"/>
    <x v="1456"/>
    <n v="55080"/>
    <n v="1"/>
    <n v="55080"/>
  </r>
  <r>
    <x v="2"/>
    <x v="1457"/>
    <n v="55760"/>
    <n v="1"/>
    <n v="55760"/>
  </r>
  <r>
    <x v="2"/>
    <x v="1458"/>
    <n v="55590"/>
    <n v="1"/>
    <n v="55590"/>
  </r>
  <r>
    <x v="2"/>
    <x v="1459"/>
    <n v="54890"/>
    <n v="1"/>
    <n v="54890"/>
  </r>
  <r>
    <x v="2"/>
    <x v="1460"/>
    <n v="55710"/>
    <n v="1"/>
    <n v="55710"/>
  </r>
  <r>
    <x v="2"/>
    <x v="1461"/>
    <n v="55850"/>
    <n v="1"/>
    <n v="55850"/>
  </r>
  <r>
    <x v="2"/>
    <x v="1462"/>
    <n v="54460"/>
    <n v="1"/>
    <n v="54460"/>
  </r>
  <r>
    <x v="2"/>
    <x v="1463"/>
    <n v="50270"/>
    <n v="1"/>
    <n v="50270"/>
  </r>
  <r>
    <x v="2"/>
    <x v="1464"/>
    <n v="45800"/>
    <n v="1"/>
    <n v="45800"/>
  </r>
  <r>
    <x v="2"/>
    <x v="1465"/>
    <n v="45030"/>
    <n v="1"/>
    <n v="45030"/>
  </r>
  <r>
    <x v="2"/>
    <x v="1466"/>
    <n v="45030"/>
    <n v="1"/>
    <n v="45030"/>
  </r>
  <r>
    <x v="2"/>
    <x v="1467"/>
    <n v="45030"/>
    <n v="1"/>
    <n v="45030"/>
  </r>
  <r>
    <x v="2"/>
    <x v="1468"/>
    <n v="45210"/>
    <n v="1"/>
    <n v="45210"/>
  </r>
  <r>
    <x v="2"/>
    <x v="1469"/>
    <n v="46940"/>
    <n v="1"/>
    <n v="46940"/>
  </r>
  <r>
    <x v="2"/>
    <x v="1470"/>
    <n v="51130"/>
    <n v="1"/>
    <n v="51130"/>
  </r>
  <r>
    <x v="2"/>
    <x v="1471"/>
    <n v="53910"/>
    <n v="1"/>
    <n v="53910"/>
  </r>
  <r>
    <x v="2"/>
    <x v="1472"/>
    <n v="53280"/>
    <n v="1"/>
    <n v="53280"/>
  </r>
  <r>
    <x v="2"/>
    <x v="1473"/>
    <n v="54980"/>
    <n v="1"/>
    <n v="54980"/>
  </r>
  <r>
    <x v="2"/>
    <x v="1474"/>
    <n v="50660"/>
    <n v="1"/>
    <n v="50660"/>
  </r>
  <r>
    <x v="2"/>
    <x v="1475"/>
    <n v="52810"/>
    <n v="1"/>
    <n v="52810"/>
  </r>
  <r>
    <x v="2"/>
    <x v="1476"/>
    <n v="53020"/>
    <n v="1"/>
    <n v="53020"/>
  </r>
  <r>
    <x v="2"/>
    <x v="1477"/>
    <n v="56810"/>
    <n v="1"/>
    <n v="56810"/>
  </r>
  <r>
    <x v="2"/>
    <x v="1478"/>
    <n v="56010"/>
    <n v="1"/>
    <n v="56010"/>
  </r>
  <r>
    <x v="2"/>
    <x v="1479"/>
    <n v="55360"/>
    <n v="1"/>
    <n v="55360"/>
  </r>
  <r>
    <x v="2"/>
    <x v="1480"/>
    <n v="55680"/>
    <n v="1"/>
    <n v="55680"/>
  </r>
  <r>
    <x v="2"/>
    <x v="1481"/>
    <n v="51120"/>
    <n v="1"/>
    <n v="51120"/>
  </r>
  <r>
    <x v="2"/>
    <x v="1482"/>
    <n v="44980"/>
    <n v="1"/>
    <n v="44980"/>
  </r>
  <r>
    <x v="2"/>
    <x v="1483"/>
    <n v="45140"/>
    <n v="1"/>
    <n v="45140"/>
  </r>
  <r>
    <x v="2"/>
    <x v="1484"/>
    <n v="40470"/>
    <n v="1"/>
    <n v="40470"/>
  </r>
  <r>
    <x v="2"/>
    <x v="1485"/>
    <n v="42070"/>
    <n v="1"/>
    <n v="42070"/>
  </r>
  <r>
    <x v="2"/>
    <x v="1486"/>
    <n v="40790"/>
    <n v="1"/>
    <n v="40790"/>
  </r>
  <r>
    <x v="2"/>
    <x v="1487"/>
    <n v="42300"/>
    <n v="1"/>
    <n v="42300"/>
  </r>
  <r>
    <x v="2"/>
    <x v="1488"/>
    <n v="40470"/>
    <n v="1"/>
    <n v="40470"/>
  </r>
  <r>
    <x v="2"/>
    <x v="1489"/>
    <n v="41990"/>
    <n v="1"/>
    <n v="41990"/>
  </r>
  <r>
    <x v="2"/>
    <x v="1490"/>
    <n v="47710"/>
    <n v="1"/>
    <n v="47710"/>
  </r>
  <r>
    <x v="2"/>
    <x v="1491"/>
    <n v="46760"/>
    <n v="1"/>
    <n v="46760"/>
  </r>
  <r>
    <x v="2"/>
    <x v="1492"/>
    <n v="47180"/>
    <n v="1"/>
    <n v="47180"/>
  </r>
  <r>
    <x v="2"/>
    <x v="1493"/>
    <n v="46600"/>
    <n v="1"/>
    <n v="46600"/>
  </r>
  <r>
    <x v="2"/>
    <x v="1494"/>
    <n v="46540"/>
    <n v="1"/>
    <n v="46540"/>
  </r>
  <r>
    <x v="2"/>
    <x v="1495"/>
    <n v="45880"/>
    <n v="1"/>
    <n v="45880"/>
  </r>
  <r>
    <x v="2"/>
    <x v="1496"/>
    <n v="46770"/>
    <n v="1"/>
    <n v="46770"/>
  </r>
  <r>
    <x v="2"/>
    <x v="1497"/>
    <n v="49910"/>
    <n v="1"/>
    <n v="49910"/>
  </r>
  <r>
    <x v="2"/>
    <x v="1498"/>
    <n v="52130"/>
    <n v="1"/>
    <n v="52130"/>
  </r>
  <r>
    <x v="2"/>
    <x v="1499"/>
    <n v="51640"/>
    <n v="1"/>
    <n v="51640"/>
  </r>
  <r>
    <x v="2"/>
    <x v="1500"/>
    <n v="49920"/>
    <n v="1"/>
    <n v="49920"/>
  </r>
  <r>
    <x v="2"/>
    <x v="1501"/>
    <n v="50680"/>
    <n v="1"/>
    <n v="50680"/>
  </r>
  <r>
    <x v="2"/>
    <x v="1502"/>
    <n v="52540"/>
    <n v="1"/>
    <n v="52540"/>
  </r>
  <r>
    <x v="2"/>
    <x v="1503"/>
    <n v="52610"/>
    <n v="1"/>
    <n v="52610"/>
  </r>
  <r>
    <x v="2"/>
    <x v="1504"/>
    <n v="53210"/>
    <n v="1"/>
    <n v="53210"/>
  </r>
  <r>
    <x v="2"/>
    <x v="1505"/>
    <n v="55270"/>
    <n v="1"/>
    <n v="55270"/>
  </r>
  <r>
    <x v="2"/>
    <x v="1506"/>
    <n v="56630"/>
    <n v="1"/>
    <n v="56630"/>
  </r>
  <r>
    <x v="2"/>
    <x v="1507"/>
    <n v="56630"/>
    <n v="1"/>
    <n v="56630"/>
  </r>
  <r>
    <x v="2"/>
    <x v="1508"/>
    <n v="57000"/>
    <n v="1"/>
    <n v="57000"/>
  </r>
  <r>
    <x v="2"/>
    <x v="1509"/>
    <n v="58150"/>
    <n v="1"/>
    <n v="58150"/>
  </r>
  <r>
    <x v="2"/>
    <x v="1510"/>
    <n v="60860"/>
    <n v="1"/>
    <n v="60860"/>
  </r>
  <r>
    <x v="2"/>
    <x v="1511"/>
    <n v="61090"/>
    <n v="1"/>
    <n v="61090"/>
  </r>
  <r>
    <x v="2"/>
    <x v="1512"/>
    <n v="63100"/>
    <n v="1"/>
    <n v="63100"/>
  </r>
  <r>
    <x v="2"/>
    <x v="1513"/>
    <n v="65040"/>
    <n v="1"/>
    <n v="65040"/>
  </r>
  <r>
    <x v="2"/>
    <x v="1514"/>
    <n v="65720"/>
    <n v="1"/>
    <n v="65720"/>
  </r>
  <r>
    <x v="2"/>
    <x v="1515"/>
    <n v="63910"/>
    <n v="1"/>
    <n v="63910"/>
  </r>
  <r>
    <x v="2"/>
    <x v="1516"/>
    <n v="67620"/>
    <n v="1"/>
    <n v="67620"/>
  </r>
  <r>
    <x v="2"/>
    <x v="1517"/>
    <n v="68460"/>
    <n v="1"/>
    <n v="68460"/>
  </r>
  <r>
    <x v="2"/>
    <x v="1518"/>
    <n v="68470"/>
    <n v="1"/>
    <n v="68470"/>
  </r>
  <r>
    <x v="2"/>
    <x v="1519"/>
    <n v="69040"/>
    <n v="1"/>
    <n v="69040"/>
  </r>
  <r>
    <x v="2"/>
    <x v="1520"/>
    <n v="67550"/>
    <n v="1"/>
    <n v="67550"/>
  </r>
  <r>
    <x v="2"/>
    <x v="1521"/>
    <n v="65370"/>
    <n v="1"/>
    <n v="65370"/>
  </r>
  <r>
    <x v="2"/>
    <x v="1522"/>
    <n v="66220"/>
    <n v="1"/>
    <n v="66220"/>
  </r>
  <r>
    <x v="2"/>
    <x v="1523"/>
    <n v="66390"/>
    <n v="1"/>
    <n v="66390"/>
  </r>
  <r>
    <x v="2"/>
    <x v="1524"/>
    <n v="64170"/>
    <n v="1"/>
    <n v="64170"/>
  </r>
  <r>
    <x v="2"/>
    <x v="1525"/>
    <n v="63680"/>
    <n v="1"/>
    <n v="63680"/>
  </r>
  <r>
    <x v="2"/>
    <x v="1526"/>
    <n v="64940"/>
    <n v="1"/>
    <n v="64940"/>
  </r>
  <r>
    <x v="2"/>
    <x v="1527"/>
    <n v="65130"/>
    <n v="1"/>
    <n v="65130"/>
  </r>
  <r>
    <x v="2"/>
    <x v="1528"/>
    <n v="68250"/>
    <n v="1"/>
    <n v="68250"/>
  </r>
  <r>
    <x v="2"/>
    <x v="1529"/>
    <n v="65750"/>
    <n v="1"/>
    <n v="65750"/>
  </r>
  <r>
    <x v="2"/>
    <x v="1530"/>
    <n v="74220"/>
    <n v="1"/>
    <n v="74220"/>
  </r>
  <r>
    <x v="2"/>
    <x v="1531"/>
    <n v="74420"/>
    <n v="1"/>
    <n v="74420"/>
  </r>
  <r>
    <x v="2"/>
    <x v="1532"/>
    <n v="74040"/>
    <n v="1"/>
    <n v="74040"/>
  </r>
  <r>
    <x v="2"/>
    <x v="1533"/>
    <n v="75500"/>
    <n v="1"/>
    <n v="75500"/>
  </r>
  <r>
    <x v="2"/>
    <x v="1534"/>
    <n v="75030"/>
    <n v="1"/>
    <n v="75030"/>
  </r>
  <r>
    <x v="2"/>
    <x v="1535"/>
    <n v="72140"/>
    <n v="1"/>
    <n v="72140"/>
  </r>
  <r>
    <x v="2"/>
    <x v="1536"/>
    <n v="74670"/>
    <n v="1"/>
    <n v="74670"/>
  </r>
  <r>
    <x v="2"/>
    <x v="1537"/>
    <n v="74670"/>
    <n v="1"/>
    <n v="74670"/>
  </r>
  <r>
    <x v="2"/>
    <x v="1538"/>
    <n v="74670"/>
    <n v="1"/>
    <n v="74670"/>
  </r>
  <r>
    <x v="2"/>
    <x v="1539"/>
    <n v="73340"/>
    <n v="1"/>
    <n v="73340"/>
  </r>
  <r>
    <x v="2"/>
    <x v="1540"/>
    <n v="70510"/>
    <n v="1"/>
    <n v="70510"/>
  </r>
  <r>
    <x v="2"/>
    <x v="1541"/>
    <n v="68530"/>
    <n v="1"/>
    <n v="68530"/>
  </r>
  <r>
    <x v="3"/>
    <x v="0"/>
    <n v="-387.5"/>
    <n v="0.5"/>
    <n v="-193.75"/>
  </r>
  <r>
    <x v="3"/>
    <x v="1"/>
    <n v="362.5"/>
    <n v="0.5"/>
    <n v="181.25"/>
  </r>
  <r>
    <x v="3"/>
    <x v="2"/>
    <n v="362.5"/>
    <n v="0.5"/>
    <n v="181.25"/>
  </r>
  <r>
    <x v="3"/>
    <x v="3"/>
    <n v="-237.5"/>
    <n v="0.5"/>
    <n v="-118.75"/>
  </r>
  <r>
    <x v="3"/>
    <x v="4"/>
    <n v="-62.5"/>
    <n v="0.5"/>
    <n v="-31.25"/>
  </r>
  <r>
    <x v="3"/>
    <x v="5"/>
    <n v="100"/>
    <n v="0.5"/>
    <n v="50"/>
  </r>
  <r>
    <x v="3"/>
    <x v="6"/>
    <n v="-487.5"/>
    <n v="0.5"/>
    <n v="-243.75"/>
  </r>
  <r>
    <x v="3"/>
    <x v="7"/>
    <n v="37.5"/>
    <n v="0.5"/>
    <n v="18.75"/>
  </r>
  <r>
    <x v="3"/>
    <x v="8"/>
    <n v="1137.5"/>
    <n v="0.5"/>
    <n v="568.75"/>
  </r>
  <r>
    <x v="3"/>
    <x v="9"/>
    <n v="2162.5"/>
    <n v="0.5"/>
    <n v="1081.25"/>
  </r>
  <r>
    <x v="3"/>
    <x v="10"/>
    <n v="2675"/>
    <n v="0.5"/>
    <n v="1337.5"/>
  </r>
  <r>
    <x v="3"/>
    <x v="11"/>
    <n v="2662.5"/>
    <n v="0.5"/>
    <n v="1331.25"/>
  </r>
  <r>
    <x v="3"/>
    <x v="12"/>
    <n v="2175"/>
    <n v="0.5"/>
    <n v="1087.5"/>
  </r>
  <r>
    <x v="3"/>
    <x v="13"/>
    <n v="2487.5"/>
    <n v="0.5"/>
    <n v="1243.75"/>
  </r>
  <r>
    <x v="3"/>
    <x v="14"/>
    <n v="3012.5"/>
    <n v="0.5"/>
    <n v="1506.25"/>
  </r>
  <r>
    <x v="3"/>
    <x v="15"/>
    <n v="2550"/>
    <n v="0.5"/>
    <n v="1275"/>
  </r>
  <r>
    <x v="3"/>
    <x v="16"/>
    <n v="2375"/>
    <n v="0.5"/>
    <n v="1187.5"/>
  </r>
  <r>
    <x v="3"/>
    <x v="17"/>
    <n v="2200"/>
    <n v="0.5"/>
    <n v="1100"/>
  </r>
  <r>
    <x v="3"/>
    <x v="18"/>
    <n v="1637.5"/>
    <n v="0.5"/>
    <n v="818.75"/>
  </r>
  <r>
    <x v="3"/>
    <x v="19"/>
    <n v="2425"/>
    <n v="0.5"/>
    <n v="1212.5"/>
  </r>
  <r>
    <x v="3"/>
    <x v="20"/>
    <n v="4062.5"/>
    <n v="0.5"/>
    <n v="2031.25"/>
  </r>
  <r>
    <x v="3"/>
    <x v="21"/>
    <n v="3700"/>
    <n v="0.5"/>
    <n v="1850"/>
  </r>
  <r>
    <x v="3"/>
    <x v="22"/>
    <n v="4712.5"/>
    <n v="0.5"/>
    <n v="2356.25"/>
  </r>
  <r>
    <x v="3"/>
    <x v="23"/>
    <n v="4712.5"/>
    <n v="0.5"/>
    <n v="2356.25"/>
  </r>
  <r>
    <x v="3"/>
    <x v="24"/>
    <n v="6650"/>
    <n v="0.5"/>
    <n v="3325"/>
  </r>
  <r>
    <x v="3"/>
    <x v="25"/>
    <n v="4700"/>
    <n v="0.5"/>
    <n v="2350"/>
  </r>
  <r>
    <x v="3"/>
    <x v="26"/>
    <n v="5900"/>
    <n v="0.5"/>
    <n v="2950"/>
  </r>
  <r>
    <x v="3"/>
    <x v="27"/>
    <n v="6900"/>
    <n v="0.5"/>
    <n v="3450"/>
  </r>
  <r>
    <x v="3"/>
    <x v="28"/>
    <n v="6325"/>
    <n v="0.5"/>
    <n v="3162.5"/>
  </r>
  <r>
    <x v="3"/>
    <x v="29"/>
    <n v="6237.5"/>
    <n v="0.5"/>
    <n v="3118.75"/>
  </r>
  <r>
    <x v="3"/>
    <x v="30"/>
    <n v="7812.5"/>
    <n v="0.5"/>
    <n v="3906.25"/>
  </r>
  <r>
    <x v="3"/>
    <x v="31"/>
    <n v="5112.5"/>
    <n v="0.5"/>
    <n v="2556.25"/>
  </r>
  <r>
    <x v="3"/>
    <x v="32"/>
    <n v="3575"/>
    <n v="0.5"/>
    <n v="1787.5"/>
  </r>
  <r>
    <x v="3"/>
    <x v="33"/>
    <n v="3612.5"/>
    <n v="0.5"/>
    <n v="1806.25"/>
  </r>
  <r>
    <x v="3"/>
    <x v="34"/>
    <n v="4875"/>
    <n v="0.5"/>
    <n v="2437.5"/>
  </r>
  <r>
    <x v="3"/>
    <x v="35"/>
    <n v="5025"/>
    <n v="0.5"/>
    <n v="2512.5"/>
  </r>
  <r>
    <x v="3"/>
    <x v="36"/>
    <n v="5800"/>
    <n v="0.5"/>
    <n v="2900"/>
  </r>
  <r>
    <x v="3"/>
    <x v="37"/>
    <n v="5112.5"/>
    <n v="0.5"/>
    <n v="2556.25"/>
  </r>
  <r>
    <x v="3"/>
    <x v="38"/>
    <n v="4137.5"/>
    <n v="0.5"/>
    <n v="2068.75"/>
  </r>
  <r>
    <x v="3"/>
    <x v="39"/>
    <n v="3462.5"/>
    <n v="0.5"/>
    <n v="1731.25"/>
  </r>
  <r>
    <x v="3"/>
    <x v="40"/>
    <n v="8987.5"/>
    <n v="0.5"/>
    <n v="4493.75"/>
  </r>
  <r>
    <x v="3"/>
    <x v="41"/>
    <n v="8400"/>
    <n v="0.5"/>
    <n v="4200"/>
  </r>
  <r>
    <x v="3"/>
    <x v="42"/>
    <n v="6512.5"/>
    <n v="0.5"/>
    <n v="3256.25"/>
  </r>
  <r>
    <x v="3"/>
    <x v="43"/>
    <n v="6250"/>
    <n v="0.5"/>
    <n v="3125"/>
  </r>
  <r>
    <x v="3"/>
    <x v="44"/>
    <n v="6337.5"/>
    <n v="0.5"/>
    <n v="3168.75"/>
  </r>
  <r>
    <x v="3"/>
    <x v="45"/>
    <n v="8837.5"/>
    <n v="0.5"/>
    <n v="4418.75"/>
  </r>
  <r>
    <x v="3"/>
    <x v="46"/>
    <n v="9125"/>
    <n v="0.5"/>
    <n v="4562.5"/>
  </r>
  <r>
    <x v="3"/>
    <x v="47"/>
    <n v="8950"/>
    <n v="0.5"/>
    <n v="4475"/>
  </r>
  <r>
    <x v="3"/>
    <x v="48"/>
    <n v="8962.5"/>
    <n v="0.5"/>
    <n v="4481.25"/>
  </r>
  <r>
    <x v="3"/>
    <x v="49"/>
    <n v="9337.5"/>
    <n v="0.5"/>
    <n v="4668.75"/>
  </r>
  <r>
    <x v="3"/>
    <x v="50"/>
    <n v="9337.5"/>
    <n v="0.5"/>
    <n v="4668.75"/>
  </r>
  <r>
    <x v="3"/>
    <x v="51"/>
    <n v="9412.5"/>
    <n v="0.5"/>
    <n v="4706.25"/>
  </r>
  <r>
    <x v="3"/>
    <x v="52"/>
    <n v="9562.5"/>
    <n v="0.5"/>
    <n v="4781.25"/>
  </r>
  <r>
    <x v="3"/>
    <x v="53"/>
    <n v="9562.5"/>
    <n v="0.5"/>
    <n v="4781.25"/>
  </r>
  <r>
    <x v="3"/>
    <x v="54"/>
    <n v="9850"/>
    <n v="0.5"/>
    <n v="4925"/>
  </r>
  <r>
    <x v="3"/>
    <x v="55"/>
    <n v="10287.5"/>
    <n v="0.5"/>
    <n v="5143.75"/>
  </r>
  <r>
    <x v="3"/>
    <x v="56"/>
    <n v="11625"/>
    <n v="0.5"/>
    <n v="5812.5"/>
  </r>
  <r>
    <x v="3"/>
    <x v="57"/>
    <n v="11662.5"/>
    <n v="0.5"/>
    <n v="5831.25"/>
  </r>
  <r>
    <x v="3"/>
    <x v="58"/>
    <n v="12212.5"/>
    <n v="0.5"/>
    <n v="6106.25"/>
  </r>
  <r>
    <x v="3"/>
    <x v="59"/>
    <n v="12525"/>
    <n v="0.5"/>
    <n v="6262.5"/>
  </r>
  <r>
    <x v="3"/>
    <x v="60"/>
    <n v="11525"/>
    <n v="0.5"/>
    <n v="5762.5"/>
  </r>
  <r>
    <x v="3"/>
    <x v="61"/>
    <n v="11675"/>
    <n v="0.5"/>
    <n v="5837.5"/>
  </r>
  <r>
    <x v="3"/>
    <x v="62"/>
    <n v="11262.5"/>
    <n v="0.5"/>
    <n v="5631.25"/>
  </r>
  <r>
    <x v="3"/>
    <x v="63"/>
    <n v="9725"/>
    <n v="0.5"/>
    <n v="4862.5"/>
  </r>
  <r>
    <x v="3"/>
    <x v="64"/>
    <n v="9975"/>
    <n v="0.5"/>
    <n v="4987.5"/>
  </r>
  <r>
    <x v="3"/>
    <x v="65"/>
    <n v="10200"/>
    <n v="0.5"/>
    <n v="5100"/>
  </r>
  <r>
    <x v="3"/>
    <x v="66"/>
    <n v="10350"/>
    <n v="0.5"/>
    <n v="5175"/>
  </r>
  <r>
    <x v="3"/>
    <x v="67"/>
    <n v="11637.5"/>
    <n v="0.5"/>
    <n v="5818.75"/>
  </r>
  <r>
    <x v="3"/>
    <x v="68"/>
    <n v="11837.5"/>
    <n v="0.5"/>
    <n v="5918.75"/>
  </r>
  <r>
    <x v="3"/>
    <x v="69"/>
    <n v="11425"/>
    <n v="0.5"/>
    <n v="5712.5"/>
  </r>
  <r>
    <x v="3"/>
    <x v="70"/>
    <n v="11650"/>
    <n v="0.5"/>
    <n v="5825"/>
  </r>
  <r>
    <x v="3"/>
    <x v="71"/>
    <n v="11337.5"/>
    <n v="0.5"/>
    <n v="5668.75"/>
  </r>
  <r>
    <x v="3"/>
    <x v="72"/>
    <n v="11625"/>
    <n v="0.5"/>
    <n v="5812.5"/>
  </r>
  <r>
    <x v="3"/>
    <x v="73"/>
    <n v="13225"/>
    <n v="0.5"/>
    <n v="6612.5"/>
  </r>
  <r>
    <x v="3"/>
    <x v="74"/>
    <n v="16062.5"/>
    <n v="0.5"/>
    <n v="8031.25"/>
  </r>
  <r>
    <x v="3"/>
    <x v="75"/>
    <n v="16475"/>
    <n v="0.5"/>
    <n v="8237.5"/>
  </r>
  <r>
    <x v="3"/>
    <x v="76"/>
    <n v="18000"/>
    <n v="0.5"/>
    <n v="9000"/>
  </r>
  <r>
    <x v="3"/>
    <x v="77"/>
    <n v="17950"/>
    <n v="0.5"/>
    <n v="8975"/>
  </r>
  <r>
    <x v="3"/>
    <x v="78"/>
    <n v="18162.5"/>
    <n v="0.5"/>
    <n v="9081.25"/>
  </r>
  <r>
    <x v="3"/>
    <x v="79"/>
    <n v="18400"/>
    <n v="0.5"/>
    <n v="9200"/>
  </r>
  <r>
    <x v="3"/>
    <x v="80"/>
    <n v="17512.5"/>
    <n v="0.5"/>
    <n v="8756.25"/>
  </r>
  <r>
    <x v="3"/>
    <x v="81"/>
    <n v="18250"/>
    <n v="0.5"/>
    <n v="9125"/>
  </r>
  <r>
    <x v="3"/>
    <x v="82"/>
    <n v="19462.5"/>
    <n v="0.5"/>
    <n v="9731.25"/>
  </r>
  <r>
    <x v="3"/>
    <x v="83"/>
    <n v="19400"/>
    <n v="0.5"/>
    <n v="9700"/>
  </r>
  <r>
    <x v="3"/>
    <x v="84"/>
    <n v="19050"/>
    <n v="0.5"/>
    <n v="9525"/>
  </r>
  <r>
    <x v="3"/>
    <x v="85"/>
    <n v="19350"/>
    <n v="0.5"/>
    <n v="9675"/>
  </r>
  <r>
    <x v="3"/>
    <x v="86"/>
    <n v="18200"/>
    <n v="0.5"/>
    <n v="9100"/>
  </r>
  <r>
    <x v="3"/>
    <x v="87"/>
    <n v="18625"/>
    <n v="0.5"/>
    <n v="9312.5"/>
  </r>
  <r>
    <x v="3"/>
    <x v="88"/>
    <n v="18650"/>
    <n v="0.5"/>
    <n v="9325"/>
  </r>
  <r>
    <x v="3"/>
    <x v="89"/>
    <n v="18337.5"/>
    <n v="0.5"/>
    <n v="9168.75"/>
  </r>
  <r>
    <x v="3"/>
    <x v="90"/>
    <n v="18437.5"/>
    <n v="0.5"/>
    <n v="9218.75"/>
  </r>
  <r>
    <x v="3"/>
    <x v="91"/>
    <n v="18925"/>
    <n v="0.5"/>
    <n v="9462.5"/>
  </r>
  <r>
    <x v="3"/>
    <x v="92"/>
    <n v="18737.5"/>
    <n v="0.5"/>
    <n v="9368.75"/>
  </r>
  <r>
    <x v="3"/>
    <x v="93"/>
    <n v="18500"/>
    <n v="0.5"/>
    <n v="9250"/>
  </r>
  <r>
    <x v="3"/>
    <x v="94"/>
    <n v="18962.5"/>
    <n v="0.5"/>
    <n v="9481.25"/>
  </r>
  <r>
    <x v="3"/>
    <x v="95"/>
    <n v="19075"/>
    <n v="0.5"/>
    <n v="9537.5"/>
  </r>
  <r>
    <x v="3"/>
    <x v="96"/>
    <n v="19625"/>
    <n v="0.5"/>
    <n v="9812.5"/>
  </r>
  <r>
    <x v="3"/>
    <x v="97"/>
    <n v="19287.5"/>
    <n v="0.5"/>
    <n v="9643.75"/>
  </r>
  <r>
    <x v="3"/>
    <x v="98"/>
    <n v="19175"/>
    <n v="0.5"/>
    <n v="9587.5"/>
  </r>
  <r>
    <x v="3"/>
    <x v="99"/>
    <n v="17950"/>
    <n v="0.5"/>
    <n v="8975"/>
  </r>
  <r>
    <x v="3"/>
    <x v="100"/>
    <n v="17812.5"/>
    <n v="0.5"/>
    <n v="8906.25"/>
  </r>
  <r>
    <x v="3"/>
    <x v="101"/>
    <n v="17925"/>
    <n v="0.5"/>
    <n v="8962.5"/>
  </r>
  <r>
    <x v="3"/>
    <x v="102"/>
    <n v="18275"/>
    <n v="0.5"/>
    <n v="9137.5"/>
  </r>
  <r>
    <x v="3"/>
    <x v="103"/>
    <n v="18387.5"/>
    <n v="0.5"/>
    <n v="9193.75"/>
  </r>
  <r>
    <x v="3"/>
    <x v="104"/>
    <n v="18337.5"/>
    <n v="0.5"/>
    <n v="9168.75"/>
  </r>
  <r>
    <x v="3"/>
    <x v="105"/>
    <n v="16537.5"/>
    <n v="0.5"/>
    <n v="8268.75"/>
  </r>
  <r>
    <x v="3"/>
    <x v="106"/>
    <n v="15550"/>
    <n v="0.5"/>
    <n v="7775"/>
  </r>
  <r>
    <x v="3"/>
    <x v="107"/>
    <n v="15887.5"/>
    <n v="0.5"/>
    <n v="7943.75"/>
  </r>
  <r>
    <x v="3"/>
    <x v="108"/>
    <n v="16187.5"/>
    <n v="0.5"/>
    <n v="8093.75"/>
  </r>
  <r>
    <x v="3"/>
    <x v="109"/>
    <n v="15850"/>
    <n v="0.5"/>
    <n v="7925"/>
  </r>
  <r>
    <x v="3"/>
    <x v="110"/>
    <n v="16275"/>
    <n v="0.5"/>
    <n v="8137.5"/>
  </r>
  <r>
    <x v="3"/>
    <x v="111"/>
    <n v="15262.5"/>
    <n v="0.5"/>
    <n v="7631.25"/>
  </r>
  <r>
    <x v="3"/>
    <x v="112"/>
    <n v="15225"/>
    <n v="0.5"/>
    <n v="7612.5"/>
  </r>
  <r>
    <x v="3"/>
    <x v="113"/>
    <n v="15437.5"/>
    <n v="0.5"/>
    <n v="7718.75"/>
  </r>
  <r>
    <x v="3"/>
    <x v="114"/>
    <n v="14462.5"/>
    <n v="0.5"/>
    <n v="7231.25"/>
  </r>
  <r>
    <x v="3"/>
    <x v="115"/>
    <n v="14887.5"/>
    <n v="0.5"/>
    <n v="7443.75"/>
  </r>
  <r>
    <x v="3"/>
    <x v="116"/>
    <n v="14162.5"/>
    <n v="0.5"/>
    <n v="7081.25"/>
  </r>
  <r>
    <x v="3"/>
    <x v="117"/>
    <n v="14187.5"/>
    <n v="0.5"/>
    <n v="7093.75"/>
  </r>
  <r>
    <x v="3"/>
    <x v="118"/>
    <n v="13500"/>
    <n v="0.5"/>
    <n v="6750"/>
  </r>
  <r>
    <x v="3"/>
    <x v="119"/>
    <n v="13437.5"/>
    <n v="0.5"/>
    <n v="6718.75"/>
  </r>
  <r>
    <x v="3"/>
    <x v="120"/>
    <n v="13412.5"/>
    <n v="0.5"/>
    <n v="6706.25"/>
  </r>
  <r>
    <x v="3"/>
    <x v="121"/>
    <n v="13987.5"/>
    <n v="0.5"/>
    <n v="6993.75"/>
  </r>
  <r>
    <x v="3"/>
    <x v="122"/>
    <n v="13162.5"/>
    <n v="0.5"/>
    <n v="6581.25"/>
  </r>
  <r>
    <x v="3"/>
    <x v="123"/>
    <n v="13400"/>
    <n v="0.5"/>
    <n v="6700"/>
  </r>
  <r>
    <x v="3"/>
    <x v="124"/>
    <n v="12700"/>
    <n v="0.5"/>
    <n v="6350"/>
  </r>
  <r>
    <x v="3"/>
    <x v="125"/>
    <n v="12425"/>
    <n v="0.5"/>
    <n v="6212.5"/>
  </r>
  <r>
    <x v="3"/>
    <x v="126"/>
    <n v="14362.5"/>
    <n v="0.5"/>
    <n v="7181.25"/>
  </r>
  <r>
    <x v="3"/>
    <x v="127"/>
    <n v="14362.5"/>
    <n v="0.5"/>
    <n v="7181.25"/>
  </r>
  <r>
    <x v="3"/>
    <x v="128"/>
    <n v="14025"/>
    <n v="0.5"/>
    <n v="7012.5"/>
  </r>
  <r>
    <x v="3"/>
    <x v="129"/>
    <n v="13337.5"/>
    <n v="0.5"/>
    <n v="6668.75"/>
  </r>
  <r>
    <x v="3"/>
    <x v="130"/>
    <n v="12200"/>
    <n v="0.5"/>
    <n v="6100"/>
  </r>
  <r>
    <x v="3"/>
    <x v="131"/>
    <n v="11950"/>
    <n v="0.5"/>
    <n v="5975"/>
  </r>
  <r>
    <x v="3"/>
    <x v="132"/>
    <n v="12237.5"/>
    <n v="0.5"/>
    <n v="6118.75"/>
  </r>
  <r>
    <x v="3"/>
    <x v="133"/>
    <n v="11662.5"/>
    <n v="0.5"/>
    <n v="5831.25"/>
  </r>
  <r>
    <x v="3"/>
    <x v="134"/>
    <n v="11700"/>
    <n v="0.5"/>
    <n v="5850"/>
  </r>
  <r>
    <x v="3"/>
    <x v="135"/>
    <n v="12887.5"/>
    <n v="0.5"/>
    <n v="6443.75"/>
  </r>
  <r>
    <x v="3"/>
    <x v="136"/>
    <n v="12125"/>
    <n v="0.5"/>
    <n v="6062.5"/>
  </r>
  <r>
    <x v="3"/>
    <x v="137"/>
    <n v="11900"/>
    <n v="0.5"/>
    <n v="5950"/>
  </r>
  <r>
    <x v="3"/>
    <x v="138"/>
    <n v="11362.5"/>
    <n v="0.5"/>
    <n v="5681.25"/>
  </r>
  <r>
    <x v="3"/>
    <x v="139"/>
    <n v="11287.5"/>
    <n v="0.5"/>
    <n v="5643.75"/>
  </r>
  <r>
    <x v="3"/>
    <x v="140"/>
    <n v="11100"/>
    <n v="0.5"/>
    <n v="5550"/>
  </r>
  <r>
    <x v="3"/>
    <x v="141"/>
    <n v="11712.5"/>
    <n v="0.5"/>
    <n v="5856.25"/>
  </r>
  <r>
    <x v="3"/>
    <x v="142"/>
    <n v="12612.5"/>
    <n v="0.5"/>
    <n v="6306.25"/>
  </r>
  <r>
    <x v="3"/>
    <x v="143"/>
    <n v="12612.5"/>
    <n v="0.5"/>
    <n v="6306.25"/>
  </r>
  <r>
    <x v="3"/>
    <x v="144"/>
    <n v="12612.5"/>
    <n v="0.5"/>
    <n v="6306.25"/>
  </r>
  <r>
    <x v="3"/>
    <x v="145"/>
    <n v="12612.5"/>
    <n v="0.5"/>
    <n v="6306.25"/>
  </r>
  <r>
    <x v="3"/>
    <x v="146"/>
    <n v="12612.5"/>
    <n v="0.5"/>
    <n v="6306.25"/>
  </r>
  <r>
    <x v="3"/>
    <x v="147"/>
    <n v="13312.5"/>
    <n v="0.5"/>
    <n v="6656.25"/>
  </r>
  <r>
    <x v="3"/>
    <x v="148"/>
    <n v="12650"/>
    <n v="0.5"/>
    <n v="6325"/>
  </r>
  <r>
    <x v="3"/>
    <x v="149"/>
    <n v="12562.5"/>
    <n v="0.5"/>
    <n v="6281.25"/>
  </r>
  <r>
    <x v="3"/>
    <x v="150"/>
    <n v="13275"/>
    <n v="0.5"/>
    <n v="6637.5"/>
  </r>
  <r>
    <x v="3"/>
    <x v="151"/>
    <n v="13125"/>
    <n v="0.5"/>
    <n v="6562.5"/>
  </r>
  <r>
    <x v="3"/>
    <x v="152"/>
    <n v="13125"/>
    <n v="0.5"/>
    <n v="6562.5"/>
  </r>
  <r>
    <x v="3"/>
    <x v="153"/>
    <n v="13400"/>
    <n v="0.5"/>
    <n v="6700"/>
  </r>
  <r>
    <x v="3"/>
    <x v="154"/>
    <n v="12187.5"/>
    <n v="0.5"/>
    <n v="6093.75"/>
  </r>
  <r>
    <x v="3"/>
    <x v="155"/>
    <n v="12337.5"/>
    <n v="0.5"/>
    <n v="6168.75"/>
  </r>
  <r>
    <x v="3"/>
    <x v="156"/>
    <n v="13500"/>
    <n v="0.5"/>
    <n v="6750"/>
  </r>
  <r>
    <x v="3"/>
    <x v="157"/>
    <n v="13050"/>
    <n v="0.5"/>
    <n v="6525"/>
  </r>
  <r>
    <x v="3"/>
    <x v="158"/>
    <n v="13925"/>
    <n v="0.5"/>
    <n v="6962.5"/>
  </r>
  <r>
    <x v="3"/>
    <x v="159"/>
    <n v="14862.5"/>
    <n v="0.5"/>
    <n v="7431.25"/>
  </r>
  <r>
    <x v="3"/>
    <x v="160"/>
    <n v="14762.5"/>
    <n v="0.5"/>
    <n v="7381.25"/>
  </r>
  <r>
    <x v="3"/>
    <x v="161"/>
    <n v="14437.5"/>
    <n v="0.5"/>
    <n v="7218.75"/>
  </r>
  <r>
    <x v="3"/>
    <x v="162"/>
    <n v="14712.5"/>
    <n v="0.5"/>
    <n v="7356.25"/>
  </r>
  <r>
    <x v="3"/>
    <x v="163"/>
    <n v="14350"/>
    <n v="0.5"/>
    <n v="7175"/>
  </r>
  <r>
    <x v="3"/>
    <x v="164"/>
    <n v="14837.5"/>
    <n v="0.5"/>
    <n v="7418.75"/>
  </r>
  <r>
    <x v="3"/>
    <x v="165"/>
    <n v="15350"/>
    <n v="0.5"/>
    <n v="7675"/>
  </r>
  <r>
    <x v="3"/>
    <x v="166"/>
    <n v="15612.5"/>
    <n v="0.5"/>
    <n v="7806.25"/>
  </r>
  <r>
    <x v="3"/>
    <x v="167"/>
    <n v="15612.5"/>
    <n v="0.5"/>
    <n v="7806.25"/>
  </r>
  <r>
    <x v="3"/>
    <x v="168"/>
    <n v="15612.5"/>
    <n v="0.5"/>
    <n v="7806.25"/>
  </r>
  <r>
    <x v="3"/>
    <x v="169"/>
    <n v="16200"/>
    <n v="0.5"/>
    <n v="8100"/>
  </r>
  <r>
    <x v="3"/>
    <x v="170"/>
    <n v="16575"/>
    <n v="0.5"/>
    <n v="8287.5"/>
  </r>
  <r>
    <x v="3"/>
    <x v="171"/>
    <n v="17175"/>
    <n v="0.5"/>
    <n v="8587.5"/>
  </r>
  <r>
    <x v="3"/>
    <x v="172"/>
    <n v="20212.5"/>
    <n v="0.5"/>
    <n v="10106.25"/>
  </r>
  <r>
    <x v="3"/>
    <x v="173"/>
    <n v="20187.5"/>
    <n v="0.5"/>
    <n v="10093.75"/>
  </r>
  <r>
    <x v="3"/>
    <x v="174"/>
    <n v="20737.5"/>
    <n v="0.5"/>
    <n v="10368.75"/>
  </r>
  <r>
    <x v="3"/>
    <x v="175"/>
    <n v="21887.5"/>
    <n v="0.5"/>
    <n v="10943.75"/>
  </r>
  <r>
    <x v="3"/>
    <x v="176"/>
    <n v="18862.5"/>
    <n v="0.5"/>
    <n v="9431.25"/>
  </r>
  <r>
    <x v="3"/>
    <x v="177"/>
    <n v="20287.5"/>
    <n v="0.5"/>
    <n v="10143.75"/>
  </r>
  <r>
    <x v="3"/>
    <x v="178"/>
    <n v="21675"/>
    <n v="0.5"/>
    <n v="10837.5"/>
  </r>
  <r>
    <x v="3"/>
    <x v="179"/>
    <n v="20900"/>
    <n v="0.5"/>
    <n v="10450"/>
  </r>
  <r>
    <x v="3"/>
    <x v="180"/>
    <n v="20825"/>
    <n v="0.5"/>
    <n v="10412.5"/>
  </r>
  <r>
    <x v="3"/>
    <x v="181"/>
    <n v="22037.5"/>
    <n v="0.5"/>
    <n v="11018.75"/>
  </r>
  <r>
    <x v="3"/>
    <x v="182"/>
    <n v="24912.5"/>
    <n v="0.5"/>
    <n v="12456.25"/>
  </r>
  <r>
    <x v="3"/>
    <x v="183"/>
    <n v="24462.5"/>
    <n v="0.5"/>
    <n v="12231.25"/>
  </r>
  <r>
    <x v="3"/>
    <x v="184"/>
    <n v="25112.5"/>
    <n v="0.5"/>
    <n v="12556.25"/>
  </r>
  <r>
    <x v="3"/>
    <x v="185"/>
    <n v="24262.5"/>
    <n v="0.5"/>
    <n v="12131.25"/>
  </r>
  <r>
    <x v="3"/>
    <x v="186"/>
    <n v="25550"/>
    <n v="0.5"/>
    <n v="12775"/>
  </r>
  <r>
    <x v="3"/>
    <x v="187"/>
    <n v="25450"/>
    <n v="0.5"/>
    <n v="12725"/>
  </r>
  <r>
    <x v="3"/>
    <x v="188"/>
    <n v="25475"/>
    <n v="0.5"/>
    <n v="12737.5"/>
  </r>
  <r>
    <x v="3"/>
    <x v="189"/>
    <n v="25750"/>
    <n v="0.5"/>
    <n v="12875"/>
  </r>
  <r>
    <x v="3"/>
    <x v="190"/>
    <n v="24987.5"/>
    <n v="0.5"/>
    <n v="12493.75"/>
  </r>
  <r>
    <x v="3"/>
    <x v="191"/>
    <n v="24900"/>
    <n v="0.5"/>
    <n v="12450"/>
  </r>
  <r>
    <x v="3"/>
    <x v="192"/>
    <n v="25237.5"/>
    <n v="0.5"/>
    <n v="12618.75"/>
  </r>
  <r>
    <x v="3"/>
    <x v="193"/>
    <n v="25037.5"/>
    <n v="0.5"/>
    <n v="12518.75"/>
  </r>
  <r>
    <x v="3"/>
    <x v="194"/>
    <n v="24862.5"/>
    <n v="0.5"/>
    <n v="12431.25"/>
  </r>
  <r>
    <x v="3"/>
    <x v="195"/>
    <n v="25500"/>
    <n v="0.5"/>
    <n v="12750"/>
  </r>
  <r>
    <x v="3"/>
    <x v="196"/>
    <n v="28025"/>
    <n v="0.5"/>
    <n v="14012.5"/>
  </r>
  <r>
    <x v="3"/>
    <x v="197"/>
    <n v="28400"/>
    <n v="0.5"/>
    <n v="14200"/>
  </r>
  <r>
    <x v="3"/>
    <x v="198"/>
    <n v="30525"/>
    <n v="0.5"/>
    <n v="15262.5"/>
  </r>
  <r>
    <x v="3"/>
    <x v="199"/>
    <n v="34025"/>
    <n v="0.5"/>
    <n v="17012.5"/>
  </r>
  <r>
    <x v="3"/>
    <x v="200"/>
    <n v="27500"/>
    <n v="0.5"/>
    <n v="13750"/>
  </r>
  <r>
    <x v="3"/>
    <x v="201"/>
    <n v="31637.5"/>
    <n v="0.5"/>
    <n v="15818.75"/>
  </r>
  <r>
    <x v="3"/>
    <x v="202"/>
    <n v="31562.5"/>
    <n v="0.5"/>
    <n v="15781.25"/>
  </r>
  <r>
    <x v="3"/>
    <x v="203"/>
    <n v="31562.5"/>
    <n v="0.5"/>
    <n v="15781.25"/>
  </r>
  <r>
    <x v="3"/>
    <x v="204"/>
    <n v="33237.5"/>
    <n v="0.5"/>
    <n v="16618.75"/>
  </r>
  <r>
    <x v="3"/>
    <x v="205"/>
    <n v="33250"/>
    <n v="0.5"/>
    <n v="16625"/>
  </r>
  <r>
    <x v="3"/>
    <x v="206"/>
    <n v="32700"/>
    <n v="0.5"/>
    <n v="16350"/>
  </r>
  <r>
    <x v="3"/>
    <x v="207"/>
    <n v="31912.5"/>
    <n v="0.5"/>
    <n v="15956.25"/>
  </r>
  <r>
    <x v="3"/>
    <x v="208"/>
    <n v="37475"/>
    <n v="0.5"/>
    <n v="18737.5"/>
  </r>
  <r>
    <x v="3"/>
    <x v="209"/>
    <n v="38537.5"/>
    <n v="0.5"/>
    <n v="19268.75"/>
  </r>
  <r>
    <x v="3"/>
    <x v="210"/>
    <n v="37912.5"/>
    <n v="0.5"/>
    <n v="18956.25"/>
  </r>
  <r>
    <x v="3"/>
    <x v="211"/>
    <n v="36337.5"/>
    <n v="0.5"/>
    <n v="18168.75"/>
  </r>
  <r>
    <x v="3"/>
    <x v="212"/>
    <n v="43025"/>
    <n v="0.5"/>
    <n v="21512.5"/>
  </r>
  <r>
    <x v="3"/>
    <x v="213"/>
    <n v="47825"/>
    <n v="0.5"/>
    <n v="23912.5"/>
  </r>
  <r>
    <x v="3"/>
    <x v="214"/>
    <n v="47825"/>
    <n v="0.5"/>
    <n v="23912.5"/>
  </r>
  <r>
    <x v="3"/>
    <x v="215"/>
    <n v="47825"/>
    <n v="0.5"/>
    <n v="23912.5"/>
  </r>
  <r>
    <x v="3"/>
    <x v="216"/>
    <n v="47825"/>
    <n v="0.5"/>
    <n v="23912.5"/>
  </r>
  <r>
    <x v="3"/>
    <x v="217"/>
    <n v="36012.5"/>
    <n v="0.5"/>
    <n v="18006.25"/>
  </r>
  <r>
    <x v="3"/>
    <x v="218"/>
    <n v="35612.5"/>
    <n v="0.5"/>
    <n v="17806.25"/>
  </r>
  <r>
    <x v="3"/>
    <x v="219"/>
    <n v="28575"/>
    <n v="0.5"/>
    <n v="14287.5"/>
  </r>
  <r>
    <x v="3"/>
    <x v="220"/>
    <n v="36662.5"/>
    <n v="0.5"/>
    <n v="18331.25"/>
  </r>
  <r>
    <x v="3"/>
    <x v="221"/>
    <n v="34862.5"/>
    <n v="0.5"/>
    <n v="17431.25"/>
  </r>
  <r>
    <x v="3"/>
    <x v="222"/>
    <n v="34075"/>
    <n v="0.5"/>
    <n v="17037.5"/>
  </r>
  <r>
    <x v="3"/>
    <x v="223"/>
    <n v="36575"/>
    <n v="0.5"/>
    <n v="18287.5"/>
  </r>
  <r>
    <x v="3"/>
    <x v="224"/>
    <n v="35437.5"/>
    <n v="0.5"/>
    <n v="17718.75"/>
  </r>
  <r>
    <x v="3"/>
    <x v="225"/>
    <n v="40987.5"/>
    <n v="0.5"/>
    <n v="20493.75"/>
  </r>
  <r>
    <x v="3"/>
    <x v="226"/>
    <n v="39587.5"/>
    <n v="0.5"/>
    <n v="19793.75"/>
  </r>
  <r>
    <x v="3"/>
    <x v="227"/>
    <n v="39587.5"/>
    <n v="0.5"/>
    <n v="19793.75"/>
  </r>
  <r>
    <x v="3"/>
    <x v="228"/>
    <n v="41312.5"/>
    <n v="0.5"/>
    <n v="20656.25"/>
  </r>
  <r>
    <x v="3"/>
    <x v="229"/>
    <n v="42225"/>
    <n v="0.5"/>
    <n v="21112.5"/>
  </r>
  <r>
    <x v="3"/>
    <x v="230"/>
    <n v="41600"/>
    <n v="0.5"/>
    <n v="20800"/>
  </r>
  <r>
    <x v="3"/>
    <x v="231"/>
    <n v="39575"/>
    <n v="0.5"/>
    <n v="19787.5"/>
  </r>
  <r>
    <x v="3"/>
    <x v="232"/>
    <n v="37100"/>
    <n v="0.5"/>
    <n v="18550"/>
  </r>
  <r>
    <x v="3"/>
    <x v="233"/>
    <n v="34362.5"/>
    <n v="0.5"/>
    <n v="17181.25"/>
  </r>
  <r>
    <x v="3"/>
    <x v="234"/>
    <n v="35175"/>
    <n v="0.5"/>
    <n v="17587.5"/>
  </r>
  <r>
    <x v="3"/>
    <x v="235"/>
    <n v="38600"/>
    <n v="0.5"/>
    <n v="19300"/>
  </r>
  <r>
    <x v="3"/>
    <x v="236"/>
    <n v="41312.5"/>
    <n v="0.5"/>
    <n v="20656.25"/>
  </r>
  <r>
    <x v="3"/>
    <x v="237"/>
    <n v="41675"/>
    <n v="0.5"/>
    <n v="20837.5"/>
  </r>
  <r>
    <x v="3"/>
    <x v="238"/>
    <n v="41212.5"/>
    <n v="0.5"/>
    <n v="20606.25"/>
  </r>
  <r>
    <x v="3"/>
    <x v="239"/>
    <n v="37337.5"/>
    <n v="0.5"/>
    <n v="18668.75"/>
  </r>
  <r>
    <x v="3"/>
    <x v="240"/>
    <n v="36537.5"/>
    <n v="0.5"/>
    <n v="18268.75"/>
  </r>
  <r>
    <x v="3"/>
    <x v="241"/>
    <n v="32125"/>
    <n v="0.5"/>
    <n v="16062.5"/>
  </r>
  <r>
    <x v="3"/>
    <x v="242"/>
    <n v="30712.5"/>
    <n v="0.5"/>
    <n v="15356.25"/>
  </r>
  <r>
    <x v="3"/>
    <x v="243"/>
    <n v="30137.5"/>
    <n v="0.5"/>
    <n v="15068.75"/>
  </r>
  <r>
    <x v="3"/>
    <x v="244"/>
    <n v="29225"/>
    <n v="0.5"/>
    <n v="14612.5"/>
  </r>
  <r>
    <x v="3"/>
    <x v="245"/>
    <n v="29762.5"/>
    <n v="0.5"/>
    <n v="14881.25"/>
  </r>
  <r>
    <x v="3"/>
    <x v="246"/>
    <n v="30525"/>
    <n v="0.5"/>
    <n v="15262.5"/>
  </r>
  <r>
    <x v="3"/>
    <x v="247"/>
    <n v="27725"/>
    <n v="0.5"/>
    <n v="13862.5"/>
  </r>
  <r>
    <x v="3"/>
    <x v="248"/>
    <n v="28887.5"/>
    <n v="0.5"/>
    <n v="14443.75"/>
  </r>
  <r>
    <x v="3"/>
    <x v="249"/>
    <n v="29062.5"/>
    <n v="0.5"/>
    <n v="14531.25"/>
  </r>
  <r>
    <x v="3"/>
    <x v="250"/>
    <n v="31225"/>
    <n v="0.5"/>
    <n v="15612.5"/>
  </r>
  <r>
    <x v="3"/>
    <x v="251"/>
    <n v="31887.5"/>
    <n v="0.5"/>
    <n v="15943.75"/>
  </r>
  <r>
    <x v="3"/>
    <x v="252"/>
    <n v="31887.5"/>
    <n v="0.5"/>
    <n v="15943.75"/>
  </r>
  <r>
    <x v="3"/>
    <x v="253"/>
    <n v="33600"/>
    <n v="0.5"/>
    <n v="16800"/>
  </r>
  <r>
    <x v="3"/>
    <x v="254"/>
    <n v="31675"/>
    <n v="0.5"/>
    <n v="15837.5"/>
  </r>
  <r>
    <x v="3"/>
    <x v="255"/>
    <n v="35850"/>
    <n v="0.5"/>
    <n v="17925"/>
  </r>
  <r>
    <x v="3"/>
    <x v="256"/>
    <n v="34975"/>
    <n v="0.5"/>
    <n v="17487.5"/>
  </r>
  <r>
    <x v="3"/>
    <x v="257"/>
    <n v="35925"/>
    <n v="0.5"/>
    <n v="17962.5"/>
  </r>
  <r>
    <x v="3"/>
    <x v="258"/>
    <n v="36425"/>
    <n v="0.5"/>
    <n v="18212.5"/>
  </r>
  <r>
    <x v="3"/>
    <x v="259"/>
    <n v="35562.5"/>
    <n v="0.5"/>
    <n v="17781.25"/>
  </r>
  <r>
    <x v="3"/>
    <x v="260"/>
    <n v="35175"/>
    <n v="0.5"/>
    <n v="17587.5"/>
  </r>
  <r>
    <x v="3"/>
    <x v="261"/>
    <n v="35350"/>
    <n v="0.5"/>
    <n v="17675"/>
  </r>
  <r>
    <x v="3"/>
    <x v="262"/>
    <n v="35350"/>
    <n v="0.5"/>
    <n v="17675"/>
  </r>
  <r>
    <x v="3"/>
    <x v="263"/>
    <n v="35350"/>
    <n v="0.5"/>
    <n v="17675"/>
  </r>
  <r>
    <x v="3"/>
    <x v="264"/>
    <n v="35350"/>
    <n v="0.5"/>
    <n v="17675"/>
  </r>
  <r>
    <x v="3"/>
    <x v="265"/>
    <n v="36675"/>
    <n v="0.5"/>
    <n v="18337.5"/>
  </r>
  <r>
    <x v="3"/>
    <x v="266"/>
    <n v="37512.5"/>
    <n v="0.5"/>
    <n v="18756.25"/>
  </r>
  <r>
    <x v="3"/>
    <x v="267"/>
    <n v="37300"/>
    <n v="0.5"/>
    <n v="18650"/>
  </r>
  <r>
    <x v="3"/>
    <x v="268"/>
    <n v="37300"/>
    <n v="0.5"/>
    <n v="18650"/>
  </r>
  <r>
    <x v="3"/>
    <x v="269"/>
    <n v="37875"/>
    <n v="0.5"/>
    <n v="18937.5"/>
  </r>
  <r>
    <x v="3"/>
    <x v="270"/>
    <n v="37925"/>
    <n v="0.5"/>
    <n v="18962.5"/>
  </r>
  <r>
    <x v="3"/>
    <x v="271"/>
    <n v="37450"/>
    <n v="0.5"/>
    <n v="18725"/>
  </r>
  <r>
    <x v="3"/>
    <x v="272"/>
    <n v="37950"/>
    <n v="0.5"/>
    <n v="18975"/>
  </r>
  <r>
    <x v="3"/>
    <x v="273"/>
    <n v="37837.5"/>
    <n v="0.5"/>
    <n v="18918.75"/>
  </r>
  <r>
    <x v="3"/>
    <x v="274"/>
    <n v="37725"/>
    <n v="0.5"/>
    <n v="18862.5"/>
  </r>
  <r>
    <x v="3"/>
    <x v="275"/>
    <n v="38900"/>
    <n v="0.5"/>
    <n v="19450"/>
  </r>
  <r>
    <x v="3"/>
    <x v="276"/>
    <n v="38900"/>
    <n v="0.5"/>
    <n v="19450"/>
  </r>
  <r>
    <x v="3"/>
    <x v="277"/>
    <n v="36675"/>
    <n v="0.5"/>
    <n v="18337.5"/>
  </r>
  <r>
    <x v="3"/>
    <x v="278"/>
    <n v="34837.5"/>
    <n v="0.5"/>
    <n v="17418.75"/>
  </r>
  <r>
    <x v="3"/>
    <x v="279"/>
    <n v="33575"/>
    <n v="0.5"/>
    <n v="16787.5"/>
  </r>
  <r>
    <x v="3"/>
    <x v="280"/>
    <n v="32512.5"/>
    <n v="0.5"/>
    <n v="16256.25"/>
  </r>
  <r>
    <x v="3"/>
    <x v="281"/>
    <n v="31600"/>
    <n v="0.5"/>
    <n v="15800"/>
  </r>
  <r>
    <x v="3"/>
    <x v="282"/>
    <n v="32750"/>
    <n v="0.5"/>
    <n v="16375"/>
  </r>
  <r>
    <x v="3"/>
    <x v="283"/>
    <n v="33075"/>
    <n v="0.5"/>
    <n v="16537.5"/>
  </r>
  <r>
    <x v="3"/>
    <x v="284"/>
    <n v="33100"/>
    <n v="0.5"/>
    <n v="16550"/>
  </r>
  <r>
    <x v="3"/>
    <x v="285"/>
    <n v="34000"/>
    <n v="0.5"/>
    <n v="17000"/>
  </r>
  <r>
    <x v="3"/>
    <x v="286"/>
    <n v="33675"/>
    <n v="0.5"/>
    <n v="16837.5"/>
  </r>
  <r>
    <x v="3"/>
    <x v="287"/>
    <n v="34762.5"/>
    <n v="0.5"/>
    <n v="17381.25"/>
  </r>
  <r>
    <x v="3"/>
    <x v="288"/>
    <n v="34375"/>
    <n v="0.5"/>
    <n v="17187.5"/>
  </r>
  <r>
    <x v="3"/>
    <x v="289"/>
    <n v="36400"/>
    <n v="0.5"/>
    <n v="18200"/>
  </r>
  <r>
    <x v="3"/>
    <x v="290"/>
    <n v="41700"/>
    <n v="0.5"/>
    <n v="20850"/>
  </r>
  <r>
    <x v="3"/>
    <x v="291"/>
    <n v="43737.5"/>
    <n v="0.5"/>
    <n v="21868.75"/>
  </r>
  <r>
    <x v="3"/>
    <x v="292"/>
    <n v="44900"/>
    <n v="0.5"/>
    <n v="22450"/>
  </r>
  <r>
    <x v="3"/>
    <x v="293"/>
    <n v="49437.5"/>
    <n v="0.5"/>
    <n v="24718.75"/>
  </r>
  <r>
    <x v="3"/>
    <x v="294"/>
    <n v="46450"/>
    <n v="0.5"/>
    <n v="23225"/>
  </r>
  <r>
    <x v="3"/>
    <x v="295"/>
    <n v="46412.5"/>
    <n v="0.5"/>
    <n v="23206.25"/>
  </r>
  <r>
    <x v="3"/>
    <x v="296"/>
    <n v="46412.5"/>
    <n v="0.5"/>
    <n v="23206.25"/>
  </r>
  <r>
    <x v="3"/>
    <x v="297"/>
    <n v="48700"/>
    <n v="0.5"/>
    <n v="24350"/>
  </r>
  <r>
    <x v="3"/>
    <x v="298"/>
    <n v="47662.5"/>
    <n v="0.5"/>
    <n v="23831.25"/>
  </r>
  <r>
    <x v="3"/>
    <x v="299"/>
    <n v="47200"/>
    <n v="0.5"/>
    <n v="23600"/>
  </r>
  <r>
    <x v="3"/>
    <x v="300"/>
    <n v="48700"/>
    <n v="0.5"/>
    <n v="24350"/>
  </r>
  <r>
    <x v="3"/>
    <x v="301"/>
    <n v="50837.5"/>
    <n v="0.5"/>
    <n v="25418.75"/>
  </r>
  <r>
    <x v="3"/>
    <x v="302"/>
    <n v="50587.5"/>
    <n v="0.5"/>
    <n v="25293.75"/>
  </r>
  <r>
    <x v="3"/>
    <x v="303"/>
    <n v="52975"/>
    <n v="0.5"/>
    <n v="26487.5"/>
  </r>
  <r>
    <x v="3"/>
    <x v="304"/>
    <n v="52862.5"/>
    <n v="0.5"/>
    <n v="26431.25"/>
  </r>
  <r>
    <x v="3"/>
    <x v="305"/>
    <n v="52837.5"/>
    <n v="0.5"/>
    <n v="26418.75"/>
  </r>
  <r>
    <x v="3"/>
    <x v="306"/>
    <n v="54250"/>
    <n v="0.5"/>
    <n v="27125"/>
  </r>
  <r>
    <x v="3"/>
    <x v="307"/>
    <n v="55350"/>
    <n v="0.5"/>
    <n v="27675"/>
  </r>
  <r>
    <x v="3"/>
    <x v="308"/>
    <n v="56150"/>
    <n v="0.5"/>
    <n v="28075"/>
  </r>
  <r>
    <x v="3"/>
    <x v="309"/>
    <n v="55237.5"/>
    <n v="0.5"/>
    <n v="27618.75"/>
  </r>
  <r>
    <x v="3"/>
    <x v="310"/>
    <n v="53600"/>
    <n v="0.5"/>
    <n v="26800"/>
  </r>
  <r>
    <x v="3"/>
    <x v="311"/>
    <n v="52862.5"/>
    <n v="0.5"/>
    <n v="26431.25"/>
  </r>
  <r>
    <x v="3"/>
    <x v="312"/>
    <n v="51237.5"/>
    <n v="0.5"/>
    <n v="25618.75"/>
  </r>
  <r>
    <x v="3"/>
    <x v="313"/>
    <n v="51425"/>
    <n v="0.5"/>
    <n v="25712.5"/>
  </r>
  <r>
    <x v="3"/>
    <x v="314"/>
    <n v="52625"/>
    <n v="0.5"/>
    <n v="26312.5"/>
  </r>
  <r>
    <x v="3"/>
    <x v="315"/>
    <n v="53800"/>
    <n v="0.5"/>
    <n v="26900"/>
  </r>
  <r>
    <x v="3"/>
    <x v="316"/>
    <n v="53662.5"/>
    <n v="0.5"/>
    <n v="26831.25"/>
  </r>
  <r>
    <x v="3"/>
    <x v="317"/>
    <n v="51525"/>
    <n v="0.5"/>
    <n v="25762.5"/>
  </r>
  <r>
    <x v="3"/>
    <x v="318"/>
    <n v="54412.5"/>
    <n v="0.5"/>
    <n v="27206.25"/>
  </r>
  <r>
    <x v="3"/>
    <x v="319"/>
    <n v="53387.5"/>
    <n v="0.5"/>
    <n v="26693.75"/>
  </r>
  <r>
    <x v="3"/>
    <x v="320"/>
    <n v="53887.5"/>
    <n v="0.5"/>
    <n v="26943.75"/>
  </r>
  <r>
    <x v="3"/>
    <x v="321"/>
    <n v="53800"/>
    <n v="0.5"/>
    <n v="26900"/>
  </r>
  <r>
    <x v="3"/>
    <x v="322"/>
    <n v="53025"/>
    <n v="0.5"/>
    <n v="26512.5"/>
  </r>
  <r>
    <x v="3"/>
    <x v="323"/>
    <n v="55062.5"/>
    <n v="0.5"/>
    <n v="27531.25"/>
  </r>
  <r>
    <x v="3"/>
    <x v="324"/>
    <n v="55062.5"/>
    <n v="0.5"/>
    <n v="27531.25"/>
  </r>
  <r>
    <x v="3"/>
    <x v="325"/>
    <n v="55062.5"/>
    <n v="0.5"/>
    <n v="27531.25"/>
  </r>
  <r>
    <x v="3"/>
    <x v="326"/>
    <n v="57125"/>
    <n v="0.5"/>
    <n v="28562.5"/>
  </r>
  <r>
    <x v="3"/>
    <x v="327"/>
    <n v="57175"/>
    <n v="0.5"/>
    <n v="28587.5"/>
  </r>
  <r>
    <x v="3"/>
    <x v="328"/>
    <n v="56200"/>
    <n v="0.5"/>
    <n v="28100"/>
  </r>
  <r>
    <x v="3"/>
    <x v="329"/>
    <n v="56200"/>
    <n v="0.5"/>
    <n v="28100"/>
  </r>
  <r>
    <x v="3"/>
    <x v="330"/>
    <n v="55862.5"/>
    <n v="0.5"/>
    <n v="27931.25"/>
  </r>
  <r>
    <x v="3"/>
    <x v="331"/>
    <n v="56737.5"/>
    <n v="0.5"/>
    <n v="28368.75"/>
  </r>
  <r>
    <x v="3"/>
    <x v="332"/>
    <n v="51587.5"/>
    <n v="0.5"/>
    <n v="25793.75"/>
  </r>
  <r>
    <x v="3"/>
    <x v="333"/>
    <n v="51137.5"/>
    <n v="0.5"/>
    <n v="25568.75"/>
  </r>
  <r>
    <x v="3"/>
    <x v="334"/>
    <n v="51087.5"/>
    <n v="0.5"/>
    <n v="25543.75"/>
  </r>
  <r>
    <x v="3"/>
    <x v="335"/>
    <n v="50075"/>
    <n v="0.5"/>
    <n v="25037.5"/>
  </r>
  <r>
    <x v="3"/>
    <x v="336"/>
    <n v="50337.5"/>
    <n v="0.5"/>
    <n v="25168.75"/>
  </r>
  <r>
    <x v="3"/>
    <x v="337"/>
    <n v="50087.5"/>
    <n v="0.5"/>
    <n v="25043.75"/>
  </r>
  <r>
    <x v="3"/>
    <x v="338"/>
    <n v="50550"/>
    <n v="0.5"/>
    <n v="25275"/>
  </r>
  <r>
    <x v="3"/>
    <x v="339"/>
    <n v="49462.5"/>
    <n v="0.5"/>
    <n v="24731.25"/>
  </r>
  <r>
    <x v="3"/>
    <x v="340"/>
    <n v="48787.5"/>
    <n v="0.5"/>
    <n v="24393.75"/>
  </r>
  <r>
    <x v="3"/>
    <x v="341"/>
    <n v="48587.5"/>
    <n v="0.5"/>
    <n v="24293.75"/>
  </r>
  <r>
    <x v="3"/>
    <x v="342"/>
    <n v="49962.5"/>
    <n v="0.5"/>
    <n v="24981.25"/>
  </r>
  <r>
    <x v="3"/>
    <x v="343"/>
    <n v="48512.5"/>
    <n v="0.5"/>
    <n v="24256.25"/>
  </r>
  <r>
    <x v="3"/>
    <x v="344"/>
    <n v="47512.5"/>
    <n v="0.5"/>
    <n v="23756.25"/>
  </r>
  <r>
    <x v="3"/>
    <x v="345"/>
    <n v="47775"/>
    <n v="0.5"/>
    <n v="23887.5"/>
  </r>
  <r>
    <x v="3"/>
    <x v="346"/>
    <n v="47775"/>
    <n v="0.5"/>
    <n v="23887.5"/>
  </r>
  <r>
    <x v="3"/>
    <x v="347"/>
    <n v="47775"/>
    <n v="0.5"/>
    <n v="23887.5"/>
  </r>
  <r>
    <x v="3"/>
    <x v="348"/>
    <n v="46312.5"/>
    <n v="0.5"/>
    <n v="23156.25"/>
  </r>
  <r>
    <x v="3"/>
    <x v="349"/>
    <n v="47175"/>
    <n v="0.5"/>
    <n v="23587.5"/>
  </r>
  <r>
    <x v="3"/>
    <x v="350"/>
    <n v="47500"/>
    <n v="0.5"/>
    <n v="23750"/>
  </r>
  <r>
    <x v="3"/>
    <x v="351"/>
    <n v="47350"/>
    <n v="0.5"/>
    <n v="23675"/>
  </r>
  <r>
    <x v="3"/>
    <x v="352"/>
    <n v="47487.5"/>
    <n v="0.5"/>
    <n v="23743.75"/>
  </r>
  <r>
    <x v="3"/>
    <x v="353"/>
    <n v="48825"/>
    <n v="0.5"/>
    <n v="24412.5"/>
  </r>
  <r>
    <x v="3"/>
    <x v="354"/>
    <n v="48100"/>
    <n v="0.5"/>
    <n v="24050"/>
  </r>
  <r>
    <x v="3"/>
    <x v="355"/>
    <n v="49062.5"/>
    <n v="0.5"/>
    <n v="24531.25"/>
  </r>
  <r>
    <x v="3"/>
    <x v="356"/>
    <n v="48100"/>
    <n v="0.5"/>
    <n v="24050"/>
  </r>
  <r>
    <x v="3"/>
    <x v="357"/>
    <n v="45650"/>
    <n v="0.5"/>
    <n v="22825"/>
  </r>
  <r>
    <x v="3"/>
    <x v="358"/>
    <n v="45237.5"/>
    <n v="0.5"/>
    <n v="22618.75"/>
  </r>
  <r>
    <x v="3"/>
    <x v="359"/>
    <n v="46225"/>
    <n v="0.5"/>
    <n v="23112.5"/>
  </r>
  <r>
    <x v="3"/>
    <x v="360"/>
    <n v="47225"/>
    <n v="0.5"/>
    <n v="23612.5"/>
  </r>
  <r>
    <x v="3"/>
    <x v="361"/>
    <n v="49237.5"/>
    <n v="0.5"/>
    <n v="24618.75"/>
  </r>
  <r>
    <x v="3"/>
    <x v="362"/>
    <n v="54325"/>
    <n v="0.5"/>
    <n v="27162.5"/>
  </r>
  <r>
    <x v="3"/>
    <x v="363"/>
    <n v="56625"/>
    <n v="0.5"/>
    <n v="28312.5"/>
  </r>
  <r>
    <x v="3"/>
    <x v="364"/>
    <n v="56475"/>
    <n v="0.5"/>
    <n v="28237.5"/>
  </r>
  <r>
    <x v="3"/>
    <x v="365"/>
    <n v="55637.5"/>
    <n v="0.5"/>
    <n v="27818.75"/>
  </r>
  <r>
    <x v="3"/>
    <x v="366"/>
    <n v="50650"/>
    <n v="0.5"/>
    <n v="25325"/>
  </r>
  <r>
    <x v="3"/>
    <x v="367"/>
    <n v="49400"/>
    <n v="0.5"/>
    <n v="24700"/>
  </r>
  <r>
    <x v="3"/>
    <x v="368"/>
    <n v="50150"/>
    <n v="0.5"/>
    <n v="25075"/>
  </r>
  <r>
    <x v="3"/>
    <x v="369"/>
    <n v="50337.5"/>
    <n v="0.5"/>
    <n v="25168.75"/>
  </r>
  <r>
    <x v="3"/>
    <x v="370"/>
    <n v="49600"/>
    <n v="0.5"/>
    <n v="24800"/>
  </r>
  <r>
    <x v="3"/>
    <x v="371"/>
    <n v="48875"/>
    <n v="0.5"/>
    <n v="24437.5"/>
  </r>
  <r>
    <x v="3"/>
    <x v="372"/>
    <n v="49825"/>
    <n v="0.5"/>
    <n v="24912.5"/>
  </r>
  <r>
    <x v="3"/>
    <x v="373"/>
    <n v="44612.5"/>
    <n v="0.5"/>
    <n v="22306.25"/>
  </r>
  <r>
    <x v="3"/>
    <x v="374"/>
    <n v="45012.5"/>
    <n v="0.5"/>
    <n v="22506.25"/>
  </r>
  <r>
    <x v="3"/>
    <x v="375"/>
    <n v="46150"/>
    <n v="0.5"/>
    <n v="23075"/>
  </r>
  <r>
    <x v="3"/>
    <x v="376"/>
    <n v="46437.5"/>
    <n v="0.5"/>
    <n v="23218.75"/>
  </r>
  <r>
    <x v="3"/>
    <x v="377"/>
    <n v="47925"/>
    <n v="0.5"/>
    <n v="23962.5"/>
  </r>
  <r>
    <x v="3"/>
    <x v="378"/>
    <n v="47475"/>
    <n v="0.5"/>
    <n v="23737.5"/>
  </r>
  <r>
    <x v="3"/>
    <x v="379"/>
    <n v="51150"/>
    <n v="0.5"/>
    <n v="25575"/>
  </r>
  <r>
    <x v="3"/>
    <x v="380"/>
    <n v="50875"/>
    <n v="0.5"/>
    <n v="25437.5"/>
  </r>
  <r>
    <x v="3"/>
    <x v="381"/>
    <n v="52187.5"/>
    <n v="0.5"/>
    <n v="26093.75"/>
  </r>
  <r>
    <x v="3"/>
    <x v="382"/>
    <n v="52387.5"/>
    <n v="0.5"/>
    <n v="26193.75"/>
  </r>
  <r>
    <x v="3"/>
    <x v="383"/>
    <n v="55400"/>
    <n v="0.5"/>
    <n v="27700"/>
  </r>
  <r>
    <x v="3"/>
    <x v="384"/>
    <n v="54900"/>
    <n v="0.5"/>
    <n v="27450"/>
  </r>
  <r>
    <x v="3"/>
    <x v="385"/>
    <n v="53062.5"/>
    <n v="0.5"/>
    <n v="26531.25"/>
  </r>
  <r>
    <x v="3"/>
    <x v="386"/>
    <n v="54425"/>
    <n v="0.5"/>
    <n v="27212.5"/>
  </r>
  <r>
    <x v="3"/>
    <x v="387"/>
    <n v="54812.5"/>
    <n v="0.5"/>
    <n v="27406.25"/>
  </r>
  <r>
    <x v="3"/>
    <x v="388"/>
    <n v="54812.5"/>
    <n v="0.5"/>
    <n v="27406.25"/>
  </r>
  <r>
    <x v="3"/>
    <x v="389"/>
    <n v="55950"/>
    <n v="0.5"/>
    <n v="27975"/>
  </r>
  <r>
    <x v="3"/>
    <x v="390"/>
    <n v="55675"/>
    <n v="0.5"/>
    <n v="27837.5"/>
  </r>
  <r>
    <x v="3"/>
    <x v="391"/>
    <n v="54925"/>
    <n v="0.5"/>
    <n v="27462.5"/>
  </r>
  <r>
    <x v="3"/>
    <x v="392"/>
    <n v="56375"/>
    <n v="0.5"/>
    <n v="28187.5"/>
  </r>
  <r>
    <x v="3"/>
    <x v="393"/>
    <n v="57125"/>
    <n v="0.5"/>
    <n v="28562.5"/>
  </r>
  <r>
    <x v="3"/>
    <x v="394"/>
    <n v="57537.5"/>
    <n v="0.5"/>
    <n v="28768.75"/>
  </r>
  <r>
    <x v="3"/>
    <x v="395"/>
    <n v="59850"/>
    <n v="0.5"/>
    <n v="29925"/>
  </r>
  <r>
    <x v="3"/>
    <x v="396"/>
    <n v="59612.5"/>
    <n v="0.5"/>
    <n v="29806.25"/>
  </r>
  <r>
    <x v="3"/>
    <x v="397"/>
    <n v="61812.5"/>
    <n v="0.5"/>
    <n v="30906.25"/>
  </r>
  <r>
    <x v="3"/>
    <x v="398"/>
    <n v="62062.5"/>
    <n v="0.5"/>
    <n v="31031.25"/>
  </r>
  <r>
    <x v="3"/>
    <x v="399"/>
    <n v="61300"/>
    <n v="0.5"/>
    <n v="30650"/>
  </r>
  <r>
    <x v="3"/>
    <x v="400"/>
    <n v="61687.5"/>
    <n v="0.5"/>
    <n v="30843.75"/>
  </r>
  <r>
    <x v="3"/>
    <x v="401"/>
    <n v="63825"/>
    <n v="0.5"/>
    <n v="31912.5"/>
  </r>
  <r>
    <x v="3"/>
    <x v="402"/>
    <n v="60550"/>
    <n v="0.5"/>
    <n v="30275"/>
  </r>
  <r>
    <x v="3"/>
    <x v="403"/>
    <n v="59562.5"/>
    <n v="0.5"/>
    <n v="29781.25"/>
  </r>
  <r>
    <x v="3"/>
    <x v="404"/>
    <n v="60250"/>
    <n v="0.5"/>
    <n v="30125"/>
  </r>
  <r>
    <x v="3"/>
    <x v="405"/>
    <n v="59775"/>
    <n v="0.5"/>
    <n v="29887.5"/>
  </r>
  <r>
    <x v="3"/>
    <x v="406"/>
    <n v="59787.5"/>
    <n v="0.5"/>
    <n v="29893.75"/>
  </r>
  <r>
    <x v="3"/>
    <x v="407"/>
    <n v="61300"/>
    <n v="0.5"/>
    <n v="30650"/>
  </r>
  <r>
    <x v="3"/>
    <x v="408"/>
    <n v="62050"/>
    <n v="0.5"/>
    <n v="31025"/>
  </r>
  <r>
    <x v="3"/>
    <x v="409"/>
    <n v="62537.5"/>
    <n v="0.5"/>
    <n v="31268.75"/>
  </r>
  <r>
    <x v="3"/>
    <x v="410"/>
    <n v="61250"/>
    <n v="0.5"/>
    <n v="30625"/>
  </r>
  <r>
    <x v="3"/>
    <x v="411"/>
    <n v="57737.5"/>
    <n v="0.5"/>
    <n v="28868.75"/>
  </r>
  <r>
    <x v="3"/>
    <x v="412"/>
    <n v="56575"/>
    <n v="0.5"/>
    <n v="28287.5"/>
  </r>
  <r>
    <x v="3"/>
    <x v="413"/>
    <n v="53900"/>
    <n v="0.5"/>
    <n v="26950"/>
  </r>
  <r>
    <x v="3"/>
    <x v="414"/>
    <n v="57362.5"/>
    <n v="0.5"/>
    <n v="28681.25"/>
  </r>
  <r>
    <x v="3"/>
    <x v="415"/>
    <n v="61650"/>
    <n v="0.5"/>
    <n v="30825"/>
  </r>
  <r>
    <x v="3"/>
    <x v="416"/>
    <n v="63237.5"/>
    <n v="0.5"/>
    <n v="31618.75"/>
  </r>
  <r>
    <x v="3"/>
    <x v="417"/>
    <n v="63237.5"/>
    <n v="0.5"/>
    <n v="31618.75"/>
  </r>
  <r>
    <x v="3"/>
    <x v="418"/>
    <n v="63237.5"/>
    <n v="0.5"/>
    <n v="31618.75"/>
  </r>
  <r>
    <x v="3"/>
    <x v="419"/>
    <n v="63237.5"/>
    <n v="0.5"/>
    <n v="31618.75"/>
  </r>
  <r>
    <x v="3"/>
    <x v="420"/>
    <n v="61500"/>
    <n v="0.5"/>
    <n v="30750"/>
  </r>
  <r>
    <x v="3"/>
    <x v="421"/>
    <n v="59087.5"/>
    <n v="0.5"/>
    <n v="29543.75"/>
  </r>
  <r>
    <x v="3"/>
    <x v="422"/>
    <n v="58737.5"/>
    <n v="0.5"/>
    <n v="29368.75"/>
  </r>
  <r>
    <x v="3"/>
    <x v="423"/>
    <n v="58900"/>
    <n v="0.5"/>
    <n v="29450"/>
  </r>
  <r>
    <x v="3"/>
    <x v="424"/>
    <n v="59175"/>
    <n v="0.5"/>
    <n v="29587.5"/>
  </r>
  <r>
    <x v="3"/>
    <x v="425"/>
    <n v="59000"/>
    <n v="0.5"/>
    <n v="29500"/>
  </r>
  <r>
    <x v="3"/>
    <x v="426"/>
    <n v="57875"/>
    <n v="0.5"/>
    <n v="28937.5"/>
  </r>
  <r>
    <x v="3"/>
    <x v="427"/>
    <n v="58137.5"/>
    <n v="0.5"/>
    <n v="29068.75"/>
  </r>
  <r>
    <x v="3"/>
    <x v="428"/>
    <n v="57637.5"/>
    <n v="0.5"/>
    <n v="28818.75"/>
  </r>
  <r>
    <x v="3"/>
    <x v="429"/>
    <n v="57137.5"/>
    <n v="0.5"/>
    <n v="28568.75"/>
  </r>
  <r>
    <x v="3"/>
    <x v="430"/>
    <n v="57137.5"/>
    <n v="0.5"/>
    <n v="28568.75"/>
  </r>
  <r>
    <x v="3"/>
    <x v="431"/>
    <n v="55087.5"/>
    <n v="0.5"/>
    <n v="27543.75"/>
  </r>
  <r>
    <x v="3"/>
    <x v="432"/>
    <n v="56037.5"/>
    <n v="0.5"/>
    <n v="28018.75"/>
  </r>
  <r>
    <x v="3"/>
    <x v="433"/>
    <n v="54437.5"/>
    <n v="0.5"/>
    <n v="27218.75"/>
  </r>
  <r>
    <x v="3"/>
    <x v="434"/>
    <n v="54725"/>
    <n v="0.5"/>
    <n v="27362.5"/>
  </r>
  <r>
    <x v="3"/>
    <x v="435"/>
    <n v="54112.5"/>
    <n v="0.5"/>
    <n v="27056.25"/>
  </r>
  <r>
    <x v="3"/>
    <x v="436"/>
    <n v="52750"/>
    <n v="0.5"/>
    <n v="26375"/>
  </r>
  <r>
    <x v="3"/>
    <x v="437"/>
    <n v="49600"/>
    <n v="0.5"/>
    <n v="24800"/>
  </r>
  <r>
    <x v="3"/>
    <x v="438"/>
    <n v="48250"/>
    <n v="0.5"/>
    <n v="24125"/>
  </r>
  <r>
    <x v="3"/>
    <x v="439"/>
    <n v="48950"/>
    <n v="0.5"/>
    <n v="24475"/>
  </r>
  <r>
    <x v="3"/>
    <x v="440"/>
    <n v="49050"/>
    <n v="0.5"/>
    <n v="24525"/>
  </r>
  <r>
    <x v="3"/>
    <x v="441"/>
    <n v="50300"/>
    <n v="0.5"/>
    <n v="25150"/>
  </r>
  <r>
    <x v="3"/>
    <x v="442"/>
    <n v="50300"/>
    <n v="0.5"/>
    <n v="25150"/>
  </r>
  <r>
    <x v="3"/>
    <x v="443"/>
    <n v="49700"/>
    <n v="0.5"/>
    <n v="24850"/>
  </r>
  <r>
    <x v="3"/>
    <x v="444"/>
    <n v="51150"/>
    <n v="0.5"/>
    <n v="25575"/>
  </r>
  <r>
    <x v="3"/>
    <x v="445"/>
    <n v="52412.5"/>
    <n v="0.5"/>
    <n v="26206.25"/>
  </r>
  <r>
    <x v="3"/>
    <x v="446"/>
    <n v="52800"/>
    <n v="0.5"/>
    <n v="26400"/>
  </r>
  <r>
    <x v="3"/>
    <x v="447"/>
    <n v="52800"/>
    <n v="0.5"/>
    <n v="26400"/>
  </r>
  <r>
    <x v="3"/>
    <x v="448"/>
    <n v="52800"/>
    <n v="0.5"/>
    <n v="26400"/>
  </r>
  <r>
    <x v="3"/>
    <x v="449"/>
    <n v="52825"/>
    <n v="0.5"/>
    <n v="26412.5"/>
  </r>
  <r>
    <x v="3"/>
    <x v="450"/>
    <n v="52262.5"/>
    <n v="0.5"/>
    <n v="26131.25"/>
  </r>
  <r>
    <x v="3"/>
    <x v="451"/>
    <n v="52525"/>
    <n v="0.5"/>
    <n v="26262.5"/>
  </r>
  <r>
    <x v="3"/>
    <x v="452"/>
    <n v="52525"/>
    <n v="0.5"/>
    <n v="26262.5"/>
  </r>
  <r>
    <x v="3"/>
    <x v="453"/>
    <n v="51987.5"/>
    <n v="0.5"/>
    <n v="25993.75"/>
  </r>
  <r>
    <x v="3"/>
    <x v="454"/>
    <n v="51912.5"/>
    <n v="0.5"/>
    <n v="25956.25"/>
  </r>
  <r>
    <x v="3"/>
    <x v="455"/>
    <n v="54400"/>
    <n v="0.5"/>
    <n v="27200"/>
  </r>
  <r>
    <x v="3"/>
    <x v="456"/>
    <n v="54400"/>
    <n v="0.5"/>
    <n v="27200"/>
  </r>
  <r>
    <x v="3"/>
    <x v="457"/>
    <n v="53912.5"/>
    <n v="0.5"/>
    <n v="26956.25"/>
  </r>
  <r>
    <x v="3"/>
    <x v="458"/>
    <n v="52450"/>
    <n v="0.5"/>
    <n v="26225"/>
  </r>
  <r>
    <x v="3"/>
    <x v="459"/>
    <n v="53212.5"/>
    <n v="0.5"/>
    <n v="26606.25"/>
  </r>
  <r>
    <x v="3"/>
    <x v="460"/>
    <n v="54200"/>
    <n v="0.5"/>
    <n v="27100"/>
  </r>
  <r>
    <x v="3"/>
    <x v="461"/>
    <n v="54112.5"/>
    <n v="0.5"/>
    <n v="27056.25"/>
  </r>
  <r>
    <x v="3"/>
    <x v="462"/>
    <n v="54087.5"/>
    <n v="0.5"/>
    <n v="27043.75"/>
  </r>
  <r>
    <x v="3"/>
    <x v="463"/>
    <n v="54975"/>
    <n v="0.5"/>
    <n v="27487.5"/>
  </r>
  <r>
    <x v="3"/>
    <x v="464"/>
    <n v="54987.5"/>
    <n v="0.5"/>
    <n v="27493.75"/>
  </r>
  <r>
    <x v="3"/>
    <x v="465"/>
    <n v="56487.5"/>
    <n v="0.5"/>
    <n v="28243.75"/>
  </r>
  <r>
    <x v="3"/>
    <x v="466"/>
    <n v="54762.5"/>
    <n v="0.5"/>
    <n v="27381.25"/>
  </r>
  <r>
    <x v="3"/>
    <x v="467"/>
    <n v="57987.5"/>
    <n v="0.5"/>
    <n v="28993.75"/>
  </r>
  <r>
    <x v="3"/>
    <x v="468"/>
    <n v="60550"/>
    <n v="0.5"/>
    <n v="30275"/>
  </r>
  <r>
    <x v="3"/>
    <x v="469"/>
    <n v="59287.5"/>
    <n v="0.5"/>
    <n v="29643.75"/>
  </r>
  <r>
    <x v="3"/>
    <x v="470"/>
    <n v="60087.5"/>
    <n v="0.5"/>
    <n v="30043.75"/>
  </r>
  <r>
    <x v="3"/>
    <x v="471"/>
    <n v="59225"/>
    <n v="0.5"/>
    <n v="29612.5"/>
  </r>
  <r>
    <x v="3"/>
    <x v="472"/>
    <n v="57637.5"/>
    <n v="0.5"/>
    <n v="28818.75"/>
  </r>
  <r>
    <x v="3"/>
    <x v="473"/>
    <n v="57612.5"/>
    <n v="0.5"/>
    <n v="28806.25"/>
  </r>
  <r>
    <x v="3"/>
    <x v="474"/>
    <n v="59187.5"/>
    <n v="0.5"/>
    <n v="29593.75"/>
  </r>
  <r>
    <x v="3"/>
    <x v="475"/>
    <n v="58875"/>
    <n v="0.5"/>
    <n v="29437.5"/>
  </r>
  <r>
    <x v="3"/>
    <x v="476"/>
    <n v="58875"/>
    <n v="0.5"/>
    <n v="29437.5"/>
  </r>
  <r>
    <x v="3"/>
    <x v="477"/>
    <n v="59700"/>
    <n v="0.5"/>
    <n v="29850"/>
  </r>
  <r>
    <x v="3"/>
    <x v="478"/>
    <n v="58162.5"/>
    <n v="0.5"/>
    <n v="29081.25"/>
  </r>
  <r>
    <x v="3"/>
    <x v="479"/>
    <n v="60737.5"/>
    <n v="0.5"/>
    <n v="30368.75"/>
  </r>
  <r>
    <x v="3"/>
    <x v="480"/>
    <n v="60737.5"/>
    <n v="0.5"/>
    <n v="30368.75"/>
  </r>
  <r>
    <x v="3"/>
    <x v="481"/>
    <n v="60812.5"/>
    <n v="0.5"/>
    <n v="30406.25"/>
  </r>
  <r>
    <x v="3"/>
    <x v="482"/>
    <n v="61225"/>
    <n v="0.5"/>
    <n v="30612.5"/>
  </r>
  <r>
    <x v="3"/>
    <x v="483"/>
    <n v="60425"/>
    <n v="0.5"/>
    <n v="30212.5"/>
  </r>
  <r>
    <x v="3"/>
    <x v="484"/>
    <n v="59712.5"/>
    <n v="0.5"/>
    <n v="29856.25"/>
  </r>
  <r>
    <x v="3"/>
    <x v="485"/>
    <n v="61187.5"/>
    <n v="0.5"/>
    <n v="30593.75"/>
  </r>
  <r>
    <x v="3"/>
    <x v="486"/>
    <n v="55125"/>
    <n v="0.5"/>
    <n v="27562.5"/>
  </r>
  <r>
    <x v="3"/>
    <x v="487"/>
    <n v="56700"/>
    <n v="0.5"/>
    <n v="28350"/>
  </r>
  <r>
    <x v="3"/>
    <x v="488"/>
    <n v="54375"/>
    <n v="0.5"/>
    <n v="27187.5"/>
  </r>
  <r>
    <x v="3"/>
    <x v="489"/>
    <n v="54925"/>
    <n v="0.5"/>
    <n v="27462.5"/>
  </r>
  <r>
    <x v="3"/>
    <x v="490"/>
    <n v="57250"/>
    <n v="0.5"/>
    <n v="28625"/>
  </r>
  <r>
    <x v="3"/>
    <x v="491"/>
    <n v="56650"/>
    <n v="0.5"/>
    <n v="28325"/>
  </r>
  <r>
    <x v="3"/>
    <x v="492"/>
    <n v="57162.5"/>
    <n v="0.5"/>
    <n v="28581.25"/>
  </r>
  <r>
    <x v="3"/>
    <x v="493"/>
    <n v="57375"/>
    <n v="0.5"/>
    <n v="28687.5"/>
  </r>
  <r>
    <x v="3"/>
    <x v="494"/>
    <n v="57650"/>
    <n v="0.5"/>
    <n v="28825"/>
  </r>
  <r>
    <x v="3"/>
    <x v="495"/>
    <n v="57400"/>
    <n v="0.5"/>
    <n v="28700"/>
  </r>
  <r>
    <x v="3"/>
    <x v="496"/>
    <n v="57837.5"/>
    <n v="0.5"/>
    <n v="28918.75"/>
  </r>
  <r>
    <x v="3"/>
    <x v="497"/>
    <n v="58162.5"/>
    <n v="0.5"/>
    <n v="29081.25"/>
  </r>
  <r>
    <x v="3"/>
    <x v="498"/>
    <n v="57762.5"/>
    <n v="0.5"/>
    <n v="28881.25"/>
  </r>
  <r>
    <x v="3"/>
    <x v="499"/>
    <n v="58962.5"/>
    <n v="0.5"/>
    <n v="29481.25"/>
  </r>
  <r>
    <x v="3"/>
    <x v="500"/>
    <n v="59450"/>
    <n v="0.5"/>
    <n v="29725"/>
  </r>
  <r>
    <x v="3"/>
    <x v="501"/>
    <n v="59750"/>
    <n v="0.5"/>
    <n v="29875"/>
  </r>
  <r>
    <x v="3"/>
    <x v="502"/>
    <n v="59262.5"/>
    <n v="0.5"/>
    <n v="29631.25"/>
  </r>
  <r>
    <x v="3"/>
    <x v="503"/>
    <n v="60212.5"/>
    <n v="0.5"/>
    <n v="30106.25"/>
  </r>
  <r>
    <x v="3"/>
    <x v="504"/>
    <n v="59612.5"/>
    <n v="0.5"/>
    <n v="29806.25"/>
  </r>
  <r>
    <x v="3"/>
    <x v="505"/>
    <n v="58775"/>
    <n v="0.5"/>
    <n v="29387.5"/>
  </r>
  <r>
    <x v="3"/>
    <x v="506"/>
    <n v="58775"/>
    <n v="0.5"/>
    <n v="29387.5"/>
  </r>
  <r>
    <x v="3"/>
    <x v="507"/>
    <n v="58775"/>
    <n v="0.5"/>
    <n v="29387.5"/>
  </r>
  <r>
    <x v="3"/>
    <x v="508"/>
    <n v="58775"/>
    <n v="0.5"/>
    <n v="29387.5"/>
  </r>
  <r>
    <x v="3"/>
    <x v="509"/>
    <n v="60487.5"/>
    <n v="0.5"/>
    <n v="30243.75"/>
  </r>
  <r>
    <x v="3"/>
    <x v="510"/>
    <n v="63950"/>
    <n v="0.5"/>
    <n v="31975"/>
  </r>
  <r>
    <x v="3"/>
    <x v="511"/>
    <n v="61612.5"/>
    <n v="0.5"/>
    <n v="30806.25"/>
  </r>
  <r>
    <x v="3"/>
    <x v="512"/>
    <n v="61650"/>
    <n v="0.5"/>
    <n v="30825"/>
  </r>
  <r>
    <x v="3"/>
    <x v="513"/>
    <n v="63850"/>
    <n v="0.5"/>
    <n v="31925"/>
  </r>
  <r>
    <x v="3"/>
    <x v="514"/>
    <n v="63212.5"/>
    <n v="0.5"/>
    <n v="31606.25"/>
  </r>
  <r>
    <x v="3"/>
    <x v="515"/>
    <n v="65737.5"/>
    <n v="0.5"/>
    <n v="32868.75"/>
  </r>
  <r>
    <x v="3"/>
    <x v="516"/>
    <n v="61212.5"/>
    <n v="0.5"/>
    <n v="30606.25"/>
  </r>
  <r>
    <x v="3"/>
    <x v="517"/>
    <n v="60925"/>
    <n v="0.5"/>
    <n v="30462.5"/>
  </r>
  <r>
    <x v="3"/>
    <x v="518"/>
    <n v="59650"/>
    <n v="0.5"/>
    <n v="29825"/>
  </r>
  <r>
    <x v="3"/>
    <x v="519"/>
    <n v="60700"/>
    <n v="0.5"/>
    <n v="30350"/>
  </r>
  <r>
    <x v="3"/>
    <x v="520"/>
    <n v="60037.5"/>
    <n v="0.5"/>
    <n v="30018.75"/>
  </r>
  <r>
    <x v="3"/>
    <x v="521"/>
    <n v="62112.5"/>
    <n v="0.5"/>
    <n v="31056.25"/>
  </r>
  <r>
    <x v="3"/>
    <x v="522"/>
    <n v="63250"/>
    <n v="0.5"/>
    <n v="31625"/>
  </r>
  <r>
    <x v="3"/>
    <x v="523"/>
    <n v="63250"/>
    <n v="0.5"/>
    <n v="31625"/>
  </r>
  <r>
    <x v="3"/>
    <x v="524"/>
    <n v="63250"/>
    <n v="0.5"/>
    <n v="31625"/>
  </r>
  <r>
    <x v="3"/>
    <x v="525"/>
    <n v="62662.5"/>
    <n v="0.5"/>
    <n v="31331.25"/>
  </r>
  <r>
    <x v="3"/>
    <x v="526"/>
    <n v="62625"/>
    <n v="0.5"/>
    <n v="31312.5"/>
  </r>
  <r>
    <x v="3"/>
    <x v="527"/>
    <n v="64137.5"/>
    <n v="0.5"/>
    <n v="32068.75"/>
  </r>
  <r>
    <x v="3"/>
    <x v="528"/>
    <n v="63212.5"/>
    <n v="0.5"/>
    <n v="31606.25"/>
  </r>
  <r>
    <x v="3"/>
    <x v="529"/>
    <n v="64000"/>
    <n v="0.5"/>
    <n v="32000"/>
  </r>
  <r>
    <x v="3"/>
    <x v="530"/>
    <n v="64000"/>
    <n v="0.5"/>
    <n v="32000"/>
  </r>
  <r>
    <x v="3"/>
    <x v="531"/>
    <n v="64137.5"/>
    <n v="0.5"/>
    <n v="32068.75"/>
  </r>
  <r>
    <x v="3"/>
    <x v="532"/>
    <n v="63000"/>
    <n v="0.5"/>
    <n v="31500"/>
  </r>
  <r>
    <x v="3"/>
    <x v="533"/>
    <n v="63937.5"/>
    <n v="0.5"/>
    <n v="31968.75"/>
  </r>
  <r>
    <x v="3"/>
    <x v="534"/>
    <n v="60912.5"/>
    <n v="0.5"/>
    <n v="30456.25"/>
  </r>
  <r>
    <x v="3"/>
    <x v="535"/>
    <n v="62362.5"/>
    <n v="0.5"/>
    <n v="31181.25"/>
  </r>
  <r>
    <x v="3"/>
    <x v="536"/>
    <n v="61675"/>
    <n v="0.5"/>
    <n v="30837.5"/>
  </r>
  <r>
    <x v="3"/>
    <x v="537"/>
    <n v="62137.5"/>
    <n v="0.5"/>
    <n v="31068.75"/>
  </r>
  <r>
    <x v="3"/>
    <x v="538"/>
    <n v="60387.5"/>
    <n v="0.5"/>
    <n v="30193.75"/>
  </r>
  <r>
    <x v="3"/>
    <x v="539"/>
    <n v="59437.5"/>
    <n v="0.5"/>
    <n v="29718.75"/>
  </r>
  <r>
    <x v="3"/>
    <x v="540"/>
    <n v="61850"/>
    <n v="0.5"/>
    <n v="30925"/>
  </r>
  <r>
    <x v="3"/>
    <x v="541"/>
    <n v="62250"/>
    <n v="0.5"/>
    <n v="31125"/>
  </r>
  <r>
    <x v="3"/>
    <x v="542"/>
    <n v="62500"/>
    <n v="0.5"/>
    <n v="31250"/>
  </r>
  <r>
    <x v="3"/>
    <x v="543"/>
    <n v="62975"/>
    <n v="0.5"/>
    <n v="31487.5"/>
  </r>
  <r>
    <x v="3"/>
    <x v="544"/>
    <n v="63250"/>
    <n v="0.5"/>
    <n v="31625"/>
  </r>
  <r>
    <x v="3"/>
    <x v="545"/>
    <n v="64287.5"/>
    <n v="0.5"/>
    <n v="32143.75"/>
  </r>
  <r>
    <x v="3"/>
    <x v="546"/>
    <n v="62637.5"/>
    <n v="0.5"/>
    <n v="31318.75"/>
  </r>
  <r>
    <x v="3"/>
    <x v="547"/>
    <n v="63312.5"/>
    <n v="0.5"/>
    <n v="31656.25"/>
  </r>
  <r>
    <x v="3"/>
    <x v="548"/>
    <n v="62887.5"/>
    <n v="0.5"/>
    <n v="31443.75"/>
  </r>
  <r>
    <x v="3"/>
    <x v="549"/>
    <n v="63437.5"/>
    <n v="0.5"/>
    <n v="31718.75"/>
  </r>
  <r>
    <x v="3"/>
    <x v="550"/>
    <n v="64300"/>
    <n v="0.5"/>
    <n v="32150"/>
  </r>
  <r>
    <x v="3"/>
    <x v="551"/>
    <n v="63925"/>
    <n v="0.5"/>
    <n v="31962.5"/>
  </r>
  <r>
    <x v="3"/>
    <x v="552"/>
    <n v="63275"/>
    <n v="0.5"/>
    <n v="31637.5"/>
  </r>
  <r>
    <x v="3"/>
    <x v="553"/>
    <n v="63237.5"/>
    <n v="0.5"/>
    <n v="31618.75"/>
  </r>
  <r>
    <x v="3"/>
    <x v="554"/>
    <n v="63362.5"/>
    <n v="0.5"/>
    <n v="31681.25"/>
  </r>
  <r>
    <x v="3"/>
    <x v="555"/>
    <n v="62975"/>
    <n v="0.5"/>
    <n v="31487.5"/>
  </r>
  <r>
    <x v="3"/>
    <x v="556"/>
    <n v="65187.5"/>
    <n v="0.5"/>
    <n v="32593.75"/>
  </r>
  <r>
    <x v="3"/>
    <x v="557"/>
    <n v="65400"/>
    <n v="0.5"/>
    <n v="32700"/>
  </r>
  <r>
    <x v="3"/>
    <x v="558"/>
    <n v="64050"/>
    <n v="0.5"/>
    <n v="32025"/>
  </r>
  <r>
    <x v="3"/>
    <x v="559"/>
    <n v="64725"/>
    <n v="0.5"/>
    <n v="32362.5"/>
  </r>
  <r>
    <x v="3"/>
    <x v="560"/>
    <n v="64987.5"/>
    <n v="0.5"/>
    <n v="32493.75"/>
  </r>
  <r>
    <x v="3"/>
    <x v="561"/>
    <n v="65225"/>
    <n v="0.5"/>
    <n v="32612.5"/>
  </r>
  <r>
    <x v="3"/>
    <x v="562"/>
    <n v="63987.5"/>
    <n v="0.5"/>
    <n v="31993.75"/>
  </r>
  <r>
    <x v="3"/>
    <x v="563"/>
    <n v="63150"/>
    <n v="0.5"/>
    <n v="31575"/>
  </r>
  <r>
    <x v="3"/>
    <x v="564"/>
    <n v="63487.5"/>
    <n v="0.5"/>
    <n v="31743.75"/>
  </r>
  <r>
    <x v="3"/>
    <x v="565"/>
    <n v="63400"/>
    <n v="0.5"/>
    <n v="31700"/>
  </r>
  <r>
    <x v="3"/>
    <x v="566"/>
    <n v="63362.5"/>
    <n v="0.5"/>
    <n v="31681.25"/>
  </r>
  <r>
    <x v="3"/>
    <x v="567"/>
    <n v="62987.5"/>
    <n v="0.5"/>
    <n v="31493.75"/>
  </r>
  <r>
    <x v="3"/>
    <x v="568"/>
    <n v="61525"/>
    <n v="0.5"/>
    <n v="30762.5"/>
  </r>
  <r>
    <x v="3"/>
    <x v="569"/>
    <n v="60012.5"/>
    <n v="0.5"/>
    <n v="30006.25"/>
  </r>
  <r>
    <x v="3"/>
    <x v="570"/>
    <n v="59837.5"/>
    <n v="0.5"/>
    <n v="29918.75"/>
  </r>
  <r>
    <x v="3"/>
    <x v="571"/>
    <n v="61275"/>
    <n v="0.5"/>
    <n v="30637.5"/>
  </r>
  <r>
    <x v="3"/>
    <x v="572"/>
    <n v="61462.5"/>
    <n v="0.5"/>
    <n v="30731.25"/>
  </r>
  <r>
    <x v="3"/>
    <x v="573"/>
    <n v="64025"/>
    <n v="0.5"/>
    <n v="32012.5"/>
  </r>
  <r>
    <x v="3"/>
    <x v="574"/>
    <n v="64700"/>
    <n v="0.5"/>
    <n v="32350"/>
  </r>
  <r>
    <x v="3"/>
    <x v="575"/>
    <n v="65862.5"/>
    <n v="0.5"/>
    <n v="32931.25"/>
  </r>
  <r>
    <x v="3"/>
    <x v="576"/>
    <n v="65337.5"/>
    <n v="0.5"/>
    <n v="32668.75"/>
  </r>
  <r>
    <x v="3"/>
    <x v="577"/>
    <n v="67725"/>
    <n v="0.5"/>
    <n v="33862.5"/>
  </r>
  <r>
    <x v="3"/>
    <x v="578"/>
    <n v="67212.5"/>
    <n v="0.5"/>
    <n v="33606.25"/>
  </r>
  <r>
    <x v="3"/>
    <x v="579"/>
    <n v="65412.5"/>
    <n v="0.5"/>
    <n v="32706.25"/>
  </r>
  <r>
    <x v="3"/>
    <x v="580"/>
    <n v="68600"/>
    <n v="0.5"/>
    <n v="34300"/>
  </r>
  <r>
    <x v="3"/>
    <x v="581"/>
    <n v="68962.5"/>
    <n v="0.5"/>
    <n v="34481.25"/>
  </r>
  <r>
    <x v="3"/>
    <x v="582"/>
    <n v="70350"/>
    <n v="0.5"/>
    <n v="35175"/>
  </r>
  <r>
    <x v="3"/>
    <x v="583"/>
    <n v="70662.5"/>
    <n v="0.5"/>
    <n v="35331.25"/>
  </r>
  <r>
    <x v="3"/>
    <x v="584"/>
    <n v="70037.5"/>
    <n v="0.5"/>
    <n v="35018.75"/>
  </r>
  <r>
    <x v="3"/>
    <x v="585"/>
    <n v="69700"/>
    <n v="0.5"/>
    <n v="34850"/>
  </r>
  <r>
    <x v="3"/>
    <x v="586"/>
    <n v="69287.5"/>
    <n v="0.5"/>
    <n v="34643.75"/>
  </r>
  <r>
    <x v="3"/>
    <x v="587"/>
    <n v="69375"/>
    <n v="0.5"/>
    <n v="34687.5"/>
  </r>
  <r>
    <x v="3"/>
    <x v="588"/>
    <n v="69562.5"/>
    <n v="0.5"/>
    <n v="34781.25"/>
  </r>
  <r>
    <x v="3"/>
    <x v="589"/>
    <n v="69112.5"/>
    <n v="0.5"/>
    <n v="34556.25"/>
  </r>
  <r>
    <x v="3"/>
    <x v="590"/>
    <n v="69262.5"/>
    <n v="0.5"/>
    <n v="34631.25"/>
  </r>
  <r>
    <x v="3"/>
    <x v="591"/>
    <n v="69275"/>
    <n v="0.5"/>
    <n v="34637.5"/>
  </r>
  <r>
    <x v="3"/>
    <x v="592"/>
    <n v="69937.5"/>
    <n v="0.5"/>
    <n v="34968.75"/>
  </r>
  <r>
    <x v="3"/>
    <x v="593"/>
    <n v="69862.5"/>
    <n v="0.5"/>
    <n v="34931.25"/>
  </r>
  <r>
    <x v="3"/>
    <x v="594"/>
    <n v="69300"/>
    <n v="0.5"/>
    <n v="34650"/>
  </r>
  <r>
    <x v="3"/>
    <x v="595"/>
    <n v="69837.5"/>
    <n v="0.5"/>
    <n v="34918.75"/>
  </r>
  <r>
    <x v="3"/>
    <x v="596"/>
    <n v="69562.5"/>
    <n v="0.5"/>
    <n v="34781.25"/>
  </r>
  <r>
    <x v="3"/>
    <x v="597"/>
    <n v="69312.5"/>
    <n v="0.5"/>
    <n v="34656.25"/>
  </r>
  <r>
    <x v="3"/>
    <x v="598"/>
    <n v="68650"/>
    <n v="0.5"/>
    <n v="34325"/>
  </r>
  <r>
    <x v="3"/>
    <x v="599"/>
    <n v="68412.5"/>
    <n v="0.5"/>
    <n v="34206.25"/>
  </r>
  <r>
    <x v="3"/>
    <x v="600"/>
    <n v="68050"/>
    <n v="0.5"/>
    <n v="34025"/>
  </r>
  <r>
    <x v="3"/>
    <x v="601"/>
    <n v="67162.5"/>
    <n v="0.5"/>
    <n v="33581.25"/>
  </r>
  <r>
    <x v="3"/>
    <x v="602"/>
    <n v="67187.5"/>
    <n v="0.5"/>
    <n v="33593.75"/>
  </r>
  <r>
    <x v="3"/>
    <x v="603"/>
    <n v="66537.5"/>
    <n v="0.5"/>
    <n v="33268.75"/>
  </r>
  <r>
    <x v="3"/>
    <x v="604"/>
    <n v="67350"/>
    <n v="0.5"/>
    <n v="33675"/>
  </r>
  <r>
    <x v="3"/>
    <x v="605"/>
    <n v="68500"/>
    <n v="0.5"/>
    <n v="34250"/>
  </r>
  <r>
    <x v="3"/>
    <x v="606"/>
    <n v="65775"/>
    <n v="0.5"/>
    <n v="32887.5"/>
  </r>
  <r>
    <x v="3"/>
    <x v="607"/>
    <n v="68800"/>
    <n v="0.5"/>
    <n v="34400"/>
  </r>
  <r>
    <x v="3"/>
    <x v="608"/>
    <n v="69625"/>
    <n v="0.5"/>
    <n v="34812.5"/>
  </r>
  <r>
    <x v="3"/>
    <x v="609"/>
    <n v="68987.5"/>
    <n v="0.5"/>
    <n v="34493.75"/>
  </r>
  <r>
    <x v="3"/>
    <x v="610"/>
    <n v="67862.5"/>
    <n v="0.5"/>
    <n v="33931.25"/>
  </r>
  <r>
    <x v="3"/>
    <x v="611"/>
    <n v="67625"/>
    <n v="0.5"/>
    <n v="33812.5"/>
  </r>
  <r>
    <x v="3"/>
    <x v="612"/>
    <n v="67737.5"/>
    <n v="0.5"/>
    <n v="33868.75"/>
  </r>
  <r>
    <x v="3"/>
    <x v="613"/>
    <n v="68575"/>
    <n v="0.5"/>
    <n v="34287.5"/>
  </r>
  <r>
    <x v="3"/>
    <x v="614"/>
    <n v="68375"/>
    <n v="0.5"/>
    <n v="34187.5"/>
  </r>
  <r>
    <x v="3"/>
    <x v="615"/>
    <n v="67525"/>
    <n v="0.5"/>
    <n v="33762.5"/>
  </r>
  <r>
    <x v="3"/>
    <x v="616"/>
    <n v="66775"/>
    <n v="0.5"/>
    <n v="33387.5"/>
  </r>
  <r>
    <x v="3"/>
    <x v="617"/>
    <n v="66637.5"/>
    <n v="0.5"/>
    <n v="33318.75"/>
  </r>
  <r>
    <x v="3"/>
    <x v="618"/>
    <n v="67000"/>
    <n v="0.5"/>
    <n v="33500"/>
  </r>
  <r>
    <x v="3"/>
    <x v="619"/>
    <n v="68275"/>
    <n v="0.5"/>
    <n v="34137.5"/>
  </r>
  <r>
    <x v="3"/>
    <x v="620"/>
    <n v="68275"/>
    <n v="0.5"/>
    <n v="34137.5"/>
  </r>
  <r>
    <x v="3"/>
    <x v="621"/>
    <n v="68175"/>
    <n v="0.5"/>
    <n v="34087.5"/>
  </r>
  <r>
    <x v="3"/>
    <x v="622"/>
    <n v="67950"/>
    <n v="0.5"/>
    <n v="33975"/>
  </r>
  <r>
    <x v="3"/>
    <x v="623"/>
    <n v="67037.5"/>
    <n v="0.5"/>
    <n v="33518.75"/>
  </r>
  <r>
    <x v="3"/>
    <x v="624"/>
    <n v="65700"/>
    <n v="0.5"/>
    <n v="32850"/>
  </r>
  <r>
    <x v="3"/>
    <x v="625"/>
    <n v="66725"/>
    <n v="0.5"/>
    <n v="33362.5"/>
  </r>
  <r>
    <x v="3"/>
    <x v="626"/>
    <n v="66300"/>
    <n v="0.5"/>
    <n v="33150"/>
  </r>
  <r>
    <x v="3"/>
    <x v="627"/>
    <n v="67300"/>
    <n v="0.5"/>
    <n v="33650"/>
  </r>
  <r>
    <x v="3"/>
    <x v="628"/>
    <n v="67100"/>
    <n v="0.5"/>
    <n v="33550"/>
  </r>
  <r>
    <x v="3"/>
    <x v="629"/>
    <n v="67100"/>
    <n v="0.5"/>
    <n v="33550"/>
  </r>
  <r>
    <x v="3"/>
    <x v="630"/>
    <n v="66762.5"/>
    <n v="0.5"/>
    <n v="33381.25"/>
  </r>
  <r>
    <x v="3"/>
    <x v="631"/>
    <n v="67987.5"/>
    <n v="0.5"/>
    <n v="33993.75"/>
  </r>
  <r>
    <x v="3"/>
    <x v="632"/>
    <n v="67987.5"/>
    <n v="0.5"/>
    <n v="33993.75"/>
  </r>
  <r>
    <x v="3"/>
    <x v="633"/>
    <n v="67112.5"/>
    <n v="0.5"/>
    <n v="33556.25"/>
  </r>
  <r>
    <x v="3"/>
    <x v="634"/>
    <n v="66850"/>
    <n v="0.5"/>
    <n v="33425"/>
  </r>
  <r>
    <x v="3"/>
    <x v="635"/>
    <n v="69000"/>
    <n v="0.5"/>
    <n v="34500"/>
  </r>
  <r>
    <x v="3"/>
    <x v="636"/>
    <n v="68150"/>
    <n v="0.5"/>
    <n v="34075"/>
  </r>
  <r>
    <x v="3"/>
    <x v="637"/>
    <n v="69800"/>
    <n v="0.5"/>
    <n v="34900"/>
  </r>
  <r>
    <x v="3"/>
    <x v="638"/>
    <n v="69800"/>
    <n v="0.5"/>
    <n v="34900"/>
  </r>
  <r>
    <x v="3"/>
    <x v="639"/>
    <n v="69837.5"/>
    <n v="0.5"/>
    <n v="34918.75"/>
  </r>
  <r>
    <x v="3"/>
    <x v="640"/>
    <n v="69150"/>
    <n v="0.5"/>
    <n v="34575"/>
  </r>
  <r>
    <x v="3"/>
    <x v="641"/>
    <n v="66625"/>
    <n v="0.5"/>
    <n v="33312.5"/>
  </r>
  <r>
    <x v="3"/>
    <x v="642"/>
    <n v="67800"/>
    <n v="0.5"/>
    <n v="33900"/>
  </r>
  <r>
    <x v="3"/>
    <x v="643"/>
    <n v="68062.5"/>
    <n v="0.5"/>
    <n v="34031.25"/>
  </r>
  <r>
    <x v="3"/>
    <x v="644"/>
    <n v="68350"/>
    <n v="0.5"/>
    <n v="34175"/>
  </r>
  <r>
    <x v="3"/>
    <x v="645"/>
    <n v="68500"/>
    <n v="0.5"/>
    <n v="34250"/>
  </r>
  <r>
    <x v="3"/>
    <x v="646"/>
    <n v="68775"/>
    <n v="0.5"/>
    <n v="34387.5"/>
  </r>
  <r>
    <x v="3"/>
    <x v="647"/>
    <n v="67862.5"/>
    <n v="0.5"/>
    <n v="33931.25"/>
  </r>
  <r>
    <x v="3"/>
    <x v="648"/>
    <n v="67737.5"/>
    <n v="0.5"/>
    <n v="33868.75"/>
  </r>
  <r>
    <x v="3"/>
    <x v="649"/>
    <n v="68237.5"/>
    <n v="0.5"/>
    <n v="34118.75"/>
  </r>
  <r>
    <x v="3"/>
    <x v="650"/>
    <n v="68237.5"/>
    <n v="0.5"/>
    <n v="34118.75"/>
  </r>
  <r>
    <x v="3"/>
    <x v="651"/>
    <n v="68237.5"/>
    <n v="0.5"/>
    <n v="34118.75"/>
  </r>
  <r>
    <x v="3"/>
    <x v="652"/>
    <n v="67837.5"/>
    <n v="0.5"/>
    <n v="33918.75"/>
  </r>
  <r>
    <x v="3"/>
    <x v="653"/>
    <n v="68100"/>
    <n v="0.5"/>
    <n v="34050"/>
  </r>
  <r>
    <x v="3"/>
    <x v="654"/>
    <n v="67987.5"/>
    <n v="0.5"/>
    <n v="33993.75"/>
  </r>
  <r>
    <x v="3"/>
    <x v="655"/>
    <n v="68250"/>
    <n v="0.5"/>
    <n v="34125"/>
  </r>
  <r>
    <x v="3"/>
    <x v="656"/>
    <n v="68250"/>
    <n v="0.5"/>
    <n v="34125"/>
  </r>
  <r>
    <x v="3"/>
    <x v="657"/>
    <n v="67562.5"/>
    <n v="0.5"/>
    <n v="33781.25"/>
  </r>
  <r>
    <x v="3"/>
    <x v="658"/>
    <n v="65600"/>
    <n v="0.5"/>
    <n v="32800"/>
  </r>
  <r>
    <x v="3"/>
    <x v="659"/>
    <n v="66587.5"/>
    <n v="0.5"/>
    <n v="33293.75"/>
  </r>
  <r>
    <x v="3"/>
    <x v="660"/>
    <n v="66337.5"/>
    <n v="0.5"/>
    <n v="33168.75"/>
  </r>
  <r>
    <x v="3"/>
    <x v="661"/>
    <n v="68550"/>
    <n v="0.5"/>
    <n v="34275"/>
  </r>
  <r>
    <x v="3"/>
    <x v="662"/>
    <n v="69237.5"/>
    <n v="0.5"/>
    <n v="34618.75"/>
  </r>
  <r>
    <x v="3"/>
    <x v="663"/>
    <n v="70712.5"/>
    <n v="0.5"/>
    <n v="35356.25"/>
  </r>
  <r>
    <x v="3"/>
    <x v="664"/>
    <n v="70712.5"/>
    <n v="0.5"/>
    <n v="35356.25"/>
  </r>
  <r>
    <x v="3"/>
    <x v="665"/>
    <n v="70662.5"/>
    <n v="0.5"/>
    <n v="35331.25"/>
  </r>
  <r>
    <x v="3"/>
    <x v="666"/>
    <n v="70562.5"/>
    <n v="0.5"/>
    <n v="35281.25"/>
  </r>
  <r>
    <x v="3"/>
    <x v="667"/>
    <n v="71325"/>
    <n v="0.5"/>
    <n v="35662.5"/>
  </r>
  <r>
    <x v="3"/>
    <x v="668"/>
    <n v="71337.5"/>
    <n v="0.5"/>
    <n v="35668.75"/>
  </r>
  <r>
    <x v="3"/>
    <x v="669"/>
    <n v="72800"/>
    <n v="0.5"/>
    <n v="36400"/>
  </r>
  <r>
    <x v="3"/>
    <x v="670"/>
    <n v="72037.5"/>
    <n v="0.5"/>
    <n v="36018.75"/>
  </r>
  <r>
    <x v="3"/>
    <x v="671"/>
    <n v="72037.5"/>
    <n v="0.5"/>
    <n v="36018.75"/>
  </r>
  <r>
    <x v="3"/>
    <x v="672"/>
    <n v="72037.5"/>
    <n v="0.5"/>
    <n v="36018.75"/>
  </r>
  <r>
    <x v="3"/>
    <x v="673"/>
    <n v="72037.5"/>
    <n v="0.5"/>
    <n v="36018.75"/>
  </r>
  <r>
    <x v="3"/>
    <x v="674"/>
    <n v="72037.5"/>
    <n v="0.5"/>
    <n v="36018.75"/>
  </r>
  <r>
    <x v="3"/>
    <x v="675"/>
    <n v="71562.5"/>
    <n v="0.5"/>
    <n v="35781.25"/>
  </r>
  <r>
    <x v="3"/>
    <x v="676"/>
    <n v="70325"/>
    <n v="0.5"/>
    <n v="35162.5"/>
  </r>
  <r>
    <x v="3"/>
    <x v="677"/>
    <n v="71512.5"/>
    <n v="0.5"/>
    <n v="35756.25"/>
  </r>
  <r>
    <x v="3"/>
    <x v="678"/>
    <n v="69150"/>
    <n v="0.5"/>
    <n v="34575"/>
  </r>
  <r>
    <x v="3"/>
    <x v="679"/>
    <n v="70125"/>
    <n v="0.5"/>
    <n v="35062.5"/>
  </r>
  <r>
    <x v="3"/>
    <x v="680"/>
    <n v="70437.5"/>
    <n v="0.5"/>
    <n v="35218.75"/>
  </r>
  <r>
    <x v="3"/>
    <x v="681"/>
    <n v="69737.5"/>
    <n v="0.5"/>
    <n v="34868.75"/>
  </r>
  <r>
    <x v="3"/>
    <x v="682"/>
    <n v="70912.5"/>
    <n v="0.5"/>
    <n v="35456.25"/>
  </r>
  <r>
    <x v="3"/>
    <x v="683"/>
    <n v="71725"/>
    <n v="0.5"/>
    <n v="35862.5"/>
  </r>
  <r>
    <x v="3"/>
    <x v="684"/>
    <n v="70000"/>
    <n v="0.5"/>
    <n v="35000"/>
  </r>
  <r>
    <x v="3"/>
    <x v="685"/>
    <n v="72737.5"/>
    <n v="0.5"/>
    <n v="36368.75"/>
  </r>
  <r>
    <x v="3"/>
    <x v="686"/>
    <n v="73975"/>
    <n v="0.5"/>
    <n v="36987.5"/>
  </r>
  <r>
    <x v="3"/>
    <x v="687"/>
    <n v="74775"/>
    <n v="0.5"/>
    <n v="37387.5"/>
  </r>
  <r>
    <x v="3"/>
    <x v="688"/>
    <n v="76287.5"/>
    <n v="0.5"/>
    <n v="38143.75"/>
  </r>
  <r>
    <x v="3"/>
    <x v="689"/>
    <n v="77337.5"/>
    <n v="0.5"/>
    <n v="38668.75"/>
  </r>
  <r>
    <x v="3"/>
    <x v="690"/>
    <n v="79500"/>
    <n v="0.5"/>
    <n v="39750"/>
  </r>
  <r>
    <x v="3"/>
    <x v="691"/>
    <n v="79625"/>
    <n v="0.5"/>
    <n v="39812.5"/>
  </r>
  <r>
    <x v="3"/>
    <x v="692"/>
    <n v="80125"/>
    <n v="0.5"/>
    <n v="40062.5"/>
  </r>
  <r>
    <x v="3"/>
    <x v="693"/>
    <n v="78700"/>
    <n v="0.5"/>
    <n v="39350"/>
  </r>
  <r>
    <x v="3"/>
    <x v="694"/>
    <n v="79050"/>
    <n v="0.5"/>
    <n v="39525"/>
  </r>
  <r>
    <x v="3"/>
    <x v="695"/>
    <n v="78037.5"/>
    <n v="0.5"/>
    <n v="39018.75"/>
  </r>
  <r>
    <x v="3"/>
    <x v="696"/>
    <n v="80325"/>
    <n v="0.5"/>
    <n v="40162.5"/>
  </r>
  <r>
    <x v="3"/>
    <x v="697"/>
    <n v="82300"/>
    <n v="0.5"/>
    <n v="41150"/>
  </r>
  <r>
    <x v="3"/>
    <x v="698"/>
    <n v="81362.5"/>
    <n v="0.5"/>
    <n v="40681.25"/>
  </r>
  <r>
    <x v="3"/>
    <x v="699"/>
    <n v="81000"/>
    <n v="0.5"/>
    <n v="40500"/>
  </r>
  <r>
    <x v="3"/>
    <x v="700"/>
    <n v="79275"/>
    <n v="0.5"/>
    <n v="39637.5"/>
  </r>
  <r>
    <x v="3"/>
    <x v="701"/>
    <n v="81887.5"/>
    <n v="0.5"/>
    <n v="40943.75"/>
  </r>
  <r>
    <x v="3"/>
    <x v="702"/>
    <n v="83050"/>
    <n v="0.5"/>
    <n v="41525"/>
  </r>
  <r>
    <x v="3"/>
    <x v="703"/>
    <n v="83712.5"/>
    <n v="0.5"/>
    <n v="41856.25"/>
  </r>
  <r>
    <x v="3"/>
    <x v="704"/>
    <n v="83350"/>
    <n v="0.5"/>
    <n v="41675"/>
  </r>
  <r>
    <x v="3"/>
    <x v="705"/>
    <n v="78950"/>
    <n v="0.5"/>
    <n v="39475"/>
  </r>
  <r>
    <x v="3"/>
    <x v="706"/>
    <n v="78850"/>
    <n v="0.5"/>
    <n v="39425"/>
  </r>
  <r>
    <x v="3"/>
    <x v="707"/>
    <n v="77000"/>
    <n v="0.5"/>
    <n v="38500"/>
  </r>
  <r>
    <x v="3"/>
    <x v="708"/>
    <n v="79975"/>
    <n v="0.5"/>
    <n v="39987.5"/>
  </r>
  <r>
    <x v="3"/>
    <x v="709"/>
    <n v="80062.5"/>
    <n v="0.5"/>
    <n v="40031.25"/>
  </r>
  <r>
    <x v="3"/>
    <x v="710"/>
    <n v="79937.5"/>
    <n v="0.5"/>
    <n v="39968.75"/>
  </r>
  <r>
    <x v="3"/>
    <x v="711"/>
    <n v="81000"/>
    <n v="0.5"/>
    <n v="40500"/>
  </r>
  <r>
    <x v="3"/>
    <x v="712"/>
    <n v="82575"/>
    <n v="0.5"/>
    <n v="41287.5"/>
  </r>
  <r>
    <x v="3"/>
    <x v="713"/>
    <n v="83575"/>
    <n v="0.5"/>
    <n v="41787.5"/>
  </r>
  <r>
    <x v="3"/>
    <x v="714"/>
    <n v="84025"/>
    <n v="0.5"/>
    <n v="42012.5"/>
  </r>
  <r>
    <x v="3"/>
    <x v="715"/>
    <n v="83987.5"/>
    <n v="0.5"/>
    <n v="41993.75"/>
  </r>
  <r>
    <x v="3"/>
    <x v="716"/>
    <n v="83387.5"/>
    <n v="0.5"/>
    <n v="41693.75"/>
  </r>
  <r>
    <x v="3"/>
    <x v="717"/>
    <n v="84062.5"/>
    <n v="0.5"/>
    <n v="42031.25"/>
  </r>
  <r>
    <x v="3"/>
    <x v="718"/>
    <n v="83775"/>
    <n v="0.5"/>
    <n v="41887.5"/>
  </r>
  <r>
    <x v="3"/>
    <x v="719"/>
    <n v="82150"/>
    <n v="0.5"/>
    <n v="41075"/>
  </r>
  <r>
    <x v="3"/>
    <x v="720"/>
    <n v="83012.5"/>
    <n v="0.5"/>
    <n v="41506.25"/>
  </r>
  <r>
    <x v="3"/>
    <x v="721"/>
    <n v="84887.5"/>
    <n v="0.5"/>
    <n v="42443.75"/>
  </r>
  <r>
    <x v="3"/>
    <x v="722"/>
    <n v="84825"/>
    <n v="0.5"/>
    <n v="42412.5"/>
  </r>
  <r>
    <x v="3"/>
    <x v="723"/>
    <n v="84350"/>
    <n v="0.5"/>
    <n v="42175"/>
  </r>
  <r>
    <x v="3"/>
    <x v="724"/>
    <n v="83350"/>
    <n v="0.5"/>
    <n v="41675"/>
  </r>
  <r>
    <x v="3"/>
    <x v="725"/>
    <n v="83937.5"/>
    <n v="0.5"/>
    <n v="41968.75"/>
  </r>
  <r>
    <x v="3"/>
    <x v="726"/>
    <n v="84975"/>
    <n v="0.5"/>
    <n v="42487.5"/>
  </r>
  <r>
    <x v="3"/>
    <x v="727"/>
    <n v="83737.5"/>
    <n v="0.5"/>
    <n v="41868.75"/>
  </r>
  <r>
    <x v="3"/>
    <x v="728"/>
    <n v="83700"/>
    <n v="0.5"/>
    <n v="41850"/>
  </r>
  <r>
    <x v="3"/>
    <x v="729"/>
    <n v="84087.5"/>
    <n v="0.5"/>
    <n v="42043.75"/>
  </r>
  <r>
    <x v="3"/>
    <x v="730"/>
    <n v="84362.5"/>
    <n v="0.5"/>
    <n v="42181.25"/>
  </r>
  <r>
    <x v="3"/>
    <x v="731"/>
    <n v="84425"/>
    <n v="0.5"/>
    <n v="42212.5"/>
  </r>
  <r>
    <x v="3"/>
    <x v="732"/>
    <n v="84400"/>
    <n v="0.5"/>
    <n v="42200"/>
  </r>
  <r>
    <x v="3"/>
    <x v="733"/>
    <n v="85700"/>
    <n v="0.5"/>
    <n v="42850"/>
  </r>
  <r>
    <x v="3"/>
    <x v="734"/>
    <n v="85525"/>
    <n v="0.5"/>
    <n v="42762.5"/>
  </r>
  <r>
    <x v="3"/>
    <x v="735"/>
    <n v="85337.5"/>
    <n v="0.5"/>
    <n v="42668.75"/>
  </r>
  <r>
    <x v="3"/>
    <x v="736"/>
    <n v="84375"/>
    <n v="0.5"/>
    <n v="42187.5"/>
  </r>
  <r>
    <x v="3"/>
    <x v="737"/>
    <n v="84475"/>
    <n v="0.5"/>
    <n v="42237.5"/>
  </r>
  <r>
    <x v="3"/>
    <x v="738"/>
    <n v="84337.5"/>
    <n v="0.5"/>
    <n v="42168.75"/>
  </r>
  <r>
    <x v="3"/>
    <x v="739"/>
    <n v="83450"/>
    <n v="0.5"/>
    <n v="41725"/>
  </r>
  <r>
    <x v="3"/>
    <x v="740"/>
    <n v="83450"/>
    <n v="0.5"/>
    <n v="41725"/>
  </r>
  <r>
    <x v="3"/>
    <x v="741"/>
    <n v="83387.5"/>
    <n v="0.5"/>
    <n v="41693.75"/>
  </r>
  <r>
    <x v="3"/>
    <x v="742"/>
    <n v="82400"/>
    <n v="0.5"/>
    <n v="41200"/>
  </r>
  <r>
    <x v="3"/>
    <x v="743"/>
    <n v="83350"/>
    <n v="0.5"/>
    <n v="41675"/>
  </r>
  <r>
    <x v="3"/>
    <x v="744"/>
    <n v="84962.5"/>
    <n v="0.5"/>
    <n v="42481.25"/>
  </r>
  <r>
    <x v="3"/>
    <x v="745"/>
    <n v="86400"/>
    <n v="0.5"/>
    <n v="43200"/>
  </r>
  <r>
    <x v="3"/>
    <x v="746"/>
    <n v="85787.5"/>
    <n v="0.5"/>
    <n v="42893.75"/>
  </r>
  <r>
    <x v="3"/>
    <x v="747"/>
    <n v="83725"/>
    <n v="0.5"/>
    <n v="41862.5"/>
  </r>
  <r>
    <x v="3"/>
    <x v="748"/>
    <n v="81300"/>
    <n v="0.5"/>
    <n v="40650"/>
  </r>
  <r>
    <x v="3"/>
    <x v="749"/>
    <n v="80887.5"/>
    <n v="0.5"/>
    <n v="40443.75"/>
  </r>
  <r>
    <x v="3"/>
    <x v="750"/>
    <n v="80462.5"/>
    <n v="0.5"/>
    <n v="40231.25"/>
  </r>
  <r>
    <x v="3"/>
    <x v="751"/>
    <n v="79137.5"/>
    <n v="0.5"/>
    <n v="39568.75"/>
  </r>
  <r>
    <x v="3"/>
    <x v="752"/>
    <n v="78825"/>
    <n v="0.5"/>
    <n v="39412.5"/>
  </r>
  <r>
    <x v="3"/>
    <x v="753"/>
    <n v="80762.5"/>
    <n v="0.5"/>
    <n v="40381.25"/>
  </r>
  <r>
    <x v="3"/>
    <x v="754"/>
    <n v="84975"/>
    <n v="0.5"/>
    <n v="42487.5"/>
  </r>
  <r>
    <x v="3"/>
    <x v="755"/>
    <n v="83162.5"/>
    <n v="0.5"/>
    <n v="41581.25"/>
  </r>
  <r>
    <x v="3"/>
    <x v="756"/>
    <n v="84187.5"/>
    <n v="0.5"/>
    <n v="42093.75"/>
  </r>
  <r>
    <x v="3"/>
    <x v="757"/>
    <n v="81950"/>
    <n v="0.5"/>
    <n v="40975"/>
  </r>
  <r>
    <x v="3"/>
    <x v="758"/>
    <n v="81950"/>
    <n v="0.5"/>
    <n v="40975"/>
  </r>
  <r>
    <x v="3"/>
    <x v="759"/>
    <n v="82662.5"/>
    <n v="0.5"/>
    <n v="41331.25"/>
  </r>
  <r>
    <x v="3"/>
    <x v="760"/>
    <n v="84212.5"/>
    <n v="0.5"/>
    <n v="42106.25"/>
  </r>
  <r>
    <x v="3"/>
    <x v="761"/>
    <n v="87262.5"/>
    <n v="0.5"/>
    <n v="43631.25"/>
  </r>
  <r>
    <x v="3"/>
    <x v="762"/>
    <n v="89137.5"/>
    <n v="0.5"/>
    <n v="44568.75"/>
  </r>
  <r>
    <x v="3"/>
    <x v="763"/>
    <n v="90612.5"/>
    <n v="0.5"/>
    <n v="45306.25"/>
  </r>
  <r>
    <x v="3"/>
    <x v="764"/>
    <n v="90612.5"/>
    <n v="0.5"/>
    <n v="45306.25"/>
  </r>
  <r>
    <x v="3"/>
    <x v="765"/>
    <n v="87162.5"/>
    <n v="0.5"/>
    <n v="43581.25"/>
  </r>
  <r>
    <x v="3"/>
    <x v="766"/>
    <n v="88112.5"/>
    <n v="0.5"/>
    <n v="44056.25"/>
  </r>
  <r>
    <x v="3"/>
    <x v="767"/>
    <n v="90775"/>
    <n v="0.5"/>
    <n v="45387.5"/>
  </r>
  <r>
    <x v="3"/>
    <x v="768"/>
    <n v="92650"/>
    <n v="0.5"/>
    <n v="46325"/>
  </r>
  <r>
    <x v="3"/>
    <x v="769"/>
    <n v="92650"/>
    <n v="0.5"/>
    <n v="46325"/>
  </r>
  <r>
    <x v="3"/>
    <x v="770"/>
    <n v="94375"/>
    <n v="0.5"/>
    <n v="47187.5"/>
  </r>
  <r>
    <x v="3"/>
    <x v="771"/>
    <n v="94262.5"/>
    <n v="0.5"/>
    <n v="47131.25"/>
  </r>
  <r>
    <x v="3"/>
    <x v="772"/>
    <n v="94462.5"/>
    <n v="0.5"/>
    <n v="47231.25"/>
  </r>
  <r>
    <x v="3"/>
    <x v="773"/>
    <n v="92837.5"/>
    <n v="0.5"/>
    <n v="46418.75"/>
  </r>
  <r>
    <x v="3"/>
    <x v="774"/>
    <n v="92662.5"/>
    <n v="0.5"/>
    <n v="46331.25"/>
  </r>
  <r>
    <x v="3"/>
    <x v="775"/>
    <n v="92662.5"/>
    <n v="0.5"/>
    <n v="46331.25"/>
  </r>
  <r>
    <x v="3"/>
    <x v="776"/>
    <n v="92662.5"/>
    <n v="0.5"/>
    <n v="46331.25"/>
  </r>
  <r>
    <x v="3"/>
    <x v="777"/>
    <n v="93587.5"/>
    <n v="0.5"/>
    <n v="46793.75"/>
  </r>
  <r>
    <x v="3"/>
    <x v="778"/>
    <n v="96137.5"/>
    <n v="0.5"/>
    <n v="48068.75"/>
  </r>
  <r>
    <x v="3"/>
    <x v="779"/>
    <n v="93625"/>
    <n v="0.5"/>
    <n v="46812.5"/>
  </r>
  <r>
    <x v="3"/>
    <x v="780"/>
    <n v="92800"/>
    <n v="0.5"/>
    <n v="46400"/>
  </r>
  <r>
    <x v="3"/>
    <x v="781"/>
    <n v="92087.5"/>
    <n v="0.5"/>
    <n v="46043.75"/>
  </r>
  <r>
    <x v="3"/>
    <x v="782"/>
    <n v="92412.5"/>
    <n v="0.5"/>
    <n v="46206.25"/>
  </r>
  <r>
    <x v="3"/>
    <x v="783"/>
    <n v="92412.5"/>
    <n v="0.5"/>
    <n v="46206.25"/>
  </r>
  <r>
    <x v="3"/>
    <x v="784"/>
    <n v="92450"/>
    <n v="0.5"/>
    <n v="46225"/>
  </r>
  <r>
    <x v="3"/>
    <x v="785"/>
    <n v="94737.5"/>
    <n v="0.5"/>
    <n v="47368.75"/>
  </r>
  <r>
    <x v="3"/>
    <x v="786"/>
    <n v="93287.5"/>
    <n v="0.5"/>
    <n v="46643.75"/>
  </r>
  <r>
    <x v="3"/>
    <x v="787"/>
    <n v="93975"/>
    <n v="0.5"/>
    <n v="46987.5"/>
  </r>
  <r>
    <x v="3"/>
    <x v="788"/>
    <n v="93062.5"/>
    <n v="0.5"/>
    <n v="46531.25"/>
  </r>
  <r>
    <x v="3"/>
    <x v="789"/>
    <n v="94825"/>
    <n v="0.5"/>
    <n v="47412.5"/>
  </r>
  <r>
    <x v="3"/>
    <x v="790"/>
    <n v="92587.5"/>
    <n v="0.5"/>
    <n v="46293.75"/>
  </r>
  <r>
    <x v="3"/>
    <x v="791"/>
    <n v="86425"/>
    <n v="0.5"/>
    <n v="43212.5"/>
  </r>
  <r>
    <x v="3"/>
    <x v="792"/>
    <n v="81237.5"/>
    <n v="0.5"/>
    <n v="40618.75"/>
  </r>
  <r>
    <x v="3"/>
    <x v="793"/>
    <n v="80900"/>
    <n v="0.5"/>
    <n v="40450"/>
  </r>
  <r>
    <x v="3"/>
    <x v="794"/>
    <n v="82612.5"/>
    <n v="0.5"/>
    <n v="41306.25"/>
  </r>
  <r>
    <x v="3"/>
    <x v="795"/>
    <n v="80250"/>
    <n v="0.5"/>
    <n v="40125"/>
  </r>
  <r>
    <x v="3"/>
    <x v="796"/>
    <n v="79287.5"/>
    <n v="0.5"/>
    <n v="39643.75"/>
  </r>
  <r>
    <x v="3"/>
    <x v="797"/>
    <n v="75700"/>
    <n v="0.5"/>
    <n v="37850"/>
  </r>
  <r>
    <x v="3"/>
    <x v="798"/>
    <n v="78987.5"/>
    <n v="0.5"/>
    <n v="39493.75"/>
  </r>
  <r>
    <x v="3"/>
    <x v="799"/>
    <n v="80100"/>
    <n v="0.5"/>
    <n v="40050"/>
  </r>
  <r>
    <x v="3"/>
    <x v="800"/>
    <n v="83087.5"/>
    <n v="0.5"/>
    <n v="41543.75"/>
  </r>
  <r>
    <x v="3"/>
    <x v="801"/>
    <n v="83187.5"/>
    <n v="0.5"/>
    <n v="41593.75"/>
  </r>
  <r>
    <x v="3"/>
    <x v="802"/>
    <n v="78387.5"/>
    <n v="0.5"/>
    <n v="39193.75"/>
  </r>
  <r>
    <x v="3"/>
    <x v="803"/>
    <n v="75837.5"/>
    <n v="0.5"/>
    <n v="37918.75"/>
  </r>
  <r>
    <x v="3"/>
    <x v="804"/>
    <n v="76575"/>
    <n v="0.5"/>
    <n v="38287.5"/>
  </r>
  <r>
    <x v="3"/>
    <x v="805"/>
    <n v="76575"/>
    <n v="0.5"/>
    <n v="38287.5"/>
  </r>
  <r>
    <x v="3"/>
    <x v="806"/>
    <n v="71237.5"/>
    <n v="0.5"/>
    <n v="35618.75"/>
  </r>
  <r>
    <x v="3"/>
    <x v="807"/>
    <n v="70862.5"/>
    <n v="0.5"/>
    <n v="35431.25"/>
  </r>
  <r>
    <x v="3"/>
    <x v="808"/>
    <n v="72875"/>
    <n v="0.5"/>
    <n v="36437.5"/>
  </r>
  <r>
    <x v="3"/>
    <x v="809"/>
    <n v="72587.5"/>
    <n v="0.5"/>
    <n v="36293.75"/>
  </r>
  <r>
    <x v="3"/>
    <x v="810"/>
    <n v="74850"/>
    <n v="0.5"/>
    <n v="37425"/>
  </r>
  <r>
    <x v="3"/>
    <x v="811"/>
    <n v="74850"/>
    <n v="0.5"/>
    <n v="37425"/>
  </r>
  <r>
    <x v="3"/>
    <x v="812"/>
    <n v="74850"/>
    <n v="0.5"/>
    <n v="37425"/>
  </r>
  <r>
    <x v="3"/>
    <x v="813"/>
    <n v="74850"/>
    <n v="0.5"/>
    <n v="37425"/>
  </r>
  <r>
    <x v="3"/>
    <x v="814"/>
    <n v="73700"/>
    <n v="0.5"/>
    <n v="36850"/>
  </r>
  <r>
    <x v="3"/>
    <x v="815"/>
    <n v="75812.5"/>
    <n v="0.5"/>
    <n v="37906.25"/>
  </r>
  <r>
    <x v="3"/>
    <x v="816"/>
    <n v="77400"/>
    <n v="0.5"/>
    <n v="38700"/>
  </r>
  <r>
    <x v="3"/>
    <x v="817"/>
    <n v="77400"/>
    <n v="0.5"/>
    <n v="38700"/>
  </r>
  <r>
    <x v="3"/>
    <x v="818"/>
    <n v="78362.5"/>
    <n v="0.5"/>
    <n v="39181.25"/>
  </r>
  <r>
    <x v="3"/>
    <x v="819"/>
    <n v="72787.5"/>
    <n v="0.5"/>
    <n v="36393.75"/>
  </r>
  <r>
    <x v="3"/>
    <x v="820"/>
    <n v="81100"/>
    <n v="0.5"/>
    <n v="40550"/>
  </r>
  <r>
    <x v="3"/>
    <x v="821"/>
    <n v="82125"/>
    <n v="0.5"/>
    <n v="41062.5"/>
  </r>
  <r>
    <x v="3"/>
    <x v="822"/>
    <n v="83512.5"/>
    <n v="0.5"/>
    <n v="41756.25"/>
  </r>
  <r>
    <x v="3"/>
    <x v="823"/>
    <n v="83587.5"/>
    <n v="0.5"/>
    <n v="41793.75"/>
  </r>
  <r>
    <x v="3"/>
    <x v="824"/>
    <n v="85875"/>
    <n v="0.5"/>
    <n v="42937.5"/>
  </r>
  <r>
    <x v="3"/>
    <x v="825"/>
    <n v="86050"/>
    <n v="0.5"/>
    <n v="43025"/>
  </r>
  <r>
    <x v="3"/>
    <x v="826"/>
    <n v="86250"/>
    <n v="0.5"/>
    <n v="43125"/>
  </r>
  <r>
    <x v="3"/>
    <x v="827"/>
    <n v="86775"/>
    <n v="0.5"/>
    <n v="43387.5"/>
  </r>
  <r>
    <x v="3"/>
    <x v="828"/>
    <n v="90150"/>
    <n v="0.5"/>
    <n v="45075"/>
  </r>
  <r>
    <x v="3"/>
    <x v="829"/>
    <n v="90050"/>
    <n v="0.5"/>
    <n v="45025"/>
  </r>
  <r>
    <x v="3"/>
    <x v="830"/>
    <n v="95137.5"/>
    <n v="0.5"/>
    <n v="47568.75"/>
  </r>
  <r>
    <x v="3"/>
    <x v="831"/>
    <n v="89150"/>
    <n v="0.5"/>
    <n v="44575"/>
  </r>
  <r>
    <x v="3"/>
    <x v="832"/>
    <n v="93800"/>
    <n v="0.5"/>
    <n v="46900"/>
  </r>
  <r>
    <x v="3"/>
    <x v="833"/>
    <n v="89475"/>
    <n v="0.5"/>
    <n v="44737.5"/>
  </r>
  <r>
    <x v="3"/>
    <x v="834"/>
    <n v="90137.5"/>
    <n v="0.5"/>
    <n v="45068.75"/>
  </r>
  <r>
    <x v="3"/>
    <x v="835"/>
    <n v="90187.5"/>
    <n v="0.5"/>
    <n v="45093.75"/>
  </r>
  <r>
    <x v="3"/>
    <x v="836"/>
    <n v="92725"/>
    <n v="0.5"/>
    <n v="46362.5"/>
  </r>
  <r>
    <x v="3"/>
    <x v="837"/>
    <n v="94862.5"/>
    <n v="0.5"/>
    <n v="47431.25"/>
  </r>
  <r>
    <x v="3"/>
    <x v="838"/>
    <n v="89350"/>
    <n v="0.5"/>
    <n v="44675"/>
  </r>
  <r>
    <x v="3"/>
    <x v="839"/>
    <n v="89000"/>
    <n v="0.5"/>
    <n v="44500"/>
  </r>
  <r>
    <x v="3"/>
    <x v="840"/>
    <n v="93150"/>
    <n v="0.5"/>
    <n v="46575"/>
  </r>
  <r>
    <x v="3"/>
    <x v="841"/>
    <n v="92312.5"/>
    <n v="0.5"/>
    <n v="46156.25"/>
  </r>
  <r>
    <x v="3"/>
    <x v="842"/>
    <n v="91350"/>
    <n v="0.5"/>
    <n v="45675"/>
  </r>
  <r>
    <x v="3"/>
    <x v="843"/>
    <n v="90662.5"/>
    <n v="0.5"/>
    <n v="45331.25"/>
  </r>
  <r>
    <x v="3"/>
    <x v="844"/>
    <n v="89675"/>
    <n v="0.5"/>
    <n v="44837.5"/>
  </r>
  <r>
    <x v="3"/>
    <x v="845"/>
    <n v="90750"/>
    <n v="0.5"/>
    <n v="45375"/>
  </r>
  <r>
    <x v="3"/>
    <x v="846"/>
    <n v="88125"/>
    <n v="0.5"/>
    <n v="44062.5"/>
  </r>
  <r>
    <x v="3"/>
    <x v="847"/>
    <n v="88450"/>
    <n v="0.5"/>
    <n v="44225"/>
  </r>
  <r>
    <x v="3"/>
    <x v="848"/>
    <n v="89400"/>
    <n v="0.5"/>
    <n v="44700"/>
  </r>
  <r>
    <x v="3"/>
    <x v="849"/>
    <n v="92187.5"/>
    <n v="0.5"/>
    <n v="46093.75"/>
  </r>
  <r>
    <x v="3"/>
    <x v="850"/>
    <n v="92000"/>
    <n v="0.5"/>
    <n v="46000"/>
  </r>
  <r>
    <x v="3"/>
    <x v="851"/>
    <n v="95162.5"/>
    <n v="0.5"/>
    <n v="47581.25"/>
  </r>
  <r>
    <x v="3"/>
    <x v="852"/>
    <n v="95875"/>
    <n v="0.5"/>
    <n v="47937.5"/>
  </r>
  <r>
    <x v="3"/>
    <x v="853"/>
    <n v="95875"/>
    <n v="0.5"/>
    <n v="47937.5"/>
  </r>
  <r>
    <x v="3"/>
    <x v="854"/>
    <n v="96700"/>
    <n v="0.5"/>
    <n v="48350"/>
  </r>
  <r>
    <x v="3"/>
    <x v="855"/>
    <n v="98200"/>
    <n v="0.5"/>
    <n v="49100"/>
  </r>
  <r>
    <x v="3"/>
    <x v="856"/>
    <n v="100950"/>
    <n v="0.5"/>
    <n v="50475"/>
  </r>
  <r>
    <x v="3"/>
    <x v="857"/>
    <n v="99462.5"/>
    <n v="0.5"/>
    <n v="49731.25"/>
  </r>
  <r>
    <x v="3"/>
    <x v="858"/>
    <n v="97350"/>
    <n v="0.5"/>
    <n v="48675"/>
  </r>
  <r>
    <x v="3"/>
    <x v="859"/>
    <n v="99050"/>
    <n v="0.5"/>
    <n v="49525"/>
  </r>
  <r>
    <x v="3"/>
    <x v="860"/>
    <n v="102475"/>
    <n v="0.5"/>
    <n v="51237.5"/>
  </r>
  <r>
    <x v="3"/>
    <x v="861"/>
    <n v="101437.5"/>
    <n v="0.5"/>
    <n v="50718.75"/>
  </r>
  <r>
    <x v="3"/>
    <x v="862"/>
    <n v="102625"/>
    <n v="0.5"/>
    <n v="51312.5"/>
  </r>
  <r>
    <x v="3"/>
    <x v="863"/>
    <n v="103900"/>
    <n v="0.5"/>
    <n v="51950"/>
  </r>
  <r>
    <x v="3"/>
    <x v="864"/>
    <n v="104400"/>
    <n v="0.5"/>
    <n v="52200"/>
  </r>
  <r>
    <x v="3"/>
    <x v="865"/>
    <n v="102437.5"/>
    <n v="0.5"/>
    <n v="51218.75"/>
  </r>
  <r>
    <x v="3"/>
    <x v="866"/>
    <n v="104350"/>
    <n v="0.5"/>
    <n v="52175"/>
  </r>
  <r>
    <x v="3"/>
    <x v="867"/>
    <n v="105937.5"/>
    <n v="0.5"/>
    <n v="52968.75"/>
  </r>
  <r>
    <x v="3"/>
    <x v="868"/>
    <n v="110387.5"/>
    <n v="0.5"/>
    <n v="55193.75"/>
  </r>
  <r>
    <x v="3"/>
    <x v="869"/>
    <n v="116312.5"/>
    <n v="0.5"/>
    <n v="58156.25"/>
  </r>
  <r>
    <x v="3"/>
    <x v="870"/>
    <n v="117425"/>
    <n v="0.5"/>
    <n v="58712.5"/>
  </r>
  <r>
    <x v="3"/>
    <x v="871"/>
    <n v="118975"/>
    <n v="0.5"/>
    <n v="59487.5"/>
  </r>
  <r>
    <x v="3"/>
    <x v="872"/>
    <n v="118450"/>
    <n v="0.5"/>
    <n v="59225"/>
  </r>
  <r>
    <x v="3"/>
    <x v="873"/>
    <n v="117187.5"/>
    <n v="0.5"/>
    <n v="58593.75"/>
  </r>
  <r>
    <x v="3"/>
    <x v="874"/>
    <n v="114212.5"/>
    <n v="0.5"/>
    <n v="57106.25"/>
  </r>
  <r>
    <x v="3"/>
    <x v="875"/>
    <n v="117100"/>
    <n v="0.5"/>
    <n v="58550"/>
  </r>
  <r>
    <x v="3"/>
    <x v="876"/>
    <n v="116287.5"/>
    <n v="0.5"/>
    <n v="58143.75"/>
  </r>
  <r>
    <x v="3"/>
    <x v="877"/>
    <n v="109650"/>
    <n v="0.5"/>
    <n v="54825"/>
  </r>
  <r>
    <x v="3"/>
    <x v="878"/>
    <n v="108862.5"/>
    <n v="0.5"/>
    <n v="54431.25"/>
  </r>
  <r>
    <x v="3"/>
    <x v="879"/>
    <n v="110112.5"/>
    <n v="0.5"/>
    <n v="55056.25"/>
  </r>
  <r>
    <x v="3"/>
    <x v="880"/>
    <n v="109850"/>
    <n v="0.5"/>
    <n v="54925"/>
  </r>
  <r>
    <x v="3"/>
    <x v="881"/>
    <n v="106362.5"/>
    <n v="0.5"/>
    <n v="53181.25"/>
  </r>
  <r>
    <x v="3"/>
    <x v="882"/>
    <n v="105400"/>
    <n v="0.5"/>
    <n v="52700"/>
  </r>
  <r>
    <x v="3"/>
    <x v="883"/>
    <n v="104287.5"/>
    <n v="0.5"/>
    <n v="52143.75"/>
  </r>
  <r>
    <x v="3"/>
    <x v="884"/>
    <n v="104050"/>
    <n v="0.5"/>
    <n v="52025"/>
  </r>
  <r>
    <x v="3"/>
    <x v="885"/>
    <n v="108200"/>
    <n v="0.5"/>
    <n v="54100"/>
  </r>
  <r>
    <x v="3"/>
    <x v="886"/>
    <n v="98450"/>
    <n v="0.5"/>
    <n v="49225"/>
  </r>
  <r>
    <x v="3"/>
    <x v="887"/>
    <n v="99062.5"/>
    <n v="0.5"/>
    <n v="49531.25"/>
  </r>
  <r>
    <x v="3"/>
    <x v="888"/>
    <n v="97300"/>
    <n v="0.5"/>
    <n v="48650"/>
  </r>
  <r>
    <x v="3"/>
    <x v="889"/>
    <n v="97937.5"/>
    <n v="0.5"/>
    <n v="48968.75"/>
  </r>
  <r>
    <x v="3"/>
    <x v="890"/>
    <n v="100662.5"/>
    <n v="0.5"/>
    <n v="50331.25"/>
  </r>
  <r>
    <x v="3"/>
    <x v="891"/>
    <n v="104812.5"/>
    <n v="0.5"/>
    <n v="52406.25"/>
  </r>
  <r>
    <x v="3"/>
    <x v="892"/>
    <n v="104475"/>
    <n v="0.5"/>
    <n v="52237.5"/>
  </r>
  <r>
    <x v="3"/>
    <x v="893"/>
    <n v="103125"/>
    <n v="0.5"/>
    <n v="51562.5"/>
  </r>
  <r>
    <x v="3"/>
    <x v="894"/>
    <n v="102900"/>
    <n v="0.5"/>
    <n v="51450"/>
  </r>
  <r>
    <x v="3"/>
    <x v="895"/>
    <n v="100612.5"/>
    <n v="0.5"/>
    <n v="50306.25"/>
  </r>
  <r>
    <x v="3"/>
    <x v="896"/>
    <n v="96662.5"/>
    <n v="0.5"/>
    <n v="48331.25"/>
  </r>
  <r>
    <x v="3"/>
    <x v="897"/>
    <n v="96200"/>
    <n v="0.5"/>
    <n v="48100"/>
  </r>
  <r>
    <x v="3"/>
    <x v="898"/>
    <n v="100500"/>
    <n v="0.5"/>
    <n v="50250"/>
  </r>
  <r>
    <x v="3"/>
    <x v="899"/>
    <n v="106075"/>
    <n v="0.5"/>
    <n v="53037.5"/>
  </r>
  <r>
    <x v="3"/>
    <x v="900"/>
    <n v="106787.5"/>
    <n v="0.5"/>
    <n v="53393.75"/>
  </r>
  <r>
    <x v="3"/>
    <x v="901"/>
    <n v="106225"/>
    <n v="0.5"/>
    <n v="53112.5"/>
  </r>
  <r>
    <x v="3"/>
    <x v="902"/>
    <n v="107100"/>
    <n v="0.5"/>
    <n v="53550"/>
  </r>
  <r>
    <x v="3"/>
    <x v="903"/>
    <n v="108237.5"/>
    <n v="0.5"/>
    <n v="54118.75"/>
  </r>
  <r>
    <x v="3"/>
    <x v="904"/>
    <n v="109775"/>
    <n v="0.5"/>
    <n v="54887.5"/>
  </r>
  <r>
    <x v="3"/>
    <x v="905"/>
    <n v="107062.5"/>
    <n v="0.5"/>
    <n v="53531.25"/>
  </r>
  <r>
    <x v="3"/>
    <x v="906"/>
    <n v="105987.5"/>
    <n v="0.5"/>
    <n v="52993.75"/>
  </r>
  <r>
    <x v="3"/>
    <x v="907"/>
    <n v="103650"/>
    <n v="0.5"/>
    <n v="51825"/>
  </r>
  <r>
    <x v="3"/>
    <x v="908"/>
    <n v="104462.5"/>
    <n v="0.5"/>
    <n v="52231.25"/>
  </r>
  <r>
    <x v="3"/>
    <x v="909"/>
    <n v="105837.5"/>
    <n v="0.5"/>
    <n v="52918.75"/>
  </r>
  <r>
    <x v="3"/>
    <x v="910"/>
    <n v="110050"/>
    <n v="0.5"/>
    <n v="55025"/>
  </r>
  <r>
    <x v="3"/>
    <x v="911"/>
    <n v="116012.5"/>
    <n v="0.5"/>
    <n v="58006.25"/>
  </r>
  <r>
    <x v="3"/>
    <x v="912"/>
    <n v="116012.5"/>
    <n v="0.5"/>
    <n v="58006.25"/>
  </r>
  <r>
    <x v="3"/>
    <x v="913"/>
    <n v="116025"/>
    <n v="0.5"/>
    <n v="58012.5"/>
  </r>
  <r>
    <x v="3"/>
    <x v="914"/>
    <n v="118075"/>
    <n v="0.5"/>
    <n v="59037.5"/>
  </r>
  <r>
    <x v="3"/>
    <x v="915"/>
    <n v="109950"/>
    <n v="0.5"/>
    <n v="54975"/>
  </r>
  <r>
    <x v="3"/>
    <x v="916"/>
    <n v="116250"/>
    <n v="0.5"/>
    <n v="58125"/>
  </r>
  <r>
    <x v="3"/>
    <x v="917"/>
    <n v="114675"/>
    <n v="0.5"/>
    <n v="57337.5"/>
  </r>
  <r>
    <x v="3"/>
    <x v="918"/>
    <n v="115637.5"/>
    <n v="0.5"/>
    <n v="57818.75"/>
  </r>
  <r>
    <x v="3"/>
    <x v="919"/>
    <n v="115575"/>
    <n v="0.5"/>
    <n v="57787.5"/>
  </r>
  <r>
    <x v="3"/>
    <x v="920"/>
    <n v="117225"/>
    <n v="0.5"/>
    <n v="58612.5"/>
  </r>
  <r>
    <x v="3"/>
    <x v="921"/>
    <n v="116987.5"/>
    <n v="0.5"/>
    <n v="58493.75"/>
  </r>
  <r>
    <x v="3"/>
    <x v="922"/>
    <n v="117562.5"/>
    <n v="0.5"/>
    <n v="58781.25"/>
  </r>
  <r>
    <x v="3"/>
    <x v="923"/>
    <n v="119875"/>
    <n v="0.5"/>
    <n v="59937.5"/>
  </r>
  <r>
    <x v="3"/>
    <x v="924"/>
    <n v="120962.5"/>
    <n v="0.5"/>
    <n v="60481.25"/>
  </r>
  <r>
    <x v="3"/>
    <x v="925"/>
    <n v="120825"/>
    <n v="0.5"/>
    <n v="60412.5"/>
  </r>
  <r>
    <x v="3"/>
    <x v="926"/>
    <n v="123500"/>
    <n v="0.5"/>
    <n v="61750"/>
  </r>
  <r>
    <x v="3"/>
    <x v="927"/>
    <n v="121550"/>
    <n v="0.5"/>
    <n v="60775"/>
  </r>
  <r>
    <x v="3"/>
    <x v="928"/>
    <n v="111600"/>
    <n v="0.5"/>
    <n v="55800"/>
  </r>
  <r>
    <x v="3"/>
    <x v="929"/>
    <n v="114412.5"/>
    <n v="0.5"/>
    <n v="57206.25"/>
  </r>
  <r>
    <x v="3"/>
    <x v="930"/>
    <n v="113450"/>
    <n v="0.5"/>
    <n v="56725"/>
  </r>
  <r>
    <x v="3"/>
    <x v="931"/>
    <n v="115625"/>
    <n v="0.5"/>
    <n v="57812.5"/>
  </r>
  <r>
    <x v="3"/>
    <x v="932"/>
    <n v="111575"/>
    <n v="0.5"/>
    <n v="55787.5"/>
  </r>
  <r>
    <x v="3"/>
    <x v="933"/>
    <n v="111987.5"/>
    <n v="0.5"/>
    <n v="55993.75"/>
  </r>
  <r>
    <x v="3"/>
    <x v="934"/>
    <n v="114475"/>
    <n v="0.5"/>
    <n v="57237.5"/>
  </r>
  <r>
    <x v="3"/>
    <x v="935"/>
    <n v="113587.5"/>
    <n v="0.5"/>
    <n v="56793.75"/>
  </r>
  <r>
    <x v="3"/>
    <x v="936"/>
    <n v="112837.5"/>
    <n v="0.5"/>
    <n v="56418.75"/>
  </r>
  <r>
    <x v="3"/>
    <x v="937"/>
    <n v="112412.5"/>
    <n v="0.5"/>
    <n v="56206.25"/>
  </r>
  <r>
    <x v="3"/>
    <x v="938"/>
    <n v="111275"/>
    <n v="0.5"/>
    <n v="55637.5"/>
  </r>
  <r>
    <x v="3"/>
    <x v="939"/>
    <n v="111275"/>
    <n v="0.5"/>
    <n v="55637.5"/>
  </r>
  <r>
    <x v="3"/>
    <x v="940"/>
    <n v="107625"/>
    <n v="0.5"/>
    <n v="53812.5"/>
  </r>
  <r>
    <x v="3"/>
    <x v="941"/>
    <n v="106512.5"/>
    <n v="0.5"/>
    <n v="53256.25"/>
  </r>
  <r>
    <x v="3"/>
    <x v="942"/>
    <n v="107137.5"/>
    <n v="0.5"/>
    <n v="53568.75"/>
  </r>
  <r>
    <x v="3"/>
    <x v="943"/>
    <n v="109550"/>
    <n v="0.5"/>
    <n v="54775"/>
  </r>
  <r>
    <x v="3"/>
    <x v="944"/>
    <n v="111062.5"/>
    <n v="0.5"/>
    <n v="55531.25"/>
  </r>
  <r>
    <x v="3"/>
    <x v="945"/>
    <n v="111075"/>
    <n v="0.5"/>
    <n v="55537.5"/>
  </r>
  <r>
    <x v="3"/>
    <x v="946"/>
    <n v="108525"/>
    <n v="0.5"/>
    <n v="54262.5"/>
  </r>
  <r>
    <x v="3"/>
    <x v="947"/>
    <n v="109400"/>
    <n v="0.5"/>
    <n v="54700"/>
  </r>
  <r>
    <x v="3"/>
    <x v="948"/>
    <n v="109350"/>
    <n v="0.5"/>
    <n v="54675"/>
  </r>
  <r>
    <x v="3"/>
    <x v="949"/>
    <n v="108400"/>
    <n v="0.5"/>
    <n v="54200"/>
  </r>
  <r>
    <x v="3"/>
    <x v="950"/>
    <n v="110187.5"/>
    <n v="0.5"/>
    <n v="55093.75"/>
  </r>
  <r>
    <x v="3"/>
    <x v="951"/>
    <n v="112425"/>
    <n v="0.5"/>
    <n v="56212.5"/>
  </r>
  <r>
    <x v="3"/>
    <x v="952"/>
    <n v="112050"/>
    <n v="0.5"/>
    <n v="56025"/>
  </r>
  <r>
    <x v="3"/>
    <x v="953"/>
    <n v="112962.5"/>
    <n v="0.5"/>
    <n v="56481.25"/>
  </r>
  <r>
    <x v="3"/>
    <x v="954"/>
    <n v="112987.5"/>
    <n v="0.5"/>
    <n v="56493.75"/>
  </r>
  <r>
    <x v="3"/>
    <x v="955"/>
    <n v="113500"/>
    <n v="0.5"/>
    <n v="56750"/>
  </r>
  <r>
    <x v="3"/>
    <x v="956"/>
    <n v="111700"/>
    <n v="0.5"/>
    <n v="55850"/>
  </r>
  <r>
    <x v="3"/>
    <x v="957"/>
    <n v="114287.5"/>
    <n v="0.5"/>
    <n v="57143.75"/>
  </r>
  <r>
    <x v="3"/>
    <x v="958"/>
    <n v="113100"/>
    <n v="0.5"/>
    <n v="56550"/>
  </r>
  <r>
    <x v="3"/>
    <x v="959"/>
    <n v="115387.5"/>
    <n v="0.5"/>
    <n v="57693.75"/>
  </r>
  <r>
    <x v="3"/>
    <x v="960"/>
    <n v="115387.5"/>
    <n v="0.5"/>
    <n v="57693.75"/>
  </r>
  <r>
    <x v="3"/>
    <x v="961"/>
    <n v="112025"/>
    <n v="0.5"/>
    <n v="56012.5"/>
  </r>
  <r>
    <x v="3"/>
    <x v="962"/>
    <n v="113237.5"/>
    <n v="0.5"/>
    <n v="56618.75"/>
  </r>
  <r>
    <x v="3"/>
    <x v="963"/>
    <n v="110237.5"/>
    <n v="0.5"/>
    <n v="55118.75"/>
  </r>
  <r>
    <x v="3"/>
    <x v="964"/>
    <n v="110887.5"/>
    <n v="0.5"/>
    <n v="55443.75"/>
  </r>
  <r>
    <x v="3"/>
    <x v="965"/>
    <n v="111337.5"/>
    <n v="0.5"/>
    <n v="55668.75"/>
  </r>
  <r>
    <x v="3"/>
    <x v="966"/>
    <n v="111262.5"/>
    <n v="0.5"/>
    <n v="55631.25"/>
  </r>
  <r>
    <x v="3"/>
    <x v="967"/>
    <n v="112425"/>
    <n v="0.5"/>
    <n v="56212.5"/>
  </r>
  <r>
    <x v="3"/>
    <x v="968"/>
    <n v="111550"/>
    <n v="0.5"/>
    <n v="55775"/>
  </r>
  <r>
    <x v="3"/>
    <x v="969"/>
    <n v="109150"/>
    <n v="0.5"/>
    <n v="54575"/>
  </r>
  <r>
    <x v="3"/>
    <x v="970"/>
    <n v="108350"/>
    <n v="0.5"/>
    <n v="54175"/>
  </r>
  <r>
    <x v="3"/>
    <x v="971"/>
    <n v="109325"/>
    <n v="0.5"/>
    <n v="54662.5"/>
  </r>
  <r>
    <x v="3"/>
    <x v="972"/>
    <n v="109625"/>
    <n v="0.5"/>
    <n v="54812.5"/>
  </r>
  <r>
    <x v="3"/>
    <x v="973"/>
    <n v="113050"/>
    <n v="0.5"/>
    <n v="56525"/>
  </r>
  <r>
    <x v="3"/>
    <x v="974"/>
    <n v="110725"/>
    <n v="0.5"/>
    <n v="55362.5"/>
  </r>
  <r>
    <x v="3"/>
    <x v="975"/>
    <n v="112475"/>
    <n v="0.5"/>
    <n v="56237.5"/>
  </r>
  <r>
    <x v="3"/>
    <x v="976"/>
    <n v="113187.5"/>
    <n v="0.5"/>
    <n v="56593.75"/>
  </r>
  <r>
    <x v="3"/>
    <x v="977"/>
    <n v="120900"/>
    <n v="0.5"/>
    <n v="60450"/>
  </r>
  <r>
    <x v="3"/>
    <x v="978"/>
    <n v="120887.5"/>
    <n v="0.5"/>
    <n v="60443.75"/>
  </r>
  <r>
    <x v="3"/>
    <x v="979"/>
    <n v="119737.5"/>
    <n v="0.5"/>
    <n v="59868.75"/>
  </r>
  <r>
    <x v="3"/>
    <x v="980"/>
    <n v="118812.5"/>
    <n v="0.5"/>
    <n v="59406.25"/>
  </r>
  <r>
    <x v="3"/>
    <x v="981"/>
    <n v="121987.5"/>
    <n v="0.5"/>
    <n v="60993.75"/>
  </r>
  <r>
    <x v="3"/>
    <x v="982"/>
    <n v="123575"/>
    <n v="0.5"/>
    <n v="61787.5"/>
  </r>
  <r>
    <x v="3"/>
    <x v="983"/>
    <n v="124637.5"/>
    <n v="0.5"/>
    <n v="62318.75"/>
  </r>
  <r>
    <x v="3"/>
    <x v="984"/>
    <n v="123987.5"/>
    <n v="0.5"/>
    <n v="61993.75"/>
  </r>
  <r>
    <x v="3"/>
    <x v="985"/>
    <n v="123275"/>
    <n v="0.5"/>
    <n v="61637.5"/>
  </r>
  <r>
    <x v="3"/>
    <x v="986"/>
    <n v="122375"/>
    <n v="0.5"/>
    <n v="61187.5"/>
  </r>
  <r>
    <x v="3"/>
    <x v="987"/>
    <n v="123387.5"/>
    <n v="0.5"/>
    <n v="61693.75"/>
  </r>
  <r>
    <x v="3"/>
    <x v="988"/>
    <n v="125412.5"/>
    <n v="0.5"/>
    <n v="62706.25"/>
  </r>
  <r>
    <x v="3"/>
    <x v="989"/>
    <n v="128175"/>
    <n v="0.5"/>
    <n v="64087.5"/>
  </r>
  <r>
    <x v="3"/>
    <x v="990"/>
    <n v="127462.5"/>
    <n v="0.5"/>
    <n v="63731.25"/>
  </r>
  <r>
    <x v="3"/>
    <x v="991"/>
    <n v="129850"/>
    <n v="0.5"/>
    <n v="64925"/>
  </r>
  <r>
    <x v="3"/>
    <x v="992"/>
    <n v="133312.5"/>
    <n v="0.5"/>
    <n v="66656.25"/>
  </r>
  <r>
    <x v="3"/>
    <x v="993"/>
    <n v="129187.5"/>
    <n v="0.5"/>
    <n v="64593.75"/>
  </r>
  <r>
    <x v="3"/>
    <x v="994"/>
    <n v="129287.5"/>
    <n v="0.5"/>
    <n v="64643.75"/>
  </r>
  <r>
    <x v="3"/>
    <x v="995"/>
    <n v="128150"/>
    <n v="0.5"/>
    <n v="64075"/>
  </r>
  <r>
    <x v="3"/>
    <x v="996"/>
    <n v="128700"/>
    <n v="0.5"/>
    <n v="64350"/>
  </r>
  <r>
    <x v="3"/>
    <x v="997"/>
    <n v="129475"/>
    <n v="0.5"/>
    <n v="64737.5"/>
  </r>
  <r>
    <x v="3"/>
    <x v="998"/>
    <n v="125862.5"/>
    <n v="0.5"/>
    <n v="62931.25"/>
  </r>
  <r>
    <x v="3"/>
    <x v="999"/>
    <n v="114175"/>
    <n v="0.5"/>
    <n v="57087.5"/>
  </r>
  <r>
    <x v="3"/>
    <x v="1000"/>
    <n v="114312.5"/>
    <n v="0.5"/>
    <n v="57156.25"/>
  </r>
  <r>
    <x v="3"/>
    <x v="1001"/>
    <n v="117075"/>
    <n v="0.5"/>
    <n v="58537.5"/>
  </r>
  <r>
    <x v="3"/>
    <x v="1002"/>
    <n v="118187.5"/>
    <n v="0.5"/>
    <n v="59093.75"/>
  </r>
  <r>
    <x v="3"/>
    <x v="1003"/>
    <n v="112837.5"/>
    <n v="0.5"/>
    <n v="56418.75"/>
  </r>
  <r>
    <x v="3"/>
    <x v="1004"/>
    <n v="115675"/>
    <n v="0.5"/>
    <n v="57837.5"/>
  </r>
  <r>
    <x v="3"/>
    <x v="1005"/>
    <n v="116175"/>
    <n v="0.5"/>
    <n v="58087.5"/>
  </r>
  <r>
    <x v="3"/>
    <x v="1006"/>
    <n v="112475"/>
    <n v="0.5"/>
    <n v="56237.5"/>
  </r>
  <r>
    <x v="3"/>
    <x v="1007"/>
    <n v="113162.5"/>
    <n v="0.5"/>
    <n v="56581.25"/>
  </r>
  <r>
    <x v="3"/>
    <x v="1008"/>
    <n v="113712.5"/>
    <n v="0.5"/>
    <n v="56856.25"/>
  </r>
  <r>
    <x v="3"/>
    <x v="1009"/>
    <n v="115187.5"/>
    <n v="0.5"/>
    <n v="57593.75"/>
  </r>
  <r>
    <x v="3"/>
    <x v="1010"/>
    <n v="118087.5"/>
    <n v="0.5"/>
    <n v="59043.75"/>
  </r>
  <r>
    <x v="3"/>
    <x v="1011"/>
    <n v="116400"/>
    <n v="0.5"/>
    <n v="58200"/>
  </r>
  <r>
    <x v="3"/>
    <x v="1012"/>
    <n v="114725"/>
    <n v="0.5"/>
    <n v="57362.5"/>
  </r>
  <r>
    <x v="3"/>
    <x v="1013"/>
    <n v="120975"/>
    <n v="0.5"/>
    <n v="60487.5"/>
  </r>
  <r>
    <x v="3"/>
    <x v="1014"/>
    <n v="120037.5"/>
    <n v="0.5"/>
    <n v="60018.75"/>
  </r>
  <r>
    <x v="3"/>
    <x v="1015"/>
    <n v="121100"/>
    <n v="0.5"/>
    <n v="60550"/>
  </r>
  <r>
    <x v="3"/>
    <x v="1016"/>
    <n v="119350"/>
    <n v="0.5"/>
    <n v="59675"/>
  </r>
  <r>
    <x v="3"/>
    <x v="1017"/>
    <n v="118912.5"/>
    <n v="0.5"/>
    <n v="59456.25"/>
  </r>
  <r>
    <x v="3"/>
    <x v="1018"/>
    <n v="121900"/>
    <n v="0.5"/>
    <n v="60950"/>
  </r>
  <r>
    <x v="3"/>
    <x v="1019"/>
    <n v="122200"/>
    <n v="0.5"/>
    <n v="61100"/>
  </r>
  <r>
    <x v="3"/>
    <x v="1020"/>
    <n v="122000"/>
    <n v="0.5"/>
    <n v="61000"/>
  </r>
  <r>
    <x v="3"/>
    <x v="1021"/>
    <n v="120762.5"/>
    <n v="0.5"/>
    <n v="60381.25"/>
  </r>
  <r>
    <x v="3"/>
    <x v="1022"/>
    <n v="116187.5"/>
    <n v="0.5"/>
    <n v="58093.75"/>
  </r>
  <r>
    <x v="3"/>
    <x v="1023"/>
    <n v="119250"/>
    <n v="0.5"/>
    <n v="59625"/>
  </r>
  <r>
    <x v="3"/>
    <x v="1024"/>
    <n v="115762.5"/>
    <n v="0.5"/>
    <n v="57881.25"/>
  </r>
  <r>
    <x v="3"/>
    <x v="1025"/>
    <n v="117587.5"/>
    <n v="0.5"/>
    <n v="58793.75"/>
  </r>
  <r>
    <x v="3"/>
    <x v="1026"/>
    <n v="116850"/>
    <n v="0.5"/>
    <n v="58425"/>
  </r>
  <r>
    <x v="3"/>
    <x v="1027"/>
    <n v="118150"/>
    <n v="0.5"/>
    <n v="59075"/>
  </r>
  <r>
    <x v="3"/>
    <x v="1028"/>
    <n v="121050"/>
    <n v="0.5"/>
    <n v="60525"/>
  </r>
  <r>
    <x v="3"/>
    <x v="1029"/>
    <n v="121487.5"/>
    <n v="0.5"/>
    <n v="60743.75"/>
  </r>
  <r>
    <x v="3"/>
    <x v="1030"/>
    <n v="121362.5"/>
    <n v="0.5"/>
    <n v="60681.25"/>
  </r>
  <r>
    <x v="3"/>
    <x v="1031"/>
    <n v="121325"/>
    <n v="0.5"/>
    <n v="60662.5"/>
  </r>
  <r>
    <x v="3"/>
    <x v="1032"/>
    <n v="121162.5"/>
    <n v="0.5"/>
    <n v="60581.25"/>
  </r>
  <r>
    <x v="3"/>
    <x v="1033"/>
    <n v="118562.5"/>
    <n v="0.5"/>
    <n v="59281.25"/>
  </r>
  <r>
    <x v="3"/>
    <x v="1034"/>
    <n v="119575"/>
    <n v="0.5"/>
    <n v="59787.5"/>
  </r>
  <r>
    <x v="3"/>
    <x v="1035"/>
    <n v="113562.5"/>
    <n v="0.5"/>
    <n v="56781.25"/>
  </r>
  <r>
    <x v="3"/>
    <x v="1036"/>
    <n v="108625"/>
    <n v="0.5"/>
    <n v="54312.5"/>
  </r>
  <r>
    <x v="3"/>
    <x v="1037"/>
    <n v="104050"/>
    <n v="0.5"/>
    <n v="52025"/>
  </r>
  <r>
    <x v="3"/>
    <x v="1038"/>
    <n v="105087.5"/>
    <n v="0.5"/>
    <n v="52543.75"/>
  </r>
  <r>
    <x v="3"/>
    <x v="1039"/>
    <n v="105587.5"/>
    <n v="0.5"/>
    <n v="52793.75"/>
  </r>
  <r>
    <x v="3"/>
    <x v="1040"/>
    <n v="103562.5"/>
    <n v="0.5"/>
    <n v="51781.25"/>
  </r>
  <r>
    <x v="3"/>
    <x v="1041"/>
    <n v="107300"/>
    <n v="0.5"/>
    <n v="53650"/>
  </r>
  <r>
    <x v="3"/>
    <x v="1042"/>
    <n v="110862.5"/>
    <n v="0.5"/>
    <n v="55431.25"/>
  </r>
  <r>
    <x v="3"/>
    <x v="1043"/>
    <n v="109712.5"/>
    <n v="0.5"/>
    <n v="54856.25"/>
  </r>
  <r>
    <x v="3"/>
    <x v="1044"/>
    <n v="109250"/>
    <n v="0.5"/>
    <n v="54625"/>
  </r>
  <r>
    <x v="3"/>
    <x v="1045"/>
    <n v="110300"/>
    <n v="0.5"/>
    <n v="55150"/>
  </r>
  <r>
    <x v="3"/>
    <x v="1046"/>
    <n v="109150"/>
    <n v="0.5"/>
    <n v="54575"/>
  </r>
  <r>
    <x v="3"/>
    <x v="1047"/>
    <n v="110587.5"/>
    <n v="0.5"/>
    <n v="55293.75"/>
  </r>
  <r>
    <x v="3"/>
    <x v="1048"/>
    <n v="110587.5"/>
    <n v="0.5"/>
    <n v="55293.75"/>
  </r>
  <r>
    <x v="3"/>
    <x v="1049"/>
    <n v="109300"/>
    <n v="0.5"/>
    <n v="54650"/>
  </r>
  <r>
    <x v="3"/>
    <x v="1050"/>
    <n v="109587.5"/>
    <n v="0.5"/>
    <n v="54793.75"/>
  </r>
  <r>
    <x v="3"/>
    <x v="1051"/>
    <n v="109787.5"/>
    <n v="0.5"/>
    <n v="54893.75"/>
  </r>
  <r>
    <x v="3"/>
    <x v="1052"/>
    <n v="111312.5"/>
    <n v="0.5"/>
    <n v="55656.25"/>
  </r>
  <r>
    <x v="3"/>
    <x v="1053"/>
    <n v="112025"/>
    <n v="0.5"/>
    <n v="56012.5"/>
  </r>
  <r>
    <x v="3"/>
    <x v="1054"/>
    <n v="112125"/>
    <n v="0.5"/>
    <n v="56062.5"/>
  </r>
  <r>
    <x v="3"/>
    <x v="1055"/>
    <n v="112337.5"/>
    <n v="0.5"/>
    <n v="56168.75"/>
  </r>
  <r>
    <x v="3"/>
    <x v="1056"/>
    <n v="113012.5"/>
    <n v="0.5"/>
    <n v="56506.25"/>
  </r>
  <r>
    <x v="3"/>
    <x v="1057"/>
    <n v="114450"/>
    <n v="0.5"/>
    <n v="57225"/>
  </r>
  <r>
    <x v="3"/>
    <x v="1058"/>
    <n v="114237.5"/>
    <n v="0.5"/>
    <n v="57118.75"/>
  </r>
  <r>
    <x v="3"/>
    <x v="1059"/>
    <n v="119087.5"/>
    <n v="0.5"/>
    <n v="59543.75"/>
  </r>
  <r>
    <x v="3"/>
    <x v="1060"/>
    <n v="117937.5"/>
    <n v="0.5"/>
    <n v="58968.75"/>
  </r>
  <r>
    <x v="3"/>
    <x v="1061"/>
    <n v="118650"/>
    <n v="0.5"/>
    <n v="59325"/>
  </r>
  <r>
    <x v="3"/>
    <x v="1062"/>
    <n v="118650"/>
    <n v="0.5"/>
    <n v="59325"/>
  </r>
  <r>
    <x v="3"/>
    <x v="1063"/>
    <n v="120300"/>
    <n v="0.5"/>
    <n v="60150"/>
  </r>
  <r>
    <x v="3"/>
    <x v="1064"/>
    <n v="123162.5"/>
    <n v="0.5"/>
    <n v="61581.25"/>
  </r>
  <r>
    <x v="3"/>
    <x v="1065"/>
    <n v="121537.5"/>
    <n v="0.5"/>
    <n v="60768.75"/>
  </r>
  <r>
    <x v="3"/>
    <x v="1066"/>
    <n v="123500"/>
    <n v="0.5"/>
    <n v="61750"/>
  </r>
  <r>
    <x v="3"/>
    <x v="1067"/>
    <n v="122987.5"/>
    <n v="0.5"/>
    <n v="61493.75"/>
  </r>
  <r>
    <x v="3"/>
    <x v="1068"/>
    <n v="122987.5"/>
    <n v="0.5"/>
    <n v="61493.75"/>
  </r>
  <r>
    <x v="3"/>
    <x v="1069"/>
    <n v="125275"/>
    <n v="0.5"/>
    <n v="62637.5"/>
  </r>
  <r>
    <x v="3"/>
    <x v="1070"/>
    <n v="126975"/>
    <n v="0.5"/>
    <n v="63487.5"/>
  </r>
  <r>
    <x v="3"/>
    <x v="1071"/>
    <n v="125912.5"/>
    <n v="0.5"/>
    <n v="62956.25"/>
  </r>
  <r>
    <x v="3"/>
    <x v="1072"/>
    <n v="131275"/>
    <n v="0.5"/>
    <n v="65637.5"/>
  </r>
  <r>
    <x v="3"/>
    <x v="1073"/>
    <n v="130812.5"/>
    <n v="0.5"/>
    <n v="65406.25"/>
  </r>
  <r>
    <x v="3"/>
    <x v="1074"/>
    <n v="130812.5"/>
    <n v="0.5"/>
    <n v="65406.25"/>
  </r>
  <r>
    <x v="3"/>
    <x v="1075"/>
    <n v="134200"/>
    <n v="0.5"/>
    <n v="67100"/>
  </r>
  <r>
    <x v="3"/>
    <x v="1076"/>
    <n v="132875"/>
    <n v="0.5"/>
    <n v="66437.5"/>
  </r>
  <r>
    <x v="3"/>
    <x v="1077"/>
    <n v="135375"/>
    <n v="0.5"/>
    <n v="67687.5"/>
  </r>
  <r>
    <x v="3"/>
    <x v="1078"/>
    <n v="132037.5"/>
    <n v="0.5"/>
    <n v="66018.75"/>
  </r>
  <r>
    <x v="3"/>
    <x v="1079"/>
    <n v="131762.5"/>
    <n v="0.5"/>
    <n v="65881.25"/>
  </r>
  <r>
    <x v="3"/>
    <x v="1080"/>
    <n v="131762.5"/>
    <n v="0.5"/>
    <n v="65881.25"/>
  </r>
  <r>
    <x v="3"/>
    <x v="1081"/>
    <n v="131062.5"/>
    <n v="0.5"/>
    <n v="65531.25"/>
  </r>
  <r>
    <x v="3"/>
    <x v="1082"/>
    <n v="133350"/>
    <n v="0.5"/>
    <n v="66675"/>
  </r>
  <r>
    <x v="3"/>
    <x v="1083"/>
    <n v="131287.5"/>
    <n v="0.5"/>
    <n v="65643.75"/>
  </r>
  <r>
    <x v="3"/>
    <x v="1084"/>
    <n v="128200"/>
    <n v="0.5"/>
    <n v="64100"/>
  </r>
  <r>
    <x v="3"/>
    <x v="1085"/>
    <n v="128200"/>
    <n v="0.5"/>
    <n v="64100"/>
  </r>
  <r>
    <x v="3"/>
    <x v="1086"/>
    <n v="129912.5"/>
    <n v="0.5"/>
    <n v="64956.25"/>
  </r>
  <r>
    <x v="3"/>
    <x v="1087"/>
    <n v="126212.5"/>
    <n v="0.5"/>
    <n v="63106.25"/>
  </r>
  <r>
    <x v="3"/>
    <x v="1088"/>
    <n v="122887.5"/>
    <n v="0.5"/>
    <n v="61443.75"/>
  </r>
  <r>
    <x v="3"/>
    <x v="1089"/>
    <n v="123475"/>
    <n v="0.5"/>
    <n v="61737.5"/>
  </r>
  <r>
    <x v="3"/>
    <x v="1090"/>
    <n v="123750"/>
    <n v="0.5"/>
    <n v="61875"/>
  </r>
  <r>
    <x v="3"/>
    <x v="1091"/>
    <n v="122700"/>
    <n v="0.5"/>
    <n v="61350"/>
  </r>
  <r>
    <x v="3"/>
    <x v="1092"/>
    <n v="124462.5"/>
    <n v="0.5"/>
    <n v="62231.25"/>
  </r>
  <r>
    <x v="3"/>
    <x v="1093"/>
    <n v="126800"/>
    <n v="0.5"/>
    <n v="63400"/>
  </r>
  <r>
    <x v="3"/>
    <x v="1094"/>
    <n v="126800"/>
    <n v="0.5"/>
    <n v="63400"/>
  </r>
  <r>
    <x v="3"/>
    <x v="1095"/>
    <n v="127187.5"/>
    <n v="0.5"/>
    <n v="63593.75"/>
  </r>
  <r>
    <x v="3"/>
    <x v="1096"/>
    <n v="127537.5"/>
    <n v="0.5"/>
    <n v="63768.75"/>
  </r>
  <r>
    <x v="3"/>
    <x v="1097"/>
    <n v="127200"/>
    <n v="0.5"/>
    <n v="63600"/>
  </r>
  <r>
    <x v="3"/>
    <x v="1098"/>
    <n v="126687.5"/>
    <n v="0.5"/>
    <n v="63343.75"/>
  </r>
  <r>
    <x v="3"/>
    <x v="1099"/>
    <n v="129837.5"/>
    <n v="0.5"/>
    <n v="64918.75"/>
  </r>
  <r>
    <x v="3"/>
    <x v="1100"/>
    <n v="131412.5"/>
    <n v="0.5"/>
    <n v="65706.25"/>
  </r>
  <r>
    <x v="3"/>
    <x v="1101"/>
    <n v="133925"/>
    <n v="0.5"/>
    <n v="66962.5"/>
  </r>
  <r>
    <x v="3"/>
    <x v="1102"/>
    <n v="134037.5"/>
    <n v="0.5"/>
    <n v="67018.75"/>
  </r>
  <r>
    <x v="3"/>
    <x v="1103"/>
    <n v="136600"/>
    <n v="0.5"/>
    <n v="68300"/>
  </r>
  <r>
    <x v="3"/>
    <x v="1104"/>
    <n v="134912.5"/>
    <n v="0.5"/>
    <n v="67456.25"/>
  </r>
  <r>
    <x v="3"/>
    <x v="1105"/>
    <n v="136575"/>
    <n v="0.5"/>
    <n v="68287.5"/>
  </r>
  <r>
    <x v="3"/>
    <x v="1106"/>
    <n v="134662.5"/>
    <n v="0.5"/>
    <n v="67331.25"/>
  </r>
  <r>
    <x v="3"/>
    <x v="1107"/>
    <n v="133550"/>
    <n v="0.5"/>
    <n v="66775"/>
  </r>
  <r>
    <x v="3"/>
    <x v="1108"/>
    <n v="133150"/>
    <n v="0.5"/>
    <n v="66575"/>
  </r>
  <r>
    <x v="3"/>
    <x v="1109"/>
    <n v="133200"/>
    <n v="0.5"/>
    <n v="66600"/>
  </r>
  <r>
    <x v="3"/>
    <x v="1110"/>
    <n v="133625"/>
    <n v="0.5"/>
    <n v="66812.5"/>
  </r>
  <r>
    <x v="3"/>
    <x v="1111"/>
    <n v="135012.5"/>
    <n v="0.5"/>
    <n v="67506.25"/>
  </r>
  <r>
    <x v="3"/>
    <x v="1112"/>
    <n v="137400"/>
    <n v="0.5"/>
    <n v="68700"/>
  </r>
  <r>
    <x v="3"/>
    <x v="1113"/>
    <n v="135687.5"/>
    <n v="0.5"/>
    <n v="67843.75"/>
  </r>
  <r>
    <x v="3"/>
    <x v="1114"/>
    <n v="135337.5"/>
    <n v="0.5"/>
    <n v="67668.75"/>
  </r>
  <r>
    <x v="3"/>
    <x v="1115"/>
    <n v="132187.5"/>
    <n v="0.5"/>
    <n v="66093.75"/>
  </r>
  <r>
    <x v="3"/>
    <x v="1116"/>
    <n v="129137.5"/>
    <n v="0.5"/>
    <n v="64568.75"/>
  </r>
  <r>
    <x v="3"/>
    <x v="1117"/>
    <n v="128062.5"/>
    <n v="0.5"/>
    <n v="64031.25"/>
  </r>
  <r>
    <x v="3"/>
    <x v="1118"/>
    <n v="130712.5"/>
    <n v="0.5"/>
    <n v="65356.25"/>
  </r>
  <r>
    <x v="3"/>
    <x v="1119"/>
    <n v="129737.5"/>
    <n v="0.5"/>
    <n v="64868.75"/>
  </r>
  <r>
    <x v="3"/>
    <x v="1120"/>
    <n v="129612.5"/>
    <n v="0.5"/>
    <n v="64806.25"/>
  </r>
  <r>
    <x v="3"/>
    <x v="1121"/>
    <n v="132437.5"/>
    <n v="0.5"/>
    <n v="66218.75"/>
  </r>
  <r>
    <x v="3"/>
    <x v="1122"/>
    <n v="130312.5"/>
    <n v="0.5"/>
    <n v="65156.25"/>
  </r>
  <r>
    <x v="3"/>
    <x v="1123"/>
    <n v="130725"/>
    <n v="0.5"/>
    <n v="65362.5"/>
  </r>
  <r>
    <x v="3"/>
    <x v="1124"/>
    <n v="129412.5"/>
    <n v="0.5"/>
    <n v="64706.25"/>
  </r>
  <r>
    <x v="3"/>
    <x v="1125"/>
    <n v="128312.5"/>
    <n v="0.5"/>
    <n v="64156.25"/>
  </r>
  <r>
    <x v="3"/>
    <x v="1126"/>
    <n v="127875"/>
    <n v="0.5"/>
    <n v="63937.5"/>
  </r>
  <r>
    <x v="3"/>
    <x v="1127"/>
    <n v="128625"/>
    <n v="0.5"/>
    <n v="64312.5"/>
  </r>
  <r>
    <x v="3"/>
    <x v="1128"/>
    <n v="131612.5"/>
    <n v="0.5"/>
    <n v="65806.25"/>
  </r>
  <r>
    <x v="3"/>
    <x v="1129"/>
    <n v="128062.5"/>
    <n v="0.5"/>
    <n v="64031.25"/>
  </r>
  <r>
    <x v="3"/>
    <x v="1130"/>
    <n v="125600"/>
    <n v="0.5"/>
    <n v="62800"/>
  </r>
  <r>
    <x v="3"/>
    <x v="1131"/>
    <n v="127850"/>
    <n v="0.5"/>
    <n v="63925"/>
  </r>
  <r>
    <x v="3"/>
    <x v="1132"/>
    <n v="127850"/>
    <n v="0.5"/>
    <n v="63925"/>
  </r>
  <r>
    <x v="3"/>
    <x v="1133"/>
    <n v="126475"/>
    <n v="0.5"/>
    <n v="63237.5"/>
  </r>
  <r>
    <x v="3"/>
    <x v="1134"/>
    <n v="126325"/>
    <n v="0.5"/>
    <n v="63162.5"/>
  </r>
  <r>
    <x v="3"/>
    <x v="1135"/>
    <n v="127487.5"/>
    <n v="0.5"/>
    <n v="63743.75"/>
  </r>
  <r>
    <x v="3"/>
    <x v="1136"/>
    <n v="128525"/>
    <n v="0.5"/>
    <n v="64262.5"/>
  </r>
  <r>
    <x v="3"/>
    <x v="1137"/>
    <n v="131787.5"/>
    <n v="0.5"/>
    <n v="65893.75"/>
  </r>
  <r>
    <x v="3"/>
    <x v="1138"/>
    <n v="132337.5"/>
    <n v="0.5"/>
    <n v="66168.75"/>
  </r>
  <r>
    <x v="3"/>
    <x v="1139"/>
    <n v="132362.5"/>
    <n v="0.5"/>
    <n v="66181.25"/>
  </r>
  <r>
    <x v="3"/>
    <x v="1140"/>
    <n v="135375"/>
    <n v="0.5"/>
    <n v="67687.5"/>
  </r>
  <r>
    <x v="3"/>
    <x v="1141"/>
    <n v="131487.5"/>
    <n v="0.5"/>
    <n v="65743.75"/>
  </r>
  <r>
    <x v="3"/>
    <x v="1142"/>
    <n v="136500"/>
    <n v="0.5"/>
    <n v="68250"/>
  </r>
  <r>
    <x v="3"/>
    <x v="1143"/>
    <n v="137950"/>
    <n v="0.5"/>
    <n v="68975"/>
  </r>
  <r>
    <x v="3"/>
    <x v="1144"/>
    <n v="137950"/>
    <n v="0.5"/>
    <n v="68975"/>
  </r>
  <r>
    <x v="3"/>
    <x v="1145"/>
    <n v="137950"/>
    <n v="0.5"/>
    <n v="68975"/>
  </r>
  <r>
    <x v="3"/>
    <x v="1146"/>
    <n v="137987.5"/>
    <n v="0.5"/>
    <n v="68993.75"/>
  </r>
  <r>
    <x v="3"/>
    <x v="1147"/>
    <n v="134575"/>
    <n v="0.5"/>
    <n v="67287.5"/>
  </r>
  <r>
    <x v="3"/>
    <x v="1148"/>
    <n v="137250"/>
    <n v="0.5"/>
    <n v="68625"/>
  </r>
  <r>
    <x v="3"/>
    <x v="1149"/>
    <n v="134637.5"/>
    <n v="0.5"/>
    <n v="67318.75"/>
  </r>
  <r>
    <x v="3"/>
    <x v="1150"/>
    <n v="135650"/>
    <n v="0.5"/>
    <n v="67825"/>
  </r>
  <r>
    <x v="3"/>
    <x v="1151"/>
    <n v="135525"/>
    <n v="0.5"/>
    <n v="67762.5"/>
  </r>
  <r>
    <x v="3"/>
    <x v="1152"/>
    <n v="137162.5"/>
    <n v="0.5"/>
    <n v="68581.25"/>
  </r>
  <r>
    <x v="3"/>
    <x v="1153"/>
    <n v="132800"/>
    <n v="0.5"/>
    <n v="66400"/>
  </r>
  <r>
    <x v="3"/>
    <x v="1154"/>
    <n v="131975"/>
    <n v="0.5"/>
    <n v="65987.5"/>
  </r>
  <r>
    <x v="3"/>
    <x v="1155"/>
    <n v="130887.5"/>
    <n v="0.5"/>
    <n v="65443.75"/>
  </r>
  <r>
    <x v="3"/>
    <x v="1156"/>
    <n v="130887.5"/>
    <n v="0.5"/>
    <n v="65443.75"/>
  </r>
  <r>
    <x v="3"/>
    <x v="1157"/>
    <n v="130887.5"/>
    <n v="0.5"/>
    <n v="65443.75"/>
  </r>
  <r>
    <x v="3"/>
    <x v="1158"/>
    <n v="129562.5"/>
    <n v="0.5"/>
    <n v="64781.25"/>
  </r>
  <r>
    <x v="3"/>
    <x v="1159"/>
    <n v="128837.5"/>
    <n v="0.5"/>
    <n v="64418.75"/>
  </r>
  <r>
    <x v="3"/>
    <x v="1160"/>
    <n v="129662.5"/>
    <n v="0.5"/>
    <n v="64831.25"/>
  </r>
  <r>
    <x v="3"/>
    <x v="1161"/>
    <n v="131275"/>
    <n v="0.5"/>
    <n v="65637.5"/>
  </r>
  <r>
    <x v="3"/>
    <x v="1162"/>
    <n v="130937.5"/>
    <n v="0.5"/>
    <n v="65468.75"/>
  </r>
  <r>
    <x v="3"/>
    <x v="1163"/>
    <n v="131512.5"/>
    <n v="0.5"/>
    <n v="65756.25"/>
  </r>
  <r>
    <x v="3"/>
    <x v="1164"/>
    <n v="132412.5"/>
    <n v="0.5"/>
    <n v="66206.25"/>
  </r>
  <r>
    <x v="3"/>
    <x v="1165"/>
    <n v="133550"/>
    <n v="0.5"/>
    <n v="66775"/>
  </r>
  <r>
    <x v="3"/>
    <x v="1166"/>
    <n v="132975"/>
    <n v="0.5"/>
    <n v="66487.5"/>
  </r>
  <r>
    <x v="3"/>
    <x v="1167"/>
    <n v="133562.5"/>
    <n v="0.5"/>
    <n v="66781.25"/>
  </r>
  <r>
    <x v="3"/>
    <x v="1168"/>
    <n v="133212.5"/>
    <n v="0.5"/>
    <n v="66606.25"/>
  </r>
  <r>
    <x v="3"/>
    <x v="1169"/>
    <n v="133212.5"/>
    <n v="0.5"/>
    <n v="66606.25"/>
  </r>
  <r>
    <x v="3"/>
    <x v="1170"/>
    <n v="131837.5"/>
    <n v="0.5"/>
    <n v="65918.75"/>
  </r>
  <r>
    <x v="3"/>
    <x v="1171"/>
    <n v="132162.5"/>
    <n v="0.5"/>
    <n v="66081.25"/>
  </r>
  <r>
    <x v="3"/>
    <x v="1172"/>
    <n v="133062.5"/>
    <n v="0.5"/>
    <n v="66531.25"/>
  </r>
  <r>
    <x v="3"/>
    <x v="1173"/>
    <n v="132062.5"/>
    <n v="0.5"/>
    <n v="66031.25"/>
  </r>
  <r>
    <x v="3"/>
    <x v="1174"/>
    <n v="132212.5"/>
    <n v="0.5"/>
    <n v="66106.25"/>
  </r>
  <r>
    <x v="3"/>
    <x v="1175"/>
    <n v="132062.5"/>
    <n v="0.5"/>
    <n v="66031.25"/>
  </r>
  <r>
    <x v="3"/>
    <x v="1176"/>
    <n v="131800"/>
    <n v="0.5"/>
    <n v="65900"/>
  </r>
  <r>
    <x v="3"/>
    <x v="1177"/>
    <n v="131350"/>
    <n v="0.5"/>
    <n v="65675"/>
  </r>
  <r>
    <x v="3"/>
    <x v="1178"/>
    <n v="131262.5"/>
    <n v="0.5"/>
    <n v="65631.25"/>
  </r>
  <r>
    <x v="3"/>
    <x v="1179"/>
    <n v="129912.5"/>
    <n v="0.5"/>
    <n v="64956.25"/>
  </r>
  <r>
    <x v="3"/>
    <x v="1180"/>
    <n v="129500"/>
    <n v="0.5"/>
    <n v="64750"/>
  </r>
  <r>
    <x v="3"/>
    <x v="1181"/>
    <n v="130375"/>
    <n v="0.5"/>
    <n v="65187.5"/>
  </r>
  <r>
    <x v="3"/>
    <x v="1182"/>
    <n v="131337.5"/>
    <n v="0.5"/>
    <n v="65668.75"/>
  </r>
  <r>
    <x v="3"/>
    <x v="1183"/>
    <n v="131675"/>
    <n v="0.5"/>
    <n v="65837.5"/>
  </r>
  <r>
    <x v="3"/>
    <x v="1184"/>
    <n v="132725"/>
    <n v="0.5"/>
    <n v="66362.5"/>
  </r>
  <r>
    <x v="3"/>
    <x v="1185"/>
    <n v="134475"/>
    <n v="0.5"/>
    <n v="67237.5"/>
  </r>
  <r>
    <x v="3"/>
    <x v="1186"/>
    <n v="134825"/>
    <n v="0.5"/>
    <n v="67412.5"/>
  </r>
  <r>
    <x v="3"/>
    <x v="1187"/>
    <n v="134462.5"/>
    <n v="0.5"/>
    <n v="67231.25"/>
  </r>
  <r>
    <x v="3"/>
    <x v="1188"/>
    <n v="134612.5"/>
    <n v="0.5"/>
    <n v="67306.25"/>
  </r>
  <r>
    <x v="3"/>
    <x v="1189"/>
    <n v="134162.5"/>
    <n v="0.5"/>
    <n v="67081.25"/>
  </r>
  <r>
    <x v="3"/>
    <x v="1190"/>
    <n v="136075"/>
    <n v="0.5"/>
    <n v="68037.5"/>
  </r>
  <r>
    <x v="3"/>
    <x v="1191"/>
    <n v="137200"/>
    <n v="0.5"/>
    <n v="68600"/>
  </r>
  <r>
    <x v="3"/>
    <x v="1192"/>
    <n v="136962.5"/>
    <n v="0.5"/>
    <n v="68481.25"/>
  </r>
  <r>
    <x v="3"/>
    <x v="1193"/>
    <n v="136437.5"/>
    <n v="0.5"/>
    <n v="68218.75"/>
  </r>
  <r>
    <x v="3"/>
    <x v="1194"/>
    <n v="137287.5"/>
    <n v="0.5"/>
    <n v="68643.75"/>
  </r>
  <r>
    <x v="3"/>
    <x v="1195"/>
    <n v="135225"/>
    <n v="0.5"/>
    <n v="67612.5"/>
  </r>
  <r>
    <x v="3"/>
    <x v="1196"/>
    <n v="136087.5"/>
    <n v="0.5"/>
    <n v="68043.75"/>
  </r>
  <r>
    <x v="3"/>
    <x v="1197"/>
    <n v="136975"/>
    <n v="0.5"/>
    <n v="68487.5"/>
  </r>
  <r>
    <x v="3"/>
    <x v="1198"/>
    <n v="136437.5"/>
    <n v="0.5"/>
    <n v="68218.75"/>
  </r>
  <r>
    <x v="3"/>
    <x v="1199"/>
    <n v="136375"/>
    <n v="0.5"/>
    <n v="68187.5"/>
  </r>
  <r>
    <x v="3"/>
    <x v="1200"/>
    <n v="136475"/>
    <n v="0.5"/>
    <n v="68237.5"/>
  </r>
  <r>
    <x v="3"/>
    <x v="1201"/>
    <n v="137050"/>
    <n v="0.5"/>
    <n v="68525"/>
  </r>
  <r>
    <x v="3"/>
    <x v="1202"/>
    <n v="139300"/>
    <n v="0.5"/>
    <n v="69650"/>
  </r>
  <r>
    <x v="3"/>
    <x v="1203"/>
    <n v="139775"/>
    <n v="0.5"/>
    <n v="69887.5"/>
  </r>
  <r>
    <x v="3"/>
    <x v="1204"/>
    <n v="139375"/>
    <n v="0.5"/>
    <n v="69687.5"/>
  </r>
  <r>
    <x v="3"/>
    <x v="1205"/>
    <n v="139162.5"/>
    <n v="0.5"/>
    <n v="69581.25"/>
  </r>
  <r>
    <x v="3"/>
    <x v="1206"/>
    <n v="140187.5"/>
    <n v="0.5"/>
    <n v="70093.75"/>
  </r>
  <r>
    <x v="3"/>
    <x v="1207"/>
    <n v="141325"/>
    <n v="0.5"/>
    <n v="70662.5"/>
  </r>
  <r>
    <x v="3"/>
    <x v="1208"/>
    <n v="139275"/>
    <n v="0.5"/>
    <n v="69637.5"/>
  </r>
  <r>
    <x v="3"/>
    <x v="1209"/>
    <n v="142325"/>
    <n v="0.5"/>
    <n v="71162.5"/>
  </r>
  <r>
    <x v="3"/>
    <x v="1210"/>
    <n v="142325"/>
    <n v="0.5"/>
    <n v="71162.5"/>
  </r>
  <r>
    <x v="3"/>
    <x v="1211"/>
    <n v="142325"/>
    <n v="0.5"/>
    <n v="71162.5"/>
  </r>
  <r>
    <x v="3"/>
    <x v="1212"/>
    <n v="143125"/>
    <n v="0.5"/>
    <n v="71562.5"/>
  </r>
  <r>
    <x v="3"/>
    <x v="1213"/>
    <n v="143712.5"/>
    <n v="0.5"/>
    <n v="71856.25"/>
  </r>
  <r>
    <x v="3"/>
    <x v="1214"/>
    <n v="144800"/>
    <n v="0.5"/>
    <n v="72400"/>
  </r>
  <r>
    <x v="3"/>
    <x v="1215"/>
    <n v="147612.5"/>
    <n v="0.5"/>
    <n v="73806.25"/>
  </r>
  <r>
    <x v="3"/>
    <x v="1216"/>
    <n v="147187.5"/>
    <n v="0.5"/>
    <n v="73593.75"/>
  </r>
  <r>
    <x v="3"/>
    <x v="1217"/>
    <n v="147712.5"/>
    <n v="0.5"/>
    <n v="73856.25"/>
  </r>
  <r>
    <x v="3"/>
    <x v="1218"/>
    <n v="147975"/>
    <n v="0.5"/>
    <n v="73987.5"/>
  </r>
  <r>
    <x v="3"/>
    <x v="1219"/>
    <n v="148212.5"/>
    <n v="0.5"/>
    <n v="74106.25"/>
  </r>
  <r>
    <x v="3"/>
    <x v="1220"/>
    <n v="148200"/>
    <n v="0.5"/>
    <n v="74100"/>
  </r>
  <r>
    <x v="3"/>
    <x v="1221"/>
    <n v="148562.5"/>
    <n v="0.5"/>
    <n v="74281.25"/>
  </r>
  <r>
    <x v="3"/>
    <x v="1222"/>
    <n v="148562.5"/>
    <n v="0.5"/>
    <n v="74281.25"/>
  </r>
  <r>
    <x v="3"/>
    <x v="1223"/>
    <n v="149262.5"/>
    <n v="0.5"/>
    <n v="74631.25"/>
  </r>
  <r>
    <x v="3"/>
    <x v="1224"/>
    <n v="149925"/>
    <n v="0.5"/>
    <n v="74962.5"/>
  </r>
  <r>
    <x v="3"/>
    <x v="1225"/>
    <n v="148975"/>
    <n v="0.5"/>
    <n v="74487.5"/>
  </r>
  <r>
    <x v="3"/>
    <x v="1226"/>
    <n v="149750"/>
    <n v="0.5"/>
    <n v="74875"/>
  </r>
  <r>
    <x v="3"/>
    <x v="1227"/>
    <n v="150200"/>
    <n v="0.5"/>
    <n v="75100"/>
  </r>
  <r>
    <x v="3"/>
    <x v="1228"/>
    <n v="150200"/>
    <n v="0.5"/>
    <n v="75100"/>
  </r>
  <r>
    <x v="3"/>
    <x v="1229"/>
    <n v="150300"/>
    <n v="0.5"/>
    <n v="75150"/>
  </r>
  <r>
    <x v="3"/>
    <x v="1230"/>
    <n v="150712.5"/>
    <n v="0.5"/>
    <n v="75356.25"/>
  </r>
  <r>
    <x v="3"/>
    <x v="1231"/>
    <n v="150937.5"/>
    <n v="0.5"/>
    <n v="75468.75"/>
  </r>
  <r>
    <x v="3"/>
    <x v="1232"/>
    <n v="150362.5"/>
    <n v="0.5"/>
    <n v="75181.25"/>
  </r>
  <r>
    <x v="3"/>
    <x v="1233"/>
    <n v="149987.5"/>
    <n v="0.5"/>
    <n v="74993.75"/>
  </r>
  <r>
    <x v="3"/>
    <x v="1234"/>
    <n v="149987.5"/>
    <n v="0.5"/>
    <n v="74993.75"/>
  </r>
  <r>
    <x v="3"/>
    <x v="1235"/>
    <n v="148437.5"/>
    <n v="0.5"/>
    <n v="74218.75"/>
  </r>
  <r>
    <x v="3"/>
    <x v="1236"/>
    <n v="149037.5"/>
    <n v="0.5"/>
    <n v="74518.75"/>
  </r>
  <r>
    <x v="3"/>
    <x v="1237"/>
    <n v="149550"/>
    <n v="0.5"/>
    <n v="74775"/>
  </r>
  <r>
    <x v="3"/>
    <x v="1238"/>
    <n v="149812.5"/>
    <n v="0.5"/>
    <n v="74906.25"/>
  </r>
  <r>
    <x v="3"/>
    <x v="1239"/>
    <n v="150087.5"/>
    <n v="0.5"/>
    <n v="75043.75"/>
  </r>
  <r>
    <x v="3"/>
    <x v="1240"/>
    <n v="150212.5"/>
    <n v="0.5"/>
    <n v="75106.25"/>
  </r>
  <r>
    <x v="3"/>
    <x v="1241"/>
    <n v="150150"/>
    <n v="0.5"/>
    <n v="75075"/>
  </r>
  <r>
    <x v="3"/>
    <x v="1242"/>
    <n v="150150"/>
    <n v="0.5"/>
    <n v="75075"/>
  </r>
  <r>
    <x v="3"/>
    <x v="1243"/>
    <n v="150150"/>
    <n v="0.5"/>
    <n v="75075"/>
  </r>
  <r>
    <x v="3"/>
    <x v="1244"/>
    <n v="149462.5"/>
    <n v="0.5"/>
    <n v="74731.25"/>
  </r>
  <r>
    <x v="3"/>
    <x v="1245"/>
    <n v="148237.5"/>
    <n v="0.5"/>
    <n v="74118.75"/>
  </r>
  <r>
    <x v="3"/>
    <x v="1246"/>
    <n v="147612.5"/>
    <n v="0.5"/>
    <n v="73806.25"/>
  </r>
  <r>
    <x v="3"/>
    <x v="1247"/>
    <n v="148437.5"/>
    <n v="0.5"/>
    <n v="74218.75"/>
  </r>
  <r>
    <x v="3"/>
    <x v="1248"/>
    <n v="149737.5"/>
    <n v="0.5"/>
    <n v="74868.75"/>
  </r>
  <r>
    <x v="3"/>
    <x v="1249"/>
    <n v="149625"/>
    <n v="0.5"/>
    <n v="74812.5"/>
  </r>
  <r>
    <x v="3"/>
    <x v="1250"/>
    <n v="150775"/>
    <n v="0.5"/>
    <n v="75387.5"/>
  </r>
  <r>
    <x v="3"/>
    <x v="1251"/>
    <n v="151000"/>
    <n v="0.5"/>
    <n v="75500"/>
  </r>
  <r>
    <x v="3"/>
    <x v="1252"/>
    <n v="151000"/>
    <n v="0.5"/>
    <n v="75500"/>
  </r>
  <r>
    <x v="3"/>
    <x v="1253"/>
    <n v="151350"/>
    <n v="0.5"/>
    <n v="75675"/>
  </r>
  <r>
    <x v="3"/>
    <x v="1254"/>
    <n v="153112.5"/>
    <n v="0.5"/>
    <n v="76556.25"/>
  </r>
  <r>
    <x v="3"/>
    <x v="1255"/>
    <n v="153587.5"/>
    <n v="0.5"/>
    <n v="76793.75"/>
  </r>
  <r>
    <x v="3"/>
    <x v="1256"/>
    <n v="154037.5"/>
    <n v="0.5"/>
    <n v="77018.75"/>
  </r>
  <r>
    <x v="3"/>
    <x v="1257"/>
    <n v="153587.5"/>
    <n v="0.5"/>
    <n v="76793.75"/>
  </r>
  <r>
    <x v="3"/>
    <x v="1258"/>
    <n v="153587.5"/>
    <n v="0.5"/>
    <n v="76793.75"/>
  </r>
  <r>
    <x v="3"/>
    <x v="1259"/>
    <n v="153400"/>
    <n v="0.5"/>
    <n v="76700"/>
  </r>
  <r>
    <x v="3"/>
    <x v="1260"/>
    <n v="154000"/>
    <n v="0.5"/>
    <n v="77000"/>
  </r>
  <r>
    <x v="3"/>
    <x v="1261"/>
    <n v="152950"/>
    <n v="0.5"/>
    <n v="76475"/>
  </r>
  <r>
    <x v="3"/>
    <x v="1262"/>
    <n v="154212.5"/>
    <n v="0.5"/>
    <n v="77106.25"/>
  </r>
  <r>
    <x v="3"/>
    <x v="1263"/>
    <n v="153150"/>
    <n v="0.5"/>
    <n v="76575"/>
  </r>
  <r>
    <x v="3"/>
    <x v="1264"/>
    <n v="152287.5"/>
    <n v="0.5"/>
    <n v="76143.75"/>
  </r>
  <r>
    <x v="3"/>
    <x v="1265"/>
    <n v="152725"/>
    <n v="0.5"/>
    <n v="76362.5"/>
  </r>
  <r>
    <x v="3"/>
    <x v="1266"/>
    <n v="153387.5"/>
    <n v="0.5"/>
    <n v="76693.75"/>
  </r>
  <r>
    <x v="3"/>
    <x v="1267"/>
    <n v="155475"/>
    <n v="0.5"/>
    <n v="77737.5"/>
  </r>
  <r>
    <x v="3"/>
    <x v="1268"/>
    <n v="155950"/>
    <n v="0.5"/>
    <n v="77975"/>
  </r>
  <r>
    <x v="3"/>
    <x v="1269"/>
    <n v="154500"/>
    <n v="0.5"/>
    <n v="77250"/>
  </r>
  <r>
    <x v="3"/>
    <x v="1270"/>
    <n v="154150"/>
    <n v="0.5"/>
    <n v="77075"/>
  </r>
  <r>
    <x v="3"/>
    <x v="1271"/>
    <n v="153525"/>
    <n v="0.5"/>
    <n v="76762.5"/>
  </r>
  <r>
    <x v="3"/>
    <x v="1272"/>
    <n v="149962.5"/>
    <n v="0.5"/>
    <n v="74981.25"/>
  </r>
  <r>
    <x v="3"/>
    <x v="1273"/>
    <n v="151037.5"/>
    <n v="0.5"/>
    <n v="75518.75"/>
  </r>
  <r>
    <x v="3"/>
    <x v="1274"/>
    <n v="147300"/>
    <n v="0.5"/>
    <n v="73650"/>
  </r>
  <r>
    <x v="3"/>
    <x v="1275"/>
    <n v="147737.5"/>
    <n v="0.5"/>
    <n v="73868.75"/>
  </r>
  <r>
    <x v="3"/>
    <x v="1276"/>
    <n v="147737.5"/>
    <n v="0.5"/>
    <n v="73868.75"/>
  </r>
  <r>
    <x v="3"/>
    <x v="1277"/>
    <n v="148387.5"/>
    <n v="0.5"/>
    <n v="74193.75"/>
  </r>
  <r>
    <x v="3"/>
    <x v="1278"/>
    <n v="146987.5"/>
    <n v="0.5"/>
    <n v="73493.75"/>
  </r>
  <r>
    <x v="3"/>
    <x v="1279"/>
    <n v="148375"/>
    <n v="0.5"/>
    <n v="74187.5"/>
  </r>
  <r>
    <x v="3"/>
    <x v="1280"/>
    <n v="150237.5"/>
    <n v="0.5"/>
    <n v="75118.75"/>
  </r>
  <r>
    <x v="3"/>
    <x v="1281"/>
    <n v="150225"/>
    <n v="0.5"/>
    <n v="75112.5"/>
  </r>
  <r>
    <x v="3"/>
    <x v="1282"/>
    <n v="150225"/>
    <n v="0.5"/>
    <n v="75112.5"/>
  </r>
  <r>
    <x v="3"/>
    <x v="1283"/>
    <n v="147062.5"/>
    <n v="0.5"/>
    <n v="73531.25"/>
  </r>
  <r>
    <x v="3"/>
    <x v="1284"/>
    <n v="146662.5"/>
    <n v="0.5"/>
    <n v="73331.25"/>
  </r>
  <r>
    <x v="3"/>
    <x v="1285"/>
    <n v="148687.5"/>
    <n v="0.5"/>
    <n v="74343.75"/>
  </r>
  <r>
    <x v="3"/>
    <x v="1286"/>
    <n v="150450"/>
    <n v="0.5"/>
    <n v="75225"/>
  </r>
  <r>
    <x v="3"/>
    <x v="1287"/>
    <n v="146700"/>
    <n v="0.5"/>
    <n v="73350"/>
  </r>
  <r>
    <x v="3"/>
    <x v="1288"/>
    <n v="146537.5"/>
    <n v="0.5"/>
    <n v="73268.75"/>
  </r>
  <r>
    <x v="3"/>
    <x v="1289"/>
    <n v="147737.5"/>
    <n v="0.5"/>
    <n v="73868.75"/>
  </r>
  <r>
    <x v="3"/>
    <x v="1290"/>
    <n v="150487.5"/>
    <n v="0.5"/>
    <n v="75243.75"/>
  </r>
  <r>
    <x v="3"/>
    <x v="1291"/>
    <n v="151150"/>
    <n v="0.5"/>
    <n v="75575"/>
  </r>
  <r>
    <x v="3"/>
    <x v="1292"/>
    <n v="150975"/>
    <n v="0.5"/>
    <n v="75487.5"/>
  </r>
  <r>
    <x v="3"/>
    <x v="1293"/>
    <n v="150987.5"/>
    <n v="0.5"/>
    <n v="75493.75"/>
  </r>
  <r>
    <x v="3"/>
    <x v="1294"/>
    <n v="150775"/>
    <n v="0.5"/>
    <n v="75387.5"/>
  </r>
  <r>
    <x v="3"/>
    <x v="1295"/>
    <n v="151212.5"/>
    <n v="0.5"/>
    <n v="75606.25"/>
  </r>
  <r>
    <x v="3"/>
    <x v="1296"/>
    <n v="150112.5"/>
    <n v="0.5"/>
    <n v="75056.25"/>
  </r>
  <r>
    <x v="3"/>
    <x v="1297"/>
    <n v="150312.5"/>
    <n v="0.5"/>
    <n v="75156.25"/>
  </r>
  <r>
    <x v="3"/>
    <x v="1298"/>
    <n v="151162.5"/>
    <n v="0.5"/>
    <n v="75581.25"/>
  </r>
  <r>
    <x v="3"/>
    <x v="1299"/>
    <n v="150937.5"/>
    <n v="0.5"/>
    <n v="75468.75"/>
  </r>
  <r>
    <x v="3"/>
    <x v="1300"/>
    <n v="151187.5"/>
    <n v="0.5"/>
    <n v="75593.75"/>
  </r>
  <r>
    <x v="3"/>
    <x v="1301"/>
    <n v="151437.5"/>
    <n v="0.5"/>
    <n v="75718.75"/>
  </r>
  <r>
    <x v="3"/>
    <x v="1302"/>
    <n v="150062.5"/>
    <n v="0.5"/>
    <n v="75031.25"/>
  </r>
  <r>
    <x v="3"/>
    <x v="1303"/>
    <n v="149537.5"/>
    <n v="0.5"/>
    <n v="74768.75"/>
  </r>
  <r>
    <x v="3"/>
    <x v="1304"/>
    <n v="151287.5"/>
    <n v="0.5"/>
    <n v="75643.75"/>
  </r>
  <r>
    <x v="3"/>
    <x v="1305"/>
    <n v="150362.5"/>
    <n v="0.5"/>
    <n v="75181.25"/>
  </r>
  <r>
    <x v="3"/>
    <x v="1306"/>
    <n v="150275"/>
    <n v="0.5"/>
    <n v="75137.5"/>
  </r>
  <r>
    <x v="3"/>
    <x v="1307"/>
    <n v="149762.5"/>
    <n v="0.5"/>
    <n v="74881.25"/>
  </r>
  <r>
    <x v="3"/>
    <x v="1308"/>
    <n v="149037.5"/>
    <n v="0.5"/>
    <n v="74518.75"/>
  </r>
  <r>
    <x v="3"/>
    <x v="1309"/>
    <n v="150787.5"/>
    <n v="0.5"/>
    <n v="75393.75"/>
  </r>
  <r>
    <x v="3"/>
    <x v="1310"/>
    <n v="153850"/>
    <n v="0.5"/>
    <n v="76925"/>
  </r>
  <r>
    <x v="3"/>
    <x v="1311"/>
    <n v="153237.5"/>
    <n v="0.5"/>
    <n v="76618.75"/>
  </r>
  <r>
    <x v="3"/>
    <x v="1312"/>
    <n v="152962.5"/>
    <n v="0.5"/>
    <n v="76481.25"/>
  </r>
  <r>
    <x v="3"/>
    <x v="1313"/>
    <n v="153325"/>
    <n v="0.5"/>
    <n v="76662.5"/>
  </r>
  <r>
    <x v="3"/>
    <x v="1314"/>
    <n v="154050"/>
    <n v="0.5"/>
    <n v="77025"/>
  </r>
  <r>
    <x v="3"/>
    <x v="1315"/>
    <n v="154600"/>
    <n v="0.5"/>
    <n v="77300"/>
  </r>
  <r>
    <x v="3"/>
    <x v="1316"/>
    <n v="154412.5"/>
    <n v="0.5"/>
    <n v="77206.25"/>
  </r>
  <r>
    <x v="3"/>
    <x v="1317"/>
    <n v="154287.5"/>
    <n v="0.5"/>
    <n v="77143.75"/>
  </r>
  <r>
    <x v="3"/>
    <x v="1318"/>
    <n v="154025"/>
    <n v="0.5"/>
    <n v="77012.5"/>
  </r>
  <r>
    <x v="3"/>
    <x v="1319"/>
    <n v="155525"/>
    <n v="0.5"/>
    <n v="77762.5"/>
  </r>
  <r>
    <x v="3"/>
    <x v="1320"/>
    <n v="158012.5"/>
    <n v="0.5"/>
    <n v="79006.25"/>
  </r>
  <r>
    <x v="3"/>
    <x v="1321"/>
    <n v="158825"/>
    <n v="0.5"/>
    <n v="79412.5"/>
  </r>
  <r>
    <x v="3"/>
    <x v="1322"/>
    <n v="157262.5"/>
    <n v="0.5"/>
    <n v="78631.25"/>
  </r>
  <r>
    <x v="3"/>
    <x v="1323"/>
    <n v="156425"/>
    <n v="0.5"/>
    <n v="78212.5"/>
  </r>
  <r>
    <x v="3"/>
    <x v="1324"/>
    <n v="156487.5"/>
    <n v="0.5"/>
    <n v="78243.75"/>
  </r>
  <r>
    <x v="3"/>
    <x v="1325"/>
    <n v="159587.5"/>
    <n v="0.5"/>
    <n v="79793.75"/>
  </r>
  <r>
    <x v="3"/>
    <x v="1326"/>
    <n v="160637.5"/>
    <n v="0.5"/>
    <n v="80318.75"/>
  </r>
  <r>
    <x v="3"/>
    <x v="1327"/>
    <n v="158887.5"/>
    <n v="0.5"/>
    <n v="79443.75"/>
  </r>
  <r>
    <x v="3"/>
    <x v="1328"/>
    <n v="160100"/>
    <n v="0.5"/>
    <n v="80050"/>
  </r>
  <r>
    <x v="3"/>
    <x v="1329"/>
    <n v="161375"/>
    <n v="0.5"/>
    <n v="80687.5"/>
  </r>
  <r>
    <x v="3"/>
    <x v="1330"/>
    <n v="161375"/>
    <n v="0.5"/>
    <n v="80687.5"/>
  </r>
  <r>
    <x v="3"/>
    <x v="1331"/>
    <n v="161587.5"/>
    <n v="0.5"/>
    <n v="80793.75"/>
  </r>
  <r>
    <x v="3"/>
    <x v="1332"/>
    <n v="161637.5"/>
    <n v="0.5"/>
    <n v="80818.75"/>
  </r>
  <r>
    <x v="3"/>
    <x v="1333"/>
    <n v="162662.5"/>
    <n v="0.5"/>
    <n v="81331.25"/>
  </r>
  <r>
    <x v="3"/>
    <x v="1334"/>
    <n v="160525"/>
    <n v="0.5"/>
    <n v="80262.5"/>
  </r>
  <r>
    <x v="3"/>
    <x v="1335"/>
    <n v="162975"/>
    <n v="0.5"/>
    <n v="81487.5"/>
  </r>
  <r>
    <x v="3"/>
    <x v="1336"/>
    <n v="162975"/>
    <n v="0.5"/>
    <n v="81487.5"/>
  </r>
  <r>
    <x v="3"/>
    <x v="1337"/>
    <n v="162687.5"/>
    <n v="0.5"/>
    <n v="81343.75"/>
  </r>
  <r>
    <x v="3"/>
    <x v="1338"/>
    <n v="161200"/>
    <n v="0.5"/>
    <n v="80600"/>
  </r>
  <r>
    <x v="3"/>
    <x v="1339"/>
    <n v="165262.5"/>
    <n v="0.5"/>
    <n v="82631.25"/>
  </r>
  <r>
    <x v="3"/>
    <x v="1340"/>
    <n v="166487.5"/>
    <n v="0.5"/>
    <n v="83243.75"/>
  </r>
  <r>
    <x v="3"/>
    <x v="1341"/>
    <n v="166775"/>
    <n v="0.5"/>
    <n v="83387.5"/>
  </r>
  <r>
    <x v="3"/>
    <x v="1342"/>
    <n v="166762.5"/>
    <n v="0.5"/>
    <n v="83381.25"/>
  </r>
  <r>
    <x v="3"/>
    <x v="1343"/>
    <n v="165187.5"/>
    <n v="0.5"/>
    <n v="82593.75"/>
  </r>
  <r>
    <x v="3"/>
    <x v="1344"/>
    <n v="167175"/>
    <n v="0.5"/>
    <n v="83587.5"/>
  </r>
  <r>
    <x v="3"/>
    <x v="1345"/>
    <n v="169062.5"/>
    <n v="0.5"/>
    <n v="84531.25"/>
  </r>
  <r>
    <x v="3"/>
    <x v="1346"/>
    <n v="172387.5"/>
    <n v="0.5"/>
    <n v="86193.75"/>
  </r>
  <r>
    <x v="3"/>
    <x v="1347"/>
    <n v="174612.5"/>
    <n v="0.5"/>
    <n v="87306.25"/>
  </r>
  <r>
    <x v="3"/>
    <x v="1348"/>
    <n v="174650"/>
    <n v="0.5"/>
    <n v="87325"/>
  </r>
  <r>
    <x v="3"/>
    <x v="1349"/>
    <n v="174662.5"/>
    <n v="0.5"/>
    <n v="87331.25"/>
  </r>
  <r>
    <x v="3"/>
    <x v="1350"/>
    <n v="174425"/>
    <n v="0.5"/>
    <n v="87212.5"/>
  </r>
  <r>
    <x v="3"/>
    <x v="1351"/>
    <n v="173900"/>
    <n v="0.5"/>
    <n v="86950"/>
  </r>
  <r>
    <x v="3"/>
    <x v="1352"/>
    <n v="174975"/>
    <n v="0.5"/>
    <n v="87487.5"/>
  </r>
  <r>
    <x v="3"/>
    <x v="1353"/>
    <n v="175700"/>
    <n v="0.5"/>
    <n v="87850"/>
  </r>
  <r>
    <x v="3"/>
    <x v="1354"/>
    <n v="175187.5"/>
    <n v="0.5"/>
    <n v="87593.75"/>
  </r>
  <r>
    <x v="3"/>
    <x v="1355"/>
    <n v="175962.5"/>
    <n v="0.5"/>
    <n v="87981.25"/>
  </r>
  <r>
    <x v="3"/>
    <x v="1356"/>
    <n v="180525"/>
    <n v="0.5"/>
    <n v="90262.5"/>
  </r>
  <r>
    <x v="3"/>
    <x v="1357"/>
    <n v="180612.5"/>
    <n v="0.5"/>
    <n v="90306.25"/>
  </r>
  <r>
    <x v="3"/>
    <x v="1358"/>
    <n v="178262.5"/>
    <n v="0.5"/>
    <n v="89131.25"/>
  </r>
  <r>
    <x v="3"/>
    <x v="1359"/>
    <n v="178362.5"/>
    <n v="0.5"/>
    <n v="89181.25"/>
  </r>
  <r>
    <x v="3"/>
    <x v="1360"/>
    <n v="178362.5"/>
    <n v="0.5"/>
    <n v="89181.25"/>
  </r>
  <r>
    <x v="3"/>
    <x v="1361"/>
    <n v="179450"/>
    <n v="0.5"/>
    <n v="89725"/>
  </r>
  <r>
    <x v="3"/>
    <x v="1362"/>
    <n v="178400"/>
    <n v="0.5"/>
    <n v="89200"/>
  </r>
  <r>
    <x v="3"/>
    <x v="1363"/>
    <n v="177250"/>
    <n v="0.5"/>
    <n v="88625"/>
  </r>
  <r>
    <x v="3"/>
    <x v="1364"/>
    <n v="177125"/>
    <n v="0.5"/>
    <n v="88562.5"/>
  </r>
  <r>
    <x v="3"/>
    <x v="1365"/>
    <n v="176825"/>
    <n v="0.5"/>
    <n v="88412.5"/>
  </r>
  <r>
    <x v="3"/>
    <x v="1366"/>
    <n v="177325"/>
    <n v="0.5"/>
    <n v="88662.5"/>
  </r>
  <r>
    <x v="3"/>
    <x v="1367"/>
    <n v="176312.5"/>
    <n v="0.5"/>
    <n v="88156.25"/>
  </r>
  <r>
    <x v="3"/>
    <x v="1368"/>
    <n v="176675"/>
    <n v="0.5"/>
    <n v="88337.5"/>
  </r>
  <r>
    <x v="3"/>
    <x v="1369"/>
    <n v="176487.5"/>
    <n v="0.5"/>
    <n v="88243.75"/>
  </r>
  <r>
    <x v="3"/>
    <x v="1370"/>
    <n v="176137.5"/>
    <n v="0.5"/>
    <n v="88068.75"/>
  </r>
  <r>
    <x v="3"/>
    <x v="1371"/>
    <n v="176287.5"/>
    <n v="0.5"/>
    <n v="88143.75"/>
  </r>
  <r>
    <x v="3"/>
    <x v="1372"/>
    <n v="176037.5"/>
    <n v="0.5"/>
    <n v="88018.75"/>
  </r>
  <r>
    <x v="3"/>
    <x v="1373"/>
    <n v="174337.5"/>
    <n v="0.5"/>
    <n v="87168.75"/>
  </r>
  <r>
    <x v="3"/>
    <x v="1374"/>
    <n v="175175"/>
    <n v="0.5"/>
    <n v="87587.5"/>
  </r>
  <r>
    <x v="3"/>
    <x v="1375"/>
    <n v="176150"/>
    <n v="0.5"/>
    <n v="88075"/>
  </r>
  <r>
    <x v="3"/>
    <x v="1376"/>
    <n v="175237.5"/>
    <n v="0.5"/>
    <n v="87618.75"/>
  </r>
  <r>
    <x v="3"/>
    <x v="1377"/>
    <n v="176112.5"/>
    <n v="0.5"/>
    <n v="88056.25"/>
  </r>
  <r>
    <x v="3"/>
    <x v="1378"/>
    <n v="175875"/>
    <n v="0.5"/>
    <n v="87937.5"/>
  </r>
  <r>
    <x v="3"/>
    <x v="1379"/>
    <n v="176975"/>
    <n v="0.5"/>
    <n v="88487.5"/>
  </r>
  <r>
    <x v="3"/>
    <x v="1380"/>
    <n v="177825"/>
    <n v="0.5"/>
    <n v="88912.5"/>
  </r>
  <r>
    <x v="3"/>
    <x v="1381"/>
    <n v="180750"/>
    <n v="0.5"/>
    <n v="90375"/>
  </r>
  <r>
    <x v="3"/>
    <x v="1382"/>
    <n v="179575"/>
    <n v="0.5"/>
    <n v="89787.5"/>
  </r>
  <r>
    <x v="3"/>
    <x v="1383"/>
    <n v="180375"/>
    <n v="0.5"/>
    <n v="90187.5"/>
  </r>
  <r>
    <x v="3"/>
    <x v="1384"/>
    <n v="180375"/>
    <n v="0.5"/>
    <n v="90187.5"/>
  </r>
  <r>
    <x v="3"/>
    <x v="1385"/>
    <n v="180762.5"/>
    <n v="0.5"/>
    <n v="90381.25"/>
  </r>
  <r>
    <x v="3"/>
    <x v="1386"/>
    <n v="182162.5"/>
    <n v="0.5"/>
    <n v="91081.25"/>
  </r>
  <r>
    <x v="3"/>
    <x v="1387"/>
    <n v="184137.5"/>
    <n v="0.5"/>
    <n v="92068.75"/>
  </r>
  <r>
    <x v="3"/>
    <x v="1388"/>
    <n v="182762.5"/>
    <n v="0.5"/>
    <n v="91381.25"/>
  </r>
  <r>
    <x v="3"/>
    <x v="1389"/>
    <n v="181537.5"/>
    <n v="0.5"/>
    <n v="90768.75"/>
  </r>
  <r>
    <x v="3"/>
    <x v="1390"/>
    <n v="181462.5"/>
    <n v="0.5"/>
    <n v="90731.25"/>
  </r>
  <r>
    <x v="3"/>
    <x v="1391"/>
    <n v="181775"/>
    <n v="0.5"/>
    <n v="90887.5"/>
  </r>
  <r>
    <x v="3"/>
    <x v="1392"/>
    <n v="179537.5"/>
    <n v="0.5"/>
    <n v="89768.75"/>
  </r>
  <r>
    <x v="3"/>
    <x v="1393"/>
    <n v="179875"/>
    <n v="0.5"/>
    <n v="89937.5"/>
  </r>
  <r>
    <x v="3"/>
    <x v="1394"/>
    <n v="180175"/>
    <n v="0.5"/>
    <n v="90087.5"/>
  </r>
  <r>
    <x v="3"/>
    <x v="1395"/>
    <n v="180112.5"/>
    <n v="0.5"/>
    <n v="90056.25"/>
  </r>
  <r>
    <x v="3"/>
    <x v="1396"/>
    <n v="181100"/>
    <n v="0.5"/>
    <n v="90550"/>
  </r>
  <r>
    <x v="3"/>
    <x v="1397"/>
    <n v="182950"/>
    <n v="0.5"/>
    <n v="91475"/>
  </r>
  <r>
    <x v="3"/>
    <x v="1398"/>
    <n v="181600"/>
    <n v="0.5"/>
    <n v="90800"/>
  </r>
  <r>
    <x v="3"/>
    <x v="1399"/>
    <n v="182050"/>
    <n v="0.5"/>
    <n v="91025"/>
  </r>
  <r>
    <x v="3"/>
    <x v="1400"/>
    <n v="181625"/>
    <n v="0.5"/>
    <n v="90812.5"/>
  </r>
  <r>
    <x v="3"/>
    <x v="1401"/>
    <n v="184837.5"/>
    <n v="0.5"/>
    <n v="92418.75"/>
  </r>
  <r>
    <x v="3"/>
    <x v="1402"/>
    <n v="184750"/>
    <n v="0.5"/>
    <n v="92375"/>
  </r>
  <r>
    <x v="3"/>
    <x v="1403"/>
    <n v="185787.5"/>
    <n v="0.5"/>
    <n v="92893.75"/>
  </r>
  <r>
    <x v="3"/>
    <x v="1404"/>
    <n v="184287.5"/>
    <n v="0.5"/>
    <n v="92143.75"/>
  </r>
  <r>
    <x v="3"/>
    <x v="1405"/>
    <n v="184287.5"/>
    <n v="0.5"/>
    <n v="92143.75"/>
  </r>
  <r>
    <x v="3"/>
    <x v="1406"/>
    <n v="184287.5"/>
    <n v="0.5"/>
    <n v="92143.75"/>
  </r>
  <r>
    <x v="3"/>
    <x v="1407"/>
    <n v="184762.5"/>
    <n v="0.5"/>
    <n v="92381.25"/>
  </r>
  <r>
    <x v="3"/>
    <x v="1408"/>
    <n v="183212.5"/>
    <n v="0.5"/>
    <n v="91606.25"/>
  </r>
  <r>
    <x v="3"/>
    <x v="1409"/>
    <n v="183875"/>
    <n v="0.5"/>
    <n v="91937.5"/>
  </r>
  <r>
    <x v="3"/>
    <x v="1410"/>
    <n v="184600"/>
    <n v="0.5"/>
    <n v="92300"/>
  </r>
  <r>
    <x v="3"/>
    <x v="1411"/>
    <n v="187525"/>
    <n v="0.5"/>
    <n v="93762.5"/>
  </r>
  <r>
    <x v="3"/>
    <x v="1412"/>
    <n v="187525"/>
    <n v="0.5"/>
    <n v="93762.5"/>
  </r>
  <r>
    <x v="3"/>
    <x v="1413"/>
    <n v="186300"/>
    <n v="0.5"/>
    <n v="93150"/>
  </r>
  <r>
    <x v="3"/>
    <x v="1414"/>
    <n v="186150"/>
    <n v="0.5"/>
    <n v="93075"/>
  </r>
  <r>
    <x v="3"/>
    <x v="1415"/>
    <n v="184975"/>
    <n v="0.5"/>
    <n v="92487.5"/>
  </r>
  <r>
    <x v="3"/>
    <x v="1416"/>
    <n v="185162.5"/>
    <n v="0.5"/>
    <n v="92581.25"/>
  </r>
  <r>
    <x v="3"/>
    <x v="1417"/>
    <n v="185462.5"/>
    <n v="0.5"/>
    <n v="92731.25"/>
  </r>
  <r>
    <x v="3"/>
    <x v="1418"/>
    <n v="185462.5"/>
    <n v="0.5"/>
    <n v="92731.25"/>
  </r>
  <r>
    <x v="3"/>
    <x v="1419"/>
    <n v="187037.5"/>
    <n v="0.5"/>
    <n v="93518.75"/>
  </r>
  <r>
    <x v="3"/>
    <x v="1420"/>
    <n v="185762.5"/>
    <n v="0.5"/>
    <n v="92881.25"/>
  </r>
  <r>
    <x v="3"/>
    <x v="1421"/>
    <n v="186700"/>
    <n v="0.5"/>
    <n v="93350"/>
  </r>
  <r>
    <x v="3"/>
    <x v="1422"/>
    <n v="188887.5"/>
    <n v="0.5"/>
    <n v="94443.75"/>
  </r>
  <r>
    <x v="3"/>
    <x v="1423"/>
    <n v="189950"/>
    <n v="0.5"/>
    <n v="94975"/>
  </r>
  <r>
    <x v="3"/>
    <x v="1424"/>
    <n v="189575"/>
    <n v="0.5"/>
    <n v="94787.5"/>
  </r>
  <r>
    <x v="3"/>
    <x v="1425"/>
    <n v="188162.5"/>
    <n v="0.5"/>
    <n v="94081.25"/>
  </r>
  <r>
    <x v="3"/>
    <x v="1426"/>
    <n v="188612.5"/>
    <n v="0.5"/>
    <n v="94306.25"/>
  </r>
  <r>
    <x v="3"/>
    <x v="1427"/>
    <n v="189325"/>
    <n v="0.5"/>
    <n v="94662.5"/>
  </r>
  <r>
    <x v="3"/>
    <x v="1428"/>
    <n v="189175"/>
    <n v="0.5"/>
    <n v="94587.5"/>
  </r>
  <r>
    <x v="3"/>
    <x v="1429"/>
    <n v="189150"/>
    <n v="0.5"/>
    <n v="94575"/>
  </r>
  <r>
    <x v="3"/>
    <x v="1430"/>
    <n v="189075"/>
    <n v="0.5"/>
    <n v="94537.5"/>
  </r>
  <r>
    <x v="3"/>
    <x v="1431"/>
    <n v="189275"/>
    <n v="0.5"/>
    <n v="94637.5"/>
  </r>
  <r>
    <x v="3"/>
    <x v="1432"/>
    <n v="192387.5"/>
    <n v="0.5"/>
    <n v="96193.75"/>
  </r>
  <r>
    <x v="3"/>
    <x v="1433"/>
    <n v="193175"/>
    <n v="0.5"/>
    <n v="96587.5"/>
  </r>
  <r>
    <x v="3"/>
    <x v="1434"/>
    <n v="192875"/>
    <n v="0.5"/>
    <n v="96437.5"/>
  </r>
  <r>
    <x v="3"/>
    <x v="1435"/>
    <n v="191350"/>
    <n v="0.5"/>
    <n v="95675"/>
  </r>
  <r>
    <x v="3"/>
    <x v="1436"/>
    <n v="191350"/>
    <n v="0.5"/>
    <n v="95675"/>
  </r>
  <r>
    <x v="3"/>
    <x v="1437"/>
    <n v="191937.5"/>
    <n v="0.5"/>
    <n v="95968.75"/>
  </r>
  <r>
    <x v="3"/>
    <x v="1438"/>
    <n v="192987.5"/>
    <n v="0.5"/>
    <n v="96493.75"/>
  </r>
  <r>
    <x v="3"/>
    <x v="1439"/>
    <n v="189975"/>
    <n v="0.5"/>
    <n v="94987.5"/>
  </r>
  <r>
    <x v="3"/>
    <x v="1440"/>
    <n v="189125"/>
    <n v="0.5"/>
    <n v="94562.5"/>
  </r>
  <r>
    <x v="3"/>
    <x v="1441"/>
    <n v="189287.5"/>
    <n v="0.5"/>
    <n v="94643.75"/>
  </r>
  <r>
    <x v="3"/>
    <x v="1442"/>
    <n v="189287.5"/>
    <n v="0.5"/>
    <n v="94643.75"/>
  </r>
  <r>
    <x v="3"/>
    <x v="1443"/>
    <n v="189950"/>
    <n v="0.5"/>
    <n v="94975"/>
  </r>
  <r>
    <x v="3"/>
    <x v="1444"/>
    <n v="189425"/>
    <n v="0.5"/>
    <n v="94712.5"/>
  </r>
  <r>
    <x v="3"/>
    <x v="1445"/>
    <n v="189425"/>
    <n v="0.5"/>
    <n v="94712.5"/>
  </r>
  <r>
    <x v="3"/>
    <x v="1446"/>
    <n v="189425"/>
    <n v="0.5"/>
    <n v="94712.5"/>
  </r>
  <r>
    <x v="3"/>
    <x v="1447"/>
    <n v="190700"/>
    <n v="0.5"/>
    <n v="95350"/>
  </r>
  <r>
    <x v="3"/>
    <x v="1448"/>
    <n v="190612.5"/>
    <n v="0.5"/>
    <n v="95306.25"/>
  </r>
  <r>
    <x v="3"/>
    <x v="1449"/>
    <n v="189825"/>
    <n v="0.5"/>
    <n v="94912.5"/>
  </r>
  <r>
    <x v="3"/>
    <x v="1450"/>
    <n v="189700"/>
    <n v="0.5"/>
    <n v="94850"/>
  </r>
  <r>
    <x v="3"/>
    <x v="1451"/>
    <n v="187100"/>
    <n v="0.5"/>
    <n v="93550"/>
  </r>
  <r>
    <x v="3"/>
    <x v="1452"/>
    <n v="190225"/>
    <n v="0.5"/>
    <n v="95112.5"/>
  </r>
  <r>
    <x v="3"/>
    <x v="1453"/>
    <n v="190225"/>
    <n v="0.5"/>
    <n v="95112.5"/>
  </r>
  <r>
    <x v="3"/>
    <x v="1454"/>
    <n v="190237.5"/>
    <n v="0.5"/>
    <n v="95118.75"/>
  </r>
  <r>
    <x v="3"/>
    <x v="1455"/>
    <n v="190750"/>
    <n v="0.5"/>
    <n v="95375"/>
  </r>
  <r>
    <x v="3"/>
    <x v="1456"/>
    <n v="192675"/>
    <n v="0.5"/>
    <n v="96337.5"/>
  </r>
  <r>
    <x v="3"/>
    <x v="1457"/>
    <n v="192312.5"/>
    <n v="0.5"/>
    <n v="96156.25"/>
  </r>
  <r>
    <x v="3"/>
    <x v="1458"/>
    <n v="193025"/>
    <n v="0.5"/>
    <n v="96512.5"/>
  </r>
  <r>
    <x v="3"/>
    <x v="1459"/>
    <n v="194237.5"/>
    <n v="0.5"/>
    <n v="97118.75"/>
  </r>
  <r>
    <x v="3"/>
    <x v="1460"/>
    <n v="193725"/>
    <n v="0.5"/>
    <n v="96862.5"/>
  </r>
  <r>
    <x v="3"/>
    <x v="1461"/>
    <n v="190637.5"/>
    <n v="0.5"/>
    <n v="95318.75"/>
  </r>
  <r>
    <x v="3"/>
    <x v="1462"/>
    <n v="191700"/>
    <n v="0.5"/>
    <n v="95850"/>
  </r>
  <r>
    <x v="3"/>
    <x v="1463"/>
    <n v="194112.5"/>
    <n v="0.5"/>
    <n v="97056.25"/>
  </r>
  <r>
    <x v="3"/>
    <x v="1464"/>
    <n v="193825"/>
    <n v="0.5"/>
    <n v="96912.5"/>
  </r>
  <r>
    <x v="3"/>
    <x v="1465"/>
    <n v="193962.5"/>
    <n v="0.5"/>
    <n v="96981.25"/>
  </r>
  <r>
    <x v="3"/>
    <x v="1466"/>
    <n v="194000"/>
    <n v="0.5"/>
    <n v="97000"/>
  </r>
  <r>
    <x v="3"/>
    <x v="1467"/>
    <n v="194212.5"/>
    <n v="0.5"/>
    <n v="97106.25"/>
  </r>
  <r>
    <x v="3"/>
    <x v="1468"/>
    <n v="194212.5"/>
    <n v="0.5"/>
    <n v="97106.25"/>
  </r>
  <r>
    <x v="3"/>
    <x v="1469"/>
    <n v="192700"/>
    <n v="0.5"/>
    <n v="96350"/>
  </r>
  <r>
    <x v="3"/>
    <x v="1470"/>
    <n v="192862.5"/>
    <n v="0.5"/>
    <n v="96431.25"/>
  </r>
  <r>
    <x v="3"/>
    <x v="1471"/>
    <n v="193025"/>
    <n v="0.5"/>
    <n v="96512.5"/>
  </r>
  <r>
    <x v="3"/>
    <x v="1472"/>
    <n v="192912.5"/>
    <n v="0.5"/>
    <n v="96456.25"/>
  </r>
  <r>
    <x v="3"/>
    <x v="1473"/>
    <n v="195250"/>
    <n v="0.5"/>
    <n v="97625"/>
  </r>
  <r>
    <x v="3"/>
    <x v="1474"/>
    <n v="196212.5"/>
    <n v="0.5"/>
    <n v="98106.25"/>
  </r>
  <r>
    <x v="3"/>
    <x v="1475"/>
    <n v="199200"/>
    <n v="0.5"/>
    <n v="99600"/>
  </r>
  <r>
    <x v="3"/>
    <x v="1476"/>
    <n v="199137.5"/>
    <n v="0.5"/>
    <n v="99568.75"/>
  </r>
  <r>
    <x v="3"/>
    <x v="1477"/>
    <n v="198662.5"/>
    <n v="0.5"/>
    <n v="99331.25"/>
  </r>
  <r>
    <x v="3"/>
    <x v="1478"/>
    <n v="199000"/>
    <n v="0.5"/>
    <n v="99500"/>
  </r>
  <r>
    <x v="3"/>
    <x v="1479"/>
    <n v="198062.5"/>
    <n v="0.5"/>
    <n v="99031.25"/>
  </r>
  <r>
    <x v="3"/>
    <x v="1480"/>
    <n v="201425"/>
    <n v="0.5"/>
    <n v="100712.5"/>
  </r>
  <r>
    <x v="3"/>
    <x v="1481"/>
    <n v="202512.5"/>
    <n v="0.5"/>
    <n v="101256.25"/>
  </r>
  <r>
    <x v="3"/>
    <x v="1482"/>
    <n v="200612.5"/>
    <n v="0.5"/>
    <n v="100306.25"/>
  </r>
  <r>
    <x v="3"/>
    <x v="1483"/>
    <n v="200412.5"/>
    <n v="0.5"/>
    <n v="100206.25"/>
  </r>
  <r>
    <x v="3"/>
    <x v="1484"/>
    <n v="204712.5"/>
    <n v="0.5"/>
    <n v="102356.25"/>
  </r>
  <r>
    <x v="3"/>
    <x v="1485"/>
    <n v="203787.5"/>
    <n v="0.5"/>
    <n v="101893.75"/>
  </r>
  <r>
    <x v="3"/>
    <x v="1486"/>
    <n v="202312.5"/>
    <n v="0.5"/>
    <n v="101156.25"/>
  </r>
  <r>
    <x v="3"/>
    <x v="1487"/>
    <n v="202550"/>
    <n v="0.5"/>
    <n v="101275"/>
  </r>
  <r>
    <x v="3"/>
    <x v="1488"/>
    <n v="202662.5"/>
    <n v="0.5"/>
    <n v="101331.25"/>
  </r>
  <r>
    <x v="3"/>
    <x v="1489"/>
    <n v="202662.5"/>
    <n v="0.5"/>
    <n v="101331.25"/>
  </r>
  <r>
    <x v="3"/>
    <x v="1490"/>
    <n v="202062.5"/>
    <n v="0.5"/>
    <n v="101031.25"/>
  </r>
  <r>
    <x v="3"/>
    <x v="1491"/>
    <n v="205975"/>
    <n v="0.5"/>
    <n v="102987.5"/>
  </r>
  <r>
    <x v="3"/>
    <x v="1492"/>
    <n v="206687.5"/>
    <n v="0.5"/>
    <n v="103343.75"/>
  </r>
  <r>
    <x v="3"/>
    <x v="1493"/>
    <n v="209962.5"/>
    <n v="0.5"/>
    <n v="104981.25"/>
  </r>
  <r>
    <x v="3"/>
    <x v="1494"/>
    <n v="210837.5"/>
    <n v="0.5"/>
    <n v="105418.75"/>
  </r>
  <r>
    <x v="3"/>
    <x v="1495"/>
    <n v="210837.5"/>
    <n v="0.5"/>
    <n v="105418.75"/>
  </r>
  <r>
    <x v="3"/>
    <x v="1496"/>
    <n v="210487.5"/>
    <n v="0.5"/>
    <n v="105243.75"/>
  </r>
  <r>
    <x v="3"/>
    <x v="1497"/>
    <n v="214312.5"/>
    <n v="0.5"/>
    <n v="107156.25"/>
  </r>
  <r>
    <x v="3"/>
    <x v="1498"/>
    <n v="214650"/>
    <n v="0.5"/>
    <n v="107325"/>
  </r>
  <r>
    <x v="3"/>
    <x v="1499"/>
    <n v="213012.5"/>
    <n v="0.5"/>
    <n v="106506.25"/>
  </r>
  <r>
    <x v="3"/>
    <x v="1500"/>
    <n v="215525"/>
    <n v="0.5"/>
    <n v="107762.5"/>
  </r>
  <r>
    <x v="3"/>
    <x v="1501"/>
    <n v="215525"/>
    <n v="0.5"/>
    <n v="107762.5"/>
  </r>
  <r>
    <x v="3"/>
    <x v="1502"/>
    <n v="216650"/>
    <n v="0.5"/>
    <n v="108325"/>
  </r>
  <r>
    <x v="3"/>
    <x v="1503"/>
    <n v="216825"/>
    <n v="0.5"/>
    <n v="108412.5"/>
  </r>
  <r>
    <x v="3"/>
    <x v="1504"/>
    <n v="216825"/>
    <n v="0.5"/>
    <n v="108412.5"/>
  </r>
  <r>
    <x v="3"/>
    <x v="1505"/>
    <n v="218225"/>
    <n v="0.5"/>
    <n v="109112.5"/>
  </r>
  <r>
    <x v="3"/>
    <x v="1506"/>
    <n v="217925"/>
    <n v="0.5"/>
    <n v="108962.5"/>
  </r>
  <r>
    <x v="3"/>
    <x v="1507"/>
    <n v="217525"/>
    <n v="0.5"/>
    <n v="108762.5"/>
  </r>
  <r>
    <x v="3"/>
    <x v="1508"/>
    <n v="217775"/>
    <n v="0.5"/>
    <n v="108887.5"/>
  </r>
  <r>
    <x v="3"/>
    <x v="1509"/>
    <n v="218237.5"/>
    <n v="0.5"/>
    <n v="109118.75"/>
  </r>
  <r>
    <x v="3"/>
    <x v="1510"/>
    <n v="221637.5"/>
    <n v="0.5"/>
    <n v="110818.75"/>
  </r>
  <r>
    <x v="3"/>
    <x v="1511"/>
    <n v="220275"/>
    <n v="0.5"/>
    <n v="110137.5"/>
  </r>
  <r>
    <x v="3"/>
    <x v="1512"/>
    <n v="220237.5"/>
    <n v="0.5"/>
    <n v="110118.75"/>
  </r>
  <r>
    <x v="3"/>
    <x v="1513"/>
    <n v="220237.5"/>
    <n v="0.5"/>
    <n v="110118.75"/>
  </r>
  <r>
    <x v="3"/>
    <x v="1514"/>
    <n v="219000"/>
    <n v="0.5"/>
    <n v="109500"/>
  </r>
  <r>
    <x v="3"/>
    <x v="1515"/>
    <n v="219387.5"/>
    <n v="0.5"/>
    <n v="109693.75"/>
  </r>
  <r>
    <x v="3"/>
    <x v="1516"/>
    <n v="217525"/>
    <n v="0.5"/>
    <n v="108762.5"/>
  </r>
  <r>
    <x v="3"/>
    <x v="1517"/>
    <n v="220837.5"/>
    <n v="0.5"/>
    <n v="110418.75"/>
  </r>
  <r>
    <x v="3"/>
    <x v="1518"/>
    <n v="220912.5"/>
    <n v="0.5"/>
    <n v="110456.25"/>
  </r>
  <r>
    <x v="3"/>
    <x v="1519"/>
    <n v="220737.5"/>
    <n v="0.5"/>
    <n v="110368.75"/>
  </r>
  <r>
    <x v="3"/>
    <x v="1520"/>
    <n v="221212.5"/>
    <n v="0.5"/>
    <n v="110606.25"/>
  </r>
  <r>
    <x v="3"/>
    <x v="1521"/>
    <n v="221050"/>
    <n v="0.5"/>
    <n v="110525"/>
  </r>
  <r>
    <x v="3"/>
    <x v="1522"/>
    <n v="221975"/>
    <n v="0.5"/>
    <n v="110987.5"/>
  </r>
  <r>
    <x v="3"/>
    <x v="1523"/>
    <n v="220462.5"/>
    <n v="0.5"/>
    <n v="110231.25"/>
  </r>
  <r>
    <x v="3"/>
    <x v="1524"/>
    <n v="216500"/>
    <n v="0.5"/>
    <n v="108250"/>
  </r>
  <r>
    <x v="3"/>
    <x v="1525"/>
    <n v="215862.5"/>
    <n v="0.5"/>
    <n v="107931.25"/>
  </r>
  <r>
    <x v="3"/>
    <x v="1526"/>
    <n v="216462.5"/>
    <n v="0.5"/>
    <n v="108231.25"/>
  </r>
  <r>
    <x v="3"/>
    <x v="1527"/>
    <n v="217500"/>
    <n v="0.5"/>
    <n v="108750"/>
  </r>
  <r>
    <x v="3"/>
    <x v="1528"/>
    <n v="220187.5"/>
    <n v="0.5"/>
    <n v="110093.75"/>
  </r>
  <r>
    <x v="3"/>
    <x v="1529"/>
    <n v="219662.5"/>
    <n v="0.5"/>
    <n v="109831.25"/>
  </r>
  <r>
    <x v="3"/>
    <x v="1530"/>
    <n v="217950"/>
    <n v="0.5"/>
    <n v="108975"/>
  </r>
  <r>
    <x v="3"/>
    <x v="1531"/>
    <n v="217975"/>
    <n v="0.5"/>
    <n v="108987.5"/>
  </r>
  <r>
    <x v="3"/>
    <x v="1532"/>
    <n v="218412.5"/>
    <n v="0.5"/>
    <n v="109206.25"/>
  </r>
  <r>
    <x v="3"/>
    <x v="1533"/>
    <n v="219050"/>
    <n v="0.5"/>
    <n v="109525"/>
  </r>
  <r>
    <x v="3"/>
    <x v="1534"/>
    <n v="221062.5"/>
    <n v="0.5"/>
    <n v="110531.25"/>
  </r>
  <r>
    <x v="3"/>
    <x v="1535"/>
    <n v="220362.5"/>
    <n v="0.5"/>
    <n v="110181.25"/>
  </r>
  <r>
    <x v="3"/>
    <x v="1536"/>
    <n v="221162.5"/>
    <n v="0.5"/>
    <n v="110581.25"/>
  </r>
  <r>
    <x v="3"/>
    <x v="1537"/>
    <n v="221162.5"/>
    <n v="0.5"/>
    <n v="110581.25"/>
  </r>
  <r>
    <x v="3"/>
    <x v="1538"/>
    <n v="222912.5"/>
    <n v="0.5"/>
    <n v="111456.25"/>
  </r>
  <r>
    <x v="3"/>
    <x v="1539"/>
    <n v="223500"/>
    <n v="0.5"/>
    <n v="111750"/>
  </r>
  <r>
    <x v="3"/>
    <x v="1540"/>
    <n v="223612.5"/>
    <n v="0.5"/>
    <n v="111806.25"/>
  </r>
  <r>
    <x v="3"/>
    <x v="1541"/>
    <n v="224400"/>
    <n v="0.5"/>
    <n v="112200"/>
  </r>
  <r>
    <x v="4"/>
    <x v="154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2F6E2-100B-4FC5-A40F-59A00FFB6A39}" name="Tabella pivot1" cacheId="12" applyNumberFormats="0" applyBorderFormats="0" applyFontFormats="0" applyPatternFormats="0" applyAlignmentFormats="0" applyWidthHeightFormats="1" dataCaption="Valori" grandTotalCaption="Tot " updatedVersion="6" minRefreshableVersion="3" useAutoFormatting="1" rowGrandTotals="0" colGrandTotals="0" itemPrintTitles="1" createdVersion="6" indent="0" outline="1" outlineData="1" multipleFieldFilters="0" chartFormat="2" rowHeaderCaption="Date " colHeaderCaption=" ">
  <location ref="A23:E1566" firstHeaderRow="1" firstDataRow="2" firstDataCol="1"/>
  <pivotFields count="5">
    <pivotField axis="axisCol" showAll="0">
      <items count="6">
        <item x="3"/>
        <item x="2"/>
        <item x="1"/>
        <item x="0"/>
        <item h="1" x="4"/>
        <item t="default"/>
      </items>
    </pivotField>
    <pivotField axis="axisRow" showAll="0">
      <items count="15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t="default"/>
      </items>
    </pivotField>
    <pivotField showAll="0"/>
    <pivotField showAll="0"/>
    <pivotField dataField="1" showAll="0"/>
  </pivotFields>
  <rowFields count="1">
    <field x="1"/>
  </rowFields>
  <rowItems count="15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 " fld="4" baseField="1" baseItem="2"/>
  </dataFields>
  <formats count="3">
    <format dxfId="11">
      <pivotArea type="origin" dataOnly="0" labelOnly="1" outline="0" fieldPosition="0"/>
    </format>
    <format dxfId="10">
      <pivotArea field="0" type="button" dataOnly="0" labelOnly="1" outline="0" axis="axisCol" fieldPosition="0"/>
    </format>
    <format dxfId="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4FA6-EB52-45BF-8FF9-860141A7B6CE}">
  <dimension ref="A1:X1566"/>
  <sheetViews>
    <sheetView tabSelected="1" zoomScale="70" zoomScaleNormal="70" workbookViewId="0">
      <selection activeCell="I6" sqref="I6"/>
    </sheetView>
  </sheetViews>
  <sheetFormatPr defaultRowHeight="15" x14ac:dyDescent="0.25"/>
  <cols>
    <col min="1" max="5" width="1.7109375" customWidth="1"/>
    <col min="6" max="6" width="2" customWidth="1"/>
    <col min="7" max="7" width="14.140625" bestFit="1" customWidth="1"/>
    <col min="8" max="8" width="14" bestFit="1" customWidth="1"/>
    <col min="9" max="9" width="12.5703125" bestFit="1" customWidth="1"/>
    <col min="10" max="10" width="14" bestFit="1" customWidth="1"/>
    <col min="11" max="11" width="12.140625" style="5" customWidth="1"/>
    <col min="12" max="12" width="10.5703125" style="5" bestFit="1" customWidth="1"/>
    <col min="13" max="13" width="13" style="5" bestFit="1" customWidth="1"/>
    <col min="14" max="14" width="2" customWidth="1"/>
    <col min="15" max="15" width="13.42578125" bestFit="1" customWidth="1"/>
    <col min="16" max="16" width="19.85546875" bestFit="1" customWidth="1"/>
    <col min="17" max="17" width="12.5703125" customWidth="1"/>
    <col min="18" max="18" width="4.42578125" customWidth="1"/>
    <col min="19" max="19" width="3" customWidth="1"/>
    <col min="20" max="20" width="50.140625" customWidth="1"/>
    <col min="21" max="21" width="3.42578125" customWidth="1"/>
    <col min="22" max="22" width="29" bestFit="1" customWidth="1"/>
    <col min="23" max="23" width="11" customWidth="1"/>
  </cols>
  <sheetData>
    <row r="1" spans="7:23" ht="32.25" customHeight="1" x14ac:dyDescent="0.25"/>
    <row r="2" spans="7:23" s="7" customFormat="1" ht="42" x14ac:dyDescent="0.5">
      <c r="G2" s="17" t="s">
        <v>6</v>
      </c>
      <c r="H2" s="20" t="s">
        <v>18</v>
      </c>
      <c r="I2" s="17" t="s">
        <v>5</v>
      </c>
      <c r="J2" s="17" t="s">
        <v>19</v>
      </c>
      <c r="K2" s="8"/>
      <c r="L2" s="8"/>
      <c r="M2" s="8"/>
      <c r="T2" s="11" t="s">
        <v>20</v>
      </c>
      <c r="U2" s="11"/>
      <c r="V2" s="33">
        <v>100000</v>
      </c>
      <c r="W2" s="23"/>
    </row>
    <row r="3" spans="7:23" s="7" customFormat="1" ht="31.5" x14ac:dyDescent="0.5">
      <c r="G3" s="18" t="s">
        <v>3</v>
      </c>
      <c r="H3" s="21">
        <v>12980</v>
      </c>
      <c r="I3" s="30">
        <v>0.5</v>
      </c>
      <c r="J3" s="19">
        <f>+I3*H3</f>
        <v>6490</v>
      </c>
      <c r="K3" s="8"/>
      <c r="L3" s="8"/>
      <c r="M3" s="8"/>
      <c r="T3" s="11"/>
      <c r="U3" s="11"/>
      <c r="V3" s="24"/>
      <c r="W3" s="23"/>
    </row>
    <row r="4" spans="7:23" s="7" customFormat="1" ht="31.5" x14ac:dyDescent="0.5">
      <c r="G4" s="18" t="s">
        <v>2</v>
      </c>
      <c r="H4" s="21">
        <v>11000</v>
      </c>
      <c r="I4" s="30">
        <v>1</v>
      </c>
      <c r="J4" s="19">
        <f t="shared" ref="J4:J6" si="0">+I4*H4</f>
        <v>11000</v>
      </c>
      <c r="K4" s="8"/>
      <c r="L4" s="8"/>
      <c r="M4" s="8"/>
      <c r="T4" s="11" t="s">
        <v>17</v>
      </c>
      <c r="U4" s="11"/>
      <c r="V4" s="25">
        <f>+K23</f>
        <v>388839.4</v>
      </c>
      <c r="W4" s="29">
        <f>+V4/V2</f>
        <v>3.8883940000000004</v>
      </c>
    </row>
    <row r="5" spans="7:23" s="7" customFormat="1" ht="31.5" x14ac:dyDescent="0.5">
      <c r="G5" s="18" t="s">
        <v>1</v>
      </c>
      <c r="H5" s="21">
        <v>2800</v>
      </c>
      <c r="I5" s="30">
        <v>1</v>
      </c>
      <c r="J5" s="19">
        <f t="shared" si="0"/>
        <v>2800</v>
      </c>
      <c r="K5" s="8"/>
      <c r="L5" s="8"/>
      <c r="M5" s="8"/>
      <c r="T5" s="11" t="s">
        <v>24</v>
      </c>
      <c r="V5" s="32">
        <v>5.5</v>
      </c>
      <c r="W5" s="31">
        <f>+W4/V5</f>
        <v>0.70698072727272732</v>
      </c>
    </row>
    <row r="6" spans="7:23" s="7" customFormat="1" ht="31.5" x14ac:dyDescent="0.5">
      <c r="G6" s="18" t="s">
        <v>0</v>
      </c>
      <c r="H6" s="21">
        <v>2338</v>
      </c>
      <c r="I6" s="30">
        <v>5</v>
      </c>
      <c r="J6" s="19">
        <f t="shared" si="0"/>
        <v>11690</v>
      </c>
      <c r="K6" s="8"/>
      <c r="L6" s="8"/>
      <c r="M6" s="8"/>
      <c r="T6" s="11" t="s">
        <v>25</v>
      </c>
      <c r="U6" s="11"/>
      <c r="V6" s="26">
        <f>+M23*1.3</f>
        <v>-30110.469999999994</v>
      </c>
      <c r="W6" s="28">
        <f>+V6/V2</f>
        <v>-0.30110469999999995</v>
      </c>
    </row>
    <row r="7" spans="7:23" s="7" customFormat="1" ht="31.5" x14ac:dyDescent="0.5">
      <c r="G7" s="16"/>
      <c r="J7" s="22">
        <f>+SUM(J3:J6)</f>
        <v>31980</v>
      </c>
      <c r="K7" s="8"/>
      <c r="L7" s="8"/>
      <c r="M7" s="8"/>
      <c r="T7" s="11" t="s">
        <v>26</v>
      </c>
      <c r="U7" s="11"/>
      <c r="V7" s="12">
        <f>-V4/V6</f>
        <v>12.913760562355888</v>
      </c>
      <c r="W7" s="23"/>
    </row>
    <row r="8" spans="7:23" s="7" customFormat="1" ht="21" x14ac:dyDescent="0.35">
      <c r="K8" s="8"/>
      <c r="L8" s="8"/>
      <c r="M8" s="8"/>
      <c r="O8" s="16"/>
      <c r="T8" s="23"/>
      <c r="U8" s="23"/>
      <c r="V8" s="23"/>
      <c r="W8" s="23"/>
    </row>
    <row r="9" spans="7:23" s="7" customFormat="1" ht="31.5" x14ac:dyDescent="0.5">
      <c r="K9" s="8"/>
      <c r="L9" s="8"/>
      <c r="M9" s="8"/>
      <c r="O9" s="16"/>
      <c r="T9" s="27" t="s">
        <v>21</v>
      </c>
      <c r="U9" s="23"/>
      <c r="V9" s="24">
        <f>+J7</f>
        <v>31980</v>
      </c>
      <c r="W9" s="23"/>
    </row>
    <row r="10" spans="7:23" s="7" customFormat="1" ht="31.5" x14ac:dyDescent="0.5">
      <c r="K10" s="8"/>
      <c r="L10" s="8"/>
      <c r="M10" s="8"/>
      <c r="O10" s="16"/>
      <c r="T10" s="27" t="s">
        <v>22</v>
      </c>
      <c r="U10"/>
      <c r="V10" s="24">
        <f>+V9-V6</f>
        <v>62090.469999999994</v>
      </c>
      <c r="W10" s="23"/>
    </row>
    <row r="11" spans="7:23" s="7" customFormat="1" ht="21" x14ac:dyDescent="0.35">
      <c r="K11" s="8"/>
      <c r="L11" s="8"/>
      <c r="M11" s="8"/>
      <c r="O11" s="16"/>
      <c r="T11" s="23"/>
      <c r="U11" s="23"/>
      <c r="V11" s="23"/>
      <c r="W11" s="23"/>
    </row>
    <row r="12" spans="7:23" s="7" customFormat="1" ht="21" x14ac:dyDescent="0.35">
      <c r="K12" s="8"/>
      <c r="L12" s="8"/>
      <c r="M12" s="8"/>
      <c r="O12" s="16"/>
      <c r="T12" s="23"/>
      <c r="U12" s="23"/>
      <c r="V12" s="23"/>
      <c r="W12" s="23"/>
    </row>
    <row r="13" spans="7:23" s="7" customFormat="1" ht="21" x14ac:dyDescent="0.35">
      <c r="K13" s="8"/>
      <c r="L13" s="8"/>
      <c r="M13" s="8"/>
      <c r="O13" s="16"/>
      <c r="T13" s="23"/>
      <c r="U13" s="23"/>
      <c r="V13" s="23"/>
      <c r="W13" s="23"/>
    </row>
    <row r="14" spans="7:23" s="7" customFormat="1" ht="21" x14ac:dyDescent="0.35">
      <c r="K14" s="8"/>
      <c r="L14" s="8"/>
      <c r="M14" s="8"/>
      <c r="O14" s="16"/>
      <c r="T14" s="23"/>
      <c r="U14" s="23"/>
      <c r="V14" s="23"/>
      <c r="W14" s="23"/>
    </row>
    <row r="15" spans="7:23" s="7" customFormat="1" ht="21" x14ac:dyDescent="0.35">
      <c r="K15" s="8"/>
      <c r="L15" s="8"/>
      <c r="M15" s="8"/>
      <c r="O15" s="16"/>
      <c r="T15" s="23"/>
      <c r="U15" s="23"/>
      <c r="V15" s="23"/>
      <c r="W15" s="23"/>
    </row>
    <row r="16" spans="7:23" s="7" customFormat="1" ht="21" x14ac:dyDescent="0.35">
      <c r="K16" s="8"/>
      <c r="L16" s="8"/>
      <c r="M16" s="8"/>
      <c r="O16" s="16"/>
      <c r="T16" s="23"/>
      <c r="U16" s="23"/>
      <c r="V16" s="23"/>
      <c r="W16" s="23"/>
    </row>
    <row r="17" spans="1:24" s="7" customFormat="1" ht="21" x14ac:dyDescent="0.35">
      <c r="K17" s="8"/>
      <c r="L17" s="8"/>
      <c r="M17" s="8"/>
      <c r="O17" s="16"/>
      <c r="W17" s="23"/>
    </row>
    <row r="18" spans="1:24" s="7" customFormat="1" ht="21" x14ac:dyDescent="0.35">
      <c r="K18" s="8"/>
      <c r="L18" s="8"/>
      <c r="M18" s="8"/>
      <c r="O18" s="16"/>
      <c r="W18" s="23"/>
    </row>
    <row r="19" spans="1:24" s="7" customFormat="1" ht="21" x14ac:dyDescent="0.35">
      <c r="K19" s="8"/>
      <c r="L19" s="8"/>
      <c r="M19" s="8"/>
      <c r="O19" s="16"/>
      <c r="W19" s="23"/>
    </row>
    <row r="20" spans="1:24" s="7" customFormat="1" ht="21" x14ac:dyDescent="0.35">
      <c r="K20" s="8"/>
      <c r="L20" s="8"/>
      <c r="M20" s="8"/>
      <c r="O20" s="16"/>
      <c r="W20" s="23"/>
    </row>
    <row r="21" spans="1:24" s="7" customFormat="1" ht="21" x14ac:dyDescent="0.35">
      <c r="K21" s="8"/>
      <c r="L21" s="8"/>
      <c r="M21" s="8"/>
      <c r="O21" s="16"/>
      <c r="W21" s="23"/>
    </row>
    <row r="22" spans="1:24" s="7" customFormat="1" ht="21" x14ac:dyDescent="0.35">
      <c r="K22" s="8"/>
      <c r="L22" s="8"/>
      <c r="M22" s="8"/>
      <c r="O22" s="16"/>
    </row>
    <row r="23" spans="1:24" s="7" customFormat="1" ht="21" x14ac:dyDescent="0.35">
      <c r="A23" s="9" t="s">
        <v>4</v>
      </c>
      <c r="B23" s="9" t="s">
        <v>4</v>
      </c>
      <c r="G23" s="6">
        <f t="shared" ref="G23:J23" si="1">+G1566</f>
        <v>112200</v>
      </c>
      <c r="H23" s="6">
        <f t="shared" si="1"/>
        <v>68530</v>
      </c>
      <c r="I23" s="6">
        <f t="shared" si="1"/>
        <v>93187.5</v>
      </c>
      <c r="J23" s="6">
        <f t="shared" si="1"/>
        <v>114921.90000000001</v>
      </c>
      <c r="K23" s="13">
        <f>+K1566</f>
        <v>388839.4</v>
      </c>
      <c r="L23" s="8"/>
      <c r="M23" s="10">
        <f>+MIN(M24:M1566)</f>
        <v>-23161.899999999994</v>
      </c>
    </row>
    <row r="24" spans="1:24" x14ac:dyDescent="0.25">
      <c r="A24" s="1" t="s">
        <v>10</v>
      </c>
      <c r="B24" t="s">
        <v>3</v>
      </c>
      <c r="C24" t="s">
        <v>2</v>
      </c>
      <c r="D24" t="s">
        <v>1</v>
      </c>
      <c r="E24" t="s">
        <v>0</v>
      </c>
      <c r="F24" t="s">
        <v>8</v>
      </c>
      <c r="G24" t="str">
        <f>+B24</f>
        <v>@ESU24</v>
      </c>
      <c r="H24" t="str">
        <f t="shared" ref="H24:J24" si="2">+C24</f>
        <v>@GCQ24</v>
      </c>
      <c r="I24" t="str">
        <f t="shared" si="2"/>
        <v>@JYU24</v>
      </c>
      <c r="J24" t="str">
        <f t="shared" si="2"/>
        <v>@TYU24</v>
      </c>
      <c r="K24" s="6" t="s">
        <v>16</v>
      </c>
      <c r="L24" s="6" t="s">
        <v>14</v>
      </c>
      <c r="M24" s="6" t="s">
        <v>15</v>
      </c>
    </row>
    <row r="25" spans="1:24" x14ac:dyDescent="0.25">
      <c r="A25" s="2">
        <v>1190709</v>
      </c>
      <c r="B25" s="3">
        <v>-193.75</v>
      </c>
      <c r="C25" s="3">
        <v>230</v>
      </c>
      <c r="D25" s="3">
        <v>68.75</v>
      </c>
      <c r="E25" s="3">
        <v>703.1</v>
      </c>
      <c r="F25">
        <f t="shared" ref="F25:F88" si="3">+A25</f>
        <v>1190709</v>
      </c>
      <c r="G25" s="3">
        <f>+IF(B25&lt;&gt;0,B25,B24)</f>
        <v>-193.75</v>
      </c>
      <c r="H25" s="3">
        <f>+IF(C25&lt;&gt;0,C25,C24)</f>
        <v>230</v>
      </c>
      <c r="I25" s="3">
        <f>+IF(D25&lt;&gt;0,D25,D24)</f>
        <v>68.75</v>
      </c>
      <c r="J25" s="3">
        <f>+IF(E25&lt;&gt;0,E25,E24)</f>
        <v>703.1</v>
      </c>
      <c r="K25" s="5">
        <f>+SUM(G25:J25)</f>
        <v>808.1</v>
      </c>
      <c r="N25" s="3"/>
      <c r="S25" s="23"/>
      <c r="X25" s="23"/>
    </row>
    <row r="26" spans="1:24" x14ac:dyDescent="0.25">
      <c r="A26" s="2">
        <v>1190710</v>
      </c>
      <c r="B26" s="3">
        <v>181.25</v>
      </c>
      <c r="C26" s="3">
        <v>-50</v>
      </c>
      <c r="D26" s="3">
        <v>-281.25</v>
      </c>
      <c r="E26" s="3">
        <v>-937.5</v>
      </c>
      <c r="F26">
        <f t="shared" si="3"/>
        <v>1190710</v>
      </c>
      <c r="G26" s="3">
        <f t="shared" ref="G26:G89" si="4">+IF(B26&lt;&gt;0,B26,B25)</f>
        <v>181.25</v>
      </c>
      <c r="H26" s="3">
        <f t="shared" ref="H26:H89" si="5">+IF(C26&lt;&gt;0,C26,C25)</f>
        <v>-50</v>
      </c>
      <c r="I26" s="3">
        <f t="shared" ref="I26:I89" si="6">+IF(D26&lt;&gt;0,D26,D25)</f>
        <v>-281.25</v>
      </c>
      <c r="J26" s="3">
        <f t="shared" ref="J26:J89" si="7">+IF(E26&lt;&gt;0,E26,E25)</f>
        <v>-937.5</v>
      </c>
      <c r="K26" s="5">
        <f t="shared" ref="K26:K89" si="8">+SUM(G26:J26)</f>
        <v>-1087.5</v>
      </c>
      <c r="L26" s="5">
        <f>+IF(K26&gt;K25,K26,K25)</f>
        <v>808.1</v>
      </c>
      <c r="M26" s="5">
        <f>+K26-L26</f>
        <v>-1895.6</v>
      </c>
      <c r="N26" s="3"/>
      <c r="S26" s="23"/>
      <c r="X26" s="23"/>
    </row>
    <row r="27" spans="1:24" x14ac:dyDescent="0.25">
      <c r="A27" s="2">
        <v>1190711</v>
      </c>
      <c r="B27" s="3">
        <v>181.25</v>
      </c>
      <c r="C27" s="3">
        <v>2720</v>
      </c>
      <c r="D27" s="3">
        <v>668.75</v>
      </c>
      <c r="E27" s="3">
        <v>1250</v>
      </c>
      <c r="F27">
        <f t="shared" si="3"/>
        <v>1190711</v>
      </c>
      <c r="G27" s="3">
        <f t="shared" si="4"/>
        <v>181.25</v>
      </c>
      <c r="H27" s="3">
        <f t="shared" si="5"/>
        <v>2720</v>
      </c>
      <c r="I27" s="3">
        <f t="shared" si="6"/>
        <v>668.75</v>
      </c>
      <c r="J27" s="3">
        <f t="shared" si="7"/>
        <v>1250</v>
      </c>
      <c r="K27" s="5">
        <f t="shared" si="8"/>
        <v>4820</v>
      </c>
      <c r="L27" s="5">
        <f t="shared" ref="L27:L90" si="9">+IF(K27&gt;K26,K27,K26)</f>
        <v>4820</v>
      </c>
      <c r="M27" s="5">
        <f t="shared" ref="M27:M90" si="10">+K27-L27</f>
        <v>0</v>
      </c>
      <c r="N27" s="3"/>
      <c r="S27" s="23"/>
      <c r="X27" s="23"/>
    </row>
    <row r="28" spans="1:24" x14ac:dyDescent="0.25">
      <c r="A28" s="2">
        <v>1190712</v>
      </c>
      <c r="B28" s="3">
        <v>-118.75</v>
      </c>
      <c r="C28" s="3">
        <v>3700</v>
      </c>
      <c r="D28" s="3">
        <v>518.75</v>
      </c>
      <c r="E28" s="3">
        <v>2656.25</v>
      </c>
      <c r="F28">
        <f t="shared" si="3"/>
        <v>1190712</v>
      </c>
      <c r="G28" s="3">
        <f t="shared" si="4"/>
        <v>-118.75</v>
      </c>
      <c r="H28" s="3">
        <f t="shared" si="5"/>
        <v>3700</v>
      </c>
      <c r="I28" s="3">
        <f t="shared" si="6"/>
        <v>518.75</v>
      </c>
      <c r="J28" s="3">
        <f t="shared" si="7"/>
        <v>2656.25</v>
      </c>
      <c r="K28" s="5">
        <f t="shared" si="8"/>
        <v>6756.25</v>
      </c>
      <c r="L28" s="5">
        <f t="shared" si="9"/>
        <v>6756.25</v>
      </c>
      <c r="M28" s="5">
        <f t="shared" si="10"/>
        <v>0</v>
      </c>
      <c r="N28" s="3"/>
      <c r="S28" s="23"/>
      <c r="X28" s="23"/>
    </row>
    <row r="29" spans="1:24" x14ac:dyDescent="0.25">
      <c r="A29" s="2">
        <v>1190714</v>
      </c>
      <c r="B29" s="3">
        <v>-31.25</v>
      </c>
      <c r="C29" s="3">
        <v>3900</v>
      </c>
      <c r="D29" s="3">
        <v>843.75</v>
      </c>
      <c r="E29" s="3">
        <v>2031.25</v>
      </c>
      <c r="F29">
        <f t="shared" si="3"/>
        <v>1190714</v>
      </c>
      <c r="G29" s="3">
        <f t="shared" si="4"/>
        <v>-31.25</v>
      </c>
      <c r="H29" s="3">
        <f t="shared" si="5"/>
        <v>3900</v>
      </c>
      <c r="I29" s="3">
        <f t="shared" si="6"/>
        <v>843.75</v>
      </c>
      <c r="J29" s="3">
        <f t="shared" si="7"/>
        <v>2031.25</v>
      </c>
      <c r="K29" s="5">
        <f t="shared" si="8"/>
        <v>6743.75</v>
      </c>
      <c r="L29" s="5">
        <f t="shared" si="9"/>
        <v>6756.25</v>
      </c>
      <c r="M29" s="5">
        <f t="shared" si="10"/>
        <v>-12.5</v>
      </c>
      <c r="N29" s="3"/>
      <c r="S29" s="23"/>
      <c r="X29" s="23"/>
    </row>
    <row r="30" spans="1:24" x14ac:dyDescent="0.25">
      <c r="A30" s="2">
        <v>1190715</v>
      </c>
      <c r="B30" s="3">
        <v>50</v>
      </c>
      <c r="C30" s="3">
        <v>3900</v>
      </c>
      <c r="D30" s="3">
        <v>668.75</v>
      </c>
      <c r="E30" s="3">
        <v>2734.4</v>
      </c>
      <c r="F30">
        <f t="shared" si="3"/>
        <v>1190715</v>
      </c>
      <c r="G30" s="3">
        <f t="shared" si="4"/>
        <v>50</v>
      </c>
      <c r="H30" s="3">
        <f t="shared" si="5"/>
        <v>3900</v>
      </c>
      <c r="I30" s="3">
        <f t="shared" si="6"/>
        <v>668.75</v>
      </c>
      <c r="J30" s="3">
        <f t="shared" si="7"/>
        <v>2734.4</v>
      </c>
      <c r="K30" s="5">
        <f t="shared" si="8"/>
        <v>7353.15</v>
      </c>
      <c r="L30" s="5">
        <f t="shared" si="9"/>
        <v>7353.15</v>
      </c>
      <c r="M30" s="5">
        <f t="shared" si="10"/>
        <v>0</v>
      </c>
      <c r="N30" s="3"/>
      <c r="S30" s="23"/>
      <c r="X30" s="23"/>
    </row>
    <row r="31" spans="1:24" x14ac:dyDescent="0.25">
      <c r="A31" s="2">
        <v>1190716</v>
      </c>
      <c r="B31" s="3">
        <v>-243.75</v>
      </c>
      <c r="C31" s="3">
        <v>3700</v>
      </c>
      <c r="D31" s="3">
        <v>662.5</v>
      </c>
      <c r="E31" s="3">
        <v>2890.6</v>
      </c>
      <c r="F31">
        <f t="shared" si="3"/>
        <v>1190716</v>
      </c>
      <c r="G31" s="3">
        <f t="shared" si="4"/>
        <v>-243.75</v>
      </c>
      <c r="H31" s="3">
        <f t="shared" si="5"/>
        <v>3700</v>
      </c>
      <c r="I31" s="3">
        <f t="shared" si="6"/>
        <v>662.5</v>
      </c>
      <c r="J31" s="3">
        <f t="shared" si="7"/>
        <v>2890.6</v>
      </c>
      <c r="K31" s="5">
        <f t="shared" si="8"/>
        <v>7009.35</v>
      </c>
      <c r="L31" s="5">
        <f t="shared" si="9"/>
        <v>7353.15</v>
      </c>
      <c r="M31" s="5">
        <f t="shared" si="10"/>
        <v>-343.79999999999927</v>
      </c>
      <c r="N31" s="3"/>
      <c r="S31" s="23"/>
      <c r="X31" s="23"/>
    </row>
    <row r="32" spans="1:24" x14ac:dyDescent="0.25">
      <c r="A32" s="2">
        <v>1190717</v>
      </c>
      <c r="B32" s="3">
        <v>18.75</v>
      </c>
      <c r="C32" s="3">
        <v>4650</v>
      </c>
      <c r="D32" s="3">
        <v>906.25</v>
      </c>
      <c r="E32" s="3">
        <v>2187.5</v>
      </c>
      <c r="F32">
        <f t="shared" si="3"/>
        <v>1190717</v>
      </c>
      <c r="G32" s="3">
        <f t="shared" si="4"/>
        <v>18.75</v>
      </c>
      <c r="H32" s="3">
        <f t="shared" si="5"/>
        <v>4650</v>
      </c>
      <c r="I32" s="3">
        <f t="shared" si="6"/>
        <v>906.25</v>
      </c>
      <c r="J32" s="3">
        <f t="shared" si="7"/>
        <v>2187.5</v>
      </c>
      <c r="K32" s="5">
        <f t="shared" si="8"/>
        <v>7762.5</v>
      </c>
      <c r="L32" s="5">
        <f t="shared" si="9"/>
        <v>7762.5</v>
      </c>
      <c r="M32" s="5">
        <f t="shared" si="10"/>
        <v>0</v>
      </c>
      <c r="N32" s="3"/>
      <c r="S32" s="23"/>
      <c r="X32" s="23"/>
    </row>
    <row r="33" spans="1:24" x14ac:dyDescent="0.25">
      <c r="A33" s="2">
        <v>1190718</v>
      </c>
      <c r="B33" s="3">
        <v>568.75</v>
      </c>
      <c r="C33" s="3">
        <v>5990</v>
      </c>
      <c r="D33" s="3">
        <v>1356.25</v>
      </c>
      <c r="E33" s="3">
        <v>3593.75</v>
      </c>
      <c r="F33">
        <f t="shared" si="3"/>
        <v>1190718</v>
      </c>
      <c r="G33" s="3">
        <f t="shared" si="4"/>
        <v>568.75</v>
      </c>
      <c r="H33" s="3">
        <f t="shared" si="5"/>
        <v>5990</v>
      </c>
      <c r="I33" s="3">
        <f t="shared" si="6"/>
        <v>1356.25</v>
      </c>
      <c r="J33" s="3">
        <f t="shared" si="7"/>
        <v>3593.75</v>
      </c>
      <c r="K33" s="5">
        <f t="shared" si="8"/>
        <v>11508.75</v>
      </c>
      <c r="L33" s="5">
        <f t="shared" si="9"/>
        <v>11508.75</v>
      </c>
      <c r="M33" s="5">
        <f t="shared" si="10"/>
        <v>0</v>
      </c>
      <c r="N33" s="3"/>
      <c r="S33" s="23"/>
      <c r="W33" s="23"/>
      <c r="X33" s="23"/>
    </row>
    <row r="34" spans="1:24" x14ac:dyDescent="0.25">
      <c r="A34" s="2">
        <v>1190719</v>
      </c>
      <c r="B34" s="3">
        <v>1081.25</v>
      </c>
      <c r="C34" s="3">
        <v>3140</v>
      </c>
      <c r="D34" s="3">
        <v>956.25</v>
      </c>
      <c r="E34" s="3">
        <v>1796.9</v>
      </c>
      <c r="F34">
        <f t="shared" si="3"/>
        <v>1190719</v>
      </c>
      <c r="G34" s="3">
        <f t="shared" si="4"/>
        <v>1081.25</v>
      </c>
      <c r="H34" s="3">
        <f t="shared" si="5"/>
        <v>3140</v>
      </c>
      <c r="I34" s="3">
        <f t="shared" si="6"/>
        <v>956.25</v>
      </c>
      <c r="J34" s="3">
        <f t="shared" si="7"/>
        <v>1796.9</v>
      </c>
      <c r="K34" s="5">
        <f t="shared" si="8"/>
        <v>6974.4</v>
      </c>
      <c r="L34" s="5">
        <f t="shared" si="9"/>
        <v>11508.75</v>
      </c>
      <c r="M34" s="5">
        <f t="shared" si="10"/>
        <v>-4534.3500000000004</v>
      </c>
      <c r="N34" s="3"/>
    </row>
    <row r="35" spans="1:24" x14ac:dyDescent="0.25">
      <c r="A35" s="2">
        <v>1190721</v>
      </c>
      <c r="B35" s="3">
        <v>1337.5</v>
      </c>
      <c r="C35" s="3">
        <v>4940</v>
      </c>
      <c r="D35" s="3">
        <v>950</v>
      </c>
      <c r="E35" s="3">
        <v>2656.25</v>
      </c>
      <c r="F35">
        <f t="shared" si="3"/>
        <v>1190721</v>
      </c>
      <c r="G35" s="3">
        <f t="shared" si="4"/>
        <v>1337.5</v>
      </c>
      <c r="H35" s="3">
        <f t="shared" si="5"/>
        <v>4940</v>
      </c>
      <c r="I35" s="3">
        <f t="shared" si="6"/>
        <v>950</v>
      </c>
      <c r="J35" s="3">
        <f t="shared" si="7"/>
        <v>2656.25</v>
      </c>
      <c r="K35" s="5">
        <f t="shared" si="8"/>
        <v>9883.75</v>
      </c>
      <c r="L35" s="5">
        <f t="shared" si="9"/>
        <v>9883.75</v>
      </c>
      <c r="M35" s="5">
        <f t="shared" si="10"/>
        <v>0</v>
      </c>
      <c r="N35" s="3"/>
    </row>
    <row r="36" spans="1:24" x14ac:dyDescent="0.25">
      <c r="A36" s="2">
        <v>1190722</v>
      </c>
      <c r="B36" s="3">
        <v>1331.25</v>
      </c>
      <c r="C36" s="3">
        <v>4720</v>
      </c>
      <c r="D36" s="3">
        <v>1118.75</v>
      </c>
      <c r="E36" s="3">
        <v>2500</v>
      </c>
      <c r="F36">
        <f t="shared" si="3"/>
        <v>1190722</v>
      </c>
      <c r="G36" s="3">
        <f t="shared" si="4"/>
        <v>1331.25</v>
      </c>
      <c r="H36" s="3">
        <f t="shared" si="5"/>
        <v>4720</v>
      </c>
      <c r="I36" s="3">
        <f t="shared" si="6"/>
        <v>1118.75</v>
      </c>
      <c r="J36" s="3">
        <f t="shared" si="7"/>
        <v>2500</v>
      </c>
      <c r="K36" s="5">
        <f t="shared" si="8"/>
        <v>9670</v>
      </c>
      <c r="L36" s="5">
        <f t="shared" si="9"/>
        <v>9883.75</v>
      </c>
      <c r="M36" s="5">
        <f t="shared" si="10"/>
        <v>-213.75</v>
      </c>
      <c r="N36" s="3"/>
    </row>
    <row r="37" spans="1:24" x14ac:dyDescent="0.25">
      <c r="A37" s="2">
        <v>1190723</v>
      </c>
      <c r="B37" s="3">
        <v>1087.5</v>
      </c>
      <c r="C37" s="3">
        <v>4560</v>
      </c>
      <c r="D37" s="3">
        <v>1031.25</v>
      </c>
      <c r="E37" s="3">
        <v>1562.5</v>
      </c>
      <c r="F37">
        <f t="shared" si="3"/>
        <v>1190723</v>
      </c>
      <c r="G37" s="3">
        <f t="shared" si="4"/>
        <v>1087.5</v>
      </c>
      <c r="H37" s="3">
        <f t="shared" si="5"/>
        <v>4560</v>
      </c>
      <c r="I37" s="3">
        <f t="shared" si="6"/>
        <v>1031.25</v>
      </c>
      <c r="J37" s="3">
        <f t="shared" si="7"/>
        <v>1562.5</v>
      </c>
      <c r="K37" s="5">
        <f t="shared" si="8"/>
        <v>8241.25</v>
      </c>
      <c r="L37" s="5">
        <f t="shared" si="9"/>
        <v>9670</v>
      </c>
      <c r="M37" s="5">
        <f t="shared" si="10"/>
        <v>-1428.75</v>
      </c>
      <c r="N37" s="3"/>
    </row>
    <row r="38" spans="1:24" x14ac:dyDescent="0.25">
      <c r="A38" s="2">
        <v>1190724</v>
      </c>
      <c r="B38" s="3">
        <v>1243.75</v>
      </c>
      <c r="C38" s="3">
        <v>4600</v>
      </c>
      <c r="D38" s="3">
        <v>543.75</v>
      </c>
      <c r="E38" s="3">
        <v>-625</v>
      </c>
      <c r="F38">
        <f t="shared" si="3"/>
        <v>1190724</v>
      </c>
      <c r="G38" s="3">
        <f t="shared" si="4"/>
        <v>1243.75</v>
      </c>
      <c r="H38" s="3">
        <f t="shared" si="5"/>
        <v>4600</v>
      </c>
      <c r="I38" s="3">
        <f t="shared" si="6"/>
        <v>543.75</v>
      </c>
      <c r="J38" s="3">
        <f t="shared" si="7"/>
        <v>-625</v>
      </c>
      <c r="K38" s="5">
        <f t="shared" si="8"/>
        <v>5762.5</v>
      </c>
      <c r="L38" s="5">
        <f t="shared" si="9"/>
        <v>8241.25</v>
      </c>
      <c r="M38" s="5">
        <f t="shared" si="10"/>
        <v>-2478.75</v>
      </c>
      <c r="N38" s="3"/>
    </row>
    <row r="39" spans="1:24" x14ac:dyDescent="0.25">
      <c r="A39" s="2">
        <v>1190725</v>
      </c>
      <c r="B39" s="3">
        <v>1506.25</v>
      </c>
      <c r="C39" s="3">
        <v>5020</v>
      </c>
      <c r="D39" s="3">
        <v>131.25</v>
      </c>
      <c r="E39" s="3">
        <v>234.4</v>
      </c>
      <c r="F39">
        <f t="shared" si="3"/>
        <v>1190725</v>
      </c>
      <c r="G39" s="3">
        <f t="shared" si="4"/>
        <v>1506.25</v>
      </c>
      <c r="H39" s="3">
        <f t="shared" si="5"/>
        <v>5020</v>
      </c>
      <c r="I39" s="3">
        <f t="shared" si="6"/>
        <v>131.25</v>
      </c>
      <c r="J39" s="3">
        <f t="shared" si="7"/>
        <v>234.4</v>
      </c>
      <c r="K39" s="5">
        <f t="shared" si="8"/>
        <v>6891.9</v>
      </c>
      <c r="L39" s="5">
        <f t="shared" si="9"/>
        <v>6891.9</v>
      </c>
      <c r="M39" s="5">
        <f t="shared" si="10"/>
        <v>0</v>
      </c>
      <c r="N39" s="3"/>
    </row>
    <row r="40" spans="1:24" x14ac:dyDescent="0.25">
      <c r="A40" s="2">
        <v>1190726</v>
      </c>
      <c r="B40" s="3">
        <v>1275</v>
      </c>
      <c r="C40" s="3">
        <v>3990</v>
      </c>
      <c r="D40" s="3">
        <v>493.75</v>
      </c>
      <c r="E40" s="3">
        <v>1171.9000000000001</v>
      </c>
      <c r="F40">
        <f t="shared" si="3"/>
        <v>1190726</v>
      </c>
      <c r="G40" s="3">
        <f t="shared" si="4"/>
        <v>1275</v>
      </c>
      <c r="H40" s="3">
        <f t="shared" si="5"/>
        <v>3990</v>
      </c>
      <c r="I40" s="3">
        <f t="shared" si="6"/>
        <v>493.75</v>
      </c>
      <c r="J40" s="3">
        <f t="shared" si="7"/>
        <v>1171.9000000000001</v>
      </c>
      <c r="K40" s="5">
        <f t="shared" si="8"/>
        <v>6930.65</v>
      </c>
      <c r="L40" s="5">
        <f t="shared" si="9"/>
        <v>6930.65</v>
      </c>
      <c r="M40" s="5">
        <f t="shared" si="10"/>
        <v>0</v>
      </c>
      <c r="N40" s="3"/>
    </row>
    <row r="41" spans="1:24" x14ac:dyDescent="0.25">
      <c r="A41" s="2">
        <v>1190728</v>
      </c>
      <c r="B41" s="3">
        <v>1187.5</v>
      </c>
      <c r="C41" s="3">
        <v>3070</v>
      </c>
      <c r="D41" s="3">
        <v>362.5</v>
      </c>
      <c r="E41" s="3">
        <v>1171.9000000000001</v>
      </c>
      <c r="F41">
        <f t="shared" si="3"/>
        <v>1190728</v>
      </c>
      <c r="G41" s="3">
        <f t="shared" si="4"/>
        <v>1187.5</v>
      </c>
      <c r="H41" s="3">
        <f t="shared" si="5"/>
        <v>3070</v>
      </c>
      <c r="I41" s="3">
        <f t="shared" si="6"/>
        <v>362.5</v>
      </c>
      <c r="J41" s="3">
        <f t="shared" si="7"/>
        <v>1171.9000000000001</v>
      </c>
      <c r="K41" s="5">
        <f t="shared" si="8"/>
        <v>5791.9</v>
      </c>
      <c r="L41" s="5">
        <f t="shared" si="9"/>
        <v>6930.65</v>
      </c>
      <c r="M41" s="5">
        <f t="shared" si="10"/>
        <v>-1138.75</v>
      </c>
      <c r="N41" s="3"/>
    </row>
    <row r="42" spans="1:24" x14ac:dyDescent="0.25">
      <c r="A42" s="2">
        <v>1190729</v>
      </c>
      <c r="B42" s="3">
        <v>1100</v>
      </c>
      <c r="C42" s="3">
        <v>2960</v>
      </c>
      <c r="D42" s="3">
        <v>337.5</v>
      </c>
      <c r="E42" s="3">
        <v>1093.75</v>
      </c>
      <c r="F42">
        <f t="shared" si="3"/>
        <v>1190729</v>
      </c>
      <c r="G42" s="3">
        <f t="shared" si="4"/>
        <v>1100</v>
      </c>
      <c r="H42" s="3">
        <f t="shared" si="5"/>
        <v>2960</v>
      </c>
      <c r="I42" s="3">
        <f t="shared" si="6"/>
        <v>337.5</v>
      </c>
      <c r="J42" s="3">
        <f t="shared" si="7"/>
        <v>1093.75</v>
      </c>
      <c r="K42" s="5">
        <f t="shared" si="8"/>
        <v>5491.25</v>
      </c>
      <c r="L42" s="5">
        <f t="shared" si="9"/>
        <v>5791.9</v>
      </c>
      <c r="M42" s="5">
        <f t="shared" si="10"/>
        <v>-300.64999999999964</v>
      </c>
      <c r="N42" s="3"/>
    </row>
    <row r="43" spans="1:24" x14ac:dyDescent="0.25">
      <c r="A43" s="2">
        <v>1190730</v>
      </c>
      <c r="B43" s="3">
        <v>818.75</v>
      </c>
      <c r="C43" s="3">
        <v>3090</v>
      </c>
      <c r="D43" s="3">
        <v>156.25</v>
      </c>
      <c r="E43" s="3">
        <v>312.5</v>
      </c>
      <c r="F43">
        <f t="shared" si="3"/>
        <v>1190730</v>
      </c>
      <c r="G43" s="3">
        <f t="shared" si="4"/>
        <v>818.75</v>
      </c>
      <c r="H43" s="3">
        <f t="shared" si="5"/>
        <v>3090</v>
      </c>
      <c r="I43" s="3">
        <f t="shared" si="6"/>
        <v>156.25</v>
      </c>
      <c r="J43" s="3">
        <f t="shared" si="7"/>
        <v>312.5</v>
      </c>
      <c r="K43" s="5">
        <f t="shared" si="8"/>
        <v>4377.5</v>
      </c>
      <c r="L43" s="5">
        <f t="shared" si="9"/>
        <v>5491.25</v>
      </c>
      <c r="M43" s="5">
        <f t="shared" si="10"/>
        <v>-1113.75</v>
      </c>
      <c r="N43" s="3"/>
    </row>
    <row r="44" spans="1:24" x14ac:dyDescent="0.25">
      <c r="A44" s="2">
        <v>1190731</v>
      </c>
      <c r="B44" s="3">
        <v>1212.5</v>
      </c>
      <c r="C44" s="3">
        <v>3270</v>
      </c>
      <c r="D44" s="3">
        <v>-175</v>
      </c>
      <c r="E44" s="3">
        <v>-156.25</v>
      </c>
      <c r="F44">
        <f t="shared" si="3"/>
        <v>1190731</v>
      </c>
      <c r="G44" s="3">
        <f t="shared" si="4"/>
        <v>1212.5</v>
      </c>
      <c r="H44" s="3">
        <f t="shared" si="5"/>
        <v>3270</v>
      </c>
      <c r="I44" s="3">
        <f t="shared" si="6"/>
        <v>-175</v>
      </c>
      <c r="J44" s="3">
        <f t="shared" si="7"/>
        <v>-156.25</v>
      </c>
      <c r="K44" s="5">
        <f t="shared" si="8"/>
        <v>4151.25</v>
      </c>
      <c r="L44" s="5">
        <f t="shared" si="9"/>
        <v>4377.5</v>
      </c>
      <c r="M44" s="5">
        <f t="shared" si="10"/>
        <v>-226.25</v>
      </c>
      <c r="N44" s="3"/>
    </row>
    <row r="45" spans="1:24" x14ac:dyDescent="0.25">
      <c r="A45" s="2">
        <v>1190801</v>
      </c>
      <c r="B45" s="3">
        <v>2031.25</v>
      </c>
      <c r="C45" s="3">
        <v>3540</v>
      </c>
      <c r="D45" s="3">
        <v>312.5</v>
      </c>
      <c r="E45" s="3">
        <v>-2343.75</v>
      </c>
      <c r="F45">
        <f t="shared" si="3"/>
        <v>1190801</v>
      </c>
      <c r="G45" s="3">
        <f t="shared" si="4"/>
        <v>2031.25</v>
      </c>
      <c r="H45" s="3">
        <f t="shared" si="5"/>
        <v>3540</v>
      </c>
      <c r="I45" s="3">
        <f t="shared" si="6"/>
        <v>312.5</v>
      </c>
      <c r="J45" s="3">
        <f t="shared" si="7"/>
        <v>-2343.75</v>
      </c>
      <c r="K45" s="5">
        <f t="shared" si="8"/>
        <v>3540</v>
      </c>
      <c r="L45" s="5">
        <f t="shared" si="9"/>
        <v>4151.25</v>
      </c>
      <c r="M45" s="5">
        <f t="shared" si="10"/>
        <v>-611.25</v>
      </c>
      <c r="N45" s="3"/>
    </row>
    <row r="46" spans="1:24" x14ac:dyDescent="0.25">
      <c r="A46" s="2">
        <v>1190802</v>
      </c>
      <c r="B46" s="3">
        <v>1850</v>
      </c>
      <c r="C46" s="3">
        <v>830</v>
      </c>
      <c r="D46" s="3">
        <v>2031.25</v>
      </c>
      <c r="E46" s="3">
        <v>4375</v>
      </c>
      <c r="F46">
        <f t="shared" si="3"/>
        <v>1190802</v>
      </c>
      <c r="G46" s="3">
        <f t="shared" si="4"/>
        <v>1850</v>
      </c>
      <c r="H46" s="3">
        <f t="shared" si="5"/>
        <v>830</v>
      </c>
      <c r="I46" s="3">
        <f t="shared" si="6"/>
        <v>2031.25</v>
      </c>
      <c r="J46" s="3">
        <f t="shared" si="7"/>
        <v>4375</v>
      </c>
      <c r="K46" s="5">
        <f t="shared" si="8"/>
        <v>9086.25</v>
      </c>
      <c r="L46" s="5">
        <f t="shared" si="9"/>
        <v>9086.25</v>
      </c>
      <c r="M46" s="5">
        <f t="shared" si="10"/>
        <v>0</v>
      </c>
      <c r="N46" s="3"/>
    </row>
    <row r="47" spans="1:24" x14ac:dyDescent="0.25">
      <c r="A47" s="2">
        <v>1190804</v>
      </c>
      <c r="B47" s="3">
        <v>2356.25</v>
      </c>
      <c r="C47" s="3">
        <v>-10</v>
      </c>
      <c r="D47" s="3">
        <v>1543.75</v>
      </c>
      <c r="E47" s="3">
        <v>1875</v>
      </c>
      <c r="F47">
        <f t="shared" si="3"/>
        <v>1190804</v>
      </c>
      <c r="G47" s="3">
        <f t="shared" si="4"/>
        <v>2356.25</v>
      </c>
      <c r="H47" s="3">
        <f t="shared" si="5"/>
        <v>-10</v>
      </c>
      <c r="I47" s="3">
        <f t="shared" si="6"/>
        <v>1543.75</v>
      </c>
      <c r="J47" s="3">
        <f t="shared" si="7"/>
        <v>1875</v>
      </c>
      <c r="K47" s="5">
        <f t="shared" si="8"/>
        <v>5765</v>
      </c>
      <c r="L47" s="5">
        <f t="shared" si="9"/>
        <v>9086.25</v>
      </c>
      <c r="M47" s="5">
        <f t="shared" si="10"/>
        <v>-3321.25</v>
      </c>
      <c r="N47" s="3"/>
    </row>
    <row r="48" spans="1:24" x14ac:dyDescent="0.25">
      <c r="A48" s="2">
        <v>1190805</v>
      </c>
      <c r="B48" s="3">
        <v>2356.25</v>
      </c>
      <c r="C48" s="3">
        <v>1430</v>
      </c>
      <c r="D48" s="3">
        <v>2206.25</v>
      </c>
      <c r="E48" s="3">
        <v>-1015.6</v>
      </c>
      <c r="F48">
        <f t="shared" si="3"/>
        <v>1190805</v>
      </c>
      <c r="G48" s="3">
        <f t="shared" si="4"/>
        <v>2356.25</v>
      </c>
      <c r="H48" s="3">
        <f t="shared" si="5"/>
        <v>1430</v>
      </c>
      <c r="I48" s="3">
        <f t="shared" si="6"/>
        <v>2206.25</v>
      </c>
      <c r="J48" s="3">
        <f t="shared" si="7"/>
        <v>-1015.6</v>
      </c>
      <c r="K48" s="5">
        <f t="shared" si="8"/>
        <v>4976.8999999999996</v>
      </c>
      <c r="L48" s="5">
        <f t="shared" si="9"/>
        <v>5765</v>
      </c>
      <c r="M48" s="5">
        <f t="shared" si="10"/>
        <v>-788.10000000000036</v>
      </c>
      <c r="N48" s="3"/>
    </row>
    <row r="49" spans="1:14" x14ac:dyDescent="0.25">
      <c r="A49" s="2">
        <v>1190806</v>
      </c>
      <c r="B49" s="3">
        <v>3325</v>
      </c>
      <c r="C49" s="3">
        <v>2650</v>
      </c>
      <c r="D49" s="3">
        <v>2231.25</v>
      </c>
      <c r="E49" s="3">
        <v>-2265.6</v>
      </c>
      <c r="F49">
        <f t="shared" si="3"/>
        <v>1190806</v>
      </c>
      <c r="G49" s="3">
        <f t="shared" si="4"/>
        <v>3325</v>
      </c>
      <c r="H49" s="3">
        <f t="shared" si="5"/>
        <v>2650</v>
      </c>
      <c r="I49" s="3">
        <f t="shared" si="6"/>
        <v>2231.25</v>
      </c>
      <c r="J49" s="3">
        <f t="shared" si="7"/>
        <v>-2265.6</v>
      </c>
      <c r="K49" s="5">
        <f t="shared" si="8"/>
        <v>5940.65</v>
      </c>
      <c r="L49" s="5">
        <f t="shared" si="9"/>
        <v>5940.65</v>
      </c>
      <c r="M49" s="5">
        <f t="shared" si="10"/>
        <v>0</v>
      </c>
      <c r="N49" s="3"/>
    </row>
    <row r="50" spans="1:14" x14ac:dyDescent="0.25">
      <c r="A50" s="2">
        <v>1190807</v>
      </c>
      <c r="B50" s="3">
        <v>2350</v>
      </c>
      <c r="C50" s="3">
        <v>2650</v>
      </c>
      <c r="D50" s="3">
        <v>2062.5</v>
      </c>
      <c r="E50" s="3">
        <v>-4843.75</v>
      </c>
      <c r="F50">
        <f t="shared" si="3"/>
        <v>1190807</v>
      </c>
      <c r="G50" s="3">
        <f t="shared" si="4"/>
        <v>2350</v>
      </c>
      <c r="H50" s="3">
        <f t="shared" si="5"/>
        <v>2650</v>
      </c>
      <c r="I50" s="3">
        <f t="shared" si="6"/>
        <v>2062.5</v>
      </c>
      <c r="J50" s="3">
        <f t="shared" si="7"/>
        <v>-4843.75</v>
      </c>
      <c r="K50" s="5">
        <f t="shared" si="8"/>
        <v>2218.75</v>
      </c>
      <c r="L50" s="5">
        <f t="shared" si="9"/>
        <v>5940.65</v>
      </c>
      <c r="M50" s="5">
        <f t="shared" si="10"/>
        <v>-3721.8999999999996</v>
      </c>
      <c r="N50" s="3"/>
    </row>
    <row r="51" spans="1:14" x14ac:dyDescent="0.25">
      <c r="A51" s="2">
        <v>1190808</v>
      </c>
      <c r="B51" s="3">
        <v>2950</v>
      </c>
      <c r="C51" s="3">
        <v>3460</v>
      </c>
      <c r="D51" s="3">
        <v>1681.25</v>
      </c>
      <c r="E51" s="3">
        <v>-8750</v>
      </c>
      <c r="F51">
        <f t="shared" si="3"/>
        <v>1190808</v>
      </c>
      <c r="G51" s="3">
        <f t="shared" si="4"/>
        <v>2950</v>
      </c>
      <c r="H51" s="3">
        <f t="shared" si="5"/>
        <v>3460</v>
      </c>
      <c r="I51" s="3">
        <f t="shared" si="6"/>
        <v>1681.25</v>
      </c>
      <c r="J51" s="3">
        <f t="shared" si="7"/>
        <v>-8750</v>
      </c>
      <c r="K51" s="5">
        <f t="shared" si="8"/>
        <v>-658.75</v>
      </c>
      <c r="L51" s="5">
        <f t="shared" si="9"/>
        <v>2218.75</v>
      </c>
      <c r="M51" s="5">
        <f t="shared" si="10"/>
        <v>-2877.5</v>
      </c>
      <c r="N51" s="3"/>
    </row>
    <row r="52" spans="1:14" x14ac:dyDescent="0.25">
      <c r="A52" s="2">
        <v>1190809</v>
      </c>
      <c r="B52" s="3">
        <v>3450</v>
      </c>
      <c r="C52" s="3">
        <v>1830</v>
      </c>
      <c r="D52" s="3">
        <v>700</v>
      </c>
      <c r="E52" s="3">
        <v>-11640.599999999999</v>
      </c>
      <c r="F52">
        <f t="shared" si="3"/>
        <v>1190809</v>
      </c>
      <c r="G52" s="3">
        <f t="shared" si="4"/>
        <v>3450</v>
      </c>
      <c r="H52" s="3">
        <f t="shared" si="5"/>
        <v>1830</v>
      </c>
      <c r="I52" s="3">
        <f t="shared" si="6"/>
        <v>700</v>
      </c>
      <c r="J52" s="3">
        <f t="shared" si="7"/>
        <v>-11640.599999999999</v>
      </c>
      <c r="K52" s="5">
        <f t="shared" si="8"/>
        <v>-5660.5999999999985</v>
      </c>
      <c r="L52" s="5">
        <f t="shared" si="9"/>
        <v>-658.75</v>
      </c>
      <c r="M52" s="5">
        <f t="shared" si="10"/>
        <v>-5001.8499999999985</v>
      </c>
      <c r="N52" s="3"/>
    </row>
    <row r="53" spans="1:14" x14ac:dyDescent="0.25">
      <c r="A53" s="2">
        <v>1190811</v>
      </c>
      <c r="B53" s="3">
        <v>3162.5</v>
      </c>
      <c r="C53" s="3">
        <v>2740</v>
      </c>
      <c r="D53" s="3">
        <v>1106.25</v>
      </c>
      <c r="E53" s="3">
        <v>-10000</v>
      </c>
      <c r="F53">
        <f t="shared" si="3"/>
        <v>1190811</v>
      </c>
      <c r="G53" s="3">
        <f t="shared" si="4"/>
        <v>3162.5</v>
      </c>
      <c r="H53" s="3">
        <f t="shared" si="5"/>
        <v>2740</v>
      </c>
      <c r="I53" s="3">
        <f t="shared" si="6"/>
        <v>1106.25</v>
      </c>
      <c r="J53" s="3">
        <f t="shared" si="7"/>
        <v>-10000</v>
      </c>
      <c r="K53" s="5">
        <f t="shared" si="8"/>
        <v>-2991.25</v>
      </c>
      <c r="L53" s="5">
        <f t="shared" si="9"/>
        <v>-2991.25</v>
      </c>
      <c r="M53" s="5">
        <f t="shared" si="10"/>
        <v>0</v>
      </c>
      <c r="N53" s="3"/>
    </row>
    <row r="54" spans="1:14" x14ac:dyDescent="0.25">
      <c r="A54" s="2">
        <v>1190812</v>
      </c>
      <c r="B54" s="3">
        <v>3118.75</v>
      </c>
      <c r="C54" s="3">
        <v>2740</v>
      </c>
      <c r="D54" s="3">
        <v>1362.5</v>
      </c>
      <c r="E54" s="3">
        <v>-10156.25</v>
      </c>
      <c r="F54">
        <f t="shared" si="3"/>
        <v>1190812</v>
      </c>
      <c r="G54" s="3">
        <f t="shared" si="4"/>
        <v>3118.75</v>
      </c>
      <c r="H54" s="3">
        <f t="shared" si="5"/>
        <v>2740</v>
      </c>
      <c r="I54" s="3">
        <f t="shared" si="6"/>
        <v>1362.5</v>
      </c>
      <c r="J54" s="3">
        <f t="shared" si="7"/>
        <v>-10156.25</v>
      </c>
      <c r="K54" s="5">
        <f t="shared" si="8"/>
        <v>-2935</v>
      </c>
      <c r="L54" s="5">
        <f t="shared" si="9"/>
        <v>-2935</v>
      </c>
      <c r="M54" s="5">
        <f t="shared" si="10"/>
        <v>0</v>
      </c>
      <c r="N54" s="3"/>
    </row>
    <row r="55" spans="1:14" x14ac:dyDescent="0.25">
      <c r="A55" s="2">
        <v>1190813</v>
      </c>
      <c r="B55" s="3">
        <v>3906.25</v>
      </c>
      <c r="C55" s="3">
        <v>4640</v>
      </c>
      <c r="D55" s="3">
        <v>993.75</v>
      </c>
      <c r="E55" s="3">
        <v>-11171.900000000001</v>
      </c>
      <c r="F55">
        <f t="shared" si="3"/>
        <v>1190813</v>
      </c>
      <c r="G55" s="3">
        <f t="shared" si="4"/>
        <v>3906.25</v>
      </c>
      <c r="H55" s="3">
        <f t="shared" si="5"/>
        <v>4640</v>
      </c>
      <c r="I55" s="3">
        <f t="shared" si="6"/>
        <v>993.75</v>
      </c>
      <c r="J55" s="3">
        <f t="shared" si="7"/>
        <v>-11171.900000000001</v>
      </c>
      <c r="K55" s="5">
        <f t="shared" si="8"/>
        <v>-1631.9000000000015</v>
      </c>
      <c r="L55" s="5">
        <f t="shared" si="9"/>
        <v>-1631.9000000000015</v>
      </c>
      <c r="M55" s="5">
        <f t="shared" si="10"/>
        <v>0</v>
      </c>
      <c r="N55" s="3"/>
    </row>
    <row r="56" spans="1:14" x14ac:dyDescent="0.25">
      <c r="A56" s="2">
        <v>1190814</v>
      </c>
      <c r="B56" s="3">
        <v>2556.25</v>
      </c>
      <c r="C56" s="3">
        <v>3140</v>
      </c>
      <c r="D56" s="3">
        <v>2262.5</v>
      </c>
      <c r="E56" s="3">
        <v>-9843.75</v>
      </c>
      <c r="F56">
        <f t="shared" si="3"/>
        <v>1190814</v>
      </c>
      <c r="G56" s="3">
        <f t="shared" si="4"/>
        <v>2556.25</v>
      </c>
      <c r="H56" s="3">
        <f t="shared" si="5"/>
        <v>3140</v>
      </c>
      <c r="I56" s="3">
        <f t="shared" si="6"/>
        <v>2262.5</v>
      </c>
      <c r="J56" s="3">
        <f t="shared" si="7"/>
        <v>-9843.75</v>
      </c>
      <c r="K56" s="5">
        <f t="shared" si="8"/>
        <v>-1885</v>
      </c>
      <c r="L56" s="5">
        <f t="shared" si="9"/>
        <v>-1631.9000000000015</v>
      </c>
      <c r="M56" s="5">
        <f t="shared" si="10"/>
        <v>-253.09999999999854</v>
      </c>
      <c r="N56" s="3"/>
    </row>
    <row r="57" spans="1:14" x14ac:dyDescent="0.25">
      <c r="A57" s="2">
        <v>1190815</v>
      </c>
      <c r="B57" s="3">
        <v>1787.5</v>
      </c>
      <c r="C57" s="3">
        <v>4990</v>
      </c>
      <c r="D57" s="3">
        <v>1975</v>
      </c>
      <c r="E57" s="3">
        <v>-10156.25</v>
      </c>
      <c r="F57">
        <f t="shared" si="3"/>
        <v>1190815</v>
      </c>
      <c r="G57" s="3">
        <f t="shared" si="4"/>
        <v>1787.5</v>
      </c>
      <c r="H57" s="3">
        <f t="shared" si="5"/>
        <v>4990</v>
      </c>
      <c r="I57" s="3">
        <f t="shared" si="6"/>
        <v>1975</v>
      </c>
      <c r="J57" s="3">
        <f t="shared" si="7"/>
        <v>-10156.25</v>
      </c>
      <c r="K57" s="5">
        <f t="shared" si="8"/>
        <v>-1403.75</v>
      </c>
      <c r="L57" s="5">
        <f t="shared" si="9"/>
        <v>-1403.75</v>
      </c>
      <c r="M57" s="5">
        <f t="shared" si="10"/>
        <v>0</v>
      </c>
      <c r="N57" s="3"/>
    </row>
    <row r="58" spans="1:14" x14ac:dyDescent="0.25">
      <c r="A58" s="2">
        <v>1190816</v>
      </c>
      <c r="B58" s="3">
        <v>1806.25</v>
      </c>
      <c r="C58" s="3">
        <v>2380</v>
      </c>
      <c r="D58" s="3">
        <v>1718.75</v>
      </c>
      <c r="E58" s="3">
        <v>-14453.099999999999</v>
      </c>
      <c r="F58">
        <f t="shared" si="3"/>
        <v>1190816</v>
      </c>
      <c r="G58" s="3">
        <f t="shared" si="4"/>
        <v>1806.25</v>
      </c>
      <c r="H58" s="3">
        <f t="shared" si="5"/>
        <v>2380</v>
      </c>
      <c r="I58" s="3">
        <f t="shared" si="6"/>
        <v>1718.75</v>
      </c>
      <c r="J58" s="3">
        <f t="shared" si="7"/>
        <v>-14453.099999999999</v>
      </c>
      <c r="K58" s="5">
        <f t="shared" si="8"/>
        <v>-8548.0999999999985</v>
      </c>
      <c r="L58" s="5">
        <f t="shared" si="9"/>
        <v>-1403.75</v>
      </c>
      <c r="M58" s="5">
        <f t="shared" si="10"/>
        <v>-7144.3499999999985</v>
      </c>
      <c r="N58" s="3"/>
    </row>
    <row r="59" spans="1:14" x14ac:dyDescent="0.25">
      <c r="A59" s="2">
        <v>1190818</v>
      </c>
      <c r="B59" s="3">
        <v>2437.5</v>
      </c>
      <c r="C59" s="3">
        <v>3050</v>
      </c>
      <c r="D59" s="3">
        <v>1318.75</v>
      </c>
      <c r="E59" s="3">
        <v>-13281.25</v>
      </c>
      <c r="F59">
        <f t="shared" si="3"/>
        <v>1190818</v>
      </c>
      <c r="G59" s="3">
        <f t="shared" si="4"/>
        <v>2437.5</v>
      </c>
      <c r="H59" s="3">
        <f t="shared" si="5"/>
        <v>3050</v>
      </c>
      <c r="I59" s="3">
        <f t="shared" si="6"/>
        <v>1318.75</v>
      </c>
      <c r="J59" s="3">
        <f t="shared" si="7"/>
        <v>-13281.25</v>
      </c>
      <c r="K59" s="5">
        <f t="shared" si="8"/>
        <v>-6475</v>
      </c>
      <c r="L59" s="5">
        <f t="shared" si="9"/>
        <v>-6475</v>
      </c>
      <c r="M59" s="5">
        <f t="shared" si="10"/>
        <v>0</v>
      </c>
      <c r="N59" s="3"/>
    </row>
    <row r="60" spans="1:14" x14ac:dyDescent="0.25">
      <c r="A60" s="2">
        <v>1190819</v>
      </c>
      <c r="B60" s="3">
        <v>2512.5</v>
      </c>
      <c r="C60" s="3">
        <v>3050</v>
      </c>
      <c r="D60" s="3">
        <v>1456.25</v>
      </c>
      <c r="E60" s="3">
        <v>-13046.900000000001</v>
      </c>
      <c r="F60">
        <f t="shared" si="3"/>
        <v>1190819</v>
      </c>
      <c r="G60" s="3">
        <f t="shared" si="4"/>
        <v>2512.5</v>
      </c>
      <c r="H60" s="3">
        <f t="shared" si="5"/>
        <v>3050</v>
      </c>
      <c r="I60" s="3">
        <f t="shared" si="6"/>
        <v>1456.25</v>
      </c>
      <c r="J60" s="3">
        <f t="shared" si="7"/>
        <v>-13046.900000000001</v>
      </c>
      <c r="K60" s="5">
        <f t="shared" si="8"/>
        <v>-6028.1500000000015</v>
      </c>
      <c r="L60" s="5">
        <f t="shared" si="9"/>
        <v>-6028.1500000000015</v>
      </c>
      <c r="M60" s="5">
        <f t="shared" si="10"/>
        <v>0</v>
      </c>
      <c r="N60" s="3"/>
    </row>
    <row r="61" spans="1:14" x14ac:dyDescent="0.25">
      <c r="A61" s="2">
        <v>1190820</v>
      </c>
      <c r="B61" s="3">
        <v>2900</v>
      </c>
      <c r="C61" s="3">
        <v>4050</v>
      </c>
      <c r="D61" s="3">
        <v>1006.25</v>
      </c>
      <c r="E61" s="3">
        <v>-12265.599999999999</v>
      </c>
      <c r="F61">
        <f t="shared" si="3"/>
        <v>1190820</v>
      </c>
      <c r="G61" s="3">
        <f t="shared" si="4"/>
        <v>2900</v>
      </c>
      <c r="H61" s="3">
        <f t="shared" si="5"/>
        <v>4050</v>
      </c>
      <c r="I61" s="3">
        <f t="shared" si="6"/>
        <v>1006.25</v>
      </c>
      <c r="J61" s="3">
        <f t="shared" si="7"/>
        <v>-12265.599999999999</v>
      </c>
      <c r="K61" s="5">
        <f t="shared" si="8"/>
        <v>-4309.3499999999985</v>
      </c>
      <c r="L61" s="5">
        <f t="shared" si="9"/>
        <v>-4309.3499999999985</v>
      </c>
      <c r="M61" s="5">
        <f t="shared" si="10"/>
        <v>0</v>
      </c>
      <c r="N61" s="3"/>
    </row>
    <row r="62" spans="1:14" x14ac:dyDescent="0.25">
      <c r="A62" s="2">
        <v>1190821</v>
      </c>
      <c r="B62" s="3">
        <v>2556.25</v>
      </c>
      <c r="C62" s="3">
        <v>3750</v>
      </c>
      <c r="D62" s="3">
        <v>487.5</v>
      </c>
      <c r="E62" s="3">
        <v>-14296.900000000001</v>
      </c>
      <c r="F62">
        <f t="shared" si="3"/>
        <v>1190821</v>
      </c>
      <c r="G62" s="3">
        <f t="shared" si="4"/>
        <v>2556.25</v>
      </c>
      <c r="H62" s="3">
        <f t="shared" si="5"/>
        <v>3750</v>
      </c>
      <c r="I62" s="3">
        <f t="shared" si="6"/>
        <v>487.5</v>
      </c>
      <c r="J62" s="3">
        <f t="shared" si="7"/>
        <v>-14296.900000000001</v>
      </c>
      <c r="K62" s="5">
        <f t="shared" si="8"/>
        <v>-7503.1500000000015</v>
      </c>
      <c r="L62" s="5">
        <f t="shared" si="9"/>
        <v>-4309.3499999999985</v>
      </c>
      <c r="M62" s="5">
        <f t="shared" si="10"/>
        <v>-3193.8000000000029</v>
      </c>
      <c r="N62" s="3"/>
    </row>
    <row r="63" spans="1:14" x14ac:dyDescent="0.25">
      <c r="A63" s="2">
        <v>1190822</v>
      </c>
      <c r="B63" s="3">
        <v>2068.75</v>
      </c>
      <c r="C63" s="3">
        <v>3500</v>
      </c>
      <c r="D63" s="3">
        <v>-337.5</v>
      </c>
      <c r="E63" s="3">
        <v>-14453.099999999999</v>
      </c>
      <c r="F63">
        <f t="shared" si="3"/>
        <v>1190822</v>
      </c>
      <c r="G63" s="3">
        <f t="shared" si="4"/>
        <v>2068.75</v>
      </c>
      <c r="H63" s="3">
        <f t="shared" si="5"/>
        <v>3500</v>
      </c>
      <c r="I63" s="3">
        <f t="shared" si="6"/>
        <v>-337.5</v>
      </c>
      <c r="J63" s="3">
        <f t="shared" si="7"/>
        <v>-14453.099999999999</v>
      </c>
      <c r="K63" s="5">
        <f t="shared" si="8"/>
        <v>-9221.8499999999985</v>
      </c>
      <c r="L63" s="5">
        <f t="shared" si="9"/>
        <v>-7503.1500000000015</v>
      </c>
      <c r="M63" s="5">
        <f t="shared" si="10"/>
        <v>-1718.6999999999971</v>
      </c>
      <c r="N63" s="3"/>
    </row>
    <row r="64" spans="1:14" x14ac:dyDescent="0.25">
      <c r="A64" s="2">
        <v>1190823</v>
      </c>
      <c r="B64" s="3">
        <v>1731.25</v>
      </c>
      <c r="C64" s="3">
        <v>3820</v>
      </c>
      <c r="D64" s="3">
        <v>-162.5</v>
      </c>
      <c r="E64" s="3">
        <v>-13359.400000000001</v>
      </c>
      <c r="F64">
        <f t="shared" si="3"/>
        <v>1190823</v>
      </c>
      <c r="G64" s="3">
        <f t="shared" si="4"/>
        <v>1731.25</v>
      </c>
      <c r="H64" s="3">
        <f t="shared" si="5"/>
        <v>3820</v>
      </c>
      <c r="I64" s="3">
        <f t="shared" si="6"/>
        <v>-162.5</v>
      </c>
      <c r="J64" s="3">
        <f t="shared" si="7"/>
        <v>-13359.400000000001</v>
      </c>
      <c r="K64" s="5">
        <f t="shared" si="8"/>
        <v>-7970.6500000000015</v>
      </c>
      <c r="L64" s="5">
        <f t="shared" si="9"/>
        <v>-7970.6500000000015</v>
      </c>
      <c r="M64" s="5">
        <f t="shared" si="10"/>
        <v>0</v>
      </c>
      <c r="N64" s="3"/>
    </row>
    <row r="65" spans="1:14" x14ac:dyDescent="0.25">
      <c r="A65" s="2">
        <v>1190825</v>
      </c>
      <c r="B65" s="3">
        <v>4493.75</v>
      </c>
      <c r="C65" s="3">
        <v>8580</v>
      </c>
      <c r="D65" s="3">
        <v>1706.25</v>
      </c>
      <c r="E65" s="3">
        <v>-9296.9000000000015</v>
      </c>
      <c r="F65">
        <f t="shared" si="3"/>
        <v>1190825</v>
      </c>
      <c r="G65" s="3">
        <f t="shared" si="4"/>
        <v>4493.75</v>
      </c>
      <c r="H65" s="3">
        <f t="shared" si="5"/>
        <v>8580</v>
      </c>
      <c r="I65" s="3">
        <f t="shared" si="6"/>
        <v>1706.25</v>
      </c>
      <c r="J65" s="3">
        <f t="shared" si="7"/>
        <v>-9296.9000000000015</v>
      </c>
      <c r="K65" s="5">
        <f t="shared" si="8"/>
        <v>5483.0999999999985</v>
      </c>
      <c r="L65" s="5">
        <f t="shared" si="9"/>
        <v>5483.0999999999985</v>
      </c>
      <c r="M65" s="5">
        <f t="shared" si="10"/>
        <v>0</v>
      </c>
      <c r="N65" s="3"/>
    </row>
    <row r="66" spans="1:14" x14ac:dyDescent="0.25">
      <c r="A66" s="2">
        <v>1190826</v>
      </c>
      <c r="B66" s="3">
        <v>4200</v>
      </c>
      <c r="C66" s="3">
        <v>7770</v>
      </c>
      <c r="D66" s="3">
        <v>1237.5</v>
      </c>
      <c r="E66" s="3">
        <v>-8593.75</v>
      </c>
      <c r="F66">
        <f t="shared" si="3"/>
        <v>1190826</v>
      </c>
      <c r="G66" s="3">
        <f t="shared" si="4"/>
        <v>4200</v>
      </c>
      <c r="H66" s="3">
        <f t="shared" si="5"/>
        <v>7770</v>
      </c>
      <c r="I66" s="3">
        <f t="shared" si="6"/>
        <v>1237.5</v>
      </c>
      <c r="J66" s="3">
        <f t="shared" si="7"/>
        <v>-8593.75</v>
      </c>
      <c r="K66" s="5">
        <f t="shared" si="8"/>
        <v>4613.75</v>
      </c>
      <c r="L66" s="5">
        <f t="shared" si="9"/>
        <v>5483.0999999999985</v>
      </c>
      <c r="M66" s="5">
        <f t="shared" si="10"/>
        <v>-869.34999999999854</v>
      </c>
      <c r="N66" s="3"/>
    </row>
    <row r="67" spans="1:14" x14ac:dyDescent="0.25">
      <c r="A67" s="2">
        <v>1190827</v>
      </c>
      <c r="B67" s="3">
        <v>3256.25</v>
      </c>
      <c r="C67" s="3">
        <v>6010</v>
      </c>
      <c r="D67" s="3">
        <v>168.75</v>
      </c>
      <c r="E67" s="3">
        <v>-11640.599999999999</v>
      </c>
      <c r="F67">
        <f t="shared" si="3"/>
        <v>1190827</v>
      </c>
      <c r="G67" s="3">
        <f t="shared" si="4"/>
        <v>3256.25</v>
      </c>
      <c r="H67" s="3">
        <f t="shared" si="5"/>
        <v>6010</v>
      </c>
      <c r="I67" s="3">
        <f t="shared" si="6"/>
        <v>168.75</v>
      </c>
      <c r="J67" s="3">
        <f t="shared" si="7"/>
        <v>-11640.599999999999</v>
      </c>
      <c r="K67" s="5">
        <f t="shared" si="8"/>
        <v>-2205.5999999999985</v>
      </c>
      <c r="L67" s="5">
        <f t="shared" si="9"/>
        <v>4613.75</v>
      </c>
      <c r="M67" s="5">
        <f t="shared" si="10"/>
        <v>-6819.3499999999985</v>
      </c>
      <c r="N67" s="3"/>
    </row>
    <row r="68" spans="1:14" x14ac:dyDescent="0.25">
      <c r="A68" s="2">
        <v>1190828</v>
      </c>
      <c r="B68" s="3">
        <v>3125</v>
      </c>
      <c r="C68" s="3">
        <v>5780</v>
      </c>
      <c r="D68" s="3">
        <v>293.75</v>
      </c>
      <c r="E68" s="3">
        <v>-10703.099999999999</v>
      </c>
      <c r="F68">
        <f t="shared" si="3"/>
        <v>1190828</v>
      </c>
      <c r="G68" s="3">
        <f t="shared" si="4"/>
        <v>3125</v>
      </c>
      <c r="H68" s="3">
        <f t="shared" si="5"/>
        <v>5780</v>
      </c>
      <c r="I68" s="3">
        <f t="shared" si="6"/>
        <v>293.75</v>
      </c>
      <c r="J68" s="3">
        <f t="shared" si="7"/>
        <v>-10703.099999999999</v>
      </c>
      <c r="K68" s="5">
        <f t="shared" si="8"/>
        <v>-1504.3499999999985</v>
      </c>
      <c r="L68" s="5">
        <f t="shared" si="9"/>
        <v>-1504.3499999999985</v>
      </c>
      <c r="M68" s="5">
        <f t="shared" si="10"/>
        <v>0</v>
      </c>
      <c r="N68" s="3"/>
    </row>
    <row r="69" spans="1:14" x14ac:dyDescent="0.25">
      <c r="A69" s="2">
        <v>1190829</v>
      </c>
      <c r="B69" s="3">
        <v>3168.75</v>
      </c>
      <c r="C69" s="3">
        <v>5670</v>
      </c>
      <c r="D69" s="3">
        <v>400</v>
      </c>
      <c r="E69" s="3">
        <v>-9218.75</v>
      </c>
      <c r="F69">
        <f t="shared" si="3"/>
        <v>1190829</v>
      </c>
      <c r="G69" s="3">
        <f t="shared" si="4"/>
        <v>3168.75</v>
      </c>
      <c r="H69" s="3">
        <f t="shared" si="5"/>
        <v>5670</v>
      </c>
      <c r="I69" s="3">
        <f t="shared" si="6"/>
        <v>400</v>
      </c>
      <c r="J69" s="3">
        <f t="shared" si="7"/>
        <v>-9218.75</v>
      </c>
      <c r="K69" s="5">
        <f t="shared" si="8"/>
        <v>20</v>
      </c>
      <c r="L69" s="5">
        <f t="shared" si="9"/>
        <v>20</v>
      </c>
      <c r="M69" s="5">
        <f t="shared" si="10"/>
        <v>0</v>
      </c>
      <c r="N69" s="3"/>
    </row>
    <row r="70" spans="1:14" x14ac:dyDescent="0.25">
      <c r="A70" s="2">
        <v>1190830</v>
      </c>
      <c r="B70" s="3">
        <v>4418.75</v>
      </c>
      <c r="C70" s="3">
        <v>7150</v>
      </c>
      <c r="D70" s="3">
        <v>943.75</v>
      </c>
      <c r="E70" s="3">
        <v>-10937.5</v>
      </c>
      <c r="F70">
        <f t="shared" si="3"/>
        <v>1190830</v>
      </c>
      <c r="G70" s="3">
        <f t="shared" si="4"/>
        <v>4418.75</v>
      </c>
      <c r="H70" s="3">
        <f t="shared" si="5"/>
        <v>7150</v>
      </c>
      <c r="I70" s="3">
        <f t="shared" si="6"/>
        <v>943.75</v>
      </c>
      <c r="J70" s="3">
        <f t="shared" si="7"/>
        <v>-10937.5</v>
      </c>
      <c r="K70" s="5">
        <f t="shared" si="8"/>
        <v>1575</v>
      </c>
      <c r="L70" s="5">
        <f t="shared" si="9"/>
        <v>1575</v>
      </c>
      <c r="M70" s="5">
        <f t="shared" si="10"/>
        <v>0</v>
      </c>
      <c r="N70" s="3"/>
    </row>
    <row r="71" spans="1:14" x14ac:dyDescent="0.25">
      <c r="A71" s="2">
        <v>1190901</v>
      </c>
      <c r="B71" s="3">
        <v>4562.5</v>
      </c>
      <c r="C71" s="3">
        <v>7020</v>
      </c>
      <c r="D71" s="3">
        <v>1093.75</v>
      </c>
      <c r="E71" s="3">
        <v>-12109.400000000001</v>
      </c>
      <c r="F71">
        <f t="shared" si="3"/>
        <v>1190901</v>
      </c>
      <c r="G71" s="3">
        <f t="shared" si="4"/>
        <v>4562.5</v>
      </c>
      <c r="H71" s="3">
        <f t="shared" si="5"/>
        <v>7020</v>
      </c>
      <c r="I71" s="3">
        <f t="shared" si="6"/>
        <v>1093.75</v>
      </c>
      <c r="J71" s="3">
        <f t="shared" si="7"/>
        <v>-12109.400000000001</v>
      </c>
      <c r="K71" s="5">
        <f t="shared" si="8"/>
        <v>566.84999999999854</v>
      </c>
      <c r="L71" s="5">
        <f t="shared" si="9"/>
        <v>1575</v>
      </c>
      <c r="M71" s="5">
        <f t="shared" si="10"/>
        <v>-1008.1500000000015</v>
      </c>
      <c r="N71" s="3"/>
    </row>
    <row r="72" spans="1:14" x14ac:dyDescent="0.25">
      <c r="A72" s="2">
        <v>1190902</v>
      </c>
      <c r="B72" s="3">
        <v>4475</v>
      </c>
      <c r="C72" s="3">
        <v>7020</v>
      </c>
      <c r="D72" s="3">
        <v>1018.75</v>
      </c>
      <c r="E72" s="3">
        <v>-11406.25</v>
      </c>
      <c r="F72">
        <f t="shared" si="3"/>
        <v>1190902</v>
      </c>
      <c r="G72" s="3">
        <f t="shared" si="4"/>
        <v>4475</v>
      </c>
      <c r="H72" s="3">
        <f t="shared" si="5"/>
        <v>7020</v>
      </c>
      <c r="I72" s="3">
        <f t="shared" si="6"/>
        <v>1018.75</v>
      </c>
      <c r="J72" s="3">
        <f t="shared" si="7"/>
        <v>-11406.25</v>
      </c>
      <c r="K72" s="5">
        <f t="shared" si="8"/>
        <v>1107.5</v>
      </c>
      <c r="L72" s="5">
        <f t="shared" si="9"/>
        <v>1107.5</v>
      </c>
      <c r="M72" s="5">
        <f t="shared" si="10"/>
        <v>0</v>
      </c>
      <c r="N72" s="3"/>
    </row>
    <row r="73" spans="1:14" x14ac:dyDescent="0.25">
      <c r="A73" s="2">
        <v>1190903</v>
      </c>
      <c r="B73" s="3">
        <v>4481.25</v>
      </c>
      <c r="C73" s="3">
        <v>7020</v>
      </c>
      <c r="D73" s="3">
        <v>887.5</v>
      </c>
      <c r="E73" s="3">
        <v>-10703.099999999999</v>
      </c>
      <c r="F73">
        <f t="shared" si="3"/>
        <v>1190903</v>
      </c>
      <c r="G73" s="3">
        <f t="shared" si="4"/>
        <v>4481.25</v>
      </c>
      <c r="H73" s="3">
        <f t="shared" si="5"/>
        <v>7020</v>
      </c>
      <c r="I73" s="3">
        <f t="shared" si="6"/>
        <v>887.5</v>
      </c>
      <c r="J73" s="3">
        <f t="shared" si="7"/>
        <v>-10703.099999999999</v>
      </c>
      <c r="K73" s="5">
        <f t="shared" si="8"/>
        <v>1685.6500000000015</v>
      </c>
      <c r="L73" s="5">
        <f t="shared" si="9"/>
        <v>1685.6500000000015</v>
      </c>
      <c r="M73" s="5">
        <f t="shared" si="10"/>
        <v>0</v>
      </c>
      <c r="N73" s="3"/>
    </row>
    <row r="74" spans="1:14" x14ac:dyDescent="0.25">
      <c r="A74" s="2">
        <v>1190904</v>
      </c>
      <c r="B74" s="3">
        <v>4668.75</v>
      </c>
      <c r="C74" s="3">
        <v>8200</v>
      </c>
      <c r="D74" s="3">
        <v>506.25</v>
      </c>
      <c r="E74" s="3">
        <v>-12734.400000000001</v>
      </c>
      <c r="F74">
        <f t="shared" si="3"/>
        <v>1190904</v>
      </c>
      <c r="G74" s="3">
        <f t="shared" si="4"/>
        <v>4668.75</v>
      </c>
      <c r="H74" s="3">
        <f t="shared" si="5"/>
        <v>8200</v>
      </c>
      <c r="I74" s="3">
        <f t="shared" si="6"/>
        <v>506.25</v>
      </c>
      <c r="J74" s="3">
        <f t="shared" si="7"/>
        <v>-12734.400000000001</v>
      </c>
      <c r="K74" s="5">
        <f t="shared" si="8"/>
        <v>640.59999999999854</v>
      </c>
      <c r="L74" s="5">
        <f t="shared" si="9"/>
        <v>1685.6500000000015</v>
      </c>
      <c r="M74" s="5">
        <f t="shared" si="10"/>
        <v>-1045.0500000000029</v>
      </c>
      <c r="N74" s="3"/>
    </row>
    <row r="75" spans="1:14" x14ac:dyDescent="0.25">
      <c r="A75" s="2">
        <v>1190905</v>
      </c>
      <c r="B75" s="3">
        <v>4668.75</v>
      </c>
      <c r="C75" s="3">
        <v>6730</v>
      </c>
      <c r="D75" s="3">
        <v>106.25</v>
      </c>
      <c r="E75" s="3">
        <v>-13437.5</v>
      </c>
      <c r="F75">
        <f t="shared" si="3"/>
        <v>1190905</v>
      </c>
      <c r="G75" s="3">
        <f t="shared" si="4"/>
        <v>4668.75</v>
      </c>
      <c r="H75" s="3">
        <f t="shared" si="5"/>
        <v>6730</v>
      </c>
      <c r="I75" s="3">
        <f t="shared" si="6"/>
        <v>106.25</v>
      </c>
      <c r="J75" s="3">
        <f t="shared" si="7"/>
        <v>-13437.5</v>
      </c>
      <c r="K75" s="5">
        <f t="shared" si="8"/>
        <v>-1932.5</v>
      </c>
      <c r="L75" s="5">
        <f t="shared" si="9"/>
        <v>640.59999999999854</v>
      </c>
      <c r="M75" s="5">
        <f t="shared" si="10"/>
        <v>-2573.0999999999985</v>
      </c>
      <c r="N75" s="3"/>
    </row>
    <row r="76" spans="1:14" x14ac:dyDescent="0.25">
      <c r="A76" s="2">
        <v>1190906</v>
      </c>
      <c r="B76" s="3">
        <v>4706.25</v>
      </c>
      <c r="C76" s="3">
        <v>7610</v>
      </c>
      <c r="D76" s="3">
        <v>581.25</v>
      </c>
      <c r="E76" s="3">
        <v>-10468.75</v>
      </c>
      <c r="F76">
        <f t="shared" si="3"/>
        <v>1190906</v>
      </c>
      <c r="G76" s="3">
        <f t="shared" si="4"/>
        <v>4706.25</v>
      </c>
      <c r="H76" s="3">
        <f t="shared" si="5"/>
        <v>7610</v>
      </c>
      <c r="I76" s="3">
        <f t="shared" si="6"/>
        <v>581.25</v>
      </c>
      <c r="J76" s="3">
        <f t="shared" si="7"/>
        <v>-10468.75</v>
      </c>
      <c r="K76" s="5">
        <f t="shared" si="8"/>
        <v>2428.75</v>
      </c>
      <c r="L76" s="5">
        <f t="shared" si="9"/>
        <v>2428.75</v>
      </c>
      <c r="M76" s="5">
        <f t="shared" si="10"/>
        <v>0</v>
      </c>
      <c r="N76" s="3"/>
    </row>
    <row r="77" spans="1:14" x14ac:dyDescent="0.25">
      <c r="A77" s="2">
        <v>1190908</v>
      </c>
      <c r="B77" s="3">
        <v>4781.25</v>
      </c>
      <c r="C77" s="3">
        <v>7460</v>
      </c>
      <c r="D77" s="3">
        <v>568.75</v>
      </c>
      <c r="E77" s="3">
        <v>-11406.25</v>
      </c>
      <c r="F77">
        <f t="shared" si="3"/>
        <v>1190908</v>
      </c>
      <c r="G77" s="3">
        <f t="shared" si="4"/>
        <v>4781.25</v>
      </c>
      <c r="H77" s="3">
        <f t="shared" si="5"/>
        <v>7460</v>
      </c>
      <c r="I77" s="3">
        <f t="shared" si="6"/>
        <v>568.75</v>
      </c>
      <c r="J77" s="3">
        <f t="shared" si="7"/>
        <v>-11406.25</v>
      </c>
      <c r="K77" s="5">
        <f t="shared" si="8"/>
        <v>1403.75</v>
      </c>
      <c r="L77" s="5">
        <f t="shared" si="9"/>
        <v>2428.75</v>
      </c>
      <c r="M77" s="5">
        <f t="shared" si="10"/>
        <v>-1025</v>
      </c>
      <c r="N77" s="3"/>
    </row>
    <row r="78" spans="1:14" x14ac:dyDescent="0.25">
      <c r="A78" s="2">
        <v>1190909</v>
      </c>
      <c r="B78" s="3">
        <v>4781.25</v>
      </c>
      <c r="C78" s="3">
        <v>7190</v>
      </c>
      <c r="D78" s="3">
        <v>568.75</v>
      </c>
      <c r="E78" s="3">
        <v>-11640.599999999999</v>
      </c>
      <c r="F78">
        <f t="shared" si="3"/>
        <v>1190909</v>
      </c>
      <c r="G78" s="3">
        <f t="shared" si="4"/>
        <v>4781.25</v>
      </c>
      <c r="H78" s="3">
        <f t="shared" si="5"/>
        <v>7190</v>
      </c>
      <c r="I78" s="3">
        <f t="shared" si="6"/>
        <v>568.75</v>
      </c>
      <c r="J78" s="3">
        <f t="shared" si="7"/>
        <v>-11640.599999999999</v>
      </c>
      <c r="K78" s="5">
        <f t="shared" si="8"/>
        <v>899.40000000000146</v>
      </c>
      <c r="L78" s="5">
        <f t="shared" si="9"/>
        <v>1403.75</v>
      </c>
      <c r="M78" s="5">
        <f t="shared" si="10"/>
        <v>-504.34999999999854</v>
      </c>
      <c r="N78" s="3"/>
    </row>
    <row r="79" spans="1:14" x14ac:dyDescent="0.25">
      <c r="A79" s="2">
        <v>1190910</v>
      </c>
      <c r="B79" s="3">
        <v>4925</v>
      </c>
      <c r="C79" s="3">
        <v>5010</v>
      </c>
      <c r="D79" s="3">
        <v>750</v>
      </c>
      <c r="E79" s="3">
        <v>-11953.099999999999</v>
      </c>
      <c r="F79">
        <f t="shared" si="3"/>
        <v>1190910</v>
      </c>
      <c r="G79" s="3">
        <f t="shared" si="4"/>
        <v>4925</v>
      </c>
      <c r="H79" s="3">
        <f t="shared" si="5"/>
        <v>5010</v>
      </c>
      <c r="I79" s="3">
        <f t="shared" si="6"/>
        <v>750</v>
      </c>
      <c r="J79" s="3">
        <f t="shared" si="7"/>
        <v>-11953.099999999999</v>
      </c>
      <c r="K79" s="5">
        <f t="shared" si="8"/>
        <v>-1268.0999999999985</v>
      </c>
      <c r="L79" s="5">
        <f t="shared" si="9"/>
        <v>899.40000000000146</v>
      </c>
      <c r="M79" s="5">
        <f t="shared" si="10"/>
        <v>-2167.5</v>
      </c>
      <c r="N79" s="3"/>
    </row>
    <row r="80" spans="1:14" x14ac:dyDescent="0.25">
      <c r="A80" s="2">
        <v>1190911</v>
      </c>
      <c r="B80" s="3">
        <v>5143.75</v>
      </c>
      <c r="C80" s="3">
        <v>5570</v>
      </c>
      <c r="D80" s="3">
        <v>787.5</v>
      </c>
      <c r="E80" s="3">
        <v>-8515.5999999999985</v>
      </c>
      <c r="F80">
        <f t="shared" si="3"/>
        <v>1190911</v>
      </c>
      <c r="G80" s="3">
        <f t="shared" si="4"/>
        <v>5143.75</v>
      </c>
      <c r="H80" s="3">
        <f t="shared" si="5"/>
        <v>5570</v>
      </c>
      <c r="I80" s="3">
        <f t="shared" si="6"/>
        <v>787.5</v>
      </c>
      <c r="J80" s="3">
        <f t="shared" si="7"/>
        <v>-8515.5999999999985</v>
      </c>
      <c r="K80" s="5">
        <f t="shared" si="8"/>
        <v>2985.6500000000015</v>
      </c>
      <c r="L80" s="5">
        <f t="shared" si="9"/>
        <v>2985.6500000000015</v>
      </c>
      <c r="M80" s="5">
        <f t="shared" si="10"/>
        <v>0</v>
      </c>
      <c r="N80" s="3"/>
    </row>
    <row r="81" spans="1:14" x14ac:dyDescent="0.25">
      <c r="A81" s="2">
        <v>1190912</v>
      </c>
      <c r="B81" s="3">
        <v>5812.5</v>
      </c>
      <c r="C81" s="3">
        <v>5160</v>
      </c>
      <c r="D81" s="3">
        <v>831.25</v>
      </c>
      <c r="E81" s="3">
        <v>-9921.9000000000015</v>
      </c>
      <c r="F81">
        <f t="shared" si="3"/>
        <v>1190912</v>
      </c>
      <c r="G81" s="3">
        <f t="shared" si="4"/>
        <v>5812.5</v>
      </c>
      <c r="H81" s="3">
        <f t="shared" si="5"/>
        <v>5160</v>
      </c>
      <c r="I81" s="3">
        <f t="shared" si="6"/>
        <v>831.25</v>
      </c>
      <c r="J81" s="3">
        <f t="shared" si="7"/>
        <v>-9921.9000000000015</v>
      </c>
      <c r="K81" s="5">
        <f t="shared" si="8"/>
        <v>1881.8499999999985</v>
      </c>
      <c r="L81" s="5">
        <f t="shared" si="9"/>
        <v>2985.6500000000015</v>
      </c>
      <c r="M81" s="5">
        <f t="shared" si="10"/>
        <v>-1103.8000000000029</v>
      </c>
      <c r="N81" s="3"/>
    </row>
    <row r="82" spans="1:14" x14ac:dyDescent="0.25">
      <c r="A82" s="2">
        <v>1190913</v>
      </c>
      <c r="B82" s="3">
        <v>5831.25</v>
      </c>
      <c r="C82" s="3">
        <v>3410</v>
      </c>
      <c r="D82" s="3">
        <v>475</v>
      </c>
      <c r="E82" s="3">
        <v>-12656.25</v>
      </c>
      <c r="F82">
        <f t="shared" si="3"/>
        <v>1190913</v>
      </c>
      <c r="G82" s="3">
        <f t="shared" si="4"/>
        <v>5831.25</v>
      </c>
      <c r="H82" s="3">
        <f t="shared" si="5"/>
        <v>3410</v>
      </c>
      <c r="I82" s="3">
        <f t="shared" si="6"/>
        <v>475</v>
      </c>
      <c r="J82" s="3">
        <f t="shared" si="7"/>
        <v>-12656.25</v>
      </c>
      <c r="K82" s="5">
        <f t="shared" si="8"/>
        <v>-2940</v>
      </c>
      <c r="L82" s="5">
        <f t="shared" si="9"/>
        <v>1881.8499999999985</v>
      </c>
      <c r="M82" s="5">
        <f t="shared" si="10"/>
        <v>-4821.8499999999985</v>
      </c>
      <c r="N82" s="3"/>
    </row>
    <row r="83" spans="1:14" x14ac:dyDescent="0.25">
      <c r="A83" s="2">
        <v>1190915</v>
      </c>
      <c r="B83" s="3">
        <v>6106.25</v>
      </c>
      <c r="C83" s="3">
        <v>4080</v>
      </c>
      <c r="D83" s="3">
        <v>18.75</v>
      </c>
      <c r="E83" s="3">
        <v>-9375</v>
      </c>
      <c r="F83">
        <f t="shared" si="3"/>
        <v>1190915</v>
      </c>
      <c r="G83" s="3">
        <f t="shared" si="4"/>
        <v>6106.25</v>
      </c>
      <c r="H83" s="3">
        <f t="shared" si="5"/>
        <v>4080</v>
      </c>
      <c r="I83" s="3">
        <f t="shared" si="6"/>
        <v>18.75</v>
      </c>
      <c r="J83" s="3">
        <f t="shared" si="7"/>
        <v>-9375</v>
      </c>
      <c r="K83" s="5">
        <f t="shared" si="8"/>
        <v>830</v>
      </c>
      <c r="L83" s="5">
        <f t="shared" si="9"/>
        <v>830</v>
      </c>
      <c r="M83" s="5">
        <f t="shared" si="10"/>
        <v>0</v>
      </c>
      <c r="N83" s="3"/>
    </row>
    <row r="84" spans="1:14" x14ac:dyDescent="0.25">
      <c r="A84" s="2">
        <v>1190916</v>
      </c>
      <c r="B84" s="3">
        <v>6262.5</v>
      </c>
      <c r="C84" s="3">
        <v>3970</v>
      </c>
      <c r="D84" s="3">
        <v>25</v>
      </c>
      <c r="E84" s="3">
        <v>-10156.25</v>
      </c>
      <c r="F84">
        <f t="shared" si="3"/>
        <v>1190916</v>
      </c>
      <c r="G84" s="3">
        <f t="shared" si="4"/>
        <v>6262.5</v>
      </c>
      <c r="H84" s="3">
        <f t="shared" si="5"/>
        <v>3970</v>
      </c>
      <c r="I84" s="3">
        <f t="shared" si="6"/>
        <v>25</v>
      </c>
      <c r="J84" s="3">
        <f t="shared" si="7"/>
        <v>-10156.25</v>
      </c>
      <c r="K84" s="5">
        <f t="shared" si="8"/>
        <v>101.25</v>
      </c>
      <c r="L84" s="5">
        <f t="shared" si="9"/>
        <v>830</v>
      </c>
      <c r="M84" s="5">
        <f t="shared" si="10"/>
        <v>-728.75</v>
      </c>
      <c r="N84" s="3"/>
    </row>
    <row r="85" spans="1:14" x14ac:dyDescent="0.25">
      <c r="A85" s="2">
        <v>1190917</v>
      </c>
      <c r="B85" s="3">
        <v>5762.5</v>
      </c>
      <c r="C85" s="3">
        <v>4110</v>
      </c>
      <c r="D85" s="3">
        <v>193.75</v>
      </c>
      <c r="E85" s="3">
        <v>-10625</v>
      </c>
      <c r="F85">
        <f t="shared" si="3"/>
        <v>1190917</v>
      </c>
      <c r="G85" s="3">
        <f t="shared" si="4"/>
        <v>5762.5</v>
      </c>
      <c r="H85" s="3">
        <f t="shared" si="5"/>
        <v>4110</v>
      </c>
      <c r="I85" s="3">
        <f t="shared" si="6"/>
        <v>193.75</v>
      </c>
      <c r="J85" s="3">
        <f t="shared" si="7"/>
        <v>-10625</v>
      </c>
      <c r="K85" s="5">
        <f t="shared" si="8"/>
        <v>-558.75</v>
      </c>
      <c r="L85" s="5">
        <f t="shared" si="9"/>
        <v>101.25</v>
      </c>
      <c r="M85" s="5">
        <f t="shared" si="10"/>
        <v>-660</v>
      </c>
      <c r="N85" s="3"/>
    </row>
    <row r="86" spans="1:14" x14ac:dyDescent="0.25">
      <c r="A86" s="2">
        <v>1190918</v>
      </c>
      <c r="B86" s="3">
        <v>5837.5</v>
      </c>
      <c r="C86" s="3">
        <v>4320</v>
      </c>
      <c r="D86" s="3">
        <v>-456.25</v>
      </c>
      <c r="E86" s="3">
        <v>-14140.599999999999</v>
      </c>
      <c r="F86">
        <f t="shared" si="3"/>
        <v>1190918</v>
      </c>
      <c r="G86" s="3">
        <f t="shared" si="4"/>
        <v>5837.5</v>
      </c>
      <c r="H86" s="3">
        <f t="shared" si="5"/>
        <v>4320</v>
      </c>
      <c r="I86" s="3">
        <f t="shared" si="6"/>
        <v>-456.25</v>
      </c>
      <c r="J86" s="3">
        <f t="shared" si="7"/>
        <v>-14140.599999999999</v>
      </c>
      <c r="K86" s="5">
        <f t="shared" si="8"/>
        <v>-4439.3499999999985</v>
      </c>
      <c r="L86" s="5">
        <f t="shared" si="9"/>
        <v>-558.75</v>
      </c>
      <c r="M86" s="5">
        <f t="shared" si="10"/>
        <v>-3880.5999999999985</v>
      </c>
      <c r="N86" s="3"/>
    </row>
    <row r="87" spans="1:14" x14ac:dyDescent="0.25">
      <c r="A87" s="2">
        <v>1190919</v>
      </c>
      <c r="B87" s="3">
        <v>5631.25</v>
      </c>
      <c r="C87" s="3">
        <v>2870</v>
      </c>
      <c r="D87" s="3">
        <v>-318.75</v>
      </c>
      <c r="E87" s="3">
        <v>-13828.099999999999</v>
      </c>
      <c r="F87">
        <f t="shared" si="3"/>
        <v>1190919</v>
      </c>
      <c r="G87" s="3">
        <f t="shared" si="4"/>
        <v>5631.25</v>
      </c>
      <c r="H87" s="3">
        <f t="shared" si="5"/>
        <v>2870</v>
      </c>
      <c r="I87" s="3">
        <f t="shared" si="6"/>
        <v>-318.75</v>
      </c>
      <c r="J87" s="3">
        <f t="shared" si="7"/>
        <v>-13828.099999999999</v>
      </c>
      <c r="K87" s="5">
        <f t="shared" si="8"/>
        <v>-5645.5999999999985</v>
      </c>
      <c r="L87" s="5">
        <f t="shared" si="9"/>
        <v>-4439.3499999999985</v>
      </c>
      <c r="M87" s="5">
        <f t="shared" si="10"/>
        <v>-1206.25</v>
      </c>
      <c r="N87" s="3"/>
    </row>
    <row r="88" spans="1:14" x14ac:dyDescent="0.25">
      <c r="A88" s="2">
        <v>1190920</v>
      </c>
      <c r="B88" s="3">
        <v>4862.5</v>
      </c>
      <c r="C88" s="3">
        <v>3570</v>
      </c>
      <c r="D88" s="3">
        <v>-268.75</v>
      </c>
      <c r="E88" s="3">
        <v>-12812.5</v>
      </c>
      <c r="F88">
        <f t="shared" si="3"/>
        <v>1190920</v>
      </c>
      <c r="G88" s="3">
        <f t="shared" si="4"/>
        <v>4862.5</v>
      </c>
      <c r="H88" s="3">
        <f t="shared" si="5"/>
        <v>3570</v>
      </c>
      <c r="I88" s="3">
        <f t="shared" si="6"/>
        <v>-268.75</v>
      </c>
      <c r="J88" s="3">
        <f t="shared" si="7"/>
        <v>-12812.5</v>
      </c>
      <c r="K88" s="5">
        <f t="shared" si="8"/>
        <v>-4648.75</v>
      </c>
      <c r="L88" s="5">
        <f t="shared" si="9"/>
        <v>-4648.75</v>
      </c>
      <c r="M88" s="5">
        <f t="shared" si="10"/>
        <v>0</v>
      </c>
      <c r="N88" s="3"/>
    </row>
    <row r="89" spans="1:14" x14ac:dyDescent="0.25">
      <c r="A89" s="2">
        <v>1190922</v>
      </c>
      <c r="B89" s="3">
        <v>4987.5</v>
      </c>
      <c r="C89" s="3">
        <v>2320</v>
      </c>
      <c r="D89" s="3">
        <v>-681.25</v>
      </c>
      <c r="E89" s="3">
        <v>-15000</v>
      </c>
      <c r="F89">
        <f t="shared" ref="F89:F152" si="11">+A89</f>
        <v>1190922</v>
      </c>
      <c r="G89" s="3">
        <f t="shared" si="4"/>
        <v>4987.5</v>
      </c>
      <c r="H89" s="3">
        <f t="shared" si="5"/>
        <v>2320</v>
      </c>
      <c r="I89" s="3">
        <f t="shared" si="6"/>
        <v>-681.25</v>
      </c>
      <c r="J89" s="3">
        <f t="shared" si="7"/>
        <v>-15000</v>
      </c>
      <c r="K89" s="5">
        <f t="shared" si="8"/>
        <v>-8373.75</v>
      </c>
      <c r="L89" s="5">
        <f t="shared" si="9"/>
        <v>-4648.75</v>
      </c>
      <c r="M89" s="5">
        <f t="shared" si="10"/>
        <v>-3725</v>
      </c>
      <c r="N89" s="3"/>
    </row>
    <row r="90" spans="1:14" x14ac:dyDescent="0.25">
      <c r="A90" s="2">
        <v>1190923</v>
      </c>
      <c r="B90" s="3">
        <v>5100</v>
      </c>
      <c r="C90" s="3">
        <v>1990</v>
      </c>
      <c r="D90" s="3">
        <v>-718.75</v>
      </c>
      <c r="E90" s="3">
        <v>-15546.900000000001</v>
      </c>
      <c r="F90">
        <f t="shared" si="11"/>
        <v>1190923</v>
      </c>
      <c r="G90" s="3">
        <f t="shared" ref="G90:G153" si="12">+IF(B90&lt;&gt;0,B90,B89)</f>
        <v>5100</v>
      </c>
      <c r="H90" s="3">
        <f t="shared" ref="H90:H153" si="13">+IF(C90&lt;&gt;0,C90,C89)</f>
        <v>1990</v>
      </c>
      <c r="I90" s="3">
        <f t="shared" ref="I90:I153" si="14">+IF(D90&lt;&gt;0,D90,D89)</f>
        <v>-718.75</v>
      </c>
      <c r="J90" s="3">
        <f t="shared" ref="J90:J153" si="15">+IF(E90&lt;&gt;0,E90,E89)</f>
        <v>-15546.900000000001</v>
      </c>
      <c r="K90" s="5">
        <f t="shared" ref="K90:K153" si="16">+SUM(G90:J90)</f>
        <v>-9175.6500000000015</v>
      </c>
      <c r="L90" s="5">
        <f t="shared" si="9"/>
        <v>-8373.75</v>
      </c>
      <c r="M90" s="5">
        <f t="shared" si="10"/>
        <v>-801.90000000000146</v>
      </c>
      <c r="N90" s="3"/>
    </row>
    <row r="91" spans="1:14" x14ac:dyDescent="0.25">
      <c r="A91" s="2">
        <v>1190924</v>
      </c>
      <c r="B91" s="3">
        <v>5175</v>
      </c>
      <c r="C91" s="3">
        <v>1860</v>
      </c>
      <c r="D91" s="3">
        <v>-606.25</v>
      </c>
      <c r="E91" s="3">
        <v>-19062.5</v>
      </c>
      <c r="F91">
        <f t="shared" si="11"/>
        <v>1190924</v>
      </c>
      <c r="G91" s="3">
        <f t="shared" si="12"/>
        <v>5175</v>
      </c>
      <c r="H91" s="3">
        <f t="shared" si="13"/>
        <v>1860</v>
      </c>
      <c r="I91" s="3">
        <f t="shared" si="14"/>
        <v>-606.25</v>
      </c>
      <c r="J91" s="3">
        <f t="shared" si="15"/>
        <v>-19062.5</v>
      </c>
      <c r="K91" s="5">
        <f t="shared" si="16"/>
        <v>-12633.75</v>
      </c>
      <c r="L91" s="5">
        <f t="shared" ref="L91:L154" si="17">+IF(K91&gt;K90,K91,K90)</f>
        <v>-9175.6500000000015</v>
      </c>
      <c r="M91" s="5">
        <f t="shared" ref="M91:M154" si="18">+K91-L91</f>
        <v>-3458.0999999999985</v>
      </c>
      <c r="N91" s="3"/>
    </row>
    <row r="92" spans="1:14" x14ac:dyDescent="0.25">
      <c r="A92" s="2">
        <v>1190925</v>
      </c>
      <c r="B92" s="3">
        <v>5818.75</v>
      </c>
      <c r="C92" s="3">
        <v>1830</v>
      </c>
      <c r="D92" s="3">
        <v>-312.5</v>
      </c>
      <c r="E92" s="3">
        <v>-16250</v>
      </c>
      <c r="F92">
        <f t="shared" si="11"/>
        <v>1190925</v>
      </c>
      <c r="G92" s="3">
        <f t="shared" si="12"/>
        <v>5818.75</v>
      </c>
      <c r="H92" s="3">
        <f t="shared" si="13"/>
        <v>1830</v>
      </c>
      <c r="I92" s="3">
        <f t="shared" si="14"/>
        <v>-312.5</v>
      </c>
      <c r="J92" s="3">
        <f t="shared" si="15"/>
        <v>-16250</v>
      </c>
      <c r="K92" s="5">
        <f t="shared" si="16"/>
        <v>-8913.75</v>
      </c>
      <c r="L92" s="5">
        <f t="shared" si="17"/>
        <v>-8913.75</v>
      </c>
      <c r="M92" s="5">
        <f t="shared" si="18"/>
        <v>0</v>
      </c>
      <c r="N92" s="3"/>
    </row>
    <row r="93" spans="1:14" x14ac:dyDescent="0.25">
      <c r="A93" s="2">
        <v>1190926</v>
      </c>
      <c r="B93" s="3">
        <v>5918.75</v>
      </c>
      <c r="C93" s="3">
        <v>3290</v>
      </c>
      <c r="D93" s="3">
        <v>-68.75</v>
      </c>
      <c r="E93" s="3">
        <v>-15390.599999999999</v>
      </c>
      <c r="F93">
        <f t="shared" si="11"/>
        <v>1190926</v>
      </c>
      <c r="G93" s="3">
        <f t="shared" si="12"/>
        <v>5918.75</v>
      </c>
      <c r="H93" s="3">
        <f t="shared" si="13"/>
        <v>3290</v>
      </c>
      <c r="I93" s="3">
        <f t="shared" si="14"/>
        <v>-68.75</v>
      </c>
      <c r="J93" s="3">
        <f t="shared" si="15"/>
        <v>-15390.599999999999</v>
      </c>
      <c r="K93" s="5">
        <f t="shared" si="16"/>
        <v>-6250.5999999999985</v>
      </c>
      <c r="L93" s="5">
        <f t="shared" si="17"/>
        <v>-6250.5999999999985</v>
      </c>
      <c r="M93" s="5">
        <f t="shared" si="18"/>
        <v>0</v>
      </c>
      <c r="N93" s="3"/>
    </row>
    <row r="94" spans="1:14" x14ac:dyDescent="0.25">
      <c r="A94" s="2">
        <v>1190927</v>
      </c>
      <c r="B94" s="3">
        <v>5712.5</v>
      </c>
      <c r="C94" s="3">
        <v>3210</v>
      </c>
      <c r="D94" s="3">
        <v>-412.5</v>
      </c>
      <c r="E94" s="3">
        <v>-15625</v>
      </c>
      <c r="F94">
        <f t="shared" si="11"/>
        <v>1190927</v>
      </c>
      <c r="G94" s="3">
        <f t="shared" si="12"/>
        <v>5712.5</v>
      </c>
      <c r="H94" s="3">
        <f t="shared" si="13"/>
        <v>3210</v>
      </c>
      <c r="I94" s="3">
        <f t="shared" si="14"/>
        <v>-412.5</v>
      </c>
      <c r="J94" s="3">
        <f t="shared" si="15"/>
        <v>-15625</v>
      </c>
      <c r="K94" s="5">
        <f t="shared" si="16"/>
        <v>-7115</v>
      </c>
      <c r="L94" s="5">
        <f t="shared" si="17"/>
        <v>-6250.5999999999985</v>
      </c>
      <c r="M94" s="5">
        <f t="shared" si="18"/>
        <v>-864.40000000000146</v>
      </c>
      <c r="N94" s="3"/>
    </row>
    <row r="95" spans="1:14" x14ac:dyDescent="0.25">
      <c r="A95" s="2">
        <v>1190929</v>
      </c>
      <c r="B95" s="3">
        <v>5825</v>
      </c>
      <c r="C95" s="3">
        <v>3030</v>
      </c>
      <c r="D95" s="3">
        <v>-181.25</v>
      </c>
      <c r="E95" s="3">
        <v>-17968.75</v>
      </c>
      <c r="F95">
        <f t="shared" si="11"/>
        <v>1190929</v>
      </c>
      <c r="G95" s="3">
        <f t="shared" si="12"/>
        <v>5825</v>
      </c>
      <c r="H95" s="3">
        <f t="shared" si="13"/>
        <v>3030</v>
      </c>
      <c r="I95" s="3">
        <f t="shared" si="14"/>
        <v>-181.25</v>
      </c>
      <c r="J95" s="3">
        <f t="shared" si="15"/>
        <v>-17968.75</v>
      </c>
      <c r="K95" s="5">
        <f t="shared" si="16"/>
        <v>-9295</v>
      </c>
      <c r="L95" s="5">
        <f t="shared" si="17"/>
        <v>-7115</v>
      </c>
      <c r="M95" s="5">
        <f t="shared" si="18"/>
        <v>-2180</v>
      </c>
      <c r="N95" s="3"/>
    </row>
    <row r="96" spans="1:14" x14ac:dyDescent="0.25">
      <c r="A96" s="2">
        <v>1190930</v>
      </c>
      <c r="B96" s="3">
        <v>5668.75</v>
      </c>
      <c r="C96" s="3">
        <v>3660</v>
      </c>
      <c r="D96" s="3">
        <v>-175</v>
      </c>
      <c r="E96" s="3">
        <v>-18359.400000000001</v>
      </c>
      <c r="F96">
        <f t="shared" si="11"/>
        <v>1190930</v>
      </c>
      <c r="G96" s="3">
        <f t="shared" si="12"/>
        <v>5668.75</v>
      </c>
      <c r="H96" s="3">
        <f t="shared" si="13"/>
        <v>3660</v>
      </c>
      <c r="I96" s="3">
        <f t="shared" si="14"/>
        <v>-175</v>
      </c>
      <c r="J96" s="3">
        <f t="shared" si="15"/>
        <v>-18359.400000000001</v>
      </c>
      <c r="K96" s="5">
        <f t="shared" si="16"/>
        <v>-9205.6500000000015</v>
      </c>
      <c r="L96" s="5">
        <f t="shared" si="17"/>
        <v>-9205.6500000000015</v>
      </c>
      <c r="M96" s="5">
        <f t="shared" si="18"/>
        <v>0</v>
      </c>
      <c r="N96" s="3"/>
    </row>
    <row r="97" spans="1:14" x14ac:dyDescent="0.25">
      <c r="A97" s="2">
        <v>1191001</v>
      </c>
      <c r="B97" s="3">
        <v>5812.5</v>
      </c>
      <c r="C97" s="3">
        <v>6560</v>
      </c>
      <c r="D97" s="3">
        <v>206.25</v>
      </c>
      <c r="E97" s="3">
        <v>-20156.25</v>
      </c>
      <c r="F97">
        <f t="shared" si="11"/>
        <v>1191001</v>
      </c>
      <c r="G97" s="3">
        <f t="shared" si="12"/>
        <v>5812.5</v>
      </c>
      <c r="H97" s="3">
        <f t="shared" si="13"/>
        <v>6560</v>
      </c>
      <c r="I97" s="3">
        <f t="shared" si="14"/>
        <v>206.25</v>
      </c>
      <c r="J97" s="3">
        <f t="shared" si="15"/>
        <v>-20156.25</v>
      </c>
      <c r="K97" s="5">
        <f t="shared" si="16"/>
        <v>-7577.5</v>
      </c>
      <c r="L97" s="5">
        <f t="shared" si="17"/>
        <v>-7577.5</v>
      </c>
      <c r="M97" s="5">
        <f t="shared" si="18"/>
        <v>0</v>
      </c>
      <c r="N97" s="3"/>
    </row>
    <row r="98" spans="1:14" x14ac:dyDescent="0.25">
      <c r="A98" s="2">
        <v>1191002</v>
      </c>
      <c r="B98" s="3">
        <v>6612.5</v>
      </c>
      <c r="C98" s="3">
        <v>6780</v>
      </c>
      <c r="D98" s="3">
        <v>587.5</v>
      </c>
      <c r="E98" s="3">
        <v>-20546.900000000001</v>
      </c>
      <c r="F98">
        <f t="shared" si="11"/>
        <v>1191002</v>
      </c>
      <c r="G98" s="3">
        <f t="shared" si="12"/>
        <v>6612.5</v>
      </c>
      <c r="H98" s="3">
        <f t="shared" si="13"/>
        <v>6780</v>
      </c>
      <c r="I98" s="3">
        <f t="shared" si="14"/>
        <v>587.5</v>
      </c>
      <c r="J98" s="3">
        <f t="shared" si="15"/>
        <v>-20546.900000000001</v>
      </c>
      <c r="K98" s="5">
        <f t="shared" si="16"/>
        <v>-6566.9000000000015</v>
      </c>
      <c r="L98" s="5">
        <f t="shared" si="17"/>
        <v>-6566.9000000000015</v>
      </c>
      <c r="M98" s="5">
        <f t="shared" si="18"/>
        <v>0</v>
      </c>
      <c r="N98" s="3"/>
    </row>
    <row r="99" spans="1:14" x14ac:dyDescent="0.25">
      <c r="A99" s="2">
        <v>1191003</v>
      </c>
      <c r="B99" s="3">
        <v>8031.25</v>
      </c>
      <c r="C99" s="3">
        <v>8920</v>
      </c>
      <c r="D99" s="3">
        <v>1275</v>
      </c>
      <c r="E99" s="3">
        <v>-17031.25</v>
      </c>
      <c r="F99">
        <f t="shared" si="11"/>
        <v>1191003</v>
      </c>
      <c r="G99" s="3">
        <f t="shared" si="12"/>
        <v>8031.25</v>
      </c>
      <c r="H99" s="3">
        <f t="shared" si="13"/>
        <v>8920</v>
      </c>
      <c r="I99" s="3">
        <f t="shared" si="14"/>
        <v>1275</v>
      </c>
      <c r="J99" s="3">
        <f t="shared" si="15"/>
        <v>-17031.25</v>
      </c>
      <c r="K99" s="5">
        <f t="shared" si="16"/>
        <v>1195</v>
      </c>
      <c r="L99" s="5">
        <f t="shared" si="17"/>
        <v>1195</v>
      </c>
      <c r="M99" s="5">
        <f t="shared" si="18"/>
        <v>0</v>
      </c>
      <c r="N99" s="3"/>
    </row>
    <row r="100" spans="1:14" x14ac:dyDescent="0.25">
      <c r="A100" s="2">
        <v>1191004</v>
      </c>
      <c r="B100" s="3">
        <v>8237.5</v>
      </c>
      <c r="C100" s="3">
        <v>9170</v>
      </c>
      <c r="D100" s="3">
        <v>1643.75</v>
      </c>
      <c r="E100" s="3">
        <v>-14453.099999999999</v>
      </c>
      <c r="F100">
        <f t="shared" si="11"/>
        <v>1191004</v>
      </c>
      <c r="G100" s="3">
        <f t="shared" si="12"/>
        <v>8237.5</v>
      </c>
      <c r="H100" s="3">
        <f t="shared" si="13"/>
        <v>9170</v>
      </c>
      <c r="I100" s="3">
        <f t="shared" si="14"/>
        <v>1643.75</v>
      </c>
      <c r="J100" s="3">
        <f t="shared" si="15"/>
        <v>-14453.099999999999</v>
      </c>
      <c r="K100" s="5">
        <f t="shared" si="16"/>
        <v>4598.1500000000015</v>
      </c>
      <c r="L100" s="5">
        <f t="shared" si="17"/>
        <v>4598.1500000000015</v>
      </c>
      <c r="M100" s="5">
        <f t="shared" si="18"/>
        <v>0</v>
      </c>
      <c r="N100" s="3"/>
    </row>
    <row r="101" spans="1:14" x14ac:dyDescent="0.25">
      <c r="A101" s="2">
        <v>1191006</v>
      </c>
      <c r="B101" s="3">
        <v>9000</v>
      </c>
      <c r="C101" s="3">
        <v>8840</v>
      </c>
      <c r="D101" s="3">
        <v>1431.25</v>
      </c>
      <c r="E101" s="3">
        <v>-16562.5</v>
      </c>
      <c r="F101">
        <f t="shared" si="11"/>
        <v>1191006</v>
      </c>
      <c r="G101" s="3">
        <f t="shared" si="12"/>
        <v>9000</v>
      </c>
      <c r="H101" s="3">
        <f t="shared" si="13"/>
        <v>8840</v>
      </c>
      <c r="I101" s="3">
        <f t="shared" si="14"/>
        <v>1431.25</v>
      </c>
      <c r="J101" s="3">
        <f t="shared" si="15"/>
        <v>-16562.5</v>
      </c>
      <c r="K101" s="5">
        <f t="shared" si="16"/>
        <v>2708.75</v>
      </c>
      <c r="L101" s="5">
        <f t="shared" si="17"/>
        <v>4598.1500000000015</v>
      </c>
      <c r="M101" s="5">
        <f t="shared" si="18"/>
        <v>-1889.4000000000015</v>
      </c>
      <c r="N101" s="3"/>
    </row>
    <row r="102" spans="1:14" x14ac:dyDescent="0.25">
      <c r="A102" s="2">
        <v>1191007</v>
      </c>
      <c r="B102" s="3">
        <v>8975</v>
      </c>
      <c r="C102" s="3">
        <v>8780</v>
      </c>
      <c r="D102" s="3">
        <v>1443.75</v>
      </c>
      <c r="E102" s="3">
        <v>-16484.400000000001</v>
      </c>
      <c r="F102">
        <f t="shared" si="11"/>
        <v>1191007</v>
      </c>
      <c r="G102" s="3">
        <f t="shared" si="12"/>
        <v>8975</v>
      </c>
      <c r="H102" s="3">
        <f t="shared" si="13"/>
        <v>8780</v>
      </c>
      <c r="I102" s="3">
        <f t="shared" si="14"/>
        <v>1443.75</v>
      </c>
      <c r="J102" s="3">
        <f t="shared" si="15"/>
        <v>-16484.400000000001</v>
      </c>
      <c r="K102" s="5">
        <f t="shared" si="16"/>
        <v>2714.3499999999985</v>
      </c>
      <c r="L102" s="5">
        <f t="shared" si="17"/>
        <v>2714.3499999999985</v>
      </c>
      <c r="M102" s="5">
        <f t="shared" si="18"/>
        <v>0</v>
      </c>
      <c r="N102" s="3"/>
    </row>
    <row r="103" spans="1:14" x14ac:dyDescent="0.25">
      <c r="A103" s="2">
        <v>1191008</v>
      </c>
      <c r="B103" s="3">
        <v>9081.25</v>
      </c>
      <c r="C103" s="3">
        <v>9290</v>
      </c>
      <c r="D103" s="3">
        <v>2031.25</v>
      </c>
      <c r="E103" s="3">
        <v>-14765.599999999999</v>
      </c>
      <c r="F103">
        <f t="shared" si="11"/>
        <v>1191008</v>
      </c>
      <c r="G103" s="3">
        <f t="shared" si="12"/>
        <v>9081.25</v>
      </c>
      <c r="H103" s="3">
        <f t="shared" si="13"/>
        <v>9290</v>
      </c>
      <c r="I103" s="3">
        <f t="shared" si="14"/>
        <v>2031.25</v>
      </c>
      <c r="J103" s="3">
        <f t="shared" si="15"/>
        <v>-14765.599999999999</v>
      </c>
      <c r="K103" s="5">
        <f t="shared" si="16"/>
        <v>5636.9000000000015</v>
      </c>
      <c r="L103" s="5">
        <f t="shared" si="17"/>
        <v>5636.9000000000015</v>
      </c>
      <c r="M103" s="5">
        <f t="shared" si="18"/>
        <v>0</v>
      </c>
      <c r="N103" s="3"/>
    </row>
    <row r="104" spans="1:14" x14ac:dyDescent="0.25">
      <c r="A104" s="2">
        <v>1191009</v>
      </c>
      <c r="B104" s="3">
        <v>9200</v>
      </c>
      <c r="C104" s="3">
        <v>10070</v>
      </c>
      <c r="D104" s="3">
        <v>1181.25</v>
      </c>
      <c r="E104" s="3">
        <v>-17265.599999999999</v>
      </c>
      <c r="F104">
        <f t="shared" si="11"/>
        <v>1191009</v>
      </c>
      <c r="G104" s="3">
        <f t="shared" si="12"/>
        <v>9200</v>
      </c>
      <c r="H104" s="3">
        <f t="shared" si="13"/>
        <v>10070</v>
      </c>
      <c r="I104" s="3">
        <f t="shared" si="14"/>
        <v>1181.25</v>
      </c>
      <c r="J104" s="3">
        <f t="shared" si="15"/>
        <v>-17265.599999999999</v>
      </c>
      <c r="K104" s="5">
        <f t="shared" si="16"/>
        <v>3185.6500000000015</v>
      </c>
      <c r="L104" s="5">
        <f t="shared" si="17"/>
        <v>5636.9000000000015</v>
      </c>
      <c r="M104" s="5">
        <f t="shared" si="18"/>
        <v>-2451.25</v>
      </c>
      <c r="N104" s="3"/>
    </row>
    <row r="105" spans="1:14" x14ac:dyDescent="0.25">
      <c r="A105" s="2">
        <v>1191010</v>
      </c>
      <c r="B105" s="3">
        <v>8756.25</v>
      </c>
      <c r="C105" s="3">
        <v>9590</v>
      </c>
      <c r="D105" s="3">
        <v>356.25</v>
      </c>
      <c r="E105" s="3">
        <v>-18515.599999999999</v>
      </c>
      <c r="F105">
        <f t="shared" si="11"/>
        <v>1191010</v>
      </c>
      <c r="G105" s="3">
        <f t="shared" si="12"/>
        <v>8756.25</v>
      </c>
      <c r="H105" s="3">
        <f t="shared" si="13"/>
        <v>9590</v>
      </c>
      <c r="I105" s="3">
        <f t="shared" si="14"/>
        <v>356.25</v>
      </c>
      <c r="J105" s="3">
        <f t="shared" si="15"/>
        <v>-18515.599999999999</v>
      </c>
      <c r="K105" s="5">
        <f t="shared" si="16"/>
        <v>186.90000000000146</v>
      </c>
      <c r="L105" s="5">
        <f t="shared" si="17"/>
        <v>3185.6500000000015</v>
      </c>
      <c r="M105" s="5">
        <f t="shared" si="18"/>
        <v>-2998.75</v>
      </c>
      <c r="N105" s="3"/>
    </row>
    <row r="106" spans="1:14" x14ac:dyDescent="0.25">
      <c r="A106" s="2">
        <v>1191011</v>
      </c>
      <c r="B106" s="3">
        <v>9125</v>
      </c>
      <c r="C106" s="3">
        <v>9900</v>
      </c>
      <c r="D106" s="3">
        <v>450</v>
      </c>
      <c r="E106" s="3">
        <v>-14296.900000000001</v>
      </c>
      <c r="F106">
        <f t="shared" si="11"/>
        <v>1191011</v>
      </c>
      <c r="G106" s="3">
        <f t="shared" si="12"/>
        <v>9125</v>
      </c>
      <c r="H106" s="3">
        <f t="shared" si="13"/>
        <v>9900</v>
      </c>
      <c r="I106" s="3">
        <f t="shared" si="14"/>
        <v>450</v>
      </c>
      <c r="J106" s="3">
        <f t="shared" si="15"/>
        <v>-14296.900000000001</v>
      </c>
      <c r="K106" s="5">
        <f t="shared" si="16"/>
        <v>5178.0999999999985</v>
      </c>
      <c r="L106" s="5">
        <f t="shared" si="17"/>
        <v>5178.0999999999985</v>
      </c>
      <c r="M106" s="5">
        <f t="shared" si="18"/>
        <v>0</v>
      </c>
      <c r="N106" s="3"/>
    </row>
    <row r="107" spans="1:14" x14ac:dyDescent="0.25">
      <c r="A107" s="2">
        <v>1191013</v>
      </c>
      <c r="B107" s="3">
        <v>9731.25</v>
      </c>
      <c r="C107" s="3">
        <v>9140</v>
      </c>
      <c r="D107" s="3">
        <v>1037.5</v>
      </c>
      <c r="E107" s="3">
        <v>-11406.25</v>
      </c>
      <c r="F107">
        <f t="shared" si="11"/>
        <v>1191013</v>
      </c>
      <c r="G107" s="3">
        <f t="shared" si="12"/>
        <v>9731.25</v>
      </c>
      <c r="H107" s="3">
        <f t="shared" si="13"/>
        <v>9140</v>
      </c>
      <c r="I107" s="3">
        <f t="shared" si="14"/>
        <v>1037.5</v>
      </c>
      <c r="J107" s="3">
        <f t="shared" si="15"/>
        <v>-11406.25</v>
      </c>
      <c r="K107" s="5">
        <f t="shared" si="16"/>
        <v>8502.5</v>
      </c>
      <c r="L107" s="5">
        <f t="shared" si="17"/>
        <v>8502.5</v>
      </c>
      <c r="M107" s="5">
        <f t="shared" si="18"/>
        <v>0</v>
      </c>
      <c r="N107" s="3"/>
    </row>
    <row r="108" spans="1:14" x14ac:dyDescent="0.25">
      <c r="A108" s="2">
        <v>1191014</v>
      </c>
      <c r="B108" s="3">
        <v>9700</v>
      </c>
      <c r="C108" s="3">
        <v>8930</v>
      </c>
      <c r="D108" s="3">
        <v>825</v>
      </c>
      <c r="E108" s="3">
        <v>-12031.25</v>
      </c>
      <c r="F108">
        <f t="shared" si="11"/>
        <v>1191014</v>
      </c>
      <c r="G108" s="3">
        <f t="shared" si="12"/>
        <v>9700</v>
      </c>
      <c r="H108" s="3">
        <f t="shared" si="13"/>
        <v>8930</v>
      </c>
      <c r="I108" s="3">
        <f t="shared" si="14"/>
        <v>825</v>
      </c>
      <c r="J108" s="3">
        <f t="shared" si="15"/>
        <v>-12031.25</v>
      </c>
      <c r="K108" s="5">
        <f t="shared" si="16"/>
        <v>7423.75</v>
      </c>
      <c r="L108" s="5">
        <f t="shared" si="17"/>
        <v>8502.5</v>
      </c>
      <c r="M108" s="5">
        <f t="shared" si="18"/>
        <v>-1078.75</v>
      </c>
      <c r="N108" s="3"/>
    </row>
    <row r="109" spans="1:14" x14ac:dyDescent="0.25">
      <c r="A109" s="2">
        <v>1191015</v>
      </c>
      <c r="B109" s="3">
        <v>9525</v>
      </c>
      <c r="C109" s="3">
        <v>8920</v>
      </c>
      <c r="D109" s="3">
        <v>868.75</v>
      </c>
      <c r="E109" s="3">
        <v>-13203.099999999999</v>
      </c>
      <c r="F109">
        <f t="shared" si="11"/>
        <v>1191015</v>
      </c>
      <c r="G109" s="3">
        <f t="shared" si="12"/>
        <v>9525</v>
      </c>
      <c r="H109" s="3">
        <f t="shared" si="13"/>
        <v>8920</v>
      </c>
      <c r="I109" s="3">
        <f t="shared" si="14"/>
        <v>868.75</v>
      </c>
      <c r="J109" s="3">
        <f t="shared" si="15"/>
        <v>-13203.099999999999</v>
      </c>
      <c r="K109" s="5">
        <f t="shared" si="16"/>
        <v>6110.6500000000015</v>
      </c>
      <c r="L109" s="5">
        <f t="shared" si="17"/>
        <v>7423.75</v>
      </c>
      <c r="M109" s="5">
        <f t="shared" si="18"/>
        <v>-1313.0999999999985</v>
      </c>
      <c r="N109" s="3"/>
    </row>
    <row r="110" spans="1:14" x14ac:dyDescent="0.25">
      <c r="A110" s="2">
        <v>1191016</v>
      </c>
      <c r="B110" s="3">
        <v>9675</v>
      </c>
      <c r="C110" s="3">
        <v>7630</v>
      </c>
      <c r="D110" s="3">
        <v>1212.5</v>
      </c>
      <c r="E110" s="3">
        <v>-11328.099999999999</v>
      </c>
      <c r="F110">
        <f t="shared" si="11"/>
        <v>1191016</v>
      </c>
      <c r="G110" s="3">
        <f t="shared" si="12"/>
        <v>9675</v>
      </c>
      <c r="H110" s="3">
        <f t="shared" si="13"/>
        <v>7630</v>
      </c>
      <c r="I110" s="3">
        <f t="shared" si="14"/>
        <v>1212.5</v>
      </c>
      <c r="J110" s="3">
        <f t="shared" si="15"/>
        <v>-11328.099999999999</v>
      </c>
      <c r="K110" s="5">
        <f t="shared" si="16"/>
        <v>7189.4000000000015</v>
      </c>
      <c r="L110" s="5">
        <f t="shared" si="17"/>
        <v>7189.4000000000015</v>
      </c>
      <c r="M110" s="5">
        <f t="shared" si="18"/>
        <v>0</v>
      </c>
      <c r="N110" s="3"/>
    </row>
    <row r="111" spans="1:14" x14ac:dyDescent="0.25">
      <c r="A111" s="2">
        <v>1191017</v>
      </c>
      <c r="B111" s="3">
        <v>9100</v>
      </c>
      <c r="C111" s="3">
        <v>7000</v>
      </c>
      <c r="D111" s="3">
        <v>968.75</v>
      </c>
      <c r="E111" s="3">
        <v>-11406.25</v>
      </c>
      <c r="F111">
        <f t="shared" si="11"/>
        <v>1191017</v>
      </c>
      <c r="G111" s="3">
        <f t="shared" si="12"/>
        <v>9100</v>
      </c>
      <c r="H111" s="3">
        <f t="shared" si="13"/>
        <v>7000</v>
      </c>
      <c r="I111" s="3">
        <f t="shared" si="14"/>
        <v>968.75</v>
      </c>
      <c r="J111" s="3">
        <f t="shared" si="15"/>
        <v>-11406.25</v>
      </c>
      <c r="K111" s="5">
        <f t="shared" si="16"/>
        <v>5662.5</v>
      </c>
      <c r="L111" s="5">
        <f t="shared" si="17"/>
        <v>7189.4000000000015</v>
      </c>
      <c r="M111" s="5">
        <f t="shared" si="18"/>
        <v>-1526.9000000000015</v>
      </c>
      <c r="N111" s="3"/>
    </row>
    <row r="112" spans="1:14" x14ac:dyDescent="0.25">
      <c r="A112" s="2">
        <v>1191018</v>
      </c>
      <c r="B112" s="3">
        <v>9312.5</v>
      </c>
      <c r="C112" s="3">
        <v>6410</v>
      </c>
      <c r="D112" s="3">
        <v>1081.25</v>
      </c>
      <c r="E112" s="3">
        <v>-11406.25</v>
      </c>
      <c r="F112">
        <f t="shared" si="11"/>
        <v>1191018</v>
      </c>
      <c r="G112" s="3">
        <f t="shared" si="12"/>
        <v>9312.5</v>
      </c>
      <c r="H112" s="3">
        <f t="shared" si="13"/>
        <v>6410</v>
      </c>
      <c r="I112" s="3">
        <f t="shared" si="14"/>
        <v>1081.25</v>
      </c>
      <c r="J112" s="3">
        <f t="shared" si="15"/>
        <v>-11406.25</v>
      </c>
      <c r="K112" s="5">
        <f t="shared" si="16"/>
        <v>5397.5</v>
      </c>
      <c r="L112" s="5">
        <f t="shared" si="17"/>
        <v>5662.5</v>
      </c>
      <c r="M112" s="5">
        <f t="shared" si="18"/>
        <v>-265</v>
      </c>
      <c r="N112" s="3"/>
    </row>
    <row r="113" spans="1:14" x14ac:dyDescent="0.25">
      <c r="A113" s="2">
        <v>1191020</v>
      </c>
      <c r="B113" s="3">
        <v>9325</v>
      </c>
      <c r="C113" s="3">
        <v>5500</v>
      </c>
      <c r="D113" s="3">
        <v>1312.5</v>
      </c>
      <c r="E113" s="3">
        <v>-12734.400000000001</v>
      </c>
      <c r="F113">
        <f t="shared" si="11"/>
        <v>1191020</v>
      </c>
      <c r="G113" s="3">
        <f t="shared" si="12"/>
        <v>9325</v>
      </c>
      <c r="H113" s="3">
        <f t="shared" si="13"/>
        <v>5500</v>
      </c>
      <c r="I113" s="3">
        <f t="shared" si="14"/>
        <v>1312.5</v>
      </c>
      <c r="J113" s="3">
        <f t="shared" si="15"/>
        <v>-12734.400000000001</v>
      </c>
      <c r="K113" s="5">
        <f t="shared" si="16"/>
        <v>3403.0999999999985</v>
      </c>
      <c r="L113" s="5">
        <f t="shared" si="17"/>
        <v>5397.5</v>
      </c>
      <c r="M113" s="5">
        <f t="shared" si="18"/>
        <v>-1994.4000000000015</v>
      </c>
      <c r="N113" s="3"/>
    </row>
    <row r="114" spans="1:14" x14ac:dyDescent="0.25">
      <c r="A114" s="2">
        <v>1191021</v>
      </c>
      <c r="B114" s="3">
        <v>9168.75</v>
      </c>
      <c r="C114" s="3">
        <v>5610</v>
      </c>
      <c r="D114" s="3">
        <v>1125</v>
      </c>
      <c r="E114" s="3">
        <v>-13515.599999999999</v>
      </c>
      <c r="F114">
        <f t="shared" si="11"/>
        <v>1191021</v>
      </c>
      <c r="G114" s="3">
        <f t="shared" si="12"/>
        <v>9168.75</v>
      </c>
      <c r="H114" s="3">
        <f t="shared" si="13"/>
        <v>5610</v>
      </c>
      <c r="I114" s="3">
        <f t="shared" si="14"/>
        <v>1125</v>
      </c>
      <c r="J114" s="3">
        <f t="shared" si="15"/>
        <v>-13515.599999999999</v>
      </c>
      <c r="K114" s="5">
        <f t="shared" si="16"/>
        <v>2388.1500000000015</v>
      </c>
      <c r="L114" s="5">
        <f t="shared" si="17"/>
        <v>3403.0999999999985</v>
      </c>
      <c r="M114" s="5">
        <f t="shared" si="18"/>
        <v>-1014.9499999999971</v>
      </c>
      <c r="N114" s="3"/>
    </row>
    <row r="115" spans="1:14" x14ac:dyDescent="0.25">
      <c r="A115" s="2">
        <v>1191022</v>
      </c>
      <c r="B115" s="3">
        <v>9218.75</v>
      </c>
      <c r="C115" s="3">
        <v>5490</v>
      </c>
      <c r="D115" s="3">
        <v>950</v>
      </c>
      <c r="E115" s="3">
        <v>-14296.900000000001</v>
      </c>
      <c r="F115">
        <f t="shared" si="11"/>
        <v>1191022</v>
      </c>
      <c r="G115" s="3">
        <f t="shared" si="12"/>
        <v>9218.75</v>
      </c>
      <c r="H115" s="3">
        <f t="shared" si="13"/>
        <v>5490</v>
      </c>
      <c r="I115" s="3">
        <f t="shared" si="14"/>
        <v>950</v>
      </c>
      <c r="J115" s="3">
        <f t="shared" si="15"/>
        <v>-14296.900000000001</v>
      </c>
      <c r="K115" s="5">
        <f t="shared" si="16"/>
        <v>1361.8499999999985</v>
      </c>
      <c r="L115" s="5">
        <f t="shared" si="17"/>
        <v>2388.1500000000015</v>
      </c>
      <c r="M115" s="5">
        <f t="shared" si="18"/>
        <v>-1026.3000000000029</v>
      </c>
      <c r="N115" s="3"/>
    </row>
    <row r="116" spans="1:14" x14ac:dyDescent="0.25">
      <c r="A116" s="2">
        <v>1191023</v>
      </c>
      <c r="B116" s="3">
        <v>9462.5</v>
      </c>
      <c r="C116" s="3">
        <v>5510</v>
      </c>
      <c r="D116" s="3">
        <v>712.5</v>
      </c>
      <c r="E116" s="3">
        <v>-15468.75</v>
      </c>
      <c r="F116">
        <f t="shared" si="11"/>
        <v>1191023</v>
      </c>
      <c r="G116" s="3">
        <f t="shared" si="12"/>
        <v>9462.5</v>
      </c>
      <c r="H116" s="3">
        <f t="shared" si="13"/>
        <v>5510</v>
      </c>
      <c r="I116" s="3">
        <f t="shared" si="14"/>
        <v>712.5</v>
      </c>
      <c r="J116" s="3">
        <f t="shared" si="15"/>
        <v>-15468.75</v>
      </c>
      <c r="K116" s="5">
        <f t="shared" si="16"/>
        <v>216.25</v>
      </c>
      <c r="L116" s="5">
        <f t="shared" si="17"/>
        <v>1361.8499999999985</v>
      </c>
      <c r="M116" s="5">
        <f t="shared" si="18"/>
        <v>-1145.5999999999985</v>
      </c>
      <c r="N116" s="3"/>
    </row>
    <row r="117" spans="1:14" x14ac:dyDescent="0.25">
      <c r="A117" s="2">
        <v>1191024</v>
      </c>
      <c r="B117" s="3">
        <v>9368.75</v>
      </c>
      <c r="C117" s="3">
        <v>5910</v>
      </c>
      <c r="D117" s="3">
        <v>712.5</v>
      </c>
      <c r="E117" s="3">
        <v>-15781.25</v>
      </c>
      <c r="F117">
        <f t="shared" si="11"/>
        <v>1191024</v>
      </c>
      <c r="G117" s="3">
        <f t="shared" si="12"/>
        <v>9368.75</v>
      </c>
      <c r="H117" s="3">
        <f t="shared" si="13"/>
        <v>5910</v>
      </c>
      <c r="I117" s="3">
        <f t="shared" si="14"/>
        <v>712.5</v>
      </c>
      <c r="J117" s="3">
        <f t="shared" si="15"/>
        <v>-15781.25</v>
      </c>
      <c r="K117" s="5">
        <f t="shared" si="16"/>
        <v>210</v>
      </c>
      <c r="L117" s="5">
        <f t="shared" si="17"/>
        <v>216.25</v>
      </c>
      <c r="M117" s="5">
        <f t="shared" si="18"/>
        <v>-6.25</v>
      </c>
      <c r="N117" s="3"/>
    </row>
    <row r="118" spans="1:14" x14ac:dyDescent="0.25">
      <c r="A118" s="2">
        <v>1191025</v>
      </c>
      <c r="B118" s="3">
        <v>9250</v>
      </c>
      <c r="C118" s="3">
        <v>6810</v>
      </c>
      <c r="D118" s="3">
        <v>681.25</v>
      </c>
      <c r="E118" s="3">
        <v>-15390.599999999999</v>
      </c>
      <c r="F118">
        <f t="shared" si="11"/>
        <v>1191025</v>
      </c>
      <c r="G118" s="3">
        <f t="shared" si="12"/>
        <v>9250</v>
      </c>
      <c r="H118" s="3">
        <f t="shared" si="13"/>
        <v>6810</v>
      </c>
      <c r="I118" s="3">
        <f t="shared" si="14"/>
        <v>681.25</v>
      </c>
      <c r="J118" s="3">
        <f t="shared" si="15"/>
        <v>-15390.599999999999</v>
      </c>
      <c r="K118" s="5">
        <f t="shared" si="16"/>
        <v>1350.6500000000015</v>
      </c>
      <c r="L118" s="5">
        <f t="shared" si="17"/>
        <v>1350.6500000000015</v>
      </c>
      <c r="M118" s="5">
        <f t="shared" si="18"/>
        <v>0</v>
      </c>
      <c r="N118" s="3"/>
    </row>
    <row r="119" spans="1:14" x14ac:dyDescent="0.25">
      <c r="A119" s="2">
        <v>1191027</v>
      </c>
      <c r="B119" s="3">
        <v>9481.25</v>
      </c>
      <c r="C119" s="3">
        <v>8010</v>
      </c>
      <c r="D119" s="3">
        <v>656.25</v>
      </c>
      <c r="E119" s="3">
        <v>-14921.900000000001</v>
      </c>
      <c r="F119">
        <f t="shared" si="11"/>
        <v>1191027</v>
      </c>
      <c r="G119" s="3">
        <f t="shared" si="12"/>
        <v>9481.25</v>
      </c>
      <c r="H119" s="3">
        <f t="shared" si="13"/>
        <v>8010</v>
      </c>
      <c r="I119" s="3">
        <f t="shared" si="14"/>
        <v>656.25</v>
      </c>
      <c r="J119" s="3">
        <f t="shared" si="15"/>
        <v>-14921.900000000001</v>
      </c>
      <c r="K119" s="5">
        <f t="shared" si="16"/>
        <v>3225.5999999999985</v>
      </c>
      <c r="L119" s="5">
        <f t="shared" si="17"/>
        <v>3225.5999999999985</v>
      </c>
      <c r="M119" s="5">
        <f t="shared" si="18"/>
        <v>0</v>
      </c>
      <c r="N119" s="3"/>
    </row>
    <row r="120" spans="1:14" x14ac:dyDescent="0.25">
      <c r="A120" s="2">
        <v>1191028</v>
      </c>
      <c r="B120" s="3">
        <v>9537.5</v>
      </c>
      <c r="C120" s="3">
        <v>8010</v>
      </c>
      <c r="D120" s="3">
        <v>731.25</v>
      </c>
      <c r="E120" s="3">
        <v>-14531.25</v>
      </c>
      <c r="F120">
        <f t="shared" si="11"/>
        <v>1191028</v>
      </c>
      <c r="G120" s="3">
        <f t="shared" si="12"/>
        <v>9537.5</v>
      </c>
      <c r="H120" s="3">
        <f t="shared" si="13"/>
        <v>8010</v>
      </c>
      <c r="I120" s="3">
        <f t="shared" si="14"/>
        <v>731.25</v>
      </c>
      <c r="J120" s="3">
        <f t="shared" si="15"/>
        <v>-14531.25</v>
      </c>
      <c r="K120" s="5">
        <f t="shared" si="16"/>
        <v>3747.5</v>
      </c>
      <c r="L120" s="5">
        <f t="shared" si="17"/>
        <v>3747.5</v>
      </c>
      <c r="M120" s="5">
        <f t="shared" si="18"/>
        <v>0</v>
      </c>
      <c r="N120" s="3"/>
    </row>
    <row r="121" spans="1:14" x14ac:dyDescent="0.25">
      <c r="A121" s="2">
        <v>1191029</v>
      </c>
      <c r="B121" s="3">
        <v>9812.5</v>
      </c>
      <c r="C121" s="3">
        <v>9140</v>
      </c>
      <c r="D121" s="3">
        <v>981.25</v>
      </c>
      <c r="E121" s="3">
        <v>-12812.5</v>
      </c>
      <c r="F121">
        <f t="shared" si="11"/>
        <v>1191029</v>
      </c>
      <c r="G121" s="3">
        <f t="shared" si="12"/>
        <v>9812.5</v>
      </c>
      <c r="H121" s="3">
        <f t="shared" si="13"/>
        <v>9140</v>
      </c>
      <c r="I121" s="3">
        <f t="shared" si="14"/>
        <v>981.25</v>
      </c>
      <c r="J121" s="3">
        <f t="shared" si="15"/>
        <v>-12812.5</v>
      </c>
      <c r="K121" s="5">
        <f t="shared" si="16"/>
        <v>7121.25</v>
      </c>
      <c r="L121" s="5">
        <f t="shared" si="17"/>
        <v>7121.25</v>
      </c>
      <c r="M121" s="5">
        <f t="shared" si="18"/>
        <v>0</v>
      </c>
      <c r="N121" s="3"/>
    </row>
    <row r="122" spans="1:14" x14ac:dyDescent="0.25">
      <c r="A122" s="2">
        <v>1191030</v>
      </c>
      <c r="B122" s="3">
        <v>9643.75</v>
      </c>
      <c r="C122" s="3">
        <v>9400</v>
      </c>
      <c r="D122" s="3">
        <v>775</v>
      </c>
      <c r="E122" s="3">
        <v>-14218.75</v>
      </c>
      <c r="F122">
        <f t="shared" si="11"/>
        <v>1191030</v>
      </c>
      <c r="G122" s="3">
        <f t="shared" si="12"/>
        <v>9643.75</v>
      </c>
      <c r="H122" s="3">
        <f t="shared" si="13"/>
        <v>9400</v>
      </c>
      <c r="I122" s="3">
        <f t="shared" si="14"/>
        <v>775</v>
      </c>
      <c r="J122" s="3">
        <f t="shared" si="15"/>
        <v>-14218.75</v>
      </c>
      <c r="K122" s="5">
        <f t="shared" si="16"/>
        <v>5600</v>
      </c>
      <c r="L122" s="5">
        <f t="shared" si="17"/>
        <v>7121.25</v>
      </c>
      <c r="M122" s="5">
        <f t="shared" si="18"/>
        <v>-1521.25</v>
      </c>
      <c r="N122" s="3"/>
    </row>
    <row r="123" spans="1:14" x14ac:dyDescent="0.25">
      <c r="A123" s="2">
        <v>1191031</v>
      </c>
      <c r="B123" s="3">
        <v>9587.5</v>
      </c>
      <c r="C123" s="3">
        <v>10220</v>
      </c>
      <c r="D123" s="3">
        <v>337.5</v>
      </c>
      <c r="E123" s="3">
        <v>-14375</v>
      </c>
      <c r="F123">
        <f t="shared" si="11"/>
        <v>1191031</v>
      </c>
      <c r="G123" s="3">
        <f t="shared" si="12"/>
        <v>9587.5</v>
      </c>
      <c r="H123" s="3">
        <f t="shared" si="13"/>
        <v>10220</v>
      </c>
      <c r="I123" s="3">
        <f t="shared" si="14"/>
        <v>337.5</v>
      </c>
      <c r="J123" s="3">
        <f t="shared" si="15"/>
        <v>-14375</v>
      </c>
      <c r="K123" s="5">
        <f t="shared" si="16"/>
        <v>5770</v>
      </c>
      <c r="L123" s="5">
        <f t="shared" si="17"/>
        <v>5770</v>
      </c>
      <c r="M123" s="5">
        <f t="shared" si="18"/>
        <v>0</v>
      </c>
      <c r="N123" s="3"/>
    </row>
    <row r="124" spans="1:14" x14ac:dyDescent="0.25">
      <c r="A124" s="2">
        <v>1191101</v>
      </c>
      <c r="B124" s="3">
        <v>8975</v>
      </c>
      <c r="C124" s="3">
        <v>11470</v>
      </c>
      <c r="D124" s="3">
        <v>1018.75</v>
      </c>
      <c r="E124" s="3">
        <v>-11015.599999999999</v>
      </c>
      <c r="F124">
        <f t="shared" si="11"/>
        <v>1191101</v>
      </c>
      <c r="G124" s="3">
        <f t="shared" si="12"/>
        <v>8975</v>
      </c>
      <c r="H124" s="3">
        <f t="shared" si="13"/>
        <v>11470</v>
      </c>
      <c r="I124" s="3">
        <f t="shared" si="14"/>
        <v>1018.75</v>
      </c>
      <c r="J124" s="3">
        <f t="shared" si="15"/>
        <v>-11015.599999999999</v>
      </c>
      <c r="K124" s="5">
        <f t="shared" si="16"/>
        <v>10448.150000000001</v>
      </c>
      <c r="L124" s="5">
        <f t="shared" si="17"/>
        <v>10448.150000000001</v>
      </c>
      <c r="M124" s="5">
        <f t="shared" si="18"/>
        <v>0</v>
      </c>
      <c r="N124" s="3"/>
    </row>
    <row r="125" spans="1:14" x14ac:dyDescent="0.25">
      <c r="A125" s="2">
        <v>1191103</v>
      </c>
      <c r="B125" s="3">
        <v>8906.25</v>
      </c>
      <c r="C125" s="3">
        <v>10960</v>
      </c>
      <c r="D125" s="3">
        <v>843.75</v>
      </c>
      <c r="E125" s="3">
        <v>-12109.400000000001</v>
      </c>
      <c r="F125">
        <f t="shared" si="11"/>
        <v>1191103</v>
      </c>
      <c r="G125" s="3">
        <f t="shared" si="12"/>
        <v>8906.25</v>
      </c>
      <c r="H125" s="3">
        <f t="shared" si="13"/>
        <v>10960</v>
      </c>
      <c r="I125" s="3">
        <f t="shared" si="14"/>
        <v>843.75</v>
      </c>
      <c r="J125" s="3">
        <f t="shared" si="15"/>
        <v>-12109.400000000001</v>
      </c>
      <c r="K125" s="5">
        <f t="shared" si="16"/>
        <v>8600.5999999999985</v>
      </c>
      <c r="L125" s="5">
        <f t="shared" si="17"/>
        <v>10448.150000000001</v>
      </c>
      <c r="M125" s="5">
        <f t="shared" si="18"/>
        <v>-1847.5500000000029</v>
      </c>
      <c r="N125" s="3"/>
    </row>
    <row r="126" spans="1:14" x14ac:dyDescent="0.25">
      <c r="A126" s="2">
        <v>1191104</v>
      </c>
      <c r="B126" s="3">
        <v>8962.5</v>
      </c>
      <c r="C126" s="3">
        <v>11060</v>
      </c>
      <c r="D126" s="3">
        <v>868.75</v>
      </c>
      <c r="E126" s="3">
        <v>-11562.5</v>
      </c>
      <c r="F126">
        <f t="shared" si="11"/>
        <v>1191104</v>
      </c>
      <c r="G126" s="3">
        <f t="shared" si="12"/>
        <v>8962.5</v>
      </c>
      <c r="H126" s="3">
        <f t="shared" si="13"/>
        <v>11060</v>
      </c>
      <c r="I126" s="3">
        <f t="shared" si="14"/>
        <v>868.75</v>
      </c>
      <c r="J126" s="3">
        <f t="shared" si="15"/>
        <v>-11562.5</v>
      </c>
      <c r="K126" s="5">
        <f t="shared" si="16"/>
        <v>9328.75</v>
      </c>
      <c r="L126" s="5">
        <f t="shared" si="17"/>
        <v>9328.75</v>
      </c>
      <c r="M126" s="5">
        <f t="shared" si="18"/>
        <v>0</v>
      </c>
      <c r="N126" s="3"/>
    </row>
    <row r="127" spans="1:14" x14ac:dyDescent="0.25">
      <c r="A127" s="2">
        <v>1191105</v>
      </c>
      <c r="B127" s="3">
        <v>9137.5</v>
      </c>
      <c r="C127" s="3">
        <v>9970</v>
      </c>
      <c r="D127" s="3">
        <v>1437.5</v>
      </c>
      <c r="E127" s="3">
        <v>-9531.25</v>
      </c>
      <c r="F127">
        <f t="shared" si="11"/>
        <v>1191105</v>
      </c>
      <c r="G127" s="3">
        <f t="shared" si="12"/>
        <v>9137.5</v>
      </c>
      <c r="H127" s="3">
        <f t="shared" si="13"/>
        <v>9970</v>
      </c>
      <c r="I127" s="3">
        <f t="shared" si="14"/>
        <v>1437.5</v>
      </c>
      <c r="J127" s="3">
        <f t="shared" si="15"/>
        <v>-9531.25</v>
      </c>
      <c r="K127" s="5">
        <f t="shared" si="16"/>
        <v>11013.75</v>
      </c>
      <c r="L127" s="5">
        <f t="shared" si="17"/>
        <v>11013.75</v>
      </c>
      <c r="M127" s="5">
        <f t="shared" si="18"/>
        <v>0</v>
      </c>
      <c r="N127" s="3"/>
    </row>
    <row r="128" spans="1:14" x14ac:dyDescent="0.25">
      <c r="A128" s="2">
        <v>1191106</v>
      </c>
      <c r="B128" s="3">
        <v>9193.75</v>
      </c>
      <c r="C128" s="3">
        <v>11380</v>
      </c>
      <c r="D128" s="3">
        <v>1762.5</v>
      </c>
      <c r="E128" s="3">
        <v>-7343.75</v>
      </c>
      <c r="F128">
        <f t="shared" si="11"/>
        <v>1191106</v>
      </c>
      <c r="G128" s="3">
        <f t="shared" si="12"/>
        <v>9193.75</v>
      </c>
      <c r="H128" s="3">
        <f t="shared" si="13"/>
        <v>11380</v>
      </c>
      <c r="I128" s="3">
        <f t="shared" si="14"/>
        <v>1762.5</v>
      </c>
      <c r="J128" s="3">
        <f t="shared" si="15"/>
        <v>-7343.75</v>
      </c>
      <c r="K128" s="5">
        <f t="shared" si="16"/>
        <v>14992.5</v>
      </c>
      <c r="L128" s="5">
        <f t="shared" si="17"/>
        <v>14992.5</v>
      </c>
      <c r="M128" s="5">
        <f t="shared" si="18"/>
        <v>0</v>
      </c>
      <c r="N128" s="3"/>
    </row>
    <row r="129" spans="1:14" x14ac:dyDescent="0.25">
      <c r="A129" s="2">
        <v>1191107</v>
      </c>
      <c r="B129" s="3">
        <v>9168.75</v>
      </c>
      <c r="C129" s="3">
        <v>10900</v>
      </c>
      <c r="D129" s="3">
        <v>1556.25</v>
      </c>
      <c r="E129" s="3">
        <v>-7265.5999999999995</v>
      </c>
      <c r="F129">
        <f t="shared" si="11"/>
        <v>1191107</v>
      </c>
      <c r="G129" s="3">
        <f t="shared" si="12"/>
        <v>9168.75</v>
      </c>
      <c r="H129" s="3">
        <f t="shared" si="13"/>
        <v>10900</v>
      </c>
      <c r="I129" s="3">
        <f t="shared" si="14"/>
        <v>1556.25</v>
      </c>
      <c r="J129" s="3">
        <f t="shared" si="15"/>
        <v>-7265.5999999999995</v>
      </c>
      <c r="K129" s="5">
        <f t="shared" si="16"/>
        <v>14359.400000000001</v>
      </c>
      <c r="L129" s="5">
        <f t="shared" si="17"/>
        <v>14992.5</v>
      </c>
      <c r="M129" s="5">
        <f t="shared" si="18"/>
        <v>-633.09999999999854</v>
      </c>
      <c r="N129" s="3"/>
    </row>
    <row r="130" spans="1:14" x14ac:dyDescent="0.25">
      <c r="A130" s="2">
        <v>1191108</v>
      </c>
      <c r="B130" s="3">
        <v>8268.75</v>
      </c>
      <c r="C130" s="3">
        <v>11830</v>
      </c>
      <c r="D130" s="3">
        <v>1143.75</v>
      </c>
      <c r="E130" s="3">
        <v>-9140.5999999999985</v>
      </c>
      <c r="F130">
        <f t="shared" si="11"/>
        <v>1191108</v>
      </c>
      <c r="G130" s="3">
        <f t="shared" si="12"/>
        <v>8268.75</v>
      </c>
      <c r="H130" s="3">
        <f t="shared" si="13"/>
        <v>11830</v>
      </c>
      <c r="I130" s="3">
        <f t="shared" si="14"/>
        <v>1143.75</v>
      </c>
      <c r="J130" s="3">
        <f t="shared" si="15"/>
        <v>-9140.5999999999985</v>
      </c>
      <c r="K130" s="5">
        <f t="shared" si="16"/>
        <v>12101.900000000001</v>
      </c>
      <c r="L130" s="5">
        <f t="shared" si="17"/>
        <v>14359.400000000001</v>
      </c>
      <c r="M130" s="5">
        <f t="shared" si="18"/>
        <v>-2257.5</v>
      </c>
      <c r="N130" s="3"/>
    </row>
    <row r="131" spans="1:14" x14ac:dyDescent="0.25">
      <c r="A131" s="2">
        <v>1191110</v>
      </c>
      <c r="B131" s="3">
        <v>7775</v>
      </c>
      <c r="C131" s="3">
        <v>12640</v>
      </c>
      <c r="D131" s="3">
        <v>1150</v>
      </c>
      <c r="E131" s="3">
        <v>-10937.5</v>
      </c>
      <c r="F131">
        <f t="shared" si="11"/>
        <v>1191110</v>
      </c>
      <c r="G131" s="3">
        <f t="shared" si="12"/>
        <v>7775</v>
      </c>
      <c r="H131" s="3">
        <f t="shared" si="13"/>
        <v>12640</v>
      </c>
      <c r="I131" s="3">
        <f t="shared" si="14"/>
        <v>1150</v>
      </c>
      <c r="J131" s="3">
        <f t="shared" si="15"/>
        <v>-10937.5</v>
      </c>
      <c r="K131" s="5">
        <f t="shared" si="16"/>
        <v>10627.5</v>
      </c>
      <c r="L131" s="5">
        <f t="shared" si="17"/>
        <v>12101.900000000001</v>
      </c>
      <c r="M131" s="5">
        <f t="shared" si="18"/>
        <v>-1474.4000000000015</v>
      </c>
      <c r="N131" s="3"/>
    </row>
    <row r="132" spans="1:14" x14ac:dyDescent="0.25">
      <c r="A132" s="2">
        <v>1191111</v>
      </c>
      <c r="B132" s="3">
        <v>7943.75</v>
      </c>
      <c r="C132" s="3">
        <v>12490</v>
      </c>
      <c r="D132" s="3">
        <v>1343.75</v>
      </c>
      <c r="E132" s="3">
        <v>-10312.5</v>
      </c>
      <c r="F132">
        <f t="shared" si="11"/>
        <v>1191111</v>
      </c>
      <c r="G132" s="3">
        <f t="shared" si="12"/>
        <v>7943.75</v>
      </c>
      <c r="H132" s="3">
        <f t="shared" si="13"/>
        <v>12490</v>
      </c>
      <c r="I132" s="3">
        <f t="shared" si="14"/>
        <v>1343.75</v>
      </c>
      <c r="J132" s="3">
        <f t="shared" si="15"/>
        <v>-10312.5</v>
      </c>
      <c r="K132" s="5">
        <f t="shared" si="16"/>
        <v>11465</v>
      </c>
      <c r="L132" s="5">
        <f t="shared" si="17"/>
        <v>11465</v>
      </c>
      <c r="M132" s="5">
        <f t="shared" si="18"/>
        <v>0</v>
      </c>
      <c r="N132" s="3"/>
    </row>
    <row r="133" spans="1:14" x14ac:dyDescent="0.25">
      <c r="A133" s="2">
        <v>1191112</v>
      </c>
      <c r="B133" s="3">
        <v>8093.75</v>
      </c>
      <c r="C133" s="3">
        <v>12300</v>
      </c>
      <c r="D133" s="3">
        <v>1543.75</v>
      </c>
      <c r="E133" s="3">
        <v>-11171.900000000001</v>
      </c>
      <c r="F133">
        <f t="shared" si="11"/>
        <v>1191112</v>
      </c>
      <c r="G133" s="3">
        <f t="shared" si="12"/>
        <v>8093.75</v>
      </c>
      <c r="H133" s="3">
        <f t="shared" si="13"/>
        <v>12300</v>
      </c>
      <c r="I133" s="3">
        <f t="shared" si="14"/>
        <v>1543.75</v>
      </c>
      <c r="J133" s="3">
        <f t="shared" si="15"/>
        <v>-11171.900000000001</v>
      </c>
      <c r="K133" s="5">
        <f t="shared" si="16"/>
        <v>10765.599999999999</v>
      </c>
      <c r="L133" s="5">
        <f t="shared" si="17"/>
        <v>11465</v>
      </c>
      <c r="M133" s="5">
        <f t="shared" si="18"/>
        <v>-699.40000000000146</v>
      </c>
      <c r="N133" s="3"/>
    </row>
    <row r="134" spans="1:14" x14ac:dyDescent="0.25">
      <c r="A134" s="2">
        <v>1191113</v>
      </c>
      <c r="B134" s="3">
        <v>7925</v>
      </c>
      <c r="C134" s="3">
        <v>12690</v>
      </c>
      <c r="D134" s="3">
        <v>1518.75</v>
      </c>
      <c r="E134" s="3">
        <v>-11640.599999999999</v>
      </c>
      <c r="F134">
        <f t="shared" si="11"/>
        <v>1191113</v>
      </c>
      <c r="G134" s="3">
        <f t="shared" si="12"/>
        <v>7925</v>
      </c>
      <c r="H134" s="3">
        <f t="shared" si="13"/>
        <v>12690</v>
      </c>
      <c r="I134" s="3">
        <f t="shared" si="14"/>
        <v>1518.75</v>
      </c>
      <c r="J134" s="3">
        <f t="shared" si="15"/>
        <v>-11640.599999999999</v>
      </c>
      <c r="K134" s="5">
        <f t="shared" si="16"/>
        <v>10493.150000000001</v>
      </c>
      <c r="L134" s="5">
        <f t="shared" si="17"/>
        <v>10765.599999999999</v>
      </c>
      <c r="M134" s="5">
        <f t="shared" si="18"/>
        <v>-272.44999999999709</v>
      </c>
      <c r="N134" s="3"/>
    </row>
    <row r="135" spans="1:14" x14ac:dyDescent="0.25">
      <c r="A135" s="2">
        <v>1191114</v>
      </c>
      <c r="B135" s="3">
        <v>8137.5</v>
      </c>
      <c r="C135" s="3">
        <v>12840</v>
      </c>
      <c r="D135" s="3">
        <v>1875</v>
      </c>
      <c r="E135" s="3">
        <v>-13828.099999999999</v>
      </c>
      <c r="F135">
        <f t="shared" si="11"/>
        <v>1191114</v>
      </c>
      <c r="G135" s="3">
        <f t="shared" si="12"/>
        <v>8137.5</v>
      </c>
      <c r="H135" s="3">
        <f t="shared" si="13"/>
        <v>12840</v>
      </c>
      <c r="I135" s="3">
        <f t="shared" si="14"/>
        <v>1875</v>
      </c>
      <c r="J135" s="3">
        <f t="shared" si="15"/>
        <v>-13828.099999999999</v>
      </c>
      <c r="K135" s="5">
        <f t="shared" si="16"/>
        <v>9024.4000000000015</v>
      </c>
      <c r="L135" s="5">
        <f t="shared" si="17"/>
        <v>10493.150000000001</v>
      </c>
      <c r="M135" s="5">
        <f t="shared" si="18"/>
        <v>-1468.75</v>
      </c>
      <c r="N135" s="3"/>
    </row>
    <row r="136" spans="1:14" x14ac:dyDescent="0.25">
      <c r="A136" s="2">
        <v>1191115</v>
      </c>
      <c r="B136" s="3">
        <v>7631.25</v>
      </c>
      <c r="C136" s="3">
        <v>13200</v>
      </c>
      <c r="D136" s="3">
        <v>2025</v>
      </c>
      <c r="E136" s="3">
        <v>-12890.599999999999</v>
      </c>
      <c r="F136">
        <f t="shared" si="11"/>
        <v>1191115</v>
      </c>
      <c r="G136" s="3">
        <f t="shared" si="12"/>
        <v>7631.25</v>
      </c>
      <c r="H136" s="3">
        <f t="shared" si="13"/>
        <v>13200</v>
      </c>
      <c r="I136" s="3">
        <f t="shared" si="14"/>
        <v>2025</v>
      </c>
      <c r="J136" s="3">
        <f t="shared" si="15"/>
        <v>-12890.599999999999</v>
      </c>
      <c r="K136" s="5">
        <f t="shared" si="16"/>
        <v>9965.6500000000015</v>
      </c>
      <c r="L136" s="5">
        <f t="shared" si="17"/>
        <v>9965.6500000000015</v>
      </c>
      <c r="M136" s="5">
        <f t="shared" si="18"/>
        <v>0</v>
      </c>
      <c r="N136" s="3"/>
    </row>
    <row r="137" spans="1:14" x14ac:dyDescent="0.25">
      <c r="A137" s="2">
        <v>1191117</v>
      </c>
      <c r="B137" s="3">
        <v>7612.5</v>
      </c>
      <c r="C137" s="3">
        <v>12920</v>
      </c>
      <c r="D137" s="3">
        <v>1925</v>
      </c>
      <c r="E137" s="3">
        <v>-11953.099999999999</v>
      </c>
      <c r="F137">
        <f t="shared" si="11"/>
        <v>1191117</v>
      </c>
      <c r="G137" s="3">
        <f t="shared" si="12"/>
        <v>7612.5</v>
      </c>
      <c r="H137" s="3">
        <f t="shared" si="13"/>
        <v>12920</v>
      </c>
      <c r="I137" s="3">
        <f t="shared" si="14"/>
        <v>1925</v>
      </c>
      <c r="J137" s="3">
        <f t="shared" si="15"/>
        <v>-11953.099999999999</v>
      </c>
      <c r="K137" s="5">
        <f t="shared" si="16"/>
        <v>10504.400000000001</v>
      </c>
      <c r="L137" s="5">
        <f t="shared" si="17"/>
        <v>10504.400000000001</v>
      </c>
      <c r="M137" s="5">
        <f t="shared" si="18"/>
        <v>0</v>
      </c>
      <c r="N137" s="3"/>
    </row>
    <row r="138" spans="1:14" x14ac:dyDescent="0.25">
      <c r="A138" s="2">
        <v>1191118</v>
      </c>
      <c r="B138" s="3">
        <v>7718.75</v>
      </c>
      <c r="C138" s="3">
        <v>12640</v>
      </c>
      <c r="D138" s="3">
        <v>2050</v>
      </c>
      <c r="E138" s="3">
        <v>-12109.400000000001</v>
      </c>
      <c r="F138">
        <f t="shared" si="11"/>
        <v>1191118</v>
      </c>
      <c r="G138" s="3">
        <f t="shared" si="12"/>
        <v>7718.75</v>
      </c>
      <c r="H138" s="3">
        <f t="shared" si="13"/>
        <v>12640</v>
      </c>
      <c r="I138" s="3">
        <f t="shared" si="14"/>
        <v>2050</v>
      </c>
      <c r="J138" s="3">
        <f t="shared" si="15"/>
        <v>-12109.400000000001</v>
      </c>
      <c r="K138" s="5">
        <f t="shared" si="16"/>
        <v>10299.349999999999</v>
      </c>
      <c r="L138" s="5">
        <f t="shared" si="17"/>
        <v>10504.400000000001</v>
      </c>
      <c r="M138" s="5">
        <f t="shared" si="18"/>
        <v>-205.05000000000291</v>
      </c>
      <c r="N138" s="3"/>
    </row>
    <row r="139" spans="1:14" x14ac:dyDescent="0.25">
      <c r="A139" s="2">
        <v>1191119</v>
      </c>
      <c r="B139" s="3">
        <v>7231.25</v>
      </c>
      <c r="C139" s="3">
        <v>10680</v>
      </c>
      <c r="D139" s="3">
        <v>2450</v>
      </c>
      <c r="E139" s="3">
        <v>-14296.900000000001</v>
      </c>
      <c r="F139">
        <f t="shared" si="11"/>
        <v>1191119</v>
      </c>
      <c r="G139" s="3">
        <f t="shared" si="12"/>
        <v>7231.25</v>
      </c>
      <c r="H139" s="3">
        <f t="shared" si="13"/>
        <v>10680</v>
      </c>
      <c r="I139" s="3">
        <f t="shared" si="14"/>
        <v>2450</v>
      </c>
      <c r="J139" s="3">
        <f t="shared" si="15"/>
        <v>-14296.900000000001</v>
      </c>
      <c r="K139" s="5">
        <f t="shared" si="16"/>
        <v>6064.3499999999985</v>
      </c>
      <c r="L139" s="5">
        <f t="shared" si="17"/>
        <v>10299.349999999999</v>
      </c>
      <c r="M139" s="5">
        <f t="shared" si="18"/>
        <v>-4235</v>
      </c>
      <c r="N139" s="3"/>
    </row>
    <row r="140" spans="1:14" x14ac:dyDescent="0.25">
      <c r="A140" s="2">
        <v>1191120</v>
      </c>
      <c r="B140" s="3">
        <v>7443.75</v>
      </c>
      <c r="C140" s="3">
        <v>10340</v>
      </c>
      <c r="D140" s="3">
        <v>2543.75</v>
      </c>
      <c r="E140" s="3">
        <v>-12265.599999999999</v>
      </c>
      <c r="F140">
        <f t="shared" si="11"/>
        <v>1191120</v>
      </c>
      <c r="G140" s="3">
        <f t="shared" si="12"/>
        <v>7443.75</v>
      </c>
      <c r="H140" s="3">
        <f t="shared" si="13"/>
        <v>10340</v>
      </c>
      <c r="I140" s="3">
        <f t="shared" si="14"/>
        <v>2543.75</v>
      </c>
      <c r="J140" s="3">
        <f t="shared" si="15"/>
        <v>-12265.599999999999</v>
      </c>
      <c r="K140" s="5">
        <f t="shared" si="16"/>
        <v>8061.9000000000015</v>
      </c>
      <c r="L140" s="5">
        <f t="shared" si="17"/>
        <v>8061.9000000000015</v>
      </c>
      <c r="M140" s="5">
        <f t="shared" si="18"/>
        <v>0</v>
      </c>
      <c r="N140" s="3"/>
    </row>
    <row r="141" spans="1:14" x14ac:dyDescent="0.25">
      <c r="A141" s="2">
        <v>1191121</v>
      </c>
      <c r="B141" s="3">
        <v>7081.25</v>
      </c>
      <c r="C141" s="3">
        <v>10580</v>
      </c>
      <c r="D141" s="3">
        <v>2443.75</v>
      </c>
      <c r="E141" s="3">
        <v>-11953.099999999999</v>
      </c>
      <c r="F141">
        <f t="shared" si="11"/>
        <v>1191121</v>
      </c>
      <c r="G141" s="3">
        <f t="shared" si="12"/>
        <v>7081.25</v>
      </c>
      <c r="H141" s="3">
        <f t="shared" si="13"/>
        <v>10580</v>
      </c>
      <c r="I141" s="3">
        <f t="shared" si="14"/>
        <v>2443.75</v>
      </c>
      <c r="J141" s="3">
        <f t="shared" si="15"/>
        <v>-11953.099999999999</v>
      </c>
      <c r="K141" s="5">
        <f t="shared" si="16"/>
        <v>8151.9000000000015</v>
      </c>
      <c r="L141" s="5">
        <f t="shared" si="17"/>
        <v>8151.9000000000015</v>
      </c>
      <c r="M141" s="5">
        <f t="shared" si="18"/>
        <v>0</v>
      </c>
      <c r="N141" s="3"/>
    </row>
    <row r="142" spans="1:14" x14ac:dyDescent="0.25">
      <c r="A142" s="2">
        <v>1191122</v>
      </c>
      <c r="B142" s="3">
        <v>7093.75</v>
      </c>
      <c r="C142" s="3">
        <v>10910</v>
      </c>
      <c r="D142" s="3">
        <v>2493.75</v>
      </c>
      <c r="E142" s="3">
        <v>-12578.099999999999</v>
      </c>
      <c r="F142">
        <f t="shared" si="11"/>
        <v>1191122</v>
      </c>
      <c r="G142" s="3">
        <f t="shared" si="12"/>
        <v>7093.75</v>
      </c>
      <c r="H142" s="3">
        <f t="shared" si="13"/>
        <v>10910</v>
      </c>
      <c r="I142" s="3">
        <f t="shared" si="14"/>
        <v>2493.75</v>
      </c>
      <c r="J142" s="3">
        <f t="shared" si="15"/>
        <v>-12578.099999999999</v>
      </c>
      <c r="K142" s="5">
        <f t="shared" si="16"/>
        <v>7919.4000000000015</v>
      </c>
      <c r="L142" s="5">
        <f t="shared" si="17"/>
        <v>8151.9000000000015</v>
      </c>
      <c r="M142" s="5">
        <f t="shared" si="18"/>
        <v>-232.5</v>
      </c>
      <c r="N142" s="3"/>
    </row>
    <row r="143" spans="1:14" x14ac:dyDescent="0.25">
      <c r="A143" s="2">
        <v>1191124</v>
      </c>
      <c r="B143" s="3">
        <v>6750</v>
      </c>
      <c r="C143" s="3">
        <v>10060</v>
      </c>
      <c r="D143" s="3">
        <v>2618.75</v>
      </c>
      <c r="E143" s="3">
        <v>-12343.75</v>
      </c>
      <c r="F143">
        <f t="shared" si="11"/>
        <v>1191124</v>
      </c>
      <c r="G143" s="3">
        <f t="shared" si="12"/>
        <v>6750</v>
      </c>
      <c r="H143" s="3">
        <f t="shared" si="13"/>
        <v>10060</v>
      </c>
      <c r="I143" s="3">
        <f t="shared" si="14"/>
        <v>2618.75</v>
      </c>
      <c r="J143" s="3">
        <f t="shared" si="15"/>
        <v>-12343.75</v>
      </c>
      <c r="K143" s="5">
        <f t="shared" si="16"/>
        <v>7085</v>
      </c>
      <c r="L143" s="5">
        <f t="shared" si="17"/>
        <v>7919.4000000000015</v>
      </c>
      <c r="M143" s="5">
        <f t="shared" si="18"/>
        <v>-834.40000000000146</v>
      </c>
      <c r="N143" s="3"/>
    </row>
    <row r="144" spans="1:14" x14ac:dyDescent="0.25">
      <c r="A144" s="2">
        <v>1191125</v>
      </c>
      <c r="B144" s="3">
        <v>6718.75</v>
      </c>
      <c r="C144" s="3">
        <v>10180</v>
      </c>
      <c r="D144" s="3">
        <v>2756.25</v>
      </c>
      <c r="E144" s="3">
        <v>-12187.5</v>
      </c>
      <c r="F144">
        <f t="shared" si="11"/>
        <v>1191125</v>
      </c>
      <c r="G144" s="3">
        <f t="shared" si="12"/>
        <v>6718.75</v>
      </c>
      <c r="H144" s="3">
        <f t="shared" si="13"/>
        <v>10180</v>
      </c>
      <c r="I144" s="3">
        <f t="shared" si="14"/>
        <v>2756.25</v>
      </c>
      <c r="J144" s="3">
        <f t="shared" si="15"/>
        <v>-12187.5</v>
      </c>
      <c r="K144" s="5">
        <f t="shared" si="16"/>
        <v>7467.5</v>
      </c>
      <c r="L144" s="5">
        <f t="shared" si="17"/>
        <v>7467.5</v>
      </c>
      <c r="M144" s="5">
        <f t="shared" si="18"/>
        <v>0</v>
      </c>
      <c r="N144" s="3"/>
    </row>
    <row r="145" spans="1:14" x14ac:dyDescent="0.25">
      <c r="A145" s="2">
        <v>1191126</v>
      </c>
      <c r="B145" s="3">
        <v>6706.25</v>
      </c>
      <c r="C145" s="3">
        <v>10020</v>
      </c>
      <c r="D145" s="3">
        <v>2731.25</v>
      </c>
      <c r="E145" s="3">
        <v>-12343.75</v>
      </c>
      <c r="F145">
        <f t="shared" si="11"/>
        <v>1191126</v>
      </c>
      <c r="G145" s="3">
        <f t="shared" si="12"/>
        <v>6706.25</v>
      </c>
      <c r="H145" s="3">
        <f t="shared" si="13"/>
        <v>10020</v>
      </c>
      <c r="I145" s="3">
        <f t="shared" si="14"/>
        <v>2731.25</v>
      </c>
      <c r="J145" s="3">
        <f t="shared" si="15"/>
        <v>-12343.75</v>
      </c>
      <c r="K145" s="5">
        <f t="shared" si="16"/>
        <v>7113.75</v>
      </c>
      <c r="L145" s="5">
        <f t="shared" si="17"/>
        <v>7467.5</v>
      </c>
      <c r="M145" s="5">
        <f t="shared" si="18"/>
        <v>-353.75</v>
      </c>
      <c r="N145" s="3"/>
    </row>
    <row r="146" spans="1:14" x14ac:dyDescent="0.25">
      <c r="A146" s="2">
        <v>1191127</v>
      </c>
      <c r="B146" s="3">
        <v>6993.75</v>
      </c>
      <c r="C146" s="3">
        <v>8770</v>
      </c>
      <c r="D146" s="3">
        <v>2931.25</v>
      </c>
      <c r="E146" s="3">
        <v>-11640.599999999999</v>
      </c>
      <c r="F146">
        <f t="shared" si="11"/>
        <v>1191127</v>
      </c>
      <c r="G146" s="3">
        <f t="shared" si="12"/>
        <v>6993.75</v>
      </c>
      <c r="H146" s="3">
        <f t="shared" si="13"/>
        <v>8770</v>
      </c>
      <c r="I146" s="3">
        <f t="shared" si="14"/>
        <v>2931.25</v>
      </c>
      <c r="J146" s="3">
        <f t="shared" si="15"/>
        <v>-11640.599999999999</v>
      </c>
      <c r="K146" s="5">
        <f t="shared" si="16"/>
        <v>7054.4000000000015</v>
      </c>
      <c r="L146" s="5">
        <f t="shared" si="17"/>
        <v>7113.75</v>
      </c>
      <c r="M146" s="5">
        <f t="shared" si="18"/>
        <v>-59.349999999998545</v>
      </c>
      <c r="N146" s="3"/>
    </row>
    <row r="147" spans="1:14" x14ac:dyDescent="0.25">
      <c r="A147" s="2">
        <v>1191128</v>
      </c>
      <c r="B147" s="3">
        <v>6581.25</v>
      </c>
      <c r="C147" s="3">
        <v>9300</v>
      </c>
      <c r="D147" s="3">
        <v>3237.5</v>
      </c>
      <c r="E147" s="3">
        <v>-11562.5</v>
      </c>
      <c r="F147">
        <f t="shared" si="11"/>
        <v>1191128</v>
      </c>
      <c r="G147" s="3">
        <f t="shared" si="12"/>
        <v>6581.25</v>
      </c>
      <c r="H147" s="3">
        <f t="shared" si="13"/>
        <v>9300</v>
      </c>
      <c r="I147" s="3">
        <f t="shared" si="14"/>
        <v>3237.5</v>
      </c>
      <c r="J147" s="3">
        <f t="shared" si="15"/>
        <v>-11562.5</v>
      </c>
      <c r="K147" s="5">
        <f t="shared" si="16"/>
        <v>7556.25</v>
      </c>
      <c r="L147" s="5">
        <f t="shared" si="17"/>
        <v>7556.25</v>
      </c>
      <c r="M147" s="5">
        <f t="shared" si="18"/>
        <v>0</v>
      </c>
      <c r="N147" s="3"/>
    </row>
    <row r="148" spans="1:14" x14ac:dyDescent="0.25">
      <c r="A148" s="2">
        <v>1191129</v>
      </c>
      <c r="B148" s="3">
        <v>6700</v>
      </c>
      <c r="C148" s="3">
        <v>9020</v>
      </c>
      <c r="D148" s="3">
        <v>3293.75</v>
      </c>
      <c r="E148" s="3">
        <v>-11171.900000000001</v>
      </c>
      <c r="F148">
        <f t="shared" si="11"/>
        <v>1191129</v>
      </c>
      <c r="G148" s="3">
        <f t="shared" si="12"/>
        <v>6700</v>
      </c>
      <c r="H148" s="3">
        <f t="shared" si="13"/>
        <v>9020</v>
      </c>
      <c r="I148" s="3">
        <f t="shared" si="14"/>
        <v>3293.75</v>
      </c>
      <c r="J148" s="3">
        <f t="shared" si="15"/>
        <v>-11171.900000000001</v>
      </c>
      <c r="K148" s="5">
        <f t="shared" si="16"/>
        <v>7841.8499999999985</v>
      </c>
      <c r="L148" s="5">
        <f t="shared" si="17"/>
        <v>7841.8499999999985</v>
      </c>
      <c r="M148" s="5">
        <f t="shared" si="18"/>
        <v>0</v>
      </c>
      <c r="N148" s="3"/>
    </row>
    <row r="149" spans="1:14" x14ac:dyDescent="0.25">
      <c r="A149" s="2">
        <v>1191201</v>
      </c>
      <c r="B149" s="3">
        <v>6350</v>
      </c>
      <c r="C149" s="3">
        <v>8440</v>
      </c>
      <c r="D149" s="3">
        <v>3256.25</v>
      </c>
      <c r="E149" s="3">
        <v>-9921.9000000000015</v>
      </c>
      <c r="F149">
        <f t="shared" si="11"/>
        <v>1191201</v>
      </c>
      <c r="G149" s="3">
        <f t="shared" si="12"/>
        <v>6350</v>
      </c>
      <c r="H149" s="3">
        <f t="shared" si="13"/>
        <v>8440</v>
      </c>
      <c r="I149" s="3">
        <f t="shared" si="14"/>
        <v>3256.25</v>
      </c>
      <c r="J149" s="3">
        <f t="shared" si="15"/>
        <v>-9921.9000000000015</v>
      </c>
      <c r="K149" s="5">
        <f t="shared" si="16"/>
        <v>8124.3499999999985</v>
      </c>
      <c r="L149" s="5">
        <f t="shared" si="17"/>
        <v>8124.3499999999985</v>
      </c>
      <c r="M149" s="5">
        <f t="shared" si="18"/>
        <v>0</v>
      </c>
      <c r="N149" s="3"/>
    </row>
    <row r="150" spans="1:14" x14ac:dyDescent="0.25">
      <c r="A150" s="2">
        <v>1191202</v>
      </c>
      <c r="B150" s="3">
        <v>6212.5</v>
      </c>
      <c r="C150" s="3">
        <v>8440</v>
      </c>
      <c r="D150" s="3">
        <v>3281.25</v>
      </c>
      <c r="E150" s="3">
        <v>-9296.9000000000015</v>
      </c>
      <c r="F150">
        <f t="shared" si="11"/>
        <v>1191202</v>
      </c>
      <c r="G150" s="3">
        <f t="shared" si="12"/>
        <v>6212.5</v>
      </c>
      <c r="H150" s="3">
        <f t="shared" si="13"/>
        <v>8440</v>
      </c>
      <c r="I150" s="3">
        <f t="shared" si="14"/>
        <v>3281.25</v>
      </c>
      <c r="J150" s="3">
        <f t="shared" si="15"/>
        <v>-9296.9000000000015</v>
      </c>
      <c r="K150" s="5">
        <f t="shared" si="16"/>
        <v>8636.8499999999985</v>
      </c>
      <c r="L150" s="5">
        <f t="shared" si="17"/>
        <v>8636.8499999999985</v>
      </c>
      <c r="M150" s="5">
        <f t="shared" si="18"/>
        <v>0</v>
      </c>
      <c r="N150" s="3"/>
    </row>
    <row r="151" spans="1:14" x14ac:dyDescent="0.25">
      <c r="A151" s="2">
        <v>1191203</v>
      </c>
      <c r="B151" s="3">
        <v>7181.25</v>
      </c>
      <c r="C151" s="3">
        <v>8450</v>
      </c>
      <c r="D151" s="3">
        <v>3506.25</v>
      </c>
      <c r="E151" s="3">
        <v>-8281.25</v>
      </c>
      <c r="F151">
        <f t="shared" si="11"/>
        <v>1191203</v>
      </c>
      <c r="G151" s="3">
        <f t="shared" si="12"/>
        <v>7181.25</v>
      </c>
      <c r="H151" s="3">
        <f t="shared" si="13"/>
        <v>8450</v>
      </c>
      <c r="I151" s="3">
        <f t="shared" si="14"/>
        <v>3506.25</v>
      </c>
      <c r="J151" s="3">
        <f t="shared" si="15"/>
        <v>-8281.25</v>
      </c>
      <c r="K151" s="5">
        <f t="shared" si="16"/>
        <v>10856.25</v>
      </c>
      <c r="L151" s="5">
        <f t="shared" si="17"/>
        <v>10856.25</v>
      </c>
      <c r="M151" s="5">
        <f t="shared" si="18"/>
        <v>0</v>
      </c>
      <c r="N151" s="3"/>
    </row>
    <row r="152" spans="1:14" x14ac:dyDescent="0.25">
      <c r="A152" s="2">
        <v>1191204</v>
      </c>
      <c r="B152" s="3">
        <v>7181.25</v>
      </c>
      <c r="C152" s="3">
        <v>10210</v>
      </c>
      <c r="D152" s="3">
        <v>4100</v>
      </c>
      <c r="E152" s="3">
        <v>-8125</v>
      </c>
      <c r="F152">
        <f t="shared" si="11"/>
        <v>1191204</v>
      </c>
      <c r="G152" s="3">
        <f t="shared" si="12"/>
        <v>7181.25</v>
      </c>
      <c r="H152" s="3">
        <f t="shared" si="13"/>
        <v>10210</v>
      </c>
      <c r="I152" s="3">
        <f t="shared" si="14"/>
        <v>4100</v>
      </c>
      <c r="J152" s="3">
        <f t="shared" si="15"/>
        <v>-8125</v>
      </c>
      <c r="K152" s="5">
        <f t="shared" si="16"/>
        <v>13366.25</v>
      </c>
      <c r="L152" s="5">
        <f t="shared" si="17"/>
        <v>13366.25</v>
      </c>
      <c r="M152" s="5">
        <f t="shared" si="18"/>
        <v>0</v>
      </c>
      <c r="N152" s="3"/>
    </row>
    <row r="153" spans="1:14" x14ac:dyDescent="0.25">
      <c r="A153" s="2">
        <v>1191205</v>
      </c>
      <c r="B153" s="3">
        <v>7012.5</v>
      </c>
      <c r="C153" s="3">
        <v>10540</v>
      </c>
      <c r="D153" s="3">
        <v>3906.25</v>
      </c>
      <c r="E153" s="3">
        <v>-8828.0999999999985</v>
      </c>
      <c r="F153">
        <f t="shared" ref="F153:F216" si="19">+A153</f>
        <v>1191205</v>
      </c>
      <c r="G153" s="3">
        <f t="shared" si="12"/>
        <v>7012.5</v>
      </c>
      <c r="H153" s="3">
        <f t="shared" si="13"/>
        <v>10540</v>
      </c>
      <c r="I153" s="3">
        <f t="shared" si="14"/>
        <v>3906.25</v>
      </c>
      <c r="J153" s="3">
        <f t="shared" si="15"/>
        <v>-8828.0999999999985</v>
      </c>
      <c r="K153" s="5">
        <f t="shared" si="16"/>
        <v>12630.650000000001</v>
      </c>
      <c r="L153" s="5">
        <f t="shared" si="17"/>
        <v>13366.25</v>
      </c>
      <c r="M153" s="5">
        <f t="shared" si="18"/>
        <v>-735.59999999999854</v>
      </c>
      <c r="N153" s="3"/>
    </row>
    <row r="154" spans="1:14" x14ac:dyDescent="0.25">
      <c r="A154" s="2">
        <v>1191206</v>
      </c>
      <c r="B154" s="3">
        <v>6668.75</v>
      </c>
      <c r="C154" s="3">
        <v>10080</v>
      </c>
      <c r="D154" s="3">
        <v>4162.5</v>
      </c>
      <c r="E154" s="3">
        <v>-7265.5999999999995</v>
      </c>
      <c r="F154">
        <f t="shared" si="19"/>
        <v>1191206</v>
      </c>
      <c r="G154" s="3">
        <f t="shared" ref="G154:G217" si="20">+IF(B154&lt;&gt;0,B154,B153)</f>
        <v>6668.75</v>
      </c>
      <c r="H154" s="3">
        <f t="shared" ref="H154:H217" si="21">+IF(C154&lt;&gt;0,C154,C153)</f>
        <v>10080</v>
      </c>
      <c r="I154" s="3">
        <f t="shared" ref="I154:I217" si="22">+IF(D154&lt;&gt;0,D154,D153)</f>
        <v>4162.5</v>
      </c>
      <c r="J154" s="3">
        <f t="shared" ref="J154:J217" si="23">+IF(E154&lt;&gt;0,E154,E153)</f>
        <v>-7265.5999999999995</v>
      </c>
      <c r="K154" s="5">
        <f t="shared" ref="K154:K217" si="24">+SUM(G154:J154)</f>
        <v>13645.650000000001</v>
      </c>
      <c r="L154" s="5">
        <f t="shared" si="17"/>
        <v>13645.650000000001</v>
      </c>
      <c r="M154" s="5">
        <f t="shared" si="18"/>
        <v>0</v>
      </c>
      <c r="N154" s="3"/>
    </row>
    <row r="155" spans="1:14" x14ac:dyDescent="0.25">
      <c r="A155" s="2">
        <v>1191208</v>
      </c>
      <c r="B155" s="3">
        <v>6100</v>
      </c>
      <c r="C155" s="3">
        <v>10710</v>
      </c>
      <c r="D155" s="3">
        <v>3956.25</v>
      </c>
      <c r="E155" s="3">
        <v>-7031.25</v>
      </c>
      <c r="F155">
        <f t="shared" si="19"/>
        <v>1191208</v>
      </c>
      <c r="G155" s="3">
        <f t="shared" si="20"/>
        <v>6100</v>
      </c>
      <c r="H155" s="3">
        <f t="shared" si="21"/>
        <v>10710</v>
      </c>
      <c r="I155" s="3">
        <f t="shared" si="22"/>
        <v>3956.25</v>
      </c>
      <c r="J155" s="3">
        <f t="shared" si="23"/>
        <v>-7031.25</v>
      </c>
      <c r="K155" s="5">
        <f t="shared" si="24"/>
        <v>13735</v>
      </c>
      <c r="L155" s="5">
        <f t="shared" ref="L155:L218" si="25">+IF(K155&gt;K154,K155,K154)</f>
        <v>13735</v>
      </c>
      <c r="M155" s="5">
        <f t="shared" ref="M155:M218" si="26">+K155-L155</f>
        <v>0</v>
      </c>
      <c r="N155" s="3"/>
    </row>
    <row r="156" spans="1:14" x14ac:dyDescent="0.25">
      <c r="A156" s="2">
        <v>1191209</v>
      </c>
      <c r="B156" s="3">
        <v>5975</v>
      </c>
      <c r="C156" s="3">
        <v>10680</v>
      </c>
      <c r="D156" s="3">
        <v>4012.5</v>
      </c>
      <c r="E156" s="3">
        <v>-7265.5999999999995</v>
      </c>
      <c r="F156">
        <f t="shared" si="19"/>
        <v>1191209</v>
      </c>
      <c r="G156" s="3">
        <f t="shared" si="20"/>
        <v>5975</v>
      </c>
      <c r="H156" s="3">
        <f t="shared" si="21"/>
        <v>10680</v>
      </c>
      <c r="I156" s="3">
        <f t="shared" si="22"/>
        <v>4012.5</v>
      </c>
      <c r="J156" s="3">
        <f t="shared" si="23"/>
        <v>-7265.5999999999995</v>
      </c>
      <c r="K156" s="5">
        <f t="shared" si="24"/>
        <v>13401.900000000001</v>
      </c>
      <c r="L156" s="5">
        <f t="shared" si="25"/>
        <v>13735</v>
      </c>
      <c r="M156" s="5">
        <f t="shared" si="26"/>
        <v>-333.09999999999854</v>
      </c>
      <c r="N156" s="3"/>
    </row>
    <row r="157" spans="1:14" x14ac:dyDescent="0.25">
      <c r="A157" s="2">
        <v>1191210</v>
      </c>
      <c r="B157" s="3">
        <v>6118.75</v>
      </c>
      <c r="C157" s="3">
        <v>10260</v>
      </c>
      <c r="D157" s="3">
        <v>4081.25</v>
      </c>
      <c r="E157" s="3">
        <v>-7968.75</v>
      </c>
      <c r="F157">
        <f t="shared" si="19"/>
        <v>1191210</v>
      </c>
      <c r="G157" s="3">
        <f t="shared" si="20"/>
        <v>6118.75</v>
      </c>
      <c r="H157" s="3">
        <f t="shared" si="21"/>
        <v>10260</v>
      </c>
      <c r="I157" s="3">
        <f t="shared" si="22"/>
        <v>4081.25</v>
      </c>
      <c r="J157" s="3">
        <f t="shared" si="23"/>
        <v>-7968.75</v>
      </c>
      <c r="K157" s="5">
        <f t="shared" si="24"/>
        <v>12491.25</v>
      </c>
      <c r="L157" s="5">
        <f t="shared" si="25"/>
        <v>13401.900000000001</v>
      </c>
      <c r="M157" s="5">
        <f t="shared" si="26"/>
        <v>-910.65000000000146</v>
      </c>
      <c r="N157" s="3"/>
    </row>
    <row r="158" spans="1:14" x14ac:dyDescent="0.25">
      <c r="A158" s="2">
        <v>1191211</v>
      </c>
      <c r="B158" s="3">
        <v>5831.25</v>
      </c>
      <c r="C158" s="3">
        <v>10490</v>
      </c>
      <c r="D158" s="3">
        <v>4218.75</v>
      </c>
      <c r="E158" s="3">
        <v>-8203.0999999999985</v>
      </c>
      <c r="F158">
        <f t="shared" si="19"/>
        <v>1191211</v>
      </c>
      <c r="G158" s="3">
        <f t="shared" si="20"/>
        <v>5831.25</v>
      </c>
      <c r="H158" s="3">
        <f t="shared" si="21"/>
        <v>10490</v>
      </c>
      <c r="I158" s="3">
        <f t="shared" si="22"/>
        <v>4218.75</v>
      </c>
      <c r="J158" s="3">
        <f t="shared" si="23"/>
        <v>-8203.0999999999985</v>
      </c>
      <c r="K158" s="5">
        <f t="shared" si="24"/>
        <v>12336.900000000001</v>
      </c>
      <c r="L158" s="5">
        <f t="shared" si="25"/>
        <v>12491.25</v>
      </c>
      <c r="M158" s="5">
        <f t="shared" si="26"/>
        <v>-154.34999999999854</v>
      </c>
      <c r="N158" s="3"/>
    </row>
    <row r="159" spans="1:14" x14ac:dyDescent="0.25">
      <c r="A159" s="2">
        <v>1191212</v>
      </c>
      <c r="B159" s="3">
        <v>5850</v>
      </c>
      <c r="C159" s="3">
        <v>11580</v>
      </c>
      <c r="D159" s="3">
        <v>4150</v>
      </c>
      <c r="E159" s="3">
        <v>-8281.25</v>
      </c>
      <c r="F159">
        <f t="shared" si="19"/>
        <v>1191212</v>
      </c>
      <c r="G159" s="3">
        <f t="shared" si="20"/>
        <v>5850</v>
      </c>
      <c r="H159" s="3">
        <f t="shared" si="21"/>
        <v>11580</v>
      </c>
      <c r="I159" s="3">
        <f t="shared" si="22"/>
        <v>4150</v>
      </c>
      <c r="J159" s="3">
        <f t="shared" si="23"/>
        <v>-8281.25</v>
      </c>
      <c r="K159" s="5">
        <f t="shared" si="24"/>
        <v>13298.75</v>
      </c>
      <c r="L159" s="5">
        <f t="shared" si="25"/>
        <v>13298.75</v>
      </c>
      <c r="M159" s="5">
        <f t="shared" si="26"/>
        <v>0</v>
      </c>
      <c r="N159" s="3"/>
    </row>
    <row r="160" spans="1:14" x14ac:dyDescent="0.25">
      <c r="A160" s="2">
        <v>1191213</v>
      </c>
      <c r="B160" s="3">
        <v>6443.75</v>
      </c>
      <c r="C160" s="3">
        <v>10990</v>
      </c>
      <c r="D160" s="3">
        <v>4975</v>
      </c>
      <c r="E160" s="3">
        <v>-4843.75</v>
      </c>
      <c r="F160">
        <f t="shared" si="19"/>
        <v>1191213</v>
      </c>
      <c r="G160" s="3">
        <f t="shared" si="20"/>
        <v>6443.75</v>
      </c>
      <c r="H160" s="3">
        <f t="shared" si="21"/>
        <v>10990</v>
      </c>
      <c r="I160" s="3">
        <f t="shared" si="22"/>
        <v>4975</v>
      </c>
      <c r="J160" s="3">
        <f t="shared" si="23"/>
        <v>-4843.75</v>
      </c>
      <c r="K160" s="5">
        <f t="shared" si="24"/>
        <v>17565</v>
      </c>
      <c r="L160" s="5">
        <f t="shared" si="25"/>
        <v>17565</v>
      </c>
      <c r="M160" s="5">
        <f t="shared" si="26"/>
        <v>0</v>
      </c>
      <c r="N160" s="3"/>
    </row>
    <row r="161" spans="1:14" x14ac:dyDescent="0.25">
      <c r="A161" s="2">
        <v>1191215</v>
      </c>
      <c r="B161" s="3">
        <v>6062.5</v>
      </c>
      <c r="C161" s="3">
        <v>11080</v>
      </c>
      <c r="D161" s="3">
        <v>5175</v>
      </c>
      <c r="E161" s="3">
        <v>-3593.75</v>
      </c>
      <c r="F161">
        <f t="shared" si="19"/>
        <v>1191215</v>
      </c>
      <c r="G161" s="3">
        <f t="shared" si="20"/>
        <v>6062.5</v>
      </c>
      <c r="H161" s="3">
        <f t="shared" si="21"/>
        <v>11080</v>
      </c>
      <c r="I161" s="3">
        <f t="shared" si="22"/>
        <v>5175</v>
      </c>
      <c r="J161" s="3">
        <f t="shared" si="23"/>
        <v>-3593.75</v>
      </c>
      <c r="K161" s="5">
        <f t="shared" si="24"/>
        <v>18723.75</v>
      </c>
      <c r="L161" s="5">
        <f t="shared" si="25"/>
        <v>18723.75</v>
      </c>
      <c r="M161" s="5">
        <f t="shared" si="26"/>
        <v>0</v>
      </c>
      <c r="N161" s="3"/>
    </row>
    <row r="162" spans="1:14" x14ac:dyDescent="0.25">
      <c r="A162" s="2">
        <v>1191216</v>
      </c>
      <c r="B162" s="3">
        <v>5950</v>
      </c>
      <c r="C162" s="3">
        <v>11180</v>
      </c>
      <c r="D162" s="3">
        <v>5175</v>
      </c>
      <c r="E162" s="3">
        <v>-3671.9</v>
      </c>
      <c r="F162">
        <f t="shared" si="19"/>
        <v>1191216</v>
      </c>
      <c r="G162" s="3">
        <f t="shared" si="20"/>
        <v>5950</v>
      </c>
      <c r="H162" s="3">
        <f t="shared" si="21"/>
        <v>11180</v>
      </c>
      <c r="I162" s="3">
        <f t="shared" si="22"/>
        <v>5175</v>
      </c>
      <c r="J162" s="3">
        <f t="shared" si="23"/>
        <v>-3671.9</v>
      </c>
      <c r="K162" s="5">
        <f t="shared" si="24"/>
        <v>18633.099999999999</v>
      </c>
      <c r="L162" s="5">
        <f t="shared" si="25"/>
        <v>18723.75</v>
      </c>
      <c r="M162" s="5">
        <f t="shared" si="26"/>
        <v>-90.650000000001455</v>
      </c>
      <c r="N162" s="3"/>
    </row>
    <row r="163" spans="1:14" x14ac:dyDescent="0.25">
      <c r="A163" s="2">
        <v>1191217</v>
      </c>
      <c r="B163" s="3">
        <v>5681.25</v>
      </c>
      <c r="C163" s="3">
        <v>11250</v>
      </c>
      <c r="D163" s="3">
        <v>5143.75</v>
      </c>
      <c r="E163" s="3">
        <v>-3906.25</v>
      </c>
      <c r="F163">
        <f t="shared" si="19"/>
        <v>1191217</v>
      </c>
      <c r="G163" s="3">
        <f t="shared" si="20"/>
        <v>5681.25</v>
      </c>
      <c r="H163" s="3">
        <f t="shared" si="21"/>
        <v>11250</v>
      </c>
      <c r="I163" s="3">
        <f t="shared" si="22"/>
        <v>5143.75</v>
      </c>
      <c r="J163" s="3">
        <f t="shared" si="23"/>
        <v>-3906.25</v>
      </c>
      <c r="K163" s="5">
        <f t="shared" si="24"/>
        <v>18168.75</v>
      </c>
      <c r="L163" s="5">
        <f t="shared" si="25"/>
        <v>18633.099999999999</v>
      </c>
      <c r="M163" s="5">
        <f t="shared" si="26"/>
        <v>-464.34999999999854</v>
      </c>
      <c r="N163" s="3"/>
    </row>
    <row r="164" spans="1:14" x14ac:dyDescent="0.25">
      <c r="A164" s="2">
        <v>1191218</v>
      </c>
      <c r="B164" s="3">
        <v>5643.75</v>
      </c>
      <c r="C164" s="3">
        <v>10950</v>
      </c>
      <c r="D164" s="3">
        <v>5156.25</v>
      </c>
      <c r="E164" s="3">
        <v>-3515.6</v>
      </c>
      <c r="F164">
        <f t="shared" si="19"/>
        <v>1191218</v>
      </c>
      <c r="G164" s="3">
        <f t="shared" si="20"/>
        <v>5643.75</v>
      </c>
      <c r="H164" s="3">
        <f t="shared" si="21"/>
        <v>10950</v>
      </c>
      <c r="I164" s="3">
        <f t="shared" si="22"/>
        <v>5156.25</v>
      </c>
      <c r="J164" s="3">
        <f t="shared" si="23"/>
        <v>-3515.6</v>
      </c>
      <c r="K164" s="5">
        <f t="shared" si="24"/>
        <v>18234.400000000001</v>
      </c>
      <c r="L164" s="5">
        <f t="shared" si="25"/>
        <v>18234.400000000001</v>
      </c>
      <c r="M164" s="5">
        <f t="shared" si="26"/>
        <v>0</v>
      </c>
      <c r="N164" s="3"/>
    </row>
    <row r="165" spans="1:14" x14ac:dyDescent="0.25">
      <c r="A165" s="2">
        <v>1191219</v>
      </c>
      <c r="B165" s="3">
        <v>5550</v>
      </c>
      <c r="C165" s="3">
        <v>10440</v>
      </c>
      <c r="D165" s="3">
        <v>5193.75</v>
      </c>
      <c r="E165" s="3">
        <v>-1953.1</v>
      </c>
      <c r="F165">
        <f t="shared" si="19"/>
        <v>1191219</v>
      </c>
      <c r="G165" s="3">
        <f t="shared" si="20"/>
        <v>5550</v>
      </c>
      <c r="H165" s="3">
        <f t="shared" si="21"/>
        <v>10440</v>
      </c>
      <c r="I165" s="3">
        <f t="shared" si="22"/>
        <v>5193.75</v>
      </c>
      <c r="J165" s="3">
        <f t="shared" si="23"/>
        <v>-1953.1</v>
      </c>
      <c r="K165" s="5">
        <f t="shared" si="24"/>
        <v>19230.650000000001</v>
      </c>
      <c r="L165" s="5">
        <f t="shared" si="25"/>
        <v>19230.650000000001</v>
      </c>
      <c r="M165" s="5">
        <f t="shared" si="26"/>
        <v>0</v>
      </c>
      <c r="N165" s="3"/>
    </row>
    <row r="166" spans="1:14" x14ac:dyDescent="0.25">
      <c r="A166" s="2">
        <v>1191220</v>
      </c>
      <c r="B166" s="3">
        <v>5856.25</v>
      </c>
      <c r="C166" s="3">
        <v>10320</v>
      </c>
      <c r="D166" s="3">
        <v>5193.75</v>
      </c>
      <c r="E166" s="3">
        <v>-1640.6</v>
      </c>
      <c r="F166">
        <f t="shared" si="19"/>
        <v>1191220</v>
      </c>
      <c r="G166" s="3">
        <f t="shared" si="20"/>
        <v>5856.25</v>
      </c>
      <c r="H166" s="3">
        <f t="shared" si="21"/>
        <v>10320</v>
      </c>
      <c r="I166" s="3">
        <f t="shared" si="22"/>
        <v>5193.75</v>
      </c>
      <c r="J166" s="3">
        <f t="shared" si="23"/>
        <v>-1640.6</v>
      </c>
      <c r="K166" s="5">
        <f t="shared" si="24"/>
        <v>19729.400000000001</v>
      </c>
      <c r="L166" s="5">
        <f t="shared" si="25"/>
        <v>19729.400000000001</v>
      </c>
      <c r="M166" s="5">
        <f t="shared" si="26"/>
        <v>0</v>
      </c>
      <c r="N166" s="3"/>
    </row>
    <row r="167" spans="1:14" x14ac:dyDescent="0.25">
      <c r="A167" s="2">
        <v>1191222</v>
      </c>
      <c r="B167" s="3">
        <v>6306.25</v>
      </c>
      <c r="C167" s="3">
        <v>10100</v>
      </c>
      <c r="D167" s="3">
        <v>5212.5</v>
      </c>
      <c r="E167" s="3">
        <v>-1796.9</v>
      </c>
      <c r="F167">
        <f t="shared" si="19"/>
        <v>1191222</v>
      </c>
      <c r="G167" s="3">
        <f t="shared" si="20"/>
        <v>6306.25</v>
      </c>
      <c r="H167" s="3">
        <f t="shared" si="21"/>
        <v>10100</v>
      </c>
      <c r="I167" s="3">
        <f t="shared" si="22"/>
        <v>5212.5</v>
      </c>
      <c r="J167" s="3">
        <f t="shared" si="23"/>
        <v>-1796.9</v>
      </c>
      <c r="K167" s="5">
        <f t="shared" si="24"/>
        <v>19821.849999999999</v>
      </c>
      <c r="L167" s="5">
        <f t="shared" si="25"/>
        <v>19821.849999999999</v>
      </c>
      <c r="M167" s="5">
        <f t="shared" si="26"/>
        <v>0</v>
      </c>
      <c r="N167" s="3"/>
    </row>
    <row r="168" spans="1:14" x14ac:dyDescent="0.25">
      <c r="A168" s="2">
        <v>1191223</v>
      </c>
      <c r="B168" s="3">
        <v>6306.25</v>
      </c>
      <c r="C168" s="3">
        <v>10340</v>
      </c>
      <c r="D168" s="3">
        <v>5131.25</v>
      </c>
      <c r="E168" s="3">
        <v>-2109.4</v>
      </c>
      <c r="F168">
        <f t="shared" si="19"/>
        <v>1191223</v>
      </c>
      <c r="G168" s="3">
        <f t="shared" si="20"/>
        <v>6306.25</v>
      </c>
      <c r="H168" s="3">
        <f t="shared" si="21"/>
        <v>10340</v>
      </c>
      <c r="I168" s="3">
        <f t="shared" si="22"/>
        <v>5131.25</v>
      </c>
      <c r="J168" s="3">
        <f t="shared" si="23"/>
        <v>-2109.4</v>
      </c>
      <c r="K168" s="5">
        <f t="shared" si="24"/>
        <v>19668.099999999999</v>
      </c>
      <c r="L168" s="5">
        <f t="shared" si="25"/>
        <v>19821.849999999999</v>
      </c>
      <c r="M168" s="5">
        <f t="shared" si="26"/>
        <v>-153.75</v>
      </c>
      <c r="N168" s="3"/>
    </row>
    <row r="169" spans="1:14" x14ac:dyDescent="0.25">
      <c r="A169" s="2">
        <v>1191224</v>
      </c>
      <c r="B169" s="3">
        <v>6306.25</v>
      </c>
      <c r="C169" s="3">
        <v>10540</v>
      </c>
      <c r="D169" s="3">
        <v>4962.5</v>
      </c>
      <c r="E169" s="3">
        <v>-1328.1</v>
      </c>
      <c r="F169">
        <f t="shared" si="19"/>
        <v>1191224</v>
      </c>
      <c r="G169" s="3">
        <f t="shared" si="20"/>
        <v>6306.25</v>
      </c>
      <c r="H169" s="3">
        <f t="shared" si="21"/>
        <v>10540</v>
      </c>
      <c r="I169" s="3">
        <f t="shared" si="22"/>
        <v>4962.5</v>
      </c>
      <c r="J169" s="3">
        <f t="shared" si="23"/>
        <v>-1328.1</v>
      </c>
      <c r="K169" s="5">
        <f t="shared" si="24"/>
        <v>20480.650000000001</v>
      </c>
      <c r="L169" s="5">
        <f t="shared" si="25"/>
        <v>20480.650000000001</v>
      </c>
      <c r="M169" s="5">
        <f t="shared" si="26"/>
        <v>0</v>
      </c>
      <c r="N169" s="3"/>
    </row>
    <row r="170" spans="1:14" x14ac:dyDescent="0.25">
      <c r="A170" s="2">
        <v>1191225</v>
      </c>
      <c r="B170" s="3">
        <v>6306.25</v>
      </c>
      <c r="C170" s="3">
        <v>11360</v>
      </c>
      <c r="D170" s="3">
        <v>4837.5</v>
      </c>
      <c r="E170" s="3">
        <v>-1250</v>
      </c>
      <c r="F170">
        <f t="shared" si="19"/>
        <v>1191225</v>
      </c>
      <c r="G170" s="3">
        <f t="shared" si="20"/>
        <v>6306.25</v>
      </c>
      <c r="H170" s="3">
        <f t="shared" si="21"/>
        <v>11360</v>
      </c>
      <c r="I170" s="3">
        <f t="shared" si="22"/>
        <v>4837.5</v>
      </c>
      <c r="J170" s="3">
        <f t="shared" si="23"/>
        <v>-1250</v>
      </c>
      <c r="K170" s="5">
        <f t="shared" si="24"/>
        <v>21253.75</v>
      </c>
      <c r="L170" s="5">
        <f t="shared" si="25"/>
        <v>21253.75</v>
      </c>
      <c r="M170" s="5">
        <f t="shared" si="26"/>
        <v>0</v>
      </c>
      <c r="N170" s="3"/>
    </row>
    <row r="171" spans="1:14" x14ac:dyDescent="0.25">
      <c r="A171" s="2">
        <v>1191226</v>
      </c>
      <c r="B171" s="3">
        <v>6306.25</v>
      </c>
      <c r="C171" s="3">
        <v>11710</v>
      </c>
      <c r="D171" s="3">
        <v>4931.25</v>
      </c>
      <c r="E171" s="3">
        <v>-1328.1</v>
      </c>
      <c r="F171">
        <f t="shared" si="19"/>
        <v>1191226</v>
      </c>
      <c r="G171" s="3">
        <f t="shared" si="20"/>
        <v>6306.25</v>
      </c>
      <c r="H171" s="3">
        <f t="shared" si="21"/>
        <v>11710</v>
      </c>
      <c r="I171" s="3">
        <f t="shared" si="22"/>
        <v>4931.25</v>
      </c>
      <c r="J171" s="3">
        <f t="shared" si="23"/>
        <v>-1328.1</v>
      </c>
      <c r="K171" s="5">
        <f t="shared" si="24"/>
        <v>21619.4</v>
      </c>
      <c r="L171" s="5">
        <f t="shared" si="25"/>
        <v>21619.4</v>
      </c>
      <c r="M171" s="5">
        <f t="shared" si="26"/>
        <v>0</v>
      </c>
      <c r="N171" s="3"/>
    </row>
    <row r="172" spans="1:14" x14ac:dyDescent="0.25">
      <c r="A172" s="2">
        <v>1191227</v>
      </c>
      <c r="B172" s="3">
        <v>6656.25</v>
      </c>
      <c r="C172" s="3">
        <v>12200</v>
      </c>
      <c r="D172" s="3">
        <v>4993.75</v>
      </c>
      <c r="E172" s="3">
        <v>-2265.6</v>
      </c>
      <c r="F172">
        <f t="shared" si="19"/>
        <v>1191227</v>
      </c>
      <c r="G172" s="3">
        <f t="shared" si="20"/>
        <v>6656.25</v>
      </c>
      <c r="H172" s="3">
        <f t="shared" si="21"/>
        <v>12200</v>
      </c>
      <c r="I172" s="3">
        <f t="shared" si="22"/>
        <v>4993.75</v>
      </c>
      <c r="J172" s="3">
        <f t="shared" si="23"/>
        <v>-2265.6</v>
      </c>
      <c r="K172" s="5">
        <f t="shared" si="24"/>
        <v>21584.400000000001</v>
      </c>
      <c r="L172" s="5">
        <f t="shared" si="25"/>
        <v>21619.4</v>
      </c>
      <c r="M172" s="5">
        <f t="shared" si="26"/>
        <v>-35</v>
      </c>
      <c r="N172" s="3"/>
    </row>
    <row r="173" spans="1:14" x14ac:dyDescent="0.25">
      <c r="A173" s="2">
        <v>1191229</v>
      </c>
      <c r="B173" s="3">
        <v>6325</v>
      </c>
      <c r="C173" s="3">
        <v>12200</v>
      </c>
      <c r="D173" s="3">
        <v>4812.5</v>
      </c>
      <c r="E173" s="3">
        <v>-2421.9</v>
      </c>
      <c r="F173">
        <f t="shared" si="19"/>
        <v>1191229</v>
      </c>
      <c r="G173" s="3">
        <f t="shared" si="20"/>
        <v>6325</v>
      </c>
      <c r="H173" s="3">
        <f t="shared" si="21"/>
        <v>12200</v>
      </c>
      <c r="I173" s="3">
        <f t="shared" si="22"/>
        <v>4812.5</v>
      </c>
      <c r="J173" s="3">
        <f t="shared" si="23"/>
        <v>-2421.9</v>
      </c>
      <c r="K173" s="5">
        <f t="shared" si="24"/>
        <v>20915.599999999999</v>
      </c>
      <c r="L173" s="5">
        <f t="shared" si="25"/>
        <v>21584.400000000001</v>
      </c>
      <c r="M173" s="5">
        <f t="shared" si="26"/>
        <v>-668.80000000000291</v>
      </c>
      <c r="N173" s="3"/>
    </row>
    <row r="174" spans="1:14" x14ac:dyDescent="0.25">
      <c r="A174" s="2">
        <v>1191230</v>
      </c>
      <c r="B174" s="3">
        <v>6281.25</v>
      </c>
      <c r="C174" s="3">
        <v>12200</v>
      </c>
      <c r="D174" s="3">
        <v>5106.25</v>
      </c>
      <c r="E174" s="3">
        <v>-2500</v>
      </c>
      <c r="F174">
        <f t="shared" si="19"/>
        <v>1191230</v>
      </c>
      <c r="G174" s="3">
        <f t="shared" si="20"/>
        <v>6281.25</v>
      </c>
      <c r="H174" s="3">
        <f t="shared" si="21"/>
        <v>12200</v>
      </c>
      <c r="I174" s="3">
        <f t="shared" si="22"/>
        <v>5106.25</v>
      </c>
      <c r="J174" s="3">
        <f t="shared" si="23"/>
        <v>-2500</v>
      </c>
      <c r="K174" s="5">
        <f t="shared" si="24"/>
        <v>21087.5</v>
      </c>
      <c r="L174" s="5">
        <f t="shared" si="25"/>
        <v>21087.5</v>
      </c>
      <c r="M174" s="5">
        <f t="shared" si="26"/>
        <v>0</v>
      </c>
      <c r="N174" s="3"/>
    </row>
    <row r="175" spans="1:14" x14ac:dyDescent="0.25">
      <c r="A175" s="2">
        <v>1191231</v>
      </c>
      <c r="B175" s="3">
        <v>6637.5</v>
      </c>
      <c r="C175" s="3">
        <v>11100</v>
      </c>
      <c r="D175" s="3">
        <v>5425</v>
      </c>
      <c r="E175" s="3">
        <v>-5546.9000000000005</v>
      </c>
      <c r="F175">
        <f t="shared" si="19"/>
        <v>1191231</v>
      </c>
      <c r="G175" s="3">
        <f t="shared" si="20"/>
        <v>6637.5</v>
      </c>
      <c r="H175" s="3">
        <f t="shared" si="21"/>
        <v>11100</v>
      </c>
      <c r="I175" s="3">
        <f t="shared" si="22"/>
        <v>5425</v>
      </c>
      <c r="J175" s="3">
        <f t="shared" si="23"/>
        <v>-5546.9000000000005</v>
      </c>
      <c r="K175" s="5">
        <f t="shared" si="24"/>
        <v>17615.599999999999</v>
      </c>
      <c r="L175" s="5">
        <f t="shared" si="25"/>
        <v>21087.5</v>
      </c>
      <c r="M175" s="5">
        <f t="shared" si="26"/>
        <v>-3471.9000000000015</v>
      </c>
      <c r="N175" s="3"/>
    </row>
    <row r="176" spans="1:14" x14ac:dyDescent="0.25">
      <c r="A176" s="2">
        <v>1200101</v>
      </c>
      <c r="B176" s="3">
        <v>6562.5</v>
      </c>
      <c r="C176" s="3">
        <v>11480</v>
      </c>
      <c r="D176" s="3">
        <v>5500</v>
      </c>
      <c r="E176" s="3">
        <v>-4453.1000000000004</v>
      </c>
      <c r="F176">
        <f t="shared" si="19"/>
        <v>1200101</v>
      </c>
      <c r="G176" s="3">
        <f t="shared" si="20"/>
        <v>6562.5</v>
      </c>
      <c r="H176" s="3">
        <f t="shared" si="21"/>
        <v>11480</v>
      </c>
      <c r="I176" s="3">
        <f t="shared" si="22"/>
        <v>5500</v>
      </c>
      <c r="J176" s="3">
        <f t="shared" si="23"/>
        <v>-4453.1000000000004</v>
      </c>
      <c r="K176" s="5">
        <f t="shared" si="24"/>
        <v>19089.400000000001</v>
      </c>
      <c r="L176" s="5">
        <f t="shared" si="25"/>
        <v>19089.400000000001</v>
      </c>
      <c r="M176" s="5">
        <f t="shared" si="26"/>
        <v>0</v>
      </c>
      <c r="N176" s="3"/>
    </row>
    <row r="177" spans="1:14" x14ac:dyDescent="0.25">
      <c r="A177" s="2">
        <v>1200102</v>
      </c>
      <c r="B177" s="3">
        <v>6562.5</v>
      </c>
      <c r="C177" s="3">
        <v>11390</v>
      </c>
      <c r="D177" s="3">
        <v>5512.5</v>
      </c>
      <c r="E177" s="3">
        <v>-5000</v>
      </c>
      <c r="F177">
        <f t="shared" si="19"/>
        <v>1200102</v>
      </c>
      <c r="G177" s="3">
        <f t="shared" si="20"/>
        <v>6562.5</v>
      </c>
      <c r="H177" s="3">
        <f t="shared" si="21"/>
        <v>11390</v>
      </c>
      <c r="I177" s="3">
        <f t="shared" si="22"/>
        <v>5512.5</v>
      </c>
      <c r="J177" s="3">
        <f t="shared" si="23"/>
        <v>-5000</v>
      </c>
      <c r="K177" s="5">
        <f t="shared" si="24"/>
        <v>18465</v>
      </c>
      <c r="L177" s="5">
        <f t="shared" si="25"/>
        <v>19089.400000000001</v>
      </c>
      <c r="M177" s="5">
        <f t="shared" si="26"/>
        <v>-624.40000000000146</v>
      </c>
      <c r="N177" s="3"/>
    </row>
    <row r="178" spans="1:14" x14ac:dyDescent="0.25">
      <c r="A178" s="2">
        <v>1200103</v>
      </c>
      <c r="B178" s="3">
        <v>6700</v>
      </c>
      <c r="C178" s="3">
        <v>12920</v>
      </c>
      <c r="D178" s="3">
        <v>6218.75</v>
      </c>
      <c r="E178" s="3">
        <v>-1953.1</v>
      </c>
      <c r="F178">
        <f t="shared" si="19"/>
        <v>1200103</v>
      </c>
      <c r="G178" s="3">
        <f t="shared" si="20"/>
        <v>6700</v>
      </c>
      <c r="H178" s="3">
        <f t="shared" si="21"/>
        <v>12920</v>
      </c>
      <c r="I178" s="3">
        <f t="shared" si="22"/>
        <v>6218.75</v>
      </c>
      <c r="J178" s="3">
        <f t="shared" si="23"/>
        <v>-1953.1</v>
      </c>
      <c r="K178" s="5">
        <f t="shared" si="24"/>
        <v>23885.65</v>
      </c>
      <c r="L178" s="5">
        <f t="shared" si="25"/>
        <v>23885.65</v>
      </c>
      <c r="M178" s="5">
        <f t="shared" si="26"/>
        <v>0</v>
      </c>
      <c r="N178" s="3"/>
    </row>
    <row r="179" spans="1:14" x14ac:dyDescent="0.25">
      <c r="A179" s="2">
        <v>1200105</v>
      </c>
      <c r="B179" s="3">
        <v>6093.75</v>
      </c>
      <c r="C179" s="3">
        <v>15940</v>
      </c>
      <c r="D179" s="3">
        <v>5943.75</v>
      </c>
      <c r="E179" s="3">
        <v>390.6</v>
      </c>
      <c r="F179">
        <f t="shared" si="19"/>
        <v>1200105</v>
      </c>
      <c r="G179" s="3">
        <f t="shared" si="20"/>
        <v>6093.75</v>
      </c>
      <c r="H179" s="3">
        <f t="shared" si="21"/>
        <v>15940</v>
      </c>
      <c r="I179" s="3">
        <f t="shared" si="22"/>
        <v>5943.75</v>
      </c>
      <c r="J179" s="3">
        <f t="shared" si="23"/>
        <v>390.6</v>
      </c>
      <c r="K179" s="5">
        <f t="shared" si="24"/>
        <v>28368.1</v>
      </c>
      <c r="L179" s="5">
        <f t="shared" si="25"/>
        <v>28368.1</v>
      </c>
      <c r="M179" s="5">
        <f t="shared" si="26"/>
        <v>0</v>
      </c>
      <c r="N179" s="3"/>
    </row>
    <row r="180" spans="1:14" x14ac:dyDescent="0.25">
      <c r="A180" s="2">
        <v>1200106</v>
      </c>
      <c r="B180" s="3">
        <v>6168.75</v>
      </c>
      <c r="C180" s="3">
        <v>16620</v>
      </c>
      <c r="D180" s="3">
        <v>5843.75</v>
      </c>
      <c r="E180" s="3">
        <v>234.4</v>
      </c>
      <c r="F180">
        <f t="shared" si="19"/>
        <v>1200106</v>
      </c>
      <c r="G180" s="3">
        <f t="shared" si="20"/>
        <v>6168.75</v>
      </c>
      <c r="H180" s="3">
        <f t="shared" si="21"/>
        <v>16620</v>
      </c>
      <c r="I180" s="3">
        <f t="shared" si="22"/>
        <v>5843.75</v>
      </c>
      <c r="J180" s="3">
        <f t="shared" si="23"/>
        <v>234.4</v>
      </c>
      <c r="K180" s="5">
        <f t="shared" si="24"/>
        <v>28866.9</v>
      </c>
      <c r="L180" s="5">
        <f t="shared" si="25"/>
        <v>28866.9</v>
      </c>
      <c r="M180" s="5">
        <f t="shared" si="26"/>
        <v>0</v>
      </c>
      <c r="N180" s="3"/>
    </row>
    <row r="181" spans="1:14" x14ac:dyDescent="0.25">
      <c r="A181" s="2">
        <v>1200107</v>
      </c>
      <c r="B181" s="3">
        <v>6750</v>
      </c>
      <c r="C181" s="3">
        <v>16270</v>
      </c>
      <c r="D181" s="3">
        <v>6100</v>
      </c>
      <c r="E181" s="3">
        <v>-78.099999999999994</v>
      </c>
      <c r="F181">
        <f t="shared" si="19"/>
        <v>1200107</v>
      </c>
      <c r="G181" s="3">
        <f t="shared" si="20"/>
        <v>6750</v>
      </c>
      <c r="H181" s="3">
        <f t="shared" si="21"/>
        <v>16270</v>
      </c>
      <c r="I181" s="3">
        <f t="shared" si="22"/>
        <v>6100</v>
      </c>
      <c r="J181" s="3">
        <f t="shared" si="23"/>
        <v>-78.099999999999994</v>
      </c>
      <c r="K181" s="5">
        <f t="shared" si="24"/>
        <v>29041.9</v>
      </c>
      <c r="L181" s="5">
        <f t="shared" si="25"/>
        <v>29041.9</v>
      </c>
      <c r="M181" s="5">
        <f t="shared" si="26"/>
        <v>0</v>
      </c>
      <c r="N181" s="3"/>
    </row>
    <row r="182" spans="1:14" x14ac:dyDescent="0.25">
      <c r="A182" s="2">
        <v>1200108</v>
      </c>
      <c r="B182" s="3">
        <v>6525</v>
      </c>
      <c r="C182" s="3">
        <v>16270</v>
      </c>
      <c r="D182" s="3">
        <v>5962.5</v>
      </c>
      <c r="E182" s="3">
        <v>234.4</v>
      </c>
      <c r="F182">
        <f t="shared" si="19"/>
        <v>1200108</v>
      </c>
      <c r="G182" s="3">
        <f t="shared" si="20"/>
        <v>6525</v>
      </c>
      <c r="H182" s="3">
        <f t="shared" si="21"/>
        <v>16270</v>
      </c>
      <c r="I182" s="3">
        <f t="shared" si="22"/>
        <v>5962.5</v>
      </c>
      <c r="J182" s="3">
        <f t="shared" si="23"/>
        <v>234.4</v>
      </c>
      <c r="K182" s="5">
        <f t="shared" si="24"/>
        <v>28991.9</v>
      </c>
      <c r="L182" s="5">
        <f t="shared" si="25"/>
        <v>29041.9</v>
      </c>
      <c r="M182" s="5">
        <f t="shared" si="26"/>
        <v>-50</v>
      </c>
      <c r="N182" s="3"/>
    </row>
    <row r="183" spans="1:14" x14ac:dyDescent="0.25">
      <c r="A183" s="2">
        <v>1200109</v>
      </c>
      <c r="B183" s="3">
        <v>6962.5</v>
      </c>
      <c r="C183" s="3">
        <v>18460</v>
      </c>
      <c r="D183" s="3">
        <v>6018.75</v>
      </c>
      <c r="E183" s="3">
        <v>390.6</v>
      </c>
      <c r="F183">
        <f t="shared" si="19"/>
        <v>1200109</v>
      </c>
      <c r="G183" s="3">
        <f t="shared" si="20"/>
        <v>6962.5</v>
      </c>
      <c r="H183" s="3">
        <f t="shared" si="21"/>
        <v>18460</v>
      </c>
      <c r="I183" s="3">
        <f t="shared" si="22"/>
        <v>6018.75</v>
      </c>
      <c r="J183" s="3">
        <f t="shared" si="23"/>
        <v>390.6</v>
      </c>
      <c r="K183" s="5">
        <f t="shared" si="24"/>
        <v>31831.85</v>
      </c>
      <c r="L183" s="5">
        <f t="shared" si="25"/>
        <v>31831.85</v>
      </c>
      <c r="M183" s="5">
        <f t="shared" si="26"/>
        <v>0</v>
      </c>
      <c r="N183" s="3"/>
    </row>
    <row r="184" spans="1:14" x14ac:dyDescent="0.25">
      <c r="A184" s="2">
        <v>1200110</v>
      </c>
      <c r="B184" s="3">
        <v>7431.25</v>
      </c>
      <c r="C184" s="3">
        <v>19550</v>
      </c>
      <c r="D184" s="3">
        <v>6325</v>
      </c>
      <c r="E184" s="3">
        <v>-1328.1</v>
      </c>
      <c r="F184">
        <f t="shared" si="19"/>
        <v>1200110</v>
      </c>
      <c r="G184" s="3">
        <f t="shared" si="20"/>
        <v>7431.25</v>
      </c>
      <c r="H184" s="3">
        <f t="shared" si="21"/>
        <v>19550</v>
      </c>
      <c r="I184" s="3">
        <f t="shared" si="22"/>
        <v>6325</v>
      </c>
      <c r="J184" s="3">
        <f t="shared" si="23"/>
        <v>-1328.1</v>
      </c>
      <c r="K184" s="5">
        <f t="shared" si="24"/>
        <v>31978.15</v>
      </c>
      <c r="L184" s="5">
        <f t="shared" si="25"/>
        <v>31978.15</v>
      </c>
      <c r="M184" s="5">
        <f t="shared" si="26"/>
        <v>0</v>
      </c>
      <c r="N184" s="3"/>
    </row>
    <row r="185" spans="1:14" x14ac:dyDescent="0.25">
      <c r="A185" s="2">
        <v>1200112</v>
      </c>
      <c r="B185" s="3">
        <v>7381.25</v>
      </c>
      <c r="C185" s="3">
        <v>20210</v>
      </c>
      <c r="D185" s="3">
        <v>6131.25</v>
      </c>
      <c r="E185" s="3">
        <v>-1484.4</v>
      </c>
      <c r="F185">
        <f t="shared" si="19"/>
        <v>1200112</v>
      </c>
      <c r="G185" s="3">
        <f t="shared" si="20"/>
        <v>7381.25</v>
      </c>
      <c r="H185" s="3">
        <f t="shared" si="21"/>
        <v>20210</v>
      </c>
      <c r="I185" s="3">
        <f t="shared" si="22"/>
        <v>6131.25</v>
      </c>
      <c r="J185" s="3">
        <f t="shared" si="23"/>
        <v>-1484.4</v>
      </c>
      <c r="K185" s="5">
        <f t="shared" si="24"/>
        <v>32238.1</v>
      </c>
      <c r="L185" s="5">
        <f t="shared" si="25"/>
        <v>32238.1</v>
      </c>
      <c r="M185" s="5">
        <f t="shared" si="26"/>
        <v>0</v>
      </c>
      <c r="N185" s="3"/>
    </row>
    <row r="186" spans="1:14" x14ac:dyDescent="0.25">
      <c r="A186" s="2">
        <v>1200113</v>
      </c>
      <c r="B186" s="3">
        <v>7218.75</v>
      </c>
      <c r="C186" s="3">
        <v>19850</v>
      </c>
      <c r="D186" s="3">
        <v>6012.5</v>
      </c>
      <c r="E186" s="3">
        <v>-1562.5</v>
      </c>
      <c r="F186">
        <f t="shared" si="19"/>
        <v>1200113</v>
      </c>
      <c r="G186" s="3">
        <f t="shared" si="20"/>
        <v>7218.75</v>
      </c>
      <c r="H186" s="3">
        <f t="shared" si="21"/>
        <v>19850</v>
      </c>
      <c r="I186" s="3">
        <f t="shared" si="22"/>
        <v>6012.5</v>
      </c>
      <c r="J186" s="3">
        <f t="shared" si="23"/>
        <v>-1562.5</v>
      </c>
      <c r="K186" s="5">
        <f t="shared" si="24"/>
        <v>31518.75</v>
      </c>
      <c r="L186" s="5">
        <f t="shared" si="25"/>
        <v>32238.1</v>
      </c>
      <c r="M186" s="5">
        <f t="shared" si="26"/>
        <v>-719.34999999999854</v>
      </c>
      <c r="N186" s="3"/>
    </row>
    <row r="187" spans="1:14" x14ac:dyDescent="0.25">
      <c r="A187" s="2">
        <v>1200114</v>
      </c>
      <c r="B187" s="3">
        <v>7356.25</v>
      </c>
      <c r="C187" s="3">
        <v>20370</v>
      </c>
      <c r="D187" s="3">
        <v>6462.5</v>
      </c>
      <c r="E187" s="3">
        <v>-2265.6</v>
      </c>
      <c r="F187">
        <f t="shared" si="19"/>
        <v>1200114</v>
      </c>
      <c r="G187" s="3">
        <f t="shared" si="20"/>
        <v>7356.25</v>
      </c>
      <c r="H187" s="3">
        <f t="shared" si="21"/>
        <v>20370</v>
      </c>
      <c r="I187" s="3">
        <f t="shared" si="22"/>
        <v>6462.5</v>
      </c>
      <c r="J187" s="3">
        <f t="shared" si="23"/>
        <v>-2265.6</v>
      </c>
      <c r="K187" s="5">
        <f t="shared" si="24"/>
        <v>31923.15</v>
      </c>
      <c r="L187" s="5">
        <f t="shared" si="25"/>
        <v>31923.15</v>
      </c>
      <c r="M187" s="5">
        <f t="shared" si="26"/>
        <v>0</v>
      </c>
      <c r="N187" s="3"/>
    </row>
    <row r="188" spans="1:14" x14ac:dyDescent="0.25">
      <c r="A188" s="2">
        <v>1200115</v>
      </c>
      <c r="B188" s="3">
        <v>7175</v>
      </c>
      <c r="C188" s="3">
        <v>20350</v>
      </c>
      <c r="D188" s="3">
        <v>6231.25</v>
      </c>
      <c r="E188" s="3">
        <v>-2421.9</v>
      </c>
      <c r="F188">
        <f t="shared" si="19"/>
        <v>1200115</v>
      </c>
      <c r="G188" s="3">
        <f t="shared" si="20"/>
        <v>7175</v>
      </c>
      <c r="H188" s="3">
        <f t="shared" si="21"/>
        <v>20350</v>
      </c>
      <c r="I188" s="3">
        <f t="shared" si="22"/>
        <v>6231.25</v>
      </c>
      <c r="J188" s="3">
        <f t="shared" si="23"/>
        <v>-2421.9</v>
      </c>
      <c r="K188" s="5">
        <f t="shared" si="24"/>
        <v>31334.35</v>
      </c>
      <c r="L188" s="5">
        <f t="shared" si="25"/>
        <v>31923.15</v>
      </c>
      <c r="M188" s="5">
        <f t="shared" si="26"/>
        <v>-588.80000000000291</v>
      </c>
      <c r="N188" s="3"/>
    </row>
    <row r="189" spans="1:14" x14ac:dyDescent="0.25">
      <c r="A189" s="2">
        <v>1200116</v>
      </c>
      <c r="B189" s="3">
        <v>7418.75</v>
      </c>
      <c r="C189" s="3">
        <v>19900</v>
      </c>
      <c r="D189" s="3">
        <v>6212.5</v>
      </c>
      <c r="E189" s="3">
        <v>-2109.4</v>
      </c>
      <c r="F189">
        <f t="shared" si="19"/>
        <v>1200116</v>
      </c>
      <c r="G189" s="3">
        <f t="shared" si="20"/>
        <v>7418.75</v>
      </c>
      <c r="H189" s="3">
        <f t="shared" si="21"/>
        <v>19900</v>
      </c>
      <c r="I189" s="3">
        <f t="shared" si="22"/>
        <v>6212.5</v>
      </c>
      <c r="J189" s="3">
        <f t="shared" si="23"/>
        <v>-2109.4</v>
      </c>
      <c r="K189" s="5">
        <f t="shared" si="24"/>
        <v>31421.85</v>
      </c>
      <c r="L189" s="5">
        <f t="shared" si="25"/>
        <v>31421.85</v>
      </c>
      <c r="M189" s="5">
        <f t="shared" si="26"/>
        <v>0</v>
      </c>
      <c r="N189" s="3"/>
    </row>
    <row r="190" spans="1:14" x14ac:dyDescent="0.25">
      <c r="A190" s="2">
        <v>1200117</v>
      </c>
      <c r="B190" s="3">
        <v>7675</v>
      </c>
      <c r="C190" s="3">
        <v>19700</v>
      </c>
      <c r="D190" s="3">
        <v>6206.25</v>
      </c>
      <c r="E190" s="3">
        <v>-1718.75</v>
      </c>
      <c r="F190">
        <f t="shared" si="19"/>
        <v>1200117</v>
      </c>
      <c r="G190" s="3">
        <f t="shared" si="20"/>
        <v>7675</v>
      </c>
      <c r="H190" s="3">
        <f t="shared" si="21"/>
        <v>19700</v>
      </c>
      <c r="I190" s="3">
        <f t="shared" si="22"/>
        <v>6206.25</v>
      </c>
      <c r="J190" s="3">
        <f t="shared" si="23"/>
        <v>-1718.75</v>
      </c>
      <c r="K190" s="5">
        <f t="shared" si="24"/>
        <v>31862.5</v>
      </c>
      <c r="L190" s="5">
        <f t="shared" si="25"/>
        <v>31862.5</v>
      </c>
      <c r="M190" s="5">
        <f t="shared" si="26"/>
        <v>0</v>
      </c>
      <c r="N190" s="3"/>
    </row>
    <row r="191" spans="1:14" x14ac:dyDescent="0.25">
      <c r="A191" s="2">
        <v>1200119</v>
      </c>
      <c r="B191" s="3">
        <v>7806.25</v>
      </c>
      <c r="C191" s="3">
        <v>19700</v>
      </c>
      <c r="D191" s="3">
        <v>5981.25</v>
      </c>
      <c r="E191" s="3">
        <v>-3203.1</v>
      </c>
      <c r="F191">
        <f t="shared" si="19"/>
        <v>1200119</v>
      </c>
      <c r="G191" s="3">
        <f t="shared" si="20"/>
        <v>7806.25</v>
      </c>
      <c r="H191" s="3">
        <f t="shared" si="21"/>
        <v>19700</v>
      </c>
      <c r="I191" s="3">
        <f t="shared" si="22"/>
        <v>5981.25</v>
      </c>
      <c r="J191" s="3">
        <f t="shared" si="23"/>
        <v>-3203.1</v>
      </c>
      <c r="K191" s="5">
        <f t="shared" si="24"/>
        <v>30284.400000000001</v>
      </c>
      <c r="L191" s="5">
        <f t="shared" si="25"/>
        <v>31862.5</v>
      </c>
      <c r="M191" s="5">
        <f t="shared" si="26"/>
        <v>-1578.0999999999985</v>
      </c>
      <c r="N191" s="3"/>
    </row>
    <row r="192" spans="1:14" x14ac:dyDescent="0.25">
      <c r="A192" s="2">
        <v>1200120</v>
      </c>
      <c r="B192" s="3">
        <v>7806.25</v>
      </c>
      <c r="C192" s="3">
        <v>19950</v>
      </c>
      <c r="D192" s="3">
        <v>5993.75</v>
      </c>
      <c r="E192" s="3">
        <v>-3281.25</v>
      </c>
      <c r="F192">
        <f t="shared" si="19"/>
        <v>1200120</v>
      </c>
      <c r="G192" s="3">
        <f t="shared" si="20"/>
        <v>7806.25</v>
      </c>
      <c r="H192" s="3">
        <f t="shared" si="21"/>
        <v>19950</v>
      </c>
      <c r="I192" s="3">
        <f t="shared" si="22"/>
        <v>5993.75</v>
      </c>
      <c r="J192" s="3">
        <f t="shared" si="23"/>
        <v>-3281.25</v>
      </c>
      <c r="K192" s="5">
        <f t="shared" si="24"/>
        <v>30468.75</v>
      </c>
      <c r="L192" s="5">
        <f t="shared" si="25"/>
        <v>30468.75</v>
      </c>
      <c r="M192" s="5">
        <f t="shared" si="26"/>
        <v>0</v>
      </c>
      <c r="N192" s="3"/>
    </row>
    <row r="193" spans="1:14" x14ac:dyDescent="0.25">
      <c r="A193" s="2">
        <v>1200121</v>
      </c>
      <c r="B193" s="3">
        <v>7806.25</v>
      </c>
      <c r="C193" s="3">
        <v>19940</v>
      </c>
      <c r="D193" s="3">
        <v>6068.75</v>
      </c>
      <c r="E193" s="3">
        <v>-2343.75</v>
      </c>
      <c r="F193">
        <f t="shared" si="19"/>
        <v>1200121</v>
      </c>
      <c r="G193" s="3">
        <f t="shared" si="20"/>
        <v>7806.25</v>
      </c>
      <c r="H193" s="3">
        <f t="shared" si="21"/>
        <v>19940</v>
      </c>
      <c r="I193" s="3">
        <f t="shared" si="22"/>
        <v>6068.75</v>
      </c>
      <c r="J193" s="3">
        <f t="shared" si="23"/>
        <v>-2343.75</v>
      </c>
      <c r="K193" s="5">
        <f t="shared" si="24"/>
        <v>31471.25</v>
      </c>
      <c r="L193" s="5">
        <f t="shared" si="25"/>
        <v>31471.25</v>
      </c>
      <c r="M193" s="5">
        <f t="shared" si="26"/>
        <v>0</v>
      </c>
      <c r="N193" s="3"/>
    </row>
    <row r="194" spans="1:14" x14ac:dyDescent="0.25">
      <c r="A194" s="2">
        <v>1200122</v>
      </c>
      <c r="B194" s="3">
        <v>8100</v>
      </c>
      <c r="C194" s="3">
        <v>19900</v>
      </c>
      <c r="D194" s="3">
        <v>5568.75</v>
      </c>
      <c r="E194" s="3">
        <v>-2343.75</v>
      </c>
      <c r="F194">
        <f t="shared" si="19"/>
        <v>1200122</v>
      </c>
      <c r="G194" s="3">
        <f t="shared" si="20"/>
        <v>8100</v>
      </c>
      <c r="H194" s="3">
        <f t="shared" si="21"/>
        <v>19900</v>
      </c>
      <c r="I194" s="3">
        <f t="shared" si="22"/>
        <v>5568.75</v>
      </c>
      <c r="J194" s="3">
        <f t="shared" si="23"/>
        <v>-2343.75</v>
      </c>
      <c r="K194" s="5">
        <f t="shared" si="24"/>
        <v>31225</v>
      </c>
      <c r="L194" s="5">
        <f t="shared" si="25"/>
        <v>31471.25</v>
      </c>
      <c r="M194" s="5">
        <f t="shared" si="26"/>
        <v>-246.25</v>
      </c>
      <c r="N194" s="3"/>
    </row>
    <row r="195" spans="1:14" x14ac:dyDescent="0.25">
      <c r="A195" s="2">
        <v>1200123</v>
      </c>
      <c r="B195" s="3">
        <v>8287.5</v>
      </c>
      <c r="C195" s="3">
        <v>19730</v>
      </c>
      <c r="D195" s="3">
        <v>5812.5</v>
      </c>
      <c r="E195" s="3">
        <v>-546.9</v>
      </c>
      <c r="F195">
        <f t="shared" si="19"/>
        <v>1200123</v>
      </c>
      <c r="G195" s="3">
        <f t="shared" si="20"/>
        <v>8287.5</v>
      </c>
      <c r="H195" s="3">
        <f t="shared" si="21"/>
        <v>19730</v>
      </c>
      <c r="I195" s="3">
        <f t="shared" si="22"/>
        <v>5812.5</v>
      </c>
      <c r="J195" s="3">
        <f t="shared" si="23"/>
        <v>-546.9</v>
      </c>
      <c r="K195" s="5">
        <f t="shared" si="24"/>
        <v>33283.1</v>
      </c>
      <c r="L195" s="5">
        <f t="shared" si="25"/>
        <v>33283.1</v>
      </c>
      <c r="M195" s="5">
        <f t="shared" si="26"/>
        <v>0</v>
      </c>
      <c r="N195" s="3"/>
    </row>
    <row r="196" spans="1:14" x14ac:dyDescent="0.25">
      <c r="A196" s="2">
        <v>1200124</v>
      </c>
      <c r="B196" s="3">
        <v>8587.5</v>
      </c>
      <c r="C196" s="3">
        <v>18590</v>
      </c>
      <c r="D196" s="3">
        <v>5531.25</v>
      </c>
      <c r="E196" s="3">
        <v>-468.75</v>
      </c>
      <c r="F196">
        <f t="shared" si="19"/>
        <v>1200124</v>
      </c>
      <c r="G196" s="3">
        <f t="shared" si="20"/>
        <v>8587.5</v>
      </c>
      <c r="H196" s="3">
        <f t="shared" si="21"/>
        <v>18590</v>
      </c>
      <c r="I196" s="3">
        <f t="shared" si="22"/>
        <v>5531.25</v>
      </c>
      <c r="J196" s="3">
        <f t="shared" si="23"/>
        <v>-468.75</v>
      </c>
      <c r="K196" s="5">
        <f t="shared" si="24"/>
        <v>32240</v>
      </c>
      <c r="L196" s="5">
        <f t="shared" si="25"/>
        <v>33283.1</v>
      </c>
      <c r="M196" s="5">
        <f t="shared" si="26"/>
        <v>-1043.0999999999985</v>
      </c>
      <c r="N196" s="3"/>
    </row>
    <row r="197" spans="1:14" x14ac:dyDescent="0.25">
      <c r="A197" s="2">
        <v>1200126</v>
      </c>
      <c r="B197" s="3">
        <v>10106.25</v>
      </c>
      <c r="C197" s="3">
        <v>19390</v>
      </c>
      <c r="D197" s="3">
        <v>6312.5</v>
      </c>
      <c r="E197" s="3">
        <v>4375</v>
      </c>
      <c r="F197">
        <f t="shared" si="19"/>
        <v>1200126</v>
      </c>
      <c r="G197" s="3">
        <f t="shared" si="20"/>
        <v>10106.25</v>
      </c>
      <c r="H197" s="3">
        <f t="shared" si="21"/>
        <v>19390</v>
      </c>
      <c r="I197" s="3">
        <f t="shared" si="22"/>
        <v>6312.5</v>
      </c>
      <c r="J197" s="3">
        <f t="shared" si="23"/>
        <v>4375</v>
      </c>
      <c r="K197" s="5">
        <f t="shared" si="24"/>
        <v>40183.75</v>
      </c>
      <c r="L197" s="5">
        <f t="shared" si="25"/>
        <v>40183.75</v>
      </c>
      <c r="M197" s="5">
        <f t="shared" si="26"/>
        <v>0</v>
      </c>
      <c r="N197" s="3"/>
    </row>
    <row r="198" spans="1:14" x14ac:dyDescent="0.25">
      <c r="A198" s="2">
        <v>1200127</v>
      </c>
      <c r="B198" s="3">
        <v>10093.75</v>
      </c>
      <c r="C198" s="3">
        <v>19020</v>
      </c>
      <c r="D198" s="3">
        <v>6056.25</v>
      </c>
      <c r="E198" s="3">
        <v>4062.5</v>
      </c>
      <c r="F198">
        <f t="shared" si="19"/>
        <v>1200127</v>
      </c>
      <c r="G198" s="3">
        <f t="shared" si="20"/>
        <v>10093.75</v>
      </c>
      <c r="H198" s="3">
        <f t="shared" si="21"/>
        <v>19020</v>
      </c>
      <c r="I198" s="3">
        <f t="shared" si="22"/>
        <v>6056.25</v>
      </c>
      <c r="J198" s="3">
        <f t="shared" si="23"/>
        <v>4062.5</v>
      </c>
      <c r="K198" s="5">
        <f t="shared" si="24"/>
        <v>39232.5</v>
      </c>
      <c r="L198" s="5">
        <f t="shared" si="25"/>
        <v>40183.75</v>
      </c>
      <c r="M198" s="5">
        <f t="shared" si="26"/>
        <v>-951.25</v>
      </c>
      <c r="N198" s="3"/>
    </row>
    <row r="199" spans="1:14" x14ac:dyDescent="0.25">
      <c r="A199" s="2">
        <v>1200128</v>
      </c>
      <c r="B199" s="3">
        <v>10368.75</v>
      </c>
      <c r="C199" s="3">
        <v>19090</v>
      </c>
      <c r="D199" s="3">
        <v>6068.75</v>
      </c>
      <c r="E199" s="3">
        <v>5234.4000000000005</v>
      </c>
      <c r="F199">
        <f t="shared" si="19"/>
        <v>1200128</v>
      </c>
      <c r="G199" s="3">
        <f t="shared" si="20"/>
        <v>10368.75</v>
      </c>
      <c r="H199" s="3">
        <f t="shared" si="21"/>
        <v>19090</v>
      </c>
      <c r="I199" s="3">
        <f t="shared" si="22"/>
        <v>6068.75</v>
      </c>
      <c r="J199" s="3">
        <f t="shared" si="23"/>
        <v>5234.4000000000005</v>
      </c>
      <c r="K199" s="5">
        <f t="shared" si="24"/>
        <v>40761.9</v>
      </c>
      <c r="L199" s="5">
        <f t="shared" si="25"/>
        <v>40761.9</v>
      </c>
      <c r="M199" s="5">
        <f t="shared" si="26"/>
        <v>0</v>
      </c>
      <c r="N199" s="3"/>
    </row>
    <row r="200" spans="1:14" x14ac:dyDescent="0.25">
      <c r="A200" s="2">
        <v>1200129</v>
      </c>
      <c r="B200" s="3">
        <v>10943.75</v>
      </c>
      <c r="C200" s="3">
        <v>19790</v>
      </c>
      <c r="D200" s="3">
        <v>6075</v>
      </c>
      <c r="E200" s="3">
        <v>6171.9000000000005</v>
      </c>
      <c r="F200">
        <f t="shared" si="19"/>
        <v>1200129</v>
      </c>
      <c r="G200" s="3">
        <f t="shared" si="20"/>
        <v>10943.75</v>
      </c>
      <c r="H200" s="3">
        <f t="shared" si="21"/>
        <v>19790</v>
      </c>
      <c r="I200" s="3">
        <f t="shared" si="22"/>
        <v>6075</v>
      </c>
      <c r="J200" s="3">
        <f t="shared" si="23"/>
        <v>6171.9000000000005</v>
      </c>
      <c r="K200" s="5">
        <f t="shared" si="24"/>
        <v>42980.65</v>
      </c>
      <c r="L200" s="5">
        <f t="shared" si="25"/>
        <v>42980.65</v>
      </c>
      <c r="M200" s="5">
        <f t="shared" si="26"/>
        <v>0</v>
      </c>
      <c r="N200" s="3"/>
    </row>
    <row r="201" spans="1:14" x14ac:dyDescent="0.25">
      <c r="A201" s="2">
        <v>1200130</v>
      </c>
      <c r="B201" s="3">
        <v>9431.25</v>
      </c>
      <c r="C201" s="3">
        <v>20260</v>
      </c>
      <c r="D201" s="3">
        <v>5731.25</v>
      </c>
      <c r="E201" s="3">
        <v>6640.5999999999995</v>
      </c>
      <c r="F201">
        <f t="shared" si="19"/>
        <v>1200130</v>
      </c>
      <c r="G201" s="3">
        <f t="shared" si="20"/>
        <v>9431.25</v>
      </c>
      <c r="H201" s="3">
        <f t="shared" si="21"/>
        <v>20260</v>
      </c>
      <c r="I201" s="3">
        <f t="shared" si="22"/>
        <v>5731.25</v>
      </c>
      <c r="J201" s="3">
        <f t="shared" si="23"/>
        <v>6640.5999999999995</v>
      </c>
      <c r="K201" s="5">
        <f t="shared" si="24"/>
        <v>42063.1</v>
      </c>
      <c r="L201" s="5">
        <f t="shared" si="25"/>
        <v>42980.65</v>
      </c>
      <c r="M201" s="5">
        <f t="shared" si="26"/>
        <v>-917.55000000000291</v>
      </c>
      <c r="N201" s="3"/>
    </row>
    <row r="202" spans="1:14" x14ac:dyDescent="0.25">
      <c r="A202" s="2">
        <v>1200131</v>
      </c>
      <c r="B202" s="3">
        <v>10143.75</v>
      </c>
      <c r="C202" s="3">
        <v>20940</v>
      </c>
      <c r="D202" s="3">
        <v>5418.75</v>
      </c>
      <c r="E202" s="3">
        <v>5781.25</v>
      </c>
      <c r="F202">
        <f t="shared" si="19"/>
        <v>1200131</v>
      </c>
      <c r="G202" s="3">
        <f t="shared" si="20"/>
        <v>10143.75</v>
      </c>
      <c r="H202" s="3">
        <f t="shared" si="21"/>
        <v>20940</v>
      </c>
      <c r="I202" s="3">
        <f t="shared" si="22"/>
        <v>5418.75</v>
      </c>
      <c r="J202" s="3">
        <f t="shared" si="23"/>
        <v>5781.25</v>
      </c>
      <c r="K202" s="5">
        <f t="shared" si="24"/>
        <v>42283.75</v>
      </c>
      <c r="L202" s="5">
        <f t="shared" si="25"/>
        <v>42283.75</v>
      </c>
      <c r="M202" s="5">
        <f t="shared" si="26"/>
        <v>0</v>
      </c>
      <c r="N202" s="3"/>
    </row>
    <row r="203" spans="1:14" x14ac:dyDescent="0.25">
      <c r="A203" s="2">
        <v>1200202</v>
      </c>
      <c r="B203" s="3">
        <v>10837.5</v>
      </c>
      <c r="C203" s="3">
        <v>21400</v>
      </c>
      <c r="D203" s="3">
        <v>5743.75</v>
      </c>
      <c r="E203" s="3">
        <v>9140.5999999999985</v>
      </c>
      <c r="F203">
        <f t="shared" si="19"/>
        <v>1200202</v>
      </c>
      <c r="G203" s="3">
        <f t="shared" si="20"/>
        <v>10837.5</v>
      </c>
      <c r="H203" s="3">
        <f t="shared" si="21"/>
        <v>21400</v>
      </c>
      <c r="I203" s="3">
        <f t="shared" si="22"/>
        <v>5743.75</v>
      </c>
      <c r="J203" s="3">
        <f t="shared" si="23"/>
        <v>9140.5999999999985</v>
      </c>
      <c r="K203" s="5">
        <f t="shared" si="24"/>
        <v>47121.85</v>
      </c>
      <c r="L203" s="5">
        <f t="shared" si="25"/>
        <v>47121.85</v>
      </c>
      <c r="M203" s="5">
        <f t="shared" si="26"/>
        <v>0</v>
      </c>
      <c r="N203" s="3"/>
    </row>
    <row r="204" spans="1:14" x14ac:dyDescent="0.25">
      <c r="A204" s="2">
        <v>1200203</v>
      </c>
      <c r="B204" s="3">
        <v>10450</v>
      </c>
      <c r="C204" s="3">
        <v>20550</v>
      </c>
      <c r="D204" s="3">
        <v>5587.5</v>
      </c>
      <c r="E204" s="3">
        <v>8593.75</v>
      </c>
      <c r="F204">
        <f t="shared" si="19"/>
        <v>1200203</v>
      </c>
      <c r="G204" s="3">
        <f t="shared" si="20"/>
        <v>10450</v>
      </c>
      <c r="H204" s="3">
        <f t="shared" si="21"/>
        <v>20550</v>
      </c>
      <c r="I204" s="3">
        <f t="shared" si="22"/>
        <v>5587.5</v>
      </c>
      <c r="J204" s="3">
        <f t="shared" si="23"/>
        <v>8593.75</v>
      </c>
      <c r="K204" s="5">
        <f t="shared" si="24"/>
        <v>45181.25</v>
      </c>
      <c r="L204" s="5">
        <f t="shared" si="25"/>
        <v>47121.85</v>
      </c>
      <c r="M204" s="5">
        <f t="shared" si="26"/>
        <v>-1940.5999999999985</v>
      </c>
      <c r="N204" s="3"/>
    </row>
    <row r="205" spans="1:14" x14ac:dyDescent="0.25">
      <c r="A205" s="2">
        <v>1200204</v>
      </c>
      <c r="B205" s="3">
        <v>10412.5</v>
      </c>
      <c r="C205" s="3">
        <v>20540</v>
      </c>
      <c r="D205" s="3">
        <v>5650</v>
      </c>
      <c r="E205" s="3">
        <v>7890.5999999999995</v>
      </c>
      <c r="F205">
        <f t="shared" si="19"/>
        <v>1200204</v>
      </c>
      <c r="G205" s="3">
        <f t="shared" si="20"/>
        <v>10412.5</v>
      </c>
      <c r="H205" s="3">
        <f t="shared" si="21"/>
        <v>20540</v>
      </c>
      <c r="I205" s="3">
        <f t="shared" si="22"/>
        <v>5650</v>
      </c>
      <c r="J205" s="3">
        <f t="shared" si="23"/>
        <v>7890.5999999999995</v>
      </c>
      <c r="K205" s="5">
        <f t="shared" si="24"/>
        <v>44493.1</v>
      </c>
      <c r="L205" s="5">
        <f t="shared" si="25"/>
        <v>45181.25</v>
      </c>
      <c r="M205" s="5">
        <f t="shared" si="26"/>
        <v>-688.15000000000146</v>
      </c>
      <c r="N205" s="3"/>
    </row>
    <row r="206" spans="1:14" x14ac:dyDescent="0.25">
      <c r="A206" s="2">
        <v>1200205</v>
      </c>
      <c r="B206" s="3">
        <v>11018.75</v>
      </c>
      <c r="C206" s="3">
        <v>21580</v>
      </c>
      <c r="D206" s="3">
        <v>6300</v>
      </c>
      <c r="E206" s="3">
        <v>9218.75</v>
      </c>
      <c r="F206">
        <f t="shared" si="19"/>
        <v>1200205</v>
      </c>
      <c r="G206" s="3">
        <f t="shared" si="20"/>
        <v>11018.75</v>
      </c>
      <c r="H206" s="3">
        <f t="shared" si="21"/>
        <v>21580</v>
      </c>
      <c r="I206" s="3">
        <f t="shared" si="22"/>
        <v>6300</v>
      </c>
      <c r="J206" s="3">
        <f t="shared" si="23"/>
        <v>9218.75</v>
      </c>
      <c r="K206" s="5">
        <f t="shared" si="24"/>
        <v>48117.5</v>
      </c>
      <c r="L206" s="5">
        <f t="shared" si="25"/>
        <v>48117.5</v>
      </c>
      <c r="M206" s="5">
        <f t="shared" si="26"/>
        <v>0</v>
      </c>
      <c r="N206" s="3"/>
    </row>
    <row r="207" spans="1:14" x14ac:dyDescent="0.25">
      <c r="A207" s="2">
        <v>1200206</v>
      </c>
      <c r="B207" s="3">
        <v>12456.25</v>
      </c>
      <c r="C207" s="3">
        <v>22010</v>
      </c>
      <c r="D207" s="3">
        <v>6825</v>
      </c>
      <c r="E207" s="3">
        <v>12890.599999999999</v>
      </c>
      <c r="F207">
        <f t="shared" si="19"/>
        <v>1200206</v>
      </c>
      <c r="G207" s="3">
        <f t="shared" si="20"/>
        <v>12456.25</v>
      </c>
      <c r="H207" s="3">
        <f t="shared" si="21"/>
        <v>22010</v>
      </c>
      <c r="I207" s="3">
        <f t="shared" si="22"/>
        <v>6825</v>
      </c>
      <c r="J207" s="3">
        <f t="shared" si="23"/>
        <v>12890.599999999999</v>
      </c>
      <c r="K207" s="5">
        <f t="shared" si="24"/>
        <v>54181.85</v>
      </c>
      <c r="L207" s="5">
        <f t="shared" si="25"/>
        <v>54181.85</v>
      </c>
      <c r="M207" s="5">
        <f t="shared" si="26"/>
        <v>0</v>
      </c>
      <c r="N207" s="3"/>
    </row>
    <row r="208" spans="1:14" x14ac:dyDescent="0.25">
      <c r="A208" s="2">
        <v>1200207</v>
      </c>
      <c r="B208" s="3">
        <v>12231.25</v>
      </c>
      <c r="C208" s="3">
        <v>21750</v>
      </c>
      <c r="D208" s="3">
        <v>6806.25</v>
      </c>
      <c r="E208" s="3">
        <v>11640.599999999999</v>
      </c>
      <c r="F208">
        <f t="shared" si="19"/>
        <v>1200207</v>
      </c>
      <c r="G208" s="3">
        <f t="shared" si="20"/>
        <v>12231.25</v>
      </c>
      <c r="H208" s="3">
        <f t="shared" si="21"/>
        <v>21750</v>
      </c>
      <c r="I208" s="3">
        <f t="shared" si="22"/>
        <v>6806.25</v>
      </c>
      <c r="J208" s="3">
        <f t="shared" si="23"/>
        <v>11640.599999999999</v>
      </c>
      <c r="K208" s="5">
        <f t="shared" si="24"/>
        <v>52428.1</v>
      </c>
      <c r="L208" s="5">
        <f t="shared" si="25"/>
        <v>54181.85</v>
      </c>
      <c r="M208" s="5">
        <f t="shared" si="26"/>
        <v>-1753.75</v>
      </c>
      <c r="N208" s="3"/>
    </row>
    <row r="209" spans="1:14" x14ac:dyDescent="0.25">
      <c r="A209" s="2">
        <v>1200209</v>
      </c>
      <c r="B209" s="3">
        <v>12556.25</v>
      </c>
      <c r="C209" s="3">
        <v>21590</v>
      </c>
      <c r="D209" s="3">
        <v>6643.75</v>
      </c>
      <c r="E209" s="3">
        <v>14218.75</v>
      </c>
      <c r="F209">
        <f t="shared" si="19"/>
        <v>1200209</v>
      </c>
      <c r="G209" s="3">
        <f t="shared" si="20"/>
        <v>12556.25</v>
      </c>
      <c r="H209" s="3">
        <f t="shared" si="21"/>
        <v>21590</v>
      </c>
      <c r="I209" s="3">
        <f t="shared" si="22"/>
        <v>6643.75</v>
      </c>
      <c r="J209" s="3">
        <f t="shared" si="23"/>
        <v>14218.75</v>
      </c>
      <c r="K209" s="5">
        <f t="shared" si="24"/>
        <v>55008.75</v>
      </c>
      <c r="L209" s="5">
        <f t="shared" si="25"/>
        <v>55008.75</v>
      </c>
      <c r="M209" s="5">
        <f t="shared" si="26"/>
        <v>0</v>
      </c>
      <c r="N209" s="3"/>
    </row>
    <row r="210" spans="1:14" x14ac:dyDescent="0.25">
      <c r="A210" s="2">
        <v>1200210</v>
      </c>
      <c r="B210" s="3">
        <v>12131.25</v>
      </c>
      <c r="C210" s="3">
        <v>21330</v>
      </c>
      <c r="D210" s="3">
        <v>6475</v>
      </c>
      <c r="E210" s="3">
        <v>12968.75</v>
      </c>
      <c r="F210">
        <f t="shared" si="19"/>
        <v>1200210</v>
      </c>
      <c r="G210" s="3">
        <f t="shared" si="20"/>
        <v>12131.25</v>
      </c>
      <c r="H210" s="3">
        <f t="shared" si="21"/>
        <v>21330</v>
      </c>
      <c r="I210" s="3">
        <f t="shared" si="22"/>
        <v>6475</v>
      </c>
      <c r="J210" s="3">
        <f t="shared" si="23"/>
        <v>12968.75</v>
      </c>
      <c r="K210" s="5">
        <f t="shared" si="24"/>
        <v>52905</v>
      </c>
      <c r="L210" s="5">
        <f t="shared" si="25"/>
        <v>55008.75</v>
      </c>
      <c r="M210" s="5">
        <f t="shared" si="26"/>
        <v>-2103.75</v>
      </c>
      <c r="N210" s="3"/>
    </row>
    <row r="211" spans="1:14" x14ac:dyDescent="0.25">
      <c r="A211" s="2">
        <v>1200211</v>
      </c>
      <c r="B211" s="3">
        <v>12775</v>
      </c>
      <c r="C211" s="3">
        <v>21280</v>
      </c>
      <c r="D211" s="3">
        <v>6450</v>
      </c>
      <c r="E211" s="3">
        <v>13359.400000000001</v>
      </c>
      <c r="F211">
        <f t="shared" si="19"/>
        <v>1200211</v>
      </c>
      <c r="G211" s="3">
        <f t="shared" si="20"/>
        <v>12775</v>
      </c>
      <c r="H211" s="3">
        <f t="shared" si="21"/>
        <v>21280</v>
      </c>
      <c r="I211" s="3">
        <f t="shared" si="22"/>
        <v>6450</v>
      </c>
      <c r="J211" s="3">
        <f t="shared" si="23"/>
        <v>13359.400000000001</v>
      </c>
      <c r="K211" s="5">
        <f t="shared" si="24"/>
        <v>53864.4</v>
      </c>
      <c r="L211" s="5">
        <f t="shared" si="25"/>
        <v>53864.4</v>
      </c>
      <c r="M211" s="5">
        <f t="shared" si="26"/>
        <v>0</v>
      </c>
      <c r="N211" s="3"/>
    </row>
    <row r="212" spans="1:14" x14ac:dyDescent="0.25">
      <c r="A212" s="2">
        <v>1200212</v>
      </c>
      <c r="B212" s="3">
        <v>12725</v>
      </c>
      <c r="C212" s="3">
        <v>20980</v>
      </c>
      <c r="D212" s="3">
        <v>6106.25</v>
      </c>
      <c r="E212" s="3">
        <v>11875</v>
      </c>
      <c r="F212">
        <f t="shared" si="19"/>
        <v>1200212</v>
      </c>
      <c r="G212" s="3">
        <f t="shared" si="20"/>
        <v>12725</v>
      </c>
      <c r="H212" s="3">
        <f t="shared" si="21"/>
        <v>20980</v>
      </c>
      <c r="I212" s="3">
        <f t="shared" si="22"/>
        <v>6106.25</v>
      </c>
      <c r="J212" s="3">
        <f t="shared" si="23"/>
        <v>11875</v>
      </c>
      <c r="K212" s="5">
        <f t="shared" si="24"/>
        <v>51686.25</v>
      </c>
      <c r="L212" s="5">
        <f t="shared" si="25"/>
        <v>53864.4</v>
      </c>
      <c r="M212" s="5">
        <f t="shared" si="26"/>
        <v>-2178.1500000000015</v>
      </c>
      <c r="N212" s="3"/>
    </row>
    <row r="213" spans="1:14" x14ac:dyDescent="0.25">
      <c r="A213" s="2">
        <v>1200213</v>
      </c>
      <c r="B213" s="3">
        <v>12737.5</v>
      </c>
      <c r="C213" s="3">
        <v>20910</v>
      </c>
      <c r="D213" s="3">
        <v>6118.75</v>
      </c>
      <c r="E213" s="3">
        <v>9843.75</v>
      </c>
      <c r="F213">
        <f t="shared" si="19"/>
        <v>1200213</v>
      </c>
      <c r="G213" s="3">
        <f t="shared" si="20"/>
        <v>12737.5</v>
      </c>
      <c r="H213" s="3">
        <f t="shared" si="21"/>
        <v>20910</v>
      </c>
      <c r="I213" s="3">
        <f t="shared" si="22"/>
        <v>6118.75</v>
      </c>
      <c r="J213" s="3">
        <f t="shared" si="23"/>
        <v>9843.75</v>
      </c>
      <c r="K213" s="5">
        <f t="shared" si="24"/>
        <v>49610</v>
      </c>
      <c r="L213" s="5">
        <f t="shared" si="25"/>
        <v>51686.25</v>
      </c>
      <c r="M213" s="5">
        <f t="shared" si="26"/>
        <v>-2076.25</v>
      </c>
      <c r="N213" s="3"/>
    </row>
    <row r="214" spans="1:14" x14ac:dyDescent="0.25">
      <c r="A214" s="2">
        <v>1200214</v>
      </c>
      <c r="B214" s="3">
        <v>12875</v>
      </c>
      <c r="C214" s="3">
        <v>20780</v>
      </c>
      <c r="D214" s="3">
        <v>6125</v>
      </c>
      <c r="E214" s="3">
        <v>10234.400000000001</v>
      </c>
      <c r="F214">
        <f t="shared" si="19"/>
        <v>1200214</v>
      </c>
      <c r="G214" s="3">
        <f t="shared" si="20"/>
        <v>12875</v>
      </c>
      <c r="H214" s="3">
        <f t="shared" si="21"/>
        <v>20780</v>
      </c>
      <c r="I214" s="3">
        <f t="shared" si="22"/>
        <v>6125</v>
      </c>
      <c r="J214" s="3">
        <f t="shared" si="23"/>
        <v>10234.400000000001</v>
      </c>
      <c r="K214" s="5">
        <f t="shared" si="24"/>
        <v>50014.400000000001</v>
      </c>
      <c r="L214" s="5">
        <f t="shared" si="25"/>
        <v>50014.400000000001</v>
      </c>
      <c r="M214" s="5">
        <f t="shared" si="26"/>
        <v>0</v>
      </c>
      <c r="N214" s="3"/>
    </row>
    <row r="215" spans="1:14" x14ac:dyDescent="0.25">
      <c r="A215" s="2">
        <v>1200216</v>
      </c>
      <c r="B215" s="3">
        <v>12493.75</v>
      </c>
      <c r="C215" s="3">
        <v>21560</v>
      </c>
      <c r="D215" s="3">
        <v>5962.5</v>
      </c>
      <c r="E215" s="3">
        <v>9140.5999999999985</v>
      </c>
      <c r="F215">
        <f t="shared" si="19"/>
        <v>1200216</v>
      </c>
      <c r="G215" s="3">
        <f t="shared" si="20"/>
        <v>12493.75</v>
      </c>
      <c r="H215" s="3">
        <f t="shared" si="21"/>
        <v>21560</v>
      </c>
      <c r="I215" s="3">
        <f t="shared" si="22"/>
        <v>5962.5</v>
      </c>
      <c r="J215" s="3">
        <f t="shared" si="23"/>
        <v>9140.5999999999985</v>
      </c>
      <c r="K215" s="5">
        <f t="shared" si="24"/>
        <v>49156.85</v>
      </c>
      <c r="L215" s="5">
        <f t="shared" si="25"/>
        <v>50014.400000000001</v>
      </c>
      <c r="M215" s="5">
        <f t="shared" si="26"/>
        <v>-857.55000000000291</v>
      </c>
      <c r="N215" s="3"/>
    </row>
    <row r="216" spans="1:14" x14ac:dyDescent="0.25">
      <c r="A216" s="2">
        <v>1200217</v>
      </c>
      <c r="B216" s="3">
        <v>12450</v>
      </c>
      <c r="C216" s="3">
        <v>21560</v>
      </c>
      <c r="D216" s="3">
        <v>5850</v>
      </c>
      <c r="E216" s="3">
        <v>9062.5</v>
      </c>
      <c r="F216">
        <f t="shared" si="19"/>
        <v>1200217</v>
      </c>
      <c r="G216" s="3">
        <f t="shared" si="20"/>
        <v>12450</v>
      </c>
      <c r="H216" s="3">
        <f t="shared" si="21"/>
        <v>21560</v>
      </c>
      <c r="I216" s="3">
        <f t="shared" si="22"/>
        <v>5850</v>
      </c>
      <c r="J216" s="3">
        <f t="shared" si="23"/>
        <v>9062.5</v>
      </c>
      <c r="K216" s="5">
        <f t="shared" si="24"/>
        <v>48922.5</v>
      </c>
      <c r="L216" s="5">
        <f t="shared" si="25"/>
        <v>49156.85</v>
      </c>
      <c r="M216" s="5">
        <f t="shared" si="26"/>
        <v>-234.34999999999854</v>
      </c>
      <c r="N216" s="3"/>
    </row>
    <row r="217" spans="1:14" x14ac:dyDescent="0.25">
      <c r="A217" s="2">
        <v>1200218</v>
      </c>
      <c r="B217" s="3">
        <v>12618.75</v>
      </c>
      <c r="C217" s="3">
        <v>21410</v>
      </c>
      <c r="D217" s="3">
        <v>5887.5</v>
      </c>
      <c r="E217" s="3">
        <v>10937.5</v>
      </c>
      <c r="F217">
        <f t="shared" ref="F217:F280" si="27">+A217</f>
        <v>1200218</v>
      </c>
      <c r="G217" s="3">
        <f t="shared" si="20"/>
        <v>12618.75</v>
      </c>
      <c r="H217" s="3">
        <f t="shared" si="21"/>
        <v>21410</v>
      </c>
      <c r="I217" s="3">
        <f t="shared" si="22"/>
        <v>5887.5</v>
      </c>
      <c r="J217" s="3">
        <f t="shared" si="23"/>
        <v>10937.5</v>
      </c>
      <c r="K217" s="5">
        <f t="shared" si="24"/>
        <v>50853.75</v>
      </c>
      <c r="L217" s="5">
        <f t="shared" si="25"/>
        <v>50853.75</v>
      </c>
      <c r="M217" s="5">
        <f t="shared" si="26"/>
        <v>0</v>
      </c>
      <c r="N217" s="3"/>
    </row>
    <row r="218" spans="1:14" x14ac:dyDescent="0.25">
      <c r="A218" s="2">
        <v>1200219</v>
      </c>
      <c r="B218" s="3">
        <v>12518.75</v>
      </c>
      <c r="C218" s="3">
        <v>22680</v>
      </c>
      <c r="D218" s="3">
        <v>6162.5</v>
      </c>
      <c r="E218" s="3">
        <v>10078.099999999999</v>
      </c>
      <c r="F218">
        <f t="shared" si="27"/>
        <v>1200219</v>
      </c>
      <c r="G218" s="3">
        <f t="shared" ref="G218:G281" si="28">+IF(B218&lt;&gt;0,B218,B217)</f>
        <v>12518.75</v>
      </c>
      <c r="H218" s="3">
        <f t="shared" ref="H218:H281" si="29">+IF(C218&lt;&gt;0,C218,C217)</f>
        <v>22680</v>
      </c>
      <c r="I218" s="3">
        <f t="shared" ref="I218:I281" si="30">+IF(D218&lt;&gt;0,D218,D217)</f>
        <v>6162.5</v>
      </c>
      <c r="J218" s="3">
        <f t="shared" ref="J218:J281" si="31">+IF(E218&lt;&gt;0,E218,E217)</f>
        <v>10078.099999999999</v>
      </c>
      <c r="K218" s="5">
        <f t="shared" ref="K218:K281" si="32">+SUM(G218:J218)</f>
        <v>51439.35</v>
      </c>
      <c r="L218" s="5">
        <f t="shared" si="25"/>
        <v>51439.35</v>
      </c>
      <c r="M218" s="5">
        <f t="shared" si="26"/>
        <v>0</v>
      </c>
      <c r="N218" s="3"/>
    </row>
    <row r="219" spans="1:14" x14ac:dyDescent="0.25">
      <c r="A219" s="2">
        <v>1200220</v>
      </c>
      <c r="B219" s="3">
        <v>12431.25</v>
      </c>
      <c r="C219" s="3">
        <v>23430</v>
      </c>
      <c r="D219" s="3">
        <v>7550</v>
      </c>
      <c r="E219" s="3">
        <v>9062.5</v>
      </c>
      <c r="F219">
        <f t="shared" si="27"/>
        <v>1200220</v>
      </c>
      <c r="G219" s="3">
        <f t="shared" si="28"/>
        <v>12431.25</v>
      </c>
      <c r="H219" s="3">
        <f t="shared" si="29"/>
        <v>23430</v>
      </c>
      <c r="I219" s="3">
        <f t="shared" si="30"/>
        <v>7550</v>
      </c>
      <c r="J219" s="3">
        <f t="shared" si="31"/>
        <v>9062.5</v>
      </c>
      <c r="K219" s="5">
        <f t="shared" si="32"/>
        <v>52473.75</v>
      </c>
      <c r="L219" s="5">
        <f t="shared" ref="L219:L282" si="33">+IF(K219&gt;K218,K219,K218)</f>
        <v>52473.75</v>
      </c>
      <c r="M219" s="5">
        <f t="shared" ref="M219:M282" si="34">+K219-L219</f>
        <v>0</v>
      </c>
      <c r="N219" s="3"/>
    </row>
    <row r="220" spans="1:14" x14ac:dyDescent="0.25">
      <c r="A220" s="2">
        <v>1200221</v>
      </c>
      <c r="B220" s="3">
        <v>12750</v>
      </c>
      <c r="C220" s="3">
        <v>25090</v>
      </c>
      <c r="D220" s="3">
        <v>8118.75</v>
      </c>
      <c r="E220" s="3">
        <v>10078.099999999999</v>
      </c>
      <c r="F220">
        <f t="shared" si="27"/>
        <v>1200221</v>
      </c>
      <c r="G220" s="3">
        <f t="shared" si="28"/>
        <v>12750</v>
      </c>
      <c r="H220" s="3">
        <f t="shared" si="29"/>
        <v>25090</v>
      </c>
      <c r="I220" s="3">
        <f t="shared" si="30"/>
        <v>8118.75</v>
      </c>
      <c r="J220" s="3">
        <f t="shared" si="31"/>
        <v>10078.099999999999</v>
      </c>
      <c r="K220" s="5">
        <f t="shared" si="32"/>
        <v>56036.85</v>
      </c>
      <c r="L220" s="5">
        <f t="shared" si="33"/>
        <v>56036.85</v>
      </c>
      <c r="M220" s="5">
        <f t="shared" si="34"/>
        <v>0</v>
      </c>
      <c r="N220" s="3"/>
    </row>
    <row r="221" spans="1:14" x14ac:dyDescent="0.25">
      <c r="A221" s="2">
        <v>1200223</v>
      </c>
      <c r="B221" s="3">
        <v>14012.5</v>
      </c>
      <c r="C221" s="3">
        <v>26880</v>
      </c>
      <c r="D221" s="3">
        <v>7600</v>
      </c>
      <c r="E221" s="3">
        <v>12656.25</v>
      </c>
      <c r="F221">
        <f t="shared" si="27"/>
        <v>1200223</v>
      </c>
      <c r="G221" s="3">
        <f t="shared" si="28"/>
        <v>14012.5</v>
      </c>
      <c r="H221" s="3">
        <f t="shared" si="29"/>
        <v>26880</v>
      </c>
      <c r="I221" s="3">
        <f t="shared" si="30"/>
        <v>7600</v>
      </c>
      <c r="J221" s="3">
        <f t="shared" si="31"/>
        <v>12656.25</v>
      </c>
      <c r="K221" s="5">
        <f t="shared" si="32"/>
        <v>61148.75</v>
      </c>
      <c r="L221" s="5">
        <f t="shared" si="33"/>
        <v>61148.75</v>
      </c>
      <c r="M221" s="5">
        <f t="shared" si="34"/>
        <v>0</v>
      </c>
      <c r="N221" s="3"/>
    </row>
    <row r="222" spans="1:14" x14ac:dyDescent="0.25">
      <c r="A222" s="2">
        <v>1200224</v>
      </c>
      <c r="B222" s="3">
        <v>14200</v>
      </c>
      <c r="C222" s="3">
        <v>26880</v>
      </c>
      <c r="D222" s="3">
        <v>7575</v>
      </c>
      <c r="E222" s="3">
        <v>12734.400000000001</v>
      </c>
      <c r="F222">
        <f t="shared" si="27"/>
        <v>1200224</v>
      </c>
      <c r="G222" s="3">
        <f t="shared" si="28"/>
        <v>14200</v>
      </c>
      <c r="H222" s="3">
        <f t="shared" si="29"/>
        <v>26880</v>
      </c>
      <c r="I222" s="3">
        <f t="shared" si="30"/>
        <v>7575</v>
      </c>
      <c r="J222" s="3">
        <f t="shared" si="31"/>
        <v>12734.400000000001</v>
      </c>
      <c r="K222" s="5">
        <f t="shared" si="32"/>
        <v>61389.4</v>
      </c>
      <c r="L222" s="5">
        <f t="shared" si="33"/>
        <v>61389.4</v>
      </c>
      <c r="M222" s="5">
        <f t="shared" si="34"/>
        <v>0</v>
      </c>
      <c r="N222" s="3"/>
    </row>
    <row r="223" spans="1:14" x14ac:dyDescent="0.25">
      <c r="A223" s="2">
        <v>1200225</v>
      </c>
      <c r="B223" s="3">
        <v>15262.5</v>
      </c>
      <c r="C223" s="3">
        <v>23790</v>
      </c>
      <c r="D223" s="3">
        <v>8343.75</v>
      </c>
      <c r="E223" s="3">
        <v>14062.5</v>
      </c>
      <c r="F223">
        <f t="shared" si="27"/>
        <v>1200225</v>
      </c>
      <c r="G223" s="3">
        <f t="shared" si="28"/>
        <v>15262.5</v>
      </c>
      <c r="H223" s="3">
        <f t="shared" si="29"/>
        <v>23790</v>
      </c>
      <c r="I223" s="3">
        <f t="shared" si="30"/>
        <v>8343.75</v>
      </c>
      <c r="J223" s="3">
        <f t="shared" si="31"/>
        <v>14062.5</v>
      </c>
      <c r="K223" s="5">
        <f t="shared" si="32"/>
        <v>61458.75</v>
      </c>
      <c r="L223" s="5">
        <f t="shared" si="33"/>
        <v>61458.75</v>
      </c>
      <c r="M223" s="5">
        <f t="shared" si="34"/>
        <v>0</v>
      </c>
      <c r="N223" s="3"/>
    </row>
    <row r="224" spans="1:14" x14ac:dyDescent="0.25">
      <c r="A224" s="2">
        <v>1200226</v>
      </c>
      <c r="B224" s="3">
        <v>17012.5</v>
      </c>
      <c r="C224" s="3">
        <v>23530</v>
      </c>
      <c r="D224" s="3">
        <v>8787.5</v>
      </c>
      <c r="E224" s="3">
        <v>16015.599999999999</v>
      </c>
      <c r="F224">
        <f t="shared" si="27"/>
        <v>1200226</v>
      </c>
      <c r="G224" s="3">
        <f t="shared" si="28"/>
        <v>17012.5</v>
      </c>
      <c r="H224" s="3">
        <f t="shared" si="29"/>
        <v>23530</v>
      </c>
      <c r="I224" s="3">
        <f t="shared" si="30"/>
        <v>8787.5</v>
      </c>
      <c r="J224" s="3">
        <f t="shared" si="31"/>
        <v>16015.599999999999</v>
      </c>
      <c r="K224" s="5">
        <f t="shared" si="32"/>
        <v>65345.599999999999</v>
      </c>
      <c r="L224" s="5">
        <f t="shared" si="33"/>
        <v>65345.599999999999</v>
      </c>
      <c r="M224" s="5">
        <f t="shared" si="34"/>
        <v>0</v>
      </c>
      <c r="N224" s="3"/>
    </row>
    <row r="225" spans="1:14" x14ac:dyDescent="0.25">
      <c r="A225" s="2">
        <v>1200227</v>
      </c>
      <c r="B225" s="3">
        <v>13750</v>
      </c>
      <c r="C225" s="3">
        <v>20500</v>
      </c>
      <c r="D225" s="3">
        <v>8125</v>
      </c>
      <c r="E225" s="3">
        <v>11875</v>
      </c>
      <c r="F225">
        <f t="shared" si="27"/>
        <v>1200227</v>
      </c>
      <c r="G225" s="3">
        <f t="shared" si="28"/>
        <v>13750</v>
      </c>
      <c r="H225" s="3">
        <f t="shared" si="29"/>
        <v>20500</v>
      </c>
      <c r="I225" s="3">
        <f t="shared" si="30"/>
        <v>8125</v>
      </c>
      <c r="J225" s="3">
        <f t="shared" si="31"/>
        <v>11875</v>
      </c>
      <c r="K225" s="5">
        <f t="shared" si="32"/>
        <v>54250</v>
      </c>
      <c r="L225" s="5">
        <f t="shared" si="33"/>
        <v>65345.599999999999</v>
      </c>
      <c r="M225" s="5">
        <f t="shared" si="34"/>
        <v>-11095.599999999999</v>
      </c>
      <c r="N225" s="3"/>
    </row>
    <row r="226" spans="1:14" x14ac:dyDescent="0.25">
      <c r="A226" s="2">
        <v>1200228</v>
      </c>
      <c r="B226" s="3">
        <v>15818.75</v>
      </c>
      <c r="C226" s="3">
        <v>19080</v>
      </c>
      <c r="D226" s="3">
        <v>8518.75</v>
      </c>
      <c r="E226" s="3">
        <v>12734.400000000001</v>
      </c>
      <c r="F226">
        <f t="shared" si="27"/>
        <v>1200228</v>
      </c>
      <c r="G226" s="3">
        <f t="shared" si="28"/>
        <v>15818.75</v>
      </c>
      <c r="H226" s="3">
        <f t="shared" si="29"/>
        <v>19080</v>
      </c>
      <c r="I226" s="3">
        <f t="shared" si="30"/>
        <v>8518.75</v>
      </c>
      <c r="J226" s="3">
        <f t="shared" si="31"/>
        <v>12734.400000000001</v>
      </c>
      <c r="K226" s="5">
        <f t="shared" si="32"/>
        <v>56151.9</v>
      </c>
      <c r="L226" s="5">
        <f t="shared" si="33"/>
        <v>56151.9</v>
      </c>
      <c r="M226" s="5">
        <f t="shared" si="34"/>
        <v>0</v>
      </c>
      <c r="N226" s="3"/>
    </row>
    <row r="227" spans="1:14" x14ac:dyDescent="0.25">
      <c r="A227" s="2">
        <v>1200301</v>
      </c>
      <c r="B227" s="3">
        <v>15781.25</v>
      </c>
      <c r="C227" s="3">
        <v>20930</v>
      </c>
      <c r="D227" s="3">
        <v>9812.5</v>
      </c>
      <c r="E227" s="3">
        <v>18984.400000000001</v>
      </c>
      <c r="F227">
        <f t="shared" si="27"/>
        <v>1200301</v>
      </c>
      <c r="G227" s="3">
        <f t="shared" si="28"/>
        <v>15781.25</v>
      </c>
      <c r="H227" s="3">
        <f t="shared" si="29"/>
        <v>20930</v>
      </c>
      <c r="I227" s="3">
        <f t="shared" si="30"/>
        <v>9812.5</v>
      </c>
      <c r="J227" s="3">
        <f t="shared" si="31"/>
        <v>18984.400000000001</v>
      </c>
      <c r="K227" s="5">
        <f t="shared" si="32"/>
        <v>65508.15</v>
      </c>
      <c r="L227" s="5">
        <f t="shared" si="33"/>
        <v>65508.15</v>
      </c>
      <c r="M227" s="5">
        <f t="shared" si="34"/>
        <v>0</v>
      </c>
      <c r="N227" s="3"/>
    </row>
    <row r="228" spans="1:14" x14ac:dyDescent="0.25">
      <c r="A228" s="2">
        <v>1200302</v>
      </c>
      <c r="B228" s="3">
        <v>15781.25</v>
      </c>
      <c r="C228" s="3">
        <v>19400</v>
      </c>
      <c r="D228" s="3">
        <v>9181.25</v>
      </c>
      <c r="E228" s="3">
        <v>19687.5</v>
      </c>
      <c r="F228">
        <f t="shared" si="27"/>
        <v>1200302</v>
      </c>
      <c r="G228" s="3">
        <f t="shared" si="28"/>
        <v>15781.25</v>
      </c>
      <c r="H228" s="3">
        <f t="shared" si="29"/>
        <v>19400</v>
      </c>
      <c r="I228" s="3">
        <f t="shared" si="30"/>
        <v>9181.25</v>
      </c>
      <c r="J228" s="3">
        <f t="shared" si="31"/>
        <v>19687.5</v>
      </c>
      <c r="K228" s="5">
        <f t="shared" si="32"/>
        <v>64050</v>
      </c>
      <c r="L228" s="5">
        <f t="shared" si="33"/>
        <v>65508.15</v>
      </c>
      <c r="M228" s="5">
        <f t="shared" si="34"/>
        <v>-1458.1500000000015</v>
      </c>
      <c r="N228" s="3"/>
    </row>
    <row r="229" spans="1:14" x14ac:dyDescent="0.25">
      <c r="A229" s="2">
        <v>1200303</v>
      </c>
      <c r="B229" s="3">
        <v>16618.75</v>
      </c>
      <c r="C229" s="3">
        <v>16610</v>
      </c>
      <c r="D229" s="3">
        <v>8225</v>
      </c>
      <c r="E229" s="3">
        <v>18046.900000000001</v>
      </c>
      <c r="F229">
        <f t="shared" si="27"/>
        <v>1200303</v>
      </c>
      <c r="G229" s="3">
        <f t="shared" si="28"/>
        <v>16618.75</v>
      </c>
      <c r="H229" s="3">
        <f t="shared" si="29"/>
        <v>16610</v>
      </c>
      <c r="I229" s="3">
        <f t="shared" si="30"/>
        <v>8225</v>
      </c>
      <c r="J229" s="3">
        <f t="shared" si="31"/>
        <v>18046.900000000001</v>
      </c>
      <c r="K229" s="5">
        <f t="shared" si="32"/>
        <v>59500.65</v>
      </c>
      <c r="L229" s="5">
        <f t="shared" si="33"/>
        <v>64050</v>
      </c>
      <c r="M229" s="5">
        <f t="shared" si="34"/>
        <v>-4549.3499999999985</v>
      </c>
      <c r="N229" s="3"/>
    </row>
    <row r="230" spans="1:14" x14ac:dyDescent="0.25">
      <c r="A230" s="2">
        <v>1200304</v>
      </c>
      <c r="B230" s="3">
        <v>16625</v>
      </c>
      <c r="C230" s="3">
        <v>20680</v>
      </c>
      <c r="D230" s="3">
        <v>8793.75</v>
      </c>
      <c r="E230" s="3">
        <v>24765.599999999999</v>
      </c>
      <c r="F230">
        <f t="shared" si="27"/>
        <v>1200304</v>
      </c>
      <c r="G230" s="3">
        <f t="shared" si="28"/>
        <v>16625</v>
      </c>
      <c r="H230" s="3">
        <f t="shared" si="29"/>
        <v>20680</v>
      </c>
      <c r="I230" s="3">
        <f t="shared" si="30"/>
        <v>8793.75</v>
      </c>
      <c r="J230" s="3">
        <f t="shared" si="31"/>
        <v>24765.599999999999</v>
      </c>
      <c r="K230" s="5">
        <f t="shared" si="32"/>
        <v>70864.350000000006</v>
      </c>
      <c r="L230" s="5">
        <f t="shared" si="33"/>
        <v>70864.350000000006</v>
      </c>
      <c r="M230" s="5">
        <f t="shared" si="34"/>
        <v>0</v>
      </c>
      <c r="N230" s="3"/>
    </row>
    <row r="231" spans="1:14" x14ac:dyDescent="0.25">
      <c r="A231" s="2">
        <v>1200305</v>
      </c>
      <c r="B231" s="3">
        <v>16350</v>
      </c>
      <c r="C231" s="3">
        <v>20320</v>
      </c>
      <c r="D231" s="3">
        <v>7800</v>
      </c>
      <c r="E231" s="3">
        <v>24062.5</v>
      </c>
      <c r="F231">
        <f t="shared" si="27"/>
        <v>1200305</v>
      </c>
      <c r="G231" s="3">
        <f t="shared" si="28"/>
        <v>16350</v>
      </c>
      <c r="H231" s="3">
        <f t="shared" si="29"/>
        <v>20320</v>
      </c>
      <c r="I231" s="3">
        <f t="shared" si="30"/>
        <v>7800</v>
      </c>
      <c r="J231" s="3">
        <f t="shared" si="31"/>
        <v>24062.5</v>
      </c>
      <c r="K231" s="5">
        <f t="shared" si="32"/>
        <v>68532.5</v>
      </c>
      <c r="L231" s="5">
        <f t="shared" si="33"/>
        <v>70864.350000000006</v>
      </c>
      <c r="M231" s="5">
        <f t="shared" si="34"/>
        <v>-2331.8500000000058</v>
      </c>
      <c r="N231" s="3"/>
    </row>
    <row r="232" spans="1:14" x14ac:dyDescent="0.25">
      <c r="A232" s="2">
        <v>1200306</v>
      </c>
      <c r="B232" s="3">
        <v>15956.25</v>
      </c>
      <c r="C232" s="3">
        <v>22200</v>
      </c>
      <c r="D232" s="3">
        <v>9518.75</v>
      </c>
      <c r="E232" s="3">
        <v>26328.1</v>
      </c>
      <c r="F232">
        <f t="shared" si="27"/>
        <v>1200306</v>
      </c>
      <c r="G232" s="3">
        <f t="shared" si="28"/>
        <v>15956.25</v>
      </c>
      <c r="H232" s="3">
        <f t="shared" si="29"/>
        <v>22200</v>
      </c>
      <c r="I232" s="3">
        <f t="shared" si="30"/>
        <v>9518.75</v>
      </c>
      <c r="J232" s="3">
        <f t="shared" si="31"/>
        <v>26328.1</v>
      </c>
      <c r="K232" s="5">
        <f t="shared" si="32"/>
        <v>74003.100000000006</v>
      </c>
      <c r="L232" s="5">
        <f t="shared" si="33"/>
        <v>74003.100000000006</v>
      </c>
      <c r="M232" s="5">
        <f t="shared" si="34"/>
        <v>0</v>
      </c>
      <c r="N232" s="3"/>
    </row>
    <row r="233" spans="1:14" x14ac:dyDescent="0.25">
      <c r="A233" s="2">
        <v>1200308</v>
      </c>
      <c r="B233" s="3">
        <v>18737.5</v>
      </c>
      <c r="C233" s="3">
        <v>23920</v>
      </c>
      <c r="D233" s="3">
        <v>11850</v>
      </c>
      <c r="E233" s="3">
        <v>36406.25</v>
      </c>
      <c r="F233">
        <f t="shared" si="27"/>
        <v>1200308</v>
      </c>
      <c r="G233" s="3">
        <f t="shared" si="28"/>
        <v>18737.5</v>
      </c>
      <c r="H233" s="3">
        <f t="shared" si="29"/>
        <v>23920</v>
      </c>
      <c r="I233" s="3">
        <f t="shared" si="30"/>
        <v>11850</v>
      </c>
      <c r="J233" s="3">
        <f t="shared" si="31"/>
        <v>36406.25</v>
      </c>
      <c r="K233" s="5">
        <f t="shared" si="32"/>
        <v>90913.75</v>
      </c>
      <c r="L233" s="5">
        <f t="shared" si="33"/>
        <v>90913.75</v>
      </c>
      <c r="M233" s="5">
        <f t="shared" si="34"/>
        <v>0</v>
      </c>
      <c r="N233" s="3"/>
    </row>
    <row r="234" spans="1:14" x14ac:dyDescent="0.25">
      <c r="A234" s="2">
        <v>1200309</v>
      </c>
      <c r="B234" s="3">
        <v>19268.75</v>
      </c>
      <c r="C234" s="3">
        <v>22220</v>
      </c>
      <c r="D234" s="3">
        <v>12975</v>
      </c>
      <c r="E234" s="3">
        <v>37187.5</v>
      </c>
      <c r="F234">
        <f t="shared" si="27"/>
        <v>1200309</v>
      </c>
      <c r="G234" s="3">
        <f t="shared" si="28"/>
        <v>19268.75</v>
      </c>
      <c r="H234" s="3">
        <f t="shared" si="29"/>
        <v>22220</v>
      </c>
      <c r="I234" s="3">
        <f t="shared" si="30"/>
        <v>12975</v>
      </c>
      <c r="J234" s="3">
        <f t="shared" si="31"/>
        <v>37187.5</v>
      </c>
      <c r="K234" s="5">
        <f t="shared" si="32"/>
        <v>91651.25</v>
      </c>
      <c r="L234" s="5">
        <f t="shared" si="33"/>
        <v>91651.25</v>
      </c>
      <c r="M234" s="5">
        <f t="shared" si="34"/>
        <v>0</v>
      </c>
      <c r="N234" s="3"/>
    </row>
    <row r="235" spans="1:14" x14ac:dyDescent="0.25">
      <c r="A235" s="2">
        <v>1200310</v>
      </c>
      <c r="B235" s="3">
        <v>18956.25</v>
      </c>
      <c r="C235" s="3">
        <v>20570</v>
      </c>
      <c r="D235" s="3">
        <v>14675</v>
      </c>
      <c r="E235" s="3">
        <v>42265.600000000006</v>
      </c>
      <c r="F235">
        <f t="shared" si="27"/>
        <v>1200310</v>
      </c>
      <c r="G235" s="3">
        <f t="shared" si="28"/>
        <v>18956.25</v>
      </c>
      <c r="H235" s="3">
        <f t="shared" si="29"/>
        <v>20570</v>
      </c>
      <c r="I235" s="3">
        <f t="shared" si="30"/>
        <v>14675</v>
      </c>
      <c r="J235" s="3">
        <f t="shared" si="31"/>
        <v>42265.600000000006</v>
      </c>
      <c r="K235" s="5">
        <f t="shared" si="32"/>
        <v>96466.85</v>
      </c>
      <c r="L235" s="5">
        <f t="shared" si="33"/>
        <v>96466.85</v>
      </c>
      <c r="M235" s="5">
        <f t="shared" si="34"/>
        <v>0</v>
      </c>
      <c r="N235" s="3"/>
    </row>
    <row r="236" spans="1:14" x14ac:dyDescent="0.25">
      <c r="A236" s="2">
        <v>1200311</v>
      </c>
      <c r="B236" s="3">
        <v>18168.75</v>
      </c>
      <c r="C236" s="3">
        <v>20570</v>
      </c>
      <c r="D236" s="3">
        <v>11512.5</v>
      </c>
      <c r="E236" s="3">
        <v>39921.9</v>
      </c>
      <c r="F236">
        <f t="shared" si="27"/>
        <v>1200311</v>
      </c>
      <c r="G236" s="3">
        <f t="shared" si="28"/>
        <v>18168.75</v>
      </c>
      <c r="H236" s="3">
        <f t="shared" si="29"/>
        <v>20570</v>
      </c>
      <c r="I236" s="3">
        <f t="shared" si="30"/>
        <v>11512.5</v>
      </c>
      <c r="J236" s="3">
        <f t="shared" si="31"/>
        <v>39921.9</v>
      </c>
      <c r="K236" s="5">
        <f t="shared" si="32"/>
        <v>90173.15</v>
      </c>
      <c r="L236" s="5">
        <f t="shared" si="33"/>
        <v>96466.85</v>
      </c>
      <c r="M236" s="5">
        <f t="shared" si="34"/>
        <v>-6293.7000000000116</v>
      </c>
      <c r="N236" s="3"/>
    </row>
    <row r="237" spans="1:14" x14ac:dyDescent="0.25">
      <c r="A237" s="2">
        <v>1200312</v>
      </c>
      <c r="B237" s="3">
        <v>21512.5</v>
      </c>
      <c r="C237" s="3">
        <v>17560</v>
      </c>
      <c r="D237" s="3">
        <v>11762.5</v>
      </c>
      <c r="E237" s="3">
        <v>42031.25</v>
      </c>
      <c r="F237">
        <f t="shared" si="27"/>
        <v>1200312</v>
      </c>
      <c r="G237" s="3">
        <f t="shared" si="28"/>
        <v>21512.5</v>
      </c>
      <c r="H237" s="3">
        <f t="shared" si="29"/>
        <v>17560</v>
      </c>
      <c r="I237" s="3">
        <f t="shared" si="30"/>
        <v>11762.5</v>
      </c>
      <c r="J237" s="3">
        <f t="shared" si="31"/>
        <v>42031.25</v>
      </c>
      <c r="K237" s="5">
        <f t="shared" si="32"/>
        <v>92866.25</v>
      </c>
      <c r="L237" s="5">
        <f t="shared" si="33"/>
        <v>92866.25</v>
      </c>
      <c r="M237" s="5">
        <f t="shared" si="34"/>
        <v>0</v>
      </c>
      <c r="N237" s="3"/>
    </row>
    <row r="238" spans="1:14" x14ac:dyDescent="0.25">
      <c r="A238" s="2">
        <v>1200313</v>
      </c>
      <c r="B238" s="3">
        <v>23912.5</v>
      </c>
      <c r="C238" s="3">
        <v>24010</v>
      </c>
      <c r="D238" s="3">
        <v>13475</v>
      </c>
      <c r="E238" s="3">
        <v>31406.25</v>
      </c>
      <c r="F238">
        <f t="shared" si="27"/>
        <v>1200313</v>
      </c>
      <c r="G238" s="3">
        <f t="shared" si="28"/>
        <v>23912.5</v>
      </c>
      <c r="H238" s="3">
        <f t="shared" si="29"/>
        <v>24010</v>
      </c>
      <c r="I238" s="3">
        <f t="shared" si="30"/>
        <v>13475</v>
      </c>
      <c r="J238" s="3">
        <f t="shared" si="31"/>
        <v>31406.25</v>
      </c>
      <c r="K238" s="5">
        <f t="shared" si="32"/>
        <v>92803.75</v>
      </c>
      <c r="L238" s="5">
        <f t="shared" si="33"/>
        <v>92866.25</v>
      </c>
      <c r="M238" s="5">
        <f t="shared" si="34"/>
        <v>-62.5</v>
      </c>
      <c r="N238" s="3"/>
    </row>
    <row r="239" spans="1:14" x14ac:dyDescent="0.25">
      <c r="A239" s="2">
        <v>1200315</v>
      </c>
      <c r="B239" s="3">
        <v>23912.5</v>
      </c>
      <c r="C239" s="3">
        <v>15720</v>
      </c>
      <c r="D239" s="3">
        <v>14306.25</v>
      </c>
      <c r="E239" s="3">
        <v>15703.099999999999</v>
      </c>
      <c r="F239">
        <f t="shared" si="27"/>
        <v>1200315</v>
      </c>
      <c r="G239" s="3">
        <f t="shared" si="28"/>
        <v>23912.5</v>
      </c>
      <c r="H239" s="3">
        <f t="shared" si="29"/>
        <v>15720</v>
      </c>
      <c r="I239" s="3">
        <f t="shared" si="30"/>
        <v>14306.25</v>
      </c>
      <c r="J239" s="3">
        <f t="shared" si="31"/>
        <v>15703.099999999999</v>
      </c>
      <c r="K239" s="5">
        <f t="shared" si="32"/>
        <v>69641.850000000006</v>
      </c>
      <c r="L239" s="5">
        <f t="shared" si="33"/>
        <v>92803.75</v>
      </c>
      <c r="M239" s="5">
        <f t="shared" si="34"/>
        <v>-23161.899999999994</v>
      </c>
      <c r="N239" s="3"/>
    </row>
    <row r="240" spans="1:14" x14ac:dyDescent="0.25">
      <c r="A240" s="2">
        <v>1200316</v>
      </c>
      <c r="B240" s="3">
        <v>23912.5</v>
      </c>
      <c r="C240" s="3">
        <v>15930</v>
      </c>
      <c r="D240" s="3">
        <v>14725</v>
      </c>
      <c r="E240" s="3">
        <v>12890.599999999999</v>
      </c>
      <c r="F240">
        <f t="shared" si="27"/>
        <v>1200316</v>
      </c>
      <c r="G240" s="3">
        <f t="shared" si="28"/>
        <v>23912.5</v>
      </c>
      <c r="H240" s="3">
        <f t="shared" si="29"/>
        <v>15930</v>
      </c>
      <c r="I240" s="3">
        <f t="shared" si="30"/>
        <v>14725</v>
      </c>
      <c r="J240" s="3">
        <f t="shared" si="31"/>
        <v>12890.599999999999</v>
      </c>
      <c r="K240" s="5">
        <f t="shared" si="32"/>
        <v>67458.100000000006</v>
      </c>
      <c r="L240" s="5">
        <f t="shared" si="33"/>
        <v>69641.850000000006</v>
      </c>
      <c r="M240" s="5">
        <f t="shared" si="34"/>
        <v>-2183.75</v>
      </c>
      <c r="N240" s="3"/>
    </row>
    <row r="241" spans="1:14" x14ac:dyDescent="0.25">
      <c r="A241" s="2">
        <v>1200317</v>
      </c>
      <c r="B241" s="3">
        <v>23912.5</v>
      </c>
      <c r="C241" s="3">
        <v>16890</v>
      </c>
      <c r="D241" s="3">
        <v>12462.5</v>
      </c>
      <c r="E241" s="3">
        <v>19218.75</v>
      </c>
      <c r="F241">
        <f t="shared" si="27"/>
        <v>1200317</v>
      </c>
      <c r="G241" s="3">
        <f t="shared" si="28"/>
        <v>23912.5</v>
      </c>
      <c r="H241" s="3">
        <f t="shared" si="29"/>
        <v>16890</v>
      </c>
      <c r="I241" s="3">
        <f t="shared" si="30"/>
        <v>12462.5</v>
      </c>
      <c r="J241" s="3">
        <f t="shared" si="31"/>
        <v>19218.75</v>
      </c>
      <c r="K241" s="5">
        <f t="shared" si="32"/>
        <v>72483.75</v>
      </c>
      <c r="L241" s="5">
        <f t="shared" si="33"/>
        <v>72483.75</v>
      </c>
      <c r="M241" s="5">
        <f t="shared" si="34"/>
        <v>0</v>
      </c>
      <c r="N241" s="3"/>
    </row>
    <row r="242" spans="1:14" x14ac:dyDescent="0.25">
      <c r="A242" s="2">
        <v>1200318</v>
      </c>
      <c r="B242" s="3">
        <v>18006.25</v>
      </c>
      <c r="C242" s="3">
        <v>13700</v>
      </c>
      <c r="D242" s="3">
        <v>13193.75</v>
      </c>
      <c r="E242" s="3">
        <v>27578.1</v>
      </c>
      <c r="F242">
        <f t="shared" si="27"/>
        <v>1200318</v>
      </c>
      <c r="G242" s="3">
        <f t="shared" si="28"/>
        <v>18006.25</v>
      </c>
      <c r="H242" s="3">
        <f t="shared" si="29"/>
        <v>13700</v>
      </c>
      <c r="I242" s="3">
        <f t="shared" si="30"/>
        <v>13193.75</v>
      </c>
      <c r="J242" s="3">
        <f t="shared" si="31"/>
        <v>27578.1</v>
      </c>
      <c r="K242" s="5">
        <f t="shared" si="32"/>
        <v>72478.100000000006</v>
      </c>
      <c r="L242" s="5">
        <f t="shared" si="33"/>
        <v>72483.75</v>
      </c>
      <c r="M242" s="5">
        <f t="shared" si="34"/>
        <v>-5.6499999999941792</v>
      </c>
      <c r="N242" s="3"/>
    </row>
    <row r="243" spans="1:14" x14ac:dyDescent="0.25">
      <c r="A243" s="2">
        <v>1200319</v>
      </c>
      <c r="B243" s="3">
        <v>17806.25</v>
      </c>
      <c r="C243" s="3">
        <v>15200</v>
      </c>
      <c r="D243" s="3">
        <v>15087.5</v>
      </c>
      <c r="E243" s="3">
        <v>36484.400000000001</v>
      </c>
      <c r="F243">
        <f t="shared" si="27"/>
        <v>1200319</v>
      </c>
      <c r="G243" s="3">
        <f t="shared" si="28"/>
        <v>17806.25</v>
      </c>
      <c r="H243" s="3">
        <f t="shared" si="29"/>
        <v>15200</v>
      </c>
      <c r="I243" s="3">
        <f t="shared" si="30"/>
        <v>15087.5</v>
      </c>
      <c r="J243" s="3">
        <f t="shared" si="31"/>
        <v>36484.400000000001</v>
      </c>
      <c r="K243" s="5">
        <f t="shared" si="32"/>
        <v>84578.15</v>
      </c>
      <c r="L243" s="5">
        <f t="shared" si="33"/>
        <v>84578.15</v>
      </c>
      <c r="M243" s="5">
        <f t="shared" si="34"/>
        <v>0</v>
      </c>
      <c r="N243" s="3"/>
    </row>
    <row r="244" spans="1:14" x14ac:dyDescent="0.25">
      <c r="A244" s="2">
        <v>1200320</v>
      </c>
      <c r="B244" s="3">
        <v>14287.5</v>
      </c>
      <c r="C244" s="3">
        <v>15200</v>
      </c>
      <c r="D244" s="3">
        <v>15950</v>
      </c>
      <c r="E244" s="3">
        <v>35000</v>
      </c>
      <c r="F244">
        <f t="shared" si="27"/>
        <v>1200320</v>
      </c>
      <c r="G244" s="3">
        <f t="shared" si="28"/>
        <v>14287.5</v>
      </c>
      <c r="H244" s="3">
        <f t="shared" si="29"/>
        <v>15200</v>
      </c>
      <c r="I244" s="3">
        <f t="shared" si="30"/>
        <v>15950</v>
      </c>
      <c r="J244" s="3">
        <f t="shared" si="31"/>
        <v>35000</v>
      </c>
      <c r="K244" s="5">
        <f t="shared" si="32"/>
        <v>80437.5</v>
      </c>
      <c r="L244" s="5">
        <f t="shared" si="33"/>
        <v>84578.15</v>
      </c>
      <c r="M244" s="5">
        <f t="shared" si="34"/>
        <v>-4140.6499999999942</v>
      </c>
      <c r="N244" s="3"/>
    </row>
    <row r="245" spans="1:14" x14ac:dyDescent="0.25">
      <c r="A245" s="2">
        <v>1200322</v>
      </c>
      <c r="B245" s="3">
        <v>18331.25</v>
      </c>
      <c r="C245" s="3">
        <v>12830</v>
      </c>
      <c r="D245" s="3">
        <v>17187.5</v>
      </c>
      <c r="E245" s="3">
        <v>45859.399999999994</v>
      </c>
      <c r="F245">
        <f t="shared" si="27"/>
        <v>1200322</v>
      </c>
      <c r="G245" s="3">
        <f t="shared" si="28"/>
        <v>18331.25</v>
      </c>
      <c r="H245" s="3">
        <f t="shared" si="29"/>
        <v>12830</v>
      </c>
      <c r="I245" s="3">
        <f t="shared" si="30"/>
        <v>17187.5</v>
      </c>
      <c r="J245" s="3">
        <f t="shared" si="31"/>
        <v>45859.399999999994</v>
      </c>
      <c r="K245" s="5">
        <f t="shared" si="32"/>
        <v>94208.15</v>
      </c>
      <c r="L245" s="5">
        <f t="shared" si="33"/>
        <v>94208.15</v>
      </c>
      <c r="M245" s="5">
        <f t="shared" si="34"/>
        <v>0</v>
      </c>
      <c r="N245" s="3"/>
    </row>
    <row r="246" spans="1:14" x14ac:dyDescent="0.25">
      <c r="A246" s="2">
        <v>1200323</v>
      </c>
      <c r="B246" s="3">
        <v>17431.25</v>
      </c>
      <c r="C246" s="3">
        <v>13380</v>
      </c>
      <c r="D246" s="3">
        <v>16181.25</v>
      </c>
      <c r="E246" s="3">
        <v>44062.5</v>
      </c>
      <c r="F246">
        <f t="shared" si="27"/>
        <v>1200323</v>
      </c>
      <c r="G246" s="3">
        <f t="shared" si="28"/>
        <v>17431.25</v>
      </c>
      <c r="H246" s="3">
        <f t="shared" si="29"/>
        <v>13380</v>
      </c>
      <c r="I246" s="3">
        <f t="shared" si="30"/>
        <v>16181.25</v>
      </c>
      <c r="J246" s="3">
        <f t="shared" si="31"/>
        <v>44062.5</v>
      </c>
      <c r="K246" s="5">
        <f t="shared" si="32"/>
        <v>91055</v>
      </c>
      <c r="L246" s="5">
        <f t="shared" si="33"/>
        <v>94208.15</v>
      </c>
      <c r="M246" s="5">
        <f t="shared" si="34"/>
        <v>-3153.1499999999942</v>
      </c>
      <c r="N246" s="3"/>
    </row>
    <row r="247" spans="1:14" x14ac:dyDescent="0.25">
      <c r="A247" s="2">
        <v>1200324</v>
      </c>
      <c r="B247" s="3">
        <v>17037.5</v>
      </c>
      <c r="C247" s="3">
        <v>22310</v>
      </c>
      <c r="D247" s="3">
        <v>14875</v>
      </c>
      <c r="E247" s="3">
        <v>45703.100000000006</v>
      </c>
      <c r="F247">
        <f t="shared" si="27"/>
        <v>1200324</v>
      </c>
      <c r="G247" s="3">
        <f t="shared" si="28"/>
        <v>17037.5</v>
      </c>
      <c r="H247" s="3">
        <f t="shared" si="29"/>
        <v>22310</v>
      </c>
      <c r="I247" s="3">
        <f t="shared" si="30"/>
        <v>14875</v>
      </c>
      <c r="J247" s="3">
        <f t="shared" si="31"/>
        <v>45703.100000000006</v>
      </c>
      <c r="K247" s="5">
        <f t="shared" si="32"/>
        <v>99925.6</v>
      </c>
      <c r="L247" s="5">
        <f t="shared" si="33"/>
        <v>99925.6</v>
      </c>
      <c r="M247" s="5">
        <f t="shared" si="34"/>
        <v>0</v>
      </c>
      <c r="N247" s="3"/>
    </row>
    <row r="248" spans="1:14" x14ac:dyDescent="0.25">
      <c r="A248" s="2">
        <v>1200325</v>
      </c>
      <c r="B248" s="3">
        <v>18287.5</v>
      </c>
      <c r="C248" s="3">
        <v>29650</v>
      </c>
      <c r="D248" s="3">
        <v>15881.25</v>
      </c>
      <c r="E248" s="3">
        <v>46015.600000000006</v>
      </c>
      <c r="F248">
        <f t="shared" si="27"/>
        <v>1200325</v>
      </c>
      <c r="G248" s="3">
        <f t="shared" si="28"/>
        <v>18287.5</v>
      </c>
      <c r="H248" s="3">
        <f t="shared" si="29"/>
        <v>29650</v>
      </c>
      <c r="I248" s="3">
        <f t="shared" si="30"/>
        <v>15881.25</v>
      </c>
      <c r="J248" s="3">
        <f t="shared" si="31"/>
        <v>46015.600000000006</v>
      </c>
      <c r="K248" s="5">
        <f t="shared" si="32"/>
        <v>109834.35</v>
      </c>
      <c r="L248" s="5">
        <f t="shared" si="33"/>
        <v>109834.35</v>
      </c>
      <c r="M248" s="5">
        <f t="shared" si="34"/>
        <v>0</v>
      </c>
      <c r="N248" s="3"/>
    </row>
    <row r="249" spans="1:14" x14ac:dyDescent="0.25">
      <c r="A249" s="2">
        <v>1200326</v>
      </c>
      <c r="B249" s="3">
        <v>17718.75</v>
      </c>
      <c r="C249" s="3">
        <v>31450</v>
      </c>
      <c r="D249" s="3">
        <v>15312.5</v>
      </c>
      <c r="E249" s="3">
        <v>45625</v>
      </c>
      <c r="F249">
        <f t="shared" si="27"/>
        <v>1200326</v>
      </c>
      <c r="G249" s="3">
        <f t="shared" si="28"/>
        <v>17718.75</v>
      </c>
      <c r="H249" s="3">
        <f t="shared" si="29"/>
        <v>31450</v>
      </c>
      <c r="I249" s="3">
        <f t="shared" si="30"/>
        <v>15312.5</v>
      </c>
      <c r="J249" s="3">
        <f t="shared" si="31"/>
        <v>45625</v>
      </c>
      <c r="K249" s="5">
        <f t="shared" si="32"/>
        <v>110106.25</v>
      </c>
      <c r="L249" s="5">
        <f t="shared" si="33"/>
        <v>110106.25</v>
      </c>
      <c r="M249" s="5">
        <f t="shared" si="34"/>
        <v>0</v>
      </c>
      <c r="N249" s="3"/>
    </row>
    <row r="250" spans="1:14" x14ac:dyDescent="0.25">
      <c r="A250" s="2">
        <v>1200327</v>
      </c>
      <c r="B250" s="3">
        <v>20493.75</v>
      </c>
      <c r="C250" s="3">
        <v>32490</v>
      </c>
      <c r="D250" s="3">
        <v>17762.5</v>
      </c>
      <c r="E250" s="3">
        <v>45703.100000000006</v>
      </c>
      <c r="F250">
        <f t="shared" si="27"/>
        <v>1200327</v>
      </c>
      <c r="G250" s="3">
        <f t="shared" si="28"/>
        <v>20493.75</v>
      </c>
      <c r="H250" s="3">
        <f t="shared" si="29"/>
        <v>32490</v>
      </c>
      <c r="I250" s="3">
        <f t="shared" si="30"/>
        <v>17762.5</v>
      </c>
      <c r="J250" s="3">
        <f t="shared" si="31"/>
        <v>45703.100000000006</v>
      </c>
      <c r="K250" s="5">
        <f t="shared" si="32"/>
        <v>116449.35</v>
      </c>
      <c r="L250" s="5">
        <f t="shared" si="33"/>
        <v>116449.35</v>
      </c>
      <c r="M250" s="5">
        <f t="shared" si="34"/>
        <v>0</v>
      </c>
      <c r="N250" s="3"/>
    </row>
    <row r="251" spans="1:14" x14ac:dyDescent="0.25">
      <c r="A251" s="2">
        <v>1200329</v>
      </c>
      <c r="B251" s="3">
        <v>19793.75</v>
      </c>
      <c r="C251" s="3">
        <v>28540</v>
      </c>
      <c r="D251" s="3">
        <v>18518.75</v>
      </c>
      <c r="E251" s="3">
        <v>51093.75</v>
      </c>
      <c r="F251">
        <f t="shared" si="27"/>
        <v>1200329</v>
      </c>
      <c r="G251" s="3">
        <f t="shared" si="28"/>
        <v>19793.75</v>
      </c>
      <c r="H251" s="3">
        <f t="shared" si="29"/>
        <v>28540</v>
      </c>
      <c r="I251" s="3">
        <f t="shared" si="30"/>
        <v>18518.75</v>
      </c>
      <c r="J251" s="3">
        <f t="shared" si="31"/>
        <v>51093.75</v>
      </c>
      <c r="K251" s="5">
        <f t="shared" si="32"/>
        <v>117946.25</v>
      </c>
      <c r="L251" s="5">
        <f t="shared" si="33"/>
        <v>117946.25</v>
      </c>
      <c r="M251" s="5">
        <f t="shared" si="34"/>
        <v>0</v>
      </c>
      <c r="N251" s="3"/>
    </row>
    <row r="252" spans="1:14" x14ac:dyDescent="0.25">
      <c r="A252" s="2">
        <v>1200330</v>
      </c>
      <c r="B252" s="3">
        <v>19793.75</v>
      </c>
      <c r="C252" s="3">
        <v>29970</v>
      </c>
      <c r="D252" s="3">
        <v>18550</v>
      </c>
      <c r="E252" s="3">
        <v>51250</v>
      </c>
      <c r="F252">
        <f t="shared" si="27"/>
        <v>1200330</v>
      </c>
      <c r="G252" s="3">
        <f t="shared" si="28"/>
        <v>19793.75</v>
      </c>
      <c r="H252" s="3">
        <f t="shared" si="29"/>
        <v>29970</v>
      </c>
      <c r="I252" s="3">
        <f t="shared" si="30"/>
        <v>18550</v>
      </c>
      <c r="J252" s="3">
        <f t="shared" si="31"/>
        <v>51250</v>
      </c>
      <c r="K252" s="5">
        <f t="shared" si="32"/>
        <v>119563.75</v>
      </c>
      <c r="L252" s="5">
        <f t="shared" si="33"/>
        <v>119563.75</v>
      </c>
      <c r="M252" s="5">
        <f t="shared" si="34"/>
        <v>0</v>
      </c>
      <c r="N252" s="3"/>
    </row>
    <row r="253" spans="1:14" x14ac:dyDescent="0.25">
      <c r="A253" s="2">
        <v>1200331</v>
      </c>
      <c r="B253" s="3">
        <v>20656.25</v>
      </c>
      <c r="C253" s="3">
        <v>29570</v>
      </c>
      <c r="D253" s="3">
        <v>17962.5</v>
      </c>
      <c r="E253" s="3">
        <v>50390.600000000006</v>
      </c>
      <c r="F253">
        <f t="shared" si="27"/>
        <v>1200331</v>
      </c>
      <c r="G253" s="3">
        <f t="shared" si="28"/>
        <v>20656.25</v>
      </c>
      <c r="H253" s="3">
        <f t="shared" si="29"/>
        <v>29570</v>
      </c>
      <c r="I253" s="3">
        <f t="shared" si="30"/>
        <v>17962.5</v>
      </c>
      <c r="J253" s="3">
        <f t="shared" si="31"/>
        <v>50390.600000000006</v>
      </c>
      <c r="K253" s="5">
        <f t="shared" si="32"/>
        <v>118579.35</v>
      </c>
      <c r="L253" s="5">
        <f t="shared" si="33"/>
        <v>119563.75</v>
      </c>
      <c r="M253" s="5">
        <f t="shared" si="34"/>
        <v>-984.39999999999418</v>
      </c>
      <c r="N253" s="3"/>
    </row>
    <row r="254" spans="1:14" x14ac:dyDescent="0.25">
      <c r="A254" s="2">
        <v>1200401</v>
      </c>
      <c r="B254" s="3">
        <v>21112.5</v>
      </c>
      <c r="C254" s="3">
        <v>33180</v>
      </c>
      <c r="D254" s="3">
        <v>18437.5</v>
      </c>
      <c r="E254" s="3">
        <v>52578.100000000006</v>
      </c>
      <c r="F254">
        <f t="shared" si="27"/>
        <v>1200401</v>
      </c>
      <c r="G254" s="3">
        <f t="shared" si="28"/>
        <v>21112.5</v>
      </c>
      <c r="H254" s="3">
        <f t="shared" si="29"/>
        <v>33180</v>
      </c>
      <c r="I254" s="3">
        <f t="shared" si="30"/>
        <v>18437.5</v>
      </c>
      <c r="J254" s="3">
        <f t="shared" si="31"/>
        <v>52578.100000000006</v>
      </c>
      <c r="K254" s="5">
        <f t="shared" si="32"/>
        <v>125308.1</v>
      </c>
      <c r="L254" s="5">
        <f t="shared" si="33"/>
        <v>125308.1</v>
      </c>
      <c r="M254" s="5">
        <f t="shared" si="34"/>
        <v>0</v>
      </c>
      <c r="N254" s="3"/>
    </row>
    <row r="255" spans="1:14" x14ac:dyDescent="0.25">
      <c r="A255" s="2">
        <v>1200402</v>
      </c>
      <c r="B255" s="3">
        <v>20800</v>
      </c>
      <c r="C255" s="3">
        <v>31960</v>
      </c>
      <c r="D255" s="3">
        <v>18681.25</v>
      </c>
      <c r="E255" s="3">
        <v>51875</v>
      </c>
      <c r="F255">
        <f t="shared" si="27"/>
        <v>1200402</v>
      </c>
      <c r="G255" s="3">
        <f t="shared" si="28"/>
        <v>20800</v>
      </c>
      <c r="H255" s="3">
        <f t="shared" si="29"/>
        <v>31960</v>
      </c>
      <c r="I255" s="3">
        <f t="shared" si="30"/>
        <v>18681.25</v>
      </c>
      <c r="J255" s="3">
        <f t="shared" si="31"/>
        <v>51875</v>
      </c>
      <c r="K255" s="5">
        <f t="shared" si="32"/>
        <v>123316.25</v>
      </c>
      <c r="L255" s="5">
        <f t="shared" si="33"/>
        <v>125308.1</v>
      </c>
      <c r="M255" s="5">
        <f t="shared" si="34"/>
        <v>-1991.8500000000058</v>
      </c>
      <c r="N255" s="3"/>
    </row>
    <row r="256" spans="1:14" x14ac:dyDescent="0.25">
      <c r="A256" s="2">
        <v>1200403</v>
      </c>
      <c r="B256" s="3">
        <v>19787.5</v>
      </c>
      <c r="C256" s="3">
        <v>34090</v>
      </c>
      <c r="D256" s="3">
        <v>19293.75</v>
      </c>
      <c r="E256" s="3">
        <v>50546.899999999994</v>
      </c>
      <c r="F256">
        <f t="shared" si="27"/>
        <v>1200403</v>
      </c>
      <c r="G256" s="3">
        <f t="shared" si="28"/>
        <v>19787.5</v>
      </c>
      <c r="H256" s="3">
        <f t="shared" si="29"/>
        <v>34090</v>
      </c>
      <c r="I256" s="3">
        <f t="shared" si="30"/>
        <v>19293.75</v>
      </c>
      <c r="J256" s="3">
        <f t="shared" si="31"/>
        <v>50546.899999999994</v>
      </c>
      <c r="K256" s="5">
        <f t="shared" si="32"/>
        <v>123718.15</v>
      </c>
      <c r="L256" s="5">
        <f t="shared" si="33"/>
        <v>123718.15</v>
      </c>
      <c r="M256" s="5">
        <f t="shared" si="34"/>
        <v>0</v>
      </c>
      <c r="N256" s="3"/>
    </row>
    <row r="257" spans="1:14" x14ac:dyDescent="0.25">
      <c r="A257" s="2">
        <v>1200405</v>
      </c>
      <c r="B257" s="3">
        <v>18550</v>
      </c>
      <c r="C257" s="3">
        <v>32850</v>
      </c>
      <c r="D257" s="3">
        <v>19850</v>
      </c>
      <c r="E257" s="3">
        <v>49218.75</v>
      </c>
      <c r="F257">
        <f t="shared" si="27"/>
        <v>1200405</v>
      </c>
      <c r="G257" s="3">
        <f t="shared" si="28"/>
        <v>18550</v>
      </c>
      <c r="H257" s="3">
        <f t="shared" si="29"/>
        <v>32850</v>
      </c>
      <c r="I257" s="3">
        <f t="shared" si="30"/>
        <v>19850</v>
      </c>
      <c r="J257" s="3">
        <f t="shared" si="31"/>
        <v>49218.75</v>
      </c>
      <c r="K257" s="5">
        <f t="shared" si="32"/>
        <v>120468.75</v>
      </c>
      <c r="L257" s="5">
        <f t="shared" si="33"/>
        <v>123718.15</v>
      </c>
      <c r="M257" s="5">
        <f t="shared" si="34"/>
        <v>-3249.3999999999942</v>
      </c>
      <c r="N257" s="3"/>
    </row>
    <row r="258" spans="1:14" x14ac:dyDescent="0.25">
      <c r="A258" s="2">
        <v>1200406</v>
      </c>
      <c r="B258" s="3">
        <v>17181.25</v>
      </c>
      <c r="C258" s="3">
        <v>32510</v>
      </c>
      <c r="D258" s="3">
        <v>20375</v>
      </c>
      <c r="E258" s="3">
        <v>48046.899999999994</v>
      </c>
      <c r="F258">
        <f t="shared" si="27"/>
        <v>1200406</v>
      </c>
      <c r="G258" s="3">
        <f t="shared" si="28"/>
        <v>17181.25</v>
      </c>
      <c r="H258" s="3">
        <f t="shared" si="29"/>
        <v>32510</v>
      </c>
      <c r="I258" s="3">
        <f t="shared" si="30"/>
        <v>20375</v>
      </c>
      <c r="J258" s="3">
        <f t="shared" si="31"/>
        <v>48046.899999999994</v>
      </c>
      <c r="K258" s="5">
        <f t="shared" si="32"/>
        <v>118113.15</v>
      </c>
      <c r="L258" s="5">
        <f t="shared" si="33"/>
        <v>120468.75</v>
      </c>
      <c r="M258" s="5">
        <f t="shared" si="34"/>
        <v>-2355.6000000000058</v>
      </c>
      <c r="N258" s="3"/>
    </row>
    <row r="259" spans="1:14" x14ac:dyDescent="0.25">
      <c r="A259" s="2">
        <v>1200407</v>
      </c>
      <c r="B259" s="3">
        <v>17587.5</v>
      </c>
      <c r="C259" s="3">
        <v>36050</v>
      </c>
      <c r="D259" s="3">
        <v>20868.75</v>
      </c>
      <c r="E259" s="3">
        <v>45625</v>
      </c>
      <c r="F259">
        <f t="shared" si="27"/>
        <v>1200407</v>
      </c>
      <c r="G259" s="3">
        <f t="shared" si="28"/>
        <v>17587.5</v>
      </c>
      <c r="H259" s="3">
        <f t="shared" si="29"/>
        <v>36050</v>
      </c>
      <c r="I259" s="3">
        <f t="shared" si="30"/>
        <v>20868.75</v>
      </c>
      <c r="J259" s="3">
        <f t="shared" si="31"/>
        <v>45625</v>
      </c>
      <c r="K259" s="5">
        <f t="shared" si="32"/>
        <v>120131.25</v>
      </c>
      <c r="L259" s="5">
        <f t="shared" si="33"/>
        <v>120131.25</v>
      </c>
      <c r="M259" s="5">
        <f t="shared" si="34"/>
        <v>0</v>
      </c>
      <c r="N259" s="3"/>
    </row>
    <row r="260" spans="1:14" x14ac:dyDescent="0.25">
      <c r="A260" s="2">
        <v>1200408</v>
      </c>
      <c r="B260" s="3">
        <v>19300</v>
      </c>
      <c r="C260" s="3">
        <v>36830</v>
      </c>
      <c r="D260" s="3">
        <v>20756.25</v>
      </c>
      <c r="E260" s="3">
        <v>41718.75</v>
      </c>
      <c r="F260">
        <f t="shared" si="27"/>
        <v>1200408</v>
      </c>
      <c r="G260" s="3">
        <f t="shared" si="28"/>
        <v>19300</v>
      </c>
      <c r="H260" s="3">
        <f t="shared" si="29"/>
        <v>36830</v>
      </c>
      <c r="I260" s="3">
        <f t="shared" si="30"/>
        <v>20756.25</v>
      </c>
      <c r="J260" s="3">
        <f t="shared" si="31"/>
        <v>41718.75</v>
      </c>
      <c r="K260" s="5">
        <f t="shared" si="32"/>
        <v>118605</v>
      </c>
      <c r="L260" s="5">
        <f t="shared" si="33"/>
        <v>120131.25</v>
      </c>
      <c r="M260" s="5">
        <f t="shared" si="34"/>
        <v>-1526.25</v>
      </c>
      <c r="N260" s="3"/>
    </row>
    <row r="261" spans="1:14" x14ac:dyDescent="0.25">
      <c r="A261" s="2">
        <v>1200409</v>
      </c>
      <c r="B261" s="3">
        <v>20656.25</v>
      </c>
      <c r="C261" s="3">
        <v>35700</v>
      </c>
      <c r="D261" s="3">
        <v>20493.75</v>
      </c>
      <c r="E261" s="3">
        <v>41875</v>
      </c>
      <c r="F261">
        <f t="shared" si="27"/>
        <v>1200409</v>
      </c>
      <c r="G261" s="3">
        <f t="shared" si="28"/>
        <v>20656.25</v>
      </c>
      <c r="H261" s="3">
        <f t="shared" si="29"/>
        <v>35700</v>
      </c>
      <c r="I261" s="3">
        <f t="shared" si="30"/>
        <v>20493.75</v>
      </c>
      <c r="J261" s="3">
        <f t="shared" si="31"/>
        <v>41875</v>
      </c>
      <c r="K261" s="5">
        <f t="shared" si="32"/>
        <v>118725</v>
      </c>
      <c r="L261" s="5">
        <f t="shared" si="33"/>
        <v>118725</v>
      </c>
      <c r="M261" s="5">
        <f t="shared" si="34"/>
        <v>0</v>
      </c>
      <c r="N261" s="3"/>
    </row>
    <row r="262" spans="1:14" x14ac:dyDescent="0.25">
      <c r="A262" s="2">
        <v>1200412</v>
      </c>
      <c r="B262" s="3">
        <v>20837.5</v>
      </c>
      <c r="C262" s="3">
        <v>37170</v>
      </c>
      <c r="D262" s="3">
        <v>20606.25</v>
      </c>
      <c r="E262" s="3">
        <v>41406.25</v>
      </c>
      <c r="F262">
        <f t="shared" si="27"/>
        <v>1200412</v>
      </c>
      <c r="G262" s="3">
        <f t="shared" si="28"/>
        <v>20837.5</v>
      </c>
      <c r="H262" s="3">
        <f t="shared" si="29"/>
        <v>37170</v>
      </c>
      <c r="I262" s="3">
        <f t="shared" si="30"/>
        <v>20606.25</v>
      </c>
      <c r="J262" s="3">
        <f t="shared" si="31"/>
        <v>41406.25</v>
      </c>
      <c r="K262" s="5">
        <f t="shared" si="32"/>
        <v>120020</v>
      </c>
      <c r="L262" s="5">
        <f t="shared" si="33"/>
        <v>120020</v>
      </c>
      <c r="M262" s="5">
        <f t="shared" si="34"/>
        <v>0</v>
      </c>
      <c r="N262" s="3"/>
    </row>
    <row r="263" spans="1:14" x14ac:dyDescent="0.25">
      <c r="A263" s="2">
        <v>1200413</v>
      </c>
      <c r="B263" s="3">
        <v>20606.25</v>
      </c>
      <c r="C263" s="3">
        <v>36610</v>
      </c>
      <c r="D263" s="3">
        <v>21075</v>
      </c>
      <c r="E263" s="3">
        <v>41015.600000000006</v>
      </c>
      <c r="F263">
        <f t="shared" si="27"/>
        <v>1200413</v>
      </c>
      <c r="G263" s="3">
        <f t="shared" si="28"/>
        <v>20606.25</v>
      </c>
      <c r="H263" s="3">
        <f t="shared" si="29"/>
        <v>36610</v>
      </c>
      <c r="I263" s="3">
        <f t="shared" si="30"/>
        <v>21075</v>
      </c>
      <c r="J263" s="3">
        <f t="shared" si="31"/>
        <v>41015.600000000006</v>
      </c>
      <c r="K263" s="5">
        <f t="shared" si="32"/>
        <v>119306.85</v>
      </c>
      <c r="L263" s="5">
        <f t="shared" si="33"/>
        <v>120020</v>
      </c>
      <c r="M263" s="5">
        <f t="shared" si="34"/>
        <v>-713.14999999999418</v>
      </c>
      <c r="N263" s="3"/>
    </row>
    <row r="264" spans="1:14" x14ac:dyDescent="0.25">
      <c r="A264" s="2">
        <v>1200414</v>
      </c>
      <c r="B264" s="3">
        <v>18668.75</v>
      </c>
      <c r="C264" s="3">
        <v>40980</v>
      </c>
      <c r="D264" s="3">
        <v>21287.5</v>
      </c>
      <c r="E264" s="3">
        <v>42031.25</v>
      </c>
      <c r="F264">
        <f t="shared" si="27"/>
        <v>1200414</v>
      </c>
      <c r="G264" s="3">
        <f t="shared" si="28"/>
        <v>18668.75</v>
      </c>
      <c r="H264" s="3">
        <f t="shared" si="29"/>
        <v>40980</v>
      </c>
      <c r="I264" s="3">
        <f t="shared" si="30"/>
        <v>21287.5</v>
      </c>
      <c r="J264" s="3">
        <f t="shared" si="31"/>
        <v>42031.25</v>
      </c>
      <c r="K264" s="5">
        <f t="shared" si="32"/>
        <v>122967.5</v>
      </c>
      <c r="L264" s="5">
        <f t="shared" si="33"/>
        <v>122967.5</v>
      </c>
      <c r="M264" s="5">
        <f t="shared" si="34"/>
        <v>0</v>
      </c>
      <c r="N264" s="3"/>
    </row>
    <row r="265" spans="1:14" x14ac:dyDescent="0.25">
      <c r="A265" s="2">
        <v>1200415</v>
      </c>
      <c r="B265" s="3">
        <v>18268.75</v>
      </c>
      <c r="C265" s="3">
        <v>39910</v>
      </c>
      <c r="D265" s="3">
        <v>21931.25</v>
      </c>
      <c r="E265" s="3">
        <v>40703.1</v>
      </c>
      <c r="F265">
        <f t="shared" si="27"/>
        <v>1200415</v>
      </c>
      <c r="G265" s="3">
        <f t="shared" si="28"/>
        <v>18268.75</v>
      </c>
      <c r="H265" s="3">
        <f t="shared" si="29"/>
        <v>39910</v>
      </c>
      <c r="I265" s="3">
        <f t="shared" si="30"/>
        <v>21931.25</v>
      </c>
      <c r="J265" s="3">
        <f t="shared" si="31"/>
        <v>40703.1</v>
      </c>
      <c r="K265" s="5">
        <f t="shared" si="32"/>
        <v>120813.1</v>
      </c>
      <c r="L265" s="5">
        <f t="shared" si="33"/>
        <v>122967.5</v>
      </c>
      <c r="M265" s="5">
        <f t="shared" si="34"/>
        <v>-2154.3999999999942</v>
      </c>
      <c r="N265" s="3"/>
    </row>
    <row r="266" spans="1:14" x14ac:dyDescent="0.25">
      <c r="A266" s="2">
        <v>1200416</v>
      </c>
      <c r="B266" s="3">
        <v>16062.5</v>
      </c>
      <c r="C266" s="3">
        <v>40480</v>
      </c>
      <c r="D266" s="3">
        <v>21893.75</v>
      </c>
      <c r="E266" s="3">
        <v>44765.600000000006</v>
      </c>
      <c r="F266">
        <f t="shared" si="27"/>
        <v>1200416</v>
      </c>
      <c r="G266" s="3">
        <f t="shared" si="28"/>
        <v>16062.5</v>
      </c>
      <c r="H266" s="3">
        <f t="shared" si="29"/>
        <v>40480</v>
      </c>
      <c r="I266" s="3">
        <f t="shared" si="30"/>
        <v>21893.75</v>
      </c>
      <c r="J266" s="3">
        <f t="shared" si="31"/>
        <v>44765.600000000006</v>
      </c>
      <c r="K266" s="5">
        <f t="shared" si="32"/>
        <v>123201.85</v>
      </c>
      <c r="L266" s="5">
        <f t="shared" si="33"/>
        <v>123201.85</v>
      </c>
      <c r="M266" s="5">
        <f t="shared" si="34"/>
        <v>0</v>
      </c>
      <c r="N266" s="3"/>
    </row>
    <row r="267" spans="1:14" x14ac:dyDescent="0.25">
      <c r="A267" s="2">
        <v>1200417</v>
      </c>
      <c r="B267" s="3">
        <v>15356.25</v>
      </c>
      <c r="C267" s="3">
        <v>36380</v>
      </c>
      <c r="D267" s="3">
        <v>21162.5</v>
      </c>
      <c r="E267" s="3">
        <v>42734.399999999994</v>
      </c>
      <c r="F267">
        <f t="shared" si="27"/>
        <v>1200417</v>
      </c>
      <c r="G267" s="3">
        <f t="shared" si="28"/>
        <v>15356.25</v>
      </c>
      <c r="H267" s="3">
        <f t="shared" si="29"/>
        <v>36380</v>
      </c>
      <c r="I267" s="3">
        <f t="shared" si="30"/>
        <v>21162.5</v>
      </c>
      <c r="J267" s="3">
        <f t="shared" si="31"/>
        <v>42734.399999999994</v>
      </c>
      <c r="K267" s="5">
        <f t="shared" si="32"/>
        <v>115633.15</v>
      </c>
      <c r="L267" s="5">
        <f t="shared" si="33"/>
        <v>123201.85</v>
      </c>
      <c r="M267" s="5">
        <f t="shared" si="34"/>
        <v>-7568.7000000000116</v>
      </c>
      <c r="N267" s="3"/>
    </row>
    <row r="268" spans="1:14" x14ac:dyDescent="0.25">
      <c r="A268" s="2">
        <v>1200419</v>
      </c>
      <c r="B268" s="3">
        <v>15068.75</v>
      </c>
      <c r="C268" s="3">
        <v>36080</v>
      </c>
      <c r="D268" s="3">
        <v>21031.25</v>
      </c>
      <c r="E268" s="3">
        <v>44609.399999999994</v>
      </c>
      <c r="F268">
        <f t="shared" si="27"/>
        <v>1200419</v>
      </c>
      <c r="G268" s="3">
        <f t="shared" si="28"/>
        <v>15068.75</v>
      </c>
      <c r="H268" s="3">
        <f t="shared" si="29"/>
        <v>36080</v>
      </c>
      <c r="I268" s="3">
        <f t="shared" si="30"/>
        <v>21031.25</v>
      </c>
      <c r="J268" s="3">
        <f t="shared" si="31"/>
        <v>44609.399999999994</v>
      </c>
      <c r="K268" s="5">
        <f t="shared" si="32"/>
        <v>116789.4</v>
      </c>
      <c r="L268" s="5">
        <f t="shared" si="33"/>
        <v>116789.4</v>
      </c>
      <c r="M268" s="5">
        <f t="shared" si="34"/>
        <v>0</v>
      </c>
      <c r="N268" s="3"/>
    </row>
    <row r="269" spans="1:14" x14ac:dyDescent="0.25">
      <c r="A269" s="2">
        <v>1200420</v>
      </c>
      <c r="B269" s="3">
        <v>14612.5</v>
      </c>
      <c r="C269" s="3">
        <v>35220</v>
      </c>
      <c r="D269" s="3">
        <v>20818.75</v>
      </c>
      <c r="E269" s="3">
        <v>44687.5</v>
      </c>
      <c r="F269">
        <f t="shared" si="27"/>
        <v>1200420</v>
      </c>
      <c r="G269" s="3">
        <f t="shared" si="28"/>
        <v>14612.5</v>
      </c>
      <c r="H269" s="3">
        <f t="shared" si="29"/>
        <v>35220</v>
      </c>
      <c r="I269" s="3">
        <f t="shared" si="30"/>
        <v>20818.75</v>
      </c>
      <c r="J269" s="3">
        <f t="shared" si="31"/>
        <v>44687.5</v>
      </c>
      <c r="K269" s="5">
        <f t="shared" si="32"/>
        <v>115338.75</v>
      </c>
      <c r="L269" s="5">
        <f t="shared" si="33"/>
        <v>116789.4</v>
      </c>
      <c r="M269" s="5">
        <f t="shared" si="34"/>
        <v>-1450.6499999999942</v>
      </c>
      <c r="N269" s="3"/>
    </row>
    <row r="270" spans="1:14" x14ac:dyDescent="0.25">
      <c r="A270" s="2">
        <v>1200421</v>
      </c>
      <c r="B270" s="3">
        <v>14881.25</v>
      </c>
      <c r="C270" s="3">
        <v>35490</v>
      </c>
      <c r="D270" s="3">
        <v>21143.75</v>
      </c>
      <c r="E270" s="3">
        <v>45703.100000000006</v>
      </c>
      <c r="F270">
        <f t="shared" si="27"/>
        <v>1200421</v>
      </c>
      <c r="G270" s="3">
        <f t="shared" si="28"/>
        <v>14881.25</v>
      </c>
      <c r="H270" s="3">
        <f t="shared" si="29"/>
        <v>35490</v>
      </c>
      <c r="I270" s="3">
        <f t="shared" si="30"/>
        <v>21143.75</v>
      </c>
      <c r="J270" s="3">
        <f t="shared" si="31"/>
        <v>45703.100000000006</v>
      </c>
      <c r="K270" s="5">
        <f t="shared" si="32"/>
        <v>117218.1</v>
      </c>
      <c r="L270" s="5">
        <f t="shared" si="33"/>
        <v>117218.1</v>
      </c>
      <c r="M270" s="5">
        <f t="shared" si="34"/>
        <v>0</v>
      </c>
      <c r="N270" s="3"/>
    </row>
    <row r="271" spans="1:14" x14ac:dyDescent="0.25">
      <c r="A271" s="2">
        <v>1200422</v>
      </c>
      <c r="B271" s="3">
        <v>15262.5</v>
      </c>
      <c r="C271" s="3">
        <v>35160</v>
      </c>
      <c r="D271" s="3">
        <v>21287.5</v>
      </c>
      <c r="E271" s="3">
        <v>46875</v>
      </c>
      <c r="F271">
        <f t="shared" si="27"/>
        <v>1200422</v>
      </c>
      <c r="G271" s="3">
        <f t="shared" si="28"/>
        <v>15262.5</v>
      </c>
      <c r="H271" s="3">
        <f t="shared" si="29"/>
        <v>35160</v>
      </c>
      <c r="I271" s="3">
        <f t="shared" si="30"/>
        <v>21287.5</v>
      </c>
      <c r="J271" s="3">
        <f t="shared" si="31"/>
        <v>46875</v>
      </c>
      <c r="K271" s="5">
        <f t="shared" si="32"/>
        <v>118585</v>
      </c>
      <c r="L271" s="5">
        <f t="shared" si="33"/>
        <v>118585</v>
      </c>
      <c r="M271" s="5">
        <f t="shared" si="34"/>
        <v>0</v>
      </c>
      <c r="N271" s="3"/>
    </row>
    <row r="272" spans="1:14" x14ac:dyDescent="0.25">
      <c r="A272" s="2">
        <v>1200423</v>
      </c>
      <c r="B272" s="3">
        <v>13862.5</v>
      </c>
      <c r="C272" s="3">
        <v>33700</v>
      </c>
      <c r="D272" s="3">
        <v>21481.25</v>
      </c>
      <c r="E272" s="3">
        <v>46875</v>
      </c>
      <c r="F272">
        <f t="shared" si="27"/>
        <v>1200423</v>
      </c>
      <c r="G272" s="3">
        <f t="shared" si="28"/>
        <v>13862.5</v>
      </c>
      <c r="H272" s="3">
        <f t="shared" si="29"/>
        <v>33700</v>
      </c>
      <c r="I272" s="3">
        <f t="shared" si="30"/>
        <v>21481.25</v>
      </c>
      <c r="J272" s="3">
        <f t="shared" si="31"/>
        <v>46875</v>
      </c>
      <c r="K272" s="5">
        <f t="shared" si="32"/>
        <v>115918.75</v>
      </c>
      <c r="L272" s="5">
        <f t="shared" si="33"/>
        <v>118585</v>
      </c>
      <c r="M272" s="5">
        <f t="shared" si="34"/>
        <v>-2666.25</v>
      </c>
      <c r="N272" s="3"/>
    </row>
    <row r="273" spans="1:14" x14ac:dyDescent="0.25">
      <c r="A273" s="2">
        <v>1200424</v>
      </c>
      <c r="B273" s="3">
        <v>14443.75</v>
      </c>
      <c r="C273" s="3">
        <v>34880</v>
      </c>
      <c r="D273" s="3">
        <v>20456.25</v>
      </c>
      <c r="E273" s="3">
        <v>46875</v>
      </c>
      <c r="F273">
        <f t="shared" si="27"/>
        <v>1200424</v>
      </c>
      <c r="G273" s="3">
        <f t="shared" si="28"/>
        <v>14443.75</v>
      </c>
      <c r="H273" s="3">
        <f t="shared" si="29"/>
        <v>34880</v>
      </c>
      <c r="I273" s="3">
        <f t="shared" si="30"/>
        <v>20456.25</v>
      </c>
      <c r="J273" s="3">
        <f t="shared" si="31"/>
        <v>46875</v>
      </c>
      <c r="K273" s="5">
        <f t="shared" si="32"/>
        <v>116655</v>
      </c>
      <c r="L273" s="5">
        <f t="shared" si="33"/>
        <v>116655</v>
      </c>
      <c r="M273" s="5">
        <f t="shared" si="34"/>
        <v>0</v>
      </c>
      <c r="N273" s="3"/>
    </row>
    <row r="274" spans="1:14" x14ac:dyDescent="0.25">
      <c r="A274" s="2">
        <v>1200426</v>
      </c>
      <c r="B274" s="3">
        <v>14531.25</v>
      </c>
      <c r="C274" s="3">
        <v>35540</v>
      </c>
      <c r="D274" s="3">
        <v>20650</v>
      </c>
      <c r="E274" s="3">
        <v>47265.600000000006</v>
      </c>
      <c r="F274">
        <f t="shared" si="27"/>
        <v>1200426</v>
      </c>
      <c r="G274" s="3">
        <f t="shared" si="28"/>
        <v>14531.25</v>
      </c>
      <c r="H274" s="3">
        <f t="shared" si="29"/>
        <v>35540</v>
      </c>
      <c r="I274" s="3">
        <f t="shared" si="30"/>
        <v>20650</v>
      </c>
      <c r="J274" s="3">
        <f t="shared" si="31"/>
        <v>47265.600000000006</v>
      </c>
      <c r="K274" s="5">
        <f t="shared" si="32"/>
        <v>117986.85</v>
      </c>
      <c r="L274" s="5">
        <f t="shared" si="33"/>
        <v>117986.85</v>
      </c>
      <c r="M274" s="5">
        <f t="shared" si="34"/>
        <v>0</v>
      </c>
      <c r="N274" s="3"/>
    </row>
    <row r="275" spans="1:14" x14ac:dyDescent="0.25">
      <c r="A275" s="2">
        <v>1200427</v>
      </c>
      <c r="B275" s="3">
        <v>15612.5</v>
      </c>
      <c r="C275" s="3">
        <v>35540</v>
      </c>
      <c r="D275" s="3">
        <v>20843.75</v>
      </c>
      <c r="E275" s="3">
        <v>48281.25</v>
      </c>
      <c r="F275">
        <f t="shared" si="27"/>
        <v>1200427</v>
      </c>
      <c r="G275" s="3">
        <f t="shared" si="28"/>
        <v>15612.5</v>
      </c>
      <c r="H275" s="3">
        <f t="shared" si="29"/>
        <v>35540</v>
      </c>
      <c r="I275" s="3">
        <f t="shared" si="30"/>
        <v>20843.75</v>
      </c>
      <c r="J275" s="3">
        <f t="shared" si="31"/>
        <v>48281.25</v>
      </c>
      <c r="K275" s="5">
        <f t="shared" si="32"/>
        <v>120277.5</v>
      </c>
      <c r="L275" s="5">
        <f t="shared" si="33"/>
        <v>120277.5</v>
      </c>
      <c r="M275" s="5">
        <f t="shared" si="34"/>
        <v>0</v>
      </c>
      <c r="N275" s="3"/>
    </row>
    <row r="276" spans="1:14" x14ac:dyDescent="0.25">
      <c r="A276" s="2">
        <v>1200428</v>
      </c>
      <c r="B276" s="3">
        <v>15943.75</v>
      </c>
      <c r="C276" s="3">
        <v>37120</v>
      </c>
      <c r="D276" s="3">
        <v>20862.5</v>
      </c>
      <c r="E276" s="3">
        <v>49062.5</v>
      </c>
      <c r="F276">
        <f t="shared" si="27"/>
        <v>1200428</v>
      </c>
      <c r="G276" s="3">
        <f t="shared" si="28"/>
        <v>15943.75</v>
      </c>
      <c r="H276" s="3">
        <f t="shared" si="29"/>
        <v>37120</v>
      </c>
      <c r="I276" s="3">
        <f t="shared" si="30"/>
        <v>20862.5</v>
      </c>
      <c r="J276" s="3">
        <f t="shared" si="31"/>
        <v>49062.5</v>
      </c>
      <c r="K276" s="5">
        <f t="shared" si="32"/>
        <v>122988.75</v>
      </c>
      <c r="L276" s="5">
        <f t="shared" si="33"/>
        <v>122988.75</v>
      </c>
      <c r="M276" s="5">
        <f t="shared" si="34"/>
        <v>0</v>
      </c>
      <c r="N276" s="3"/>
    </row>
    <row r="277" spans="1:14" x14ac:dyDescent="0.25">
      <c r="A277" s="2">
        <v>1200429</v>
      </c>
      <c r="B277" s="3">
        <v>15943.75</v>
      </c>
      <c r="C277" s="3">
        <v>37290</v>
      </c>
      <c r="D277" s="3">
        <v>20175</v>
      </c>
      <c r="E277" s="3">
        <v>50000</v>
      </c>
      <c r="F277">
        <f t="shared" si="27"/>
        <v>1200429</v>
      </c>
      <c r="G277" s="3">
        <f t="shared" si="28"/>
        <v>15943.75</v>
      </c>
      <c r="H277" s="3">
        <f t="shared" si="29"/>
        <v>37290</v>
      </c>
      <c r="I277" s="3">
        <f t="shared" si="30"/>
        <v>20175</v>
      </c>
      <c r="J277" s="3">
        <f t="shared" si="31"/>
        <v>50000</v>
      </c>
      <c r="K277" s="5">
        <f t="shared" si="32"/>
        <v>123408.75</v>
      </c>
      <c r="L277" s="5">
        <f t="shared" si="33"/>
        <v>123408.75</v>
      </c>
      <c r="M277" s="5">
        <f t="shared" si="34"/>
        <v>0</v>
      </c>
      <c r="N277" s="3"/>
    </row>
    <row r="278" spans="1:14" x14ac:dyDescent="0.25">
      <c r="A278" s="2">
        <v>1200430</v>
      </c>
      <c r="B278" s="3">
        <v>16800</v>
      </c>
      <c r="C278" s="3">
        <v>34780</v>
      </c>
      <c r="D278" s="3">
        <v>20100</v>
      </c>
      <c r="E278" s="3">
        <v>50625</v>
      </c>
      <c r="F278">
        <f t="shared" si="27"/>
        <v>1200430</v>
      </c>
      <c r="G278" s="3">
        <f t="shared" si="28"/>
        <v>16800</v>
      </c>
      <c r="H278" s="3">
        <f t="shared" si="29"/>
        <v>34780</v>
      </c>
      <c r="I278" s="3">
        <f t="shared" si="30"/>
        <v>20100</v>
      </c>
      <c r="J278" s="3">
        <f t="shared" si="31"/>
        <v>50625</v>
      </c>
      <c r="K278" s="5">
        <f t="shared" si="32"/>
        <v>122305</v>
      </c>
      <c r="L278" s="5">
        <f t="shared" si="33"/>
        <v>123408.75</v>
      </c>
      <c r="M278" s="5">
        <f t="shared" si="34"/>
        <v>-1103.75</v>
      </c>
      <c r="N278" s="3"/>
    </row>
    <row r="279" spans="1:14" x14ac:dyDescent="0.25">
      <c r="A279" s="2">
        <v>1200501</v>
      </c>
      <c r="B279" s="3">
        <v>15837.5</v>
      </c>
      <c r="C279" s="3">
        <v>37800</v>
      </c>
      <c r="D279" s="3">
        <v>20331.25</v>
      </c>
      <c r="E279" s="3">
        <v>50546.899999999994</v>
      </c>
      <c r="F279">
        <f t="shared" si="27"/>
        <v>1200501</v>
      </c>
      <c r="G279" s="3">
        <f t="shared" si="28"/>
        <v>15837.5</v>
      </c>
      <c r="H279" s="3">
        <f t="shared" si="29"/>
        <v>37800</v>
      </c>
      <c r="I279" s="3">
        <f t="shared" si="30"/>
        <v>20331.25</v>
      </c>
      <c r="J279" s="3">
        <f t="shared" si="31"/>
        <v>50546.899999999994</v>
      </c>
      <c r="K279" s="5">
        <f t="shared" si="32"/>
        <v>124515.65</v>
      </c>
      <c r="L279" s="5">
        <f t="shared" si="33"/>
        <v>124515.65</v>
      </c>
      <c r="M279" s="5">
        <f t="shared" si="34"/>
        <v>0</v>
      </c>
      <c r="N279" s="3"/>
    </row>
    <row r="280" spans="1:14" x14ac:dyDescent="0.25">
      <c r="A280" s="2">
        <v>1200503</v>
      </c>
      <c r="B280" s="3">
        <v>17925</v>
      </c>
      <c r="C280" s="3">
        <v>37630</v>
      </c>
      <c r="D280" s="3">
        <v>19818.75</v>
      </c>
      <c r="E280" s="3">
        <v>49140.600000000006</v>
      </c>
      <c r="F280">
        <f t="shared" si="27"/>
        <v>1200503</v>
      </c>
      <c r="G280" s="3">
        <f t="shared" si="28"/>
        <v>17925</v>
      </c>
      <c r="H280" s="3">
        <f t="shared" si="29"/>
        <v>37630</v>
      </c>
      <c r="I280" s="3">
        <f t="shared" si="30"/>
        <v>19818.75</v>
      </c>
      <c r="J280" s="3">
        <f t="shared" si="31"/>
        <v>49140.600000000006</v>
      </c>
      <c r="K280" s="5">
        <f t="shared" si="32"/>
        <v>124514.35</v>
      </c>
      <c r="L280" s="5">
        <f t="shared" si="33"/>
        <v>124515.65</v>
      </c>
      <c r="M280" s="5">
        <f t="shared" si="34"/>
        <v>-1.2999999999883585</v>
      </c>
      <c r="N280" s="3"/>
    </row>
    <row r="281" spans="1:14" x14ac:dyDescent="0.25">
      <c r="A281" s="2">
        <v>1200504</v>
      </c>
      <c r="B281" s="3">
        <v>17487.5</v>
      </c>
      <c r="C281" s="3">
        <v>37630</v>
      </c>
      <c r="D281" s="3">
        <v>19950</v>
      </c>
      <c r="E281" s="3">
        <v>49062.5</v>
      </c>
      <c r="F281">
        <f t="shared" ref="F281:F344" si="35">+A281</f>
        <v>1200504</v>
      </c>
      <c r="G281" s="3">
        <f t="shared" si="28"/>
        <v>17487.5</v>
      </c>
      <c r="H281" s="3">
        <f t="shared" si="29"/>
        <v>37630</v>
      </c>
      <c r="I281" s="3">
        <f t="shared" si="30"/>
        <v>19950</v>
      </c>
      <c r="J281" s="3">
        <f t="shared" si="31"/>
        <v>49062.5</v>
      </c>
      <c r="K281" s="5">
        <f t="shared" si="32"/>
        <v>124130</v>
      </c>
      <c r="L281" s="5">
        <f t="shared" si="33"/>
        <v>124514.35</v>
      </c>
      <c r="M281" s="5">
        <f t="shared" si="34"/>
        <v>-384.35000000000582</v>
      </c>
      <c r="N281" s="3"/>
    </row>
    <row r="282" spans="1:14" x14ac:dyDescent="0.25">
      <c r="A282" s="2">
        <v>1200505</v>
      </c>
      <c r="B282" s="3">
        <v>17962.5</v>
      </c>
      <c r="C282" s="3">
        <v>36220</v>
      </c>
      <c r="D282" s="3">
        <v>19731.25</v>
      </c>
      <c r="E282" s="3">
        <v>50546.899999999994</v>
      </c>
      <c r="F282">
        <f t="shared" si="35"/>
        <v>1200505</v>
      </c>
      <c r="G282" s="3">
        <f t="shared" ref="G282:G345" si="36">+IF(B282&lt;&gt;0,B282,B281)</f>
        <v>17962.5</v>
      </c>
      <c r="H282" s="3">
        <f t="shared" ref="H282:H345" si="37">+IF(C282&lt;&gt;0,C282,C281)</f>
        <v>36220</v>
      </c>
      <c r="I282" s="3">
        <f t="shared" ref="I282:I345" si="38">+IF(D282&lt;&gt;0,D282,D281)</f>
        <v>19731.25</v>
      </c>
      <c r="J282" s="3">
        <f t="shared" ref="J282:J345" si="39">+IF(E282&lt;&gt;0,E282,E281)</f>
        <v>50546.899999999994</v>
      </c>
      <c r="K282" s="5">
        <f t="shared" ref="K282:K345" si="40">+SUM(G282:J282)</f>
        <v>124460.65</v>
      </c>
      <c r="L282" s="5">
        <f t="shared" si="33"/>
        <v>124460.65</v>
      </c>
      <c r="M282" s="5">
        <f t="shared" si="34"/>
        <v>0</v>
      </c>
      <c r="N282" s="3"/>
    </row>
    <row r="283" spans="1:14" x14ac:dyDescent="0.25">
      <c r="A283" s="2">
        <v>1200506</v>
      </c>
      <c r="B283" s="3">
        <v>18212.5</v>
      </c>
      <c r="C283" s="3">
        <v>36000</v>
      </c>
      <c r="D283" s="3">
        <v>20031.25</v>
      </c>
      <c r="E283" s="3">
        <v>51171.899999999994</v>
      </c>
      <c r="F283">
        <f t="shared" si="35"/>
        <v>1200506</v>
      </c>
      <c r="G283" s="3">
        <f t="shared" si="36"/>
        <v>18212.5</v>
      </c>
      <c r="H283" s="3">
        <f t="shared" si="37"/>
        <v>36000</v>
      </c>
      <c r="I283" s="3">
        <f t="shared" si="38"/>
        <v>20031.25</v>
      </c>
      <c r="J283" s="3">
        <f t="shared" si="39"/>
        <v>51171.899999999994</v>
      </c>
      <c r="K283" s="5">
        <f t="shared" si="40"/>
        <v>125415.65</v>
      </c>
      <c r="L283" s="5">
        <f t="shared" ref="L283:L346" si="41">+IF(K283&gt;K282,K283,K282)</f>
        <v>125415.65</v>
      </c>
      <c r="M283" s="5">
        <f t="shared" ref="M283:M346" si="42">+K283-L283</f>
        <v>0</v>
      </c>
      <c r="N283" s="3"/>
    </row>
    <row r="284" spans="1:14" x14ac:dyDescent="0.25">
      <c r="A284" s="2">
        <v>1200507</v>
      </c>
      <c r="B284" s="3">
        <v>17781.25</v>
      </c>
      <c r="C284" s="3">
        <v>37290</v>
      </c>
      <c r="D284" s="3">
        <v>20156.25</v>
      </c>
      <c r="E284" s="3">
        <v>51406.25</v>
      </c>
      <c r="F284">
        <f t="shared" si="35"/>
        <v>1200507</v>
      </c>
      <c r="G284" s="3">
        <f t="shared" si="36"/>
        <v>17781.25</v>
      </c>
      <c r="H284" s="3">
        <f t="shared" si="37"/>
        <v>37290</v>
      </c>
      <c r="I284" s="3">
        <f t="shared" si="38"/>
        <v>20156.25</v>
      </c>
      <c r="J284" s="3">
        <f t="shared" si="39"/>
        <v>51406.25</v>
      </c>
      <c r="K284" s="5">
        <f t="shared" si="40"/>
        <v>126633.75</v>
      </c>
      <c r="L284" s="5">
        <f t="shared" si="41"/>
        <v>126633.75</v>
      </c>
      <c r="M284" s="5">
        <f t="shared" si="42"/>
        <v>0</v>
      </c>
      <c r="N284" s="3"/>
    </row>
    <row r="285" spans="1:14" x14ac:dyDescent="0.25">
      <c r="A285" s="2">
        <v>1200508</v>
      </c>
      <c r="B285" s="3">
        <v>17587.5</v>
      </c>
      <c r="C285" s="3">
        <v>40050</v>
      </c>
      <c r="D285" s="3">
        <v>19543.75</v>
      </c>
      <c r="E285" s="3">
        <v>53203.100000000006</v>
      </c>
      <c r="F285">
        <f t="shared" si="35"/>
        <v>1200508</v>
      </c>
      <c r="G285" s="3">
        <f t="shared" si="36"/>
        <v>17587.5</v>
      </c>
      <c r="H285" s="3">
        <f t="shared" si="37"/>
        <v>40050</v>
      </c>
      <c r="I285" s="3">
        <f t="shared" si="38"/>
        <v>19543.75</v>
      </c>
      <c r="J285" s="3">
        <f t="shared" si="39"/>
        <v>53203.100000000006</v>
      </c>
      <c r="K285" s="5">
        <f t="shared" si="40"/>
        <v>130384.35</v>
      </c>
      <c r="L285" s="5">
        <f t="shared" si="41"/>
        <v>130384.35</v>
      </c>
      <c r="M285" s="5">
        <f t="shared" si="42"/>
        <v>0</v>
      </c>
      <c r="N285" s="3"/>
    </row>
    <row r="286" spans="1:14" x14ac:dyDescent="0.25">
      <c r="A286" s="2">
        <v>1200510</v>
      </c>
      <c r="B286" s="3">
        <v>17675</v>
      </c>
      <c r="C286" s="3">
        <v>41920</v>
      </c>
      <c r="D286" s="3">
        <v>19768.75</v>
      </c>
      <c r="E286" s="3">
        <v>54218.75</v>
      </c>
      <c r="F286">
        <f t="shared" si="35"/>
        <v>1200510</v>
      </c>
      <c r="G286" s="3">
        <f t="shared" si="36"/>
        <v>17675</v>
      </c>
      <c r="H286" s="3">
        <f t="shared" si="37"/>
        <v>41920</v>
      </c>
      <c r="I286" s="3">
        <f t="shared" si="38"/>
        <v>19768.75</v>
      </c>
      <c r="J286" s="3">
        <f t="shared" si="39"/>
        <v>54218.75</v>
      </c>
      <c r="K286" s="5">
        <f t="shared" si="40"/>
        <v>133582.5</v>
      </c>
      <c r="L286" s="5">
        <f t="shared" si="41"/>
        <v>133582.5</v>
      </c>
      <c r="M286" s="5">
        <f t="shared" si="42"/>
        <v>0</v>
      </c>
      <c r="N286" s="3"/>
    </row>
    <row r="287" spans="1:14" x14ac:dyDescent="0.25">
      <c r="A287" s="2">
        <v>1200511</v>
      </c>
      <c r="B287" s="3">
        <v>17675</v>
      </c>
      <c r="C287" s="3">
        <v>41820</v>
      </c>
      <c r="D287" s="3">
        <v>19843.75</v>
      </c>
      <c r="E287" s="3">
        <v>54296.899999999994</v>
      </c>
      <c r="F287">
        <f t="shared" si="35"/>
        <v>1200511</v>
      </c>
      <c r="G287" s="3">
        <f t="shared" si="36"/>
        <v>17675</v>
      </c>
      <c r="H287" s="3">
        <f t="shared" si="37"/>
        <v>41820</v>
      </c>
      <c r="I287" s="3">
        <f t="shared" si="38"/>
        <v>19843.75</v>
      </c>
      <c r="J287" s="3">
        <f t="shared" si="39"/>
        <v>54296.899999999994</v>
      </c>
      <c r="K287" s="5">
        <f t="shared" si="40"/>
        <v>133635.65</v>
      </c>
      <c r="L287" s="5">
        <f t="shared" si="41"/>
        <v>133635.65</v>
      </c>
      <c r="M287" s="5">
        <f t="shared" si="42"/>
        <v>0</v>
      </c>
      <c r="N287" s="3"/>
    </row>
    <row r="288" spans="1:14" x14ac:dyDescent="0.25">
      <c r="A288" s="2">
        <v>1200512</v>
      </c>
      <c r="B288" s="3">
        <v>17675</v>
      </c>
      <c r="C288" s="3">
        <v>42090</v>
      </c>
      <c r="D288" s="3">
        <v>20350</v>
      </c>
      <c r="E288" s="3">
        <v>53281.25</v>
      </c>
      <c r="F288">
        <f t="shared" si="35"/>
        <v>1200512</v>
      </c>
      <c r="G288" s="3">
        <f t="shared" si="36"/>
        <v>17675</v>
      </c>
      <c r="H288" s="3">
        <f t="shared" si="37"/>
        <v>42090</v>
      </c>
      <c r="I288" s="3">
        <f t="shared" si="38"/>
        <v>20350</v>
      </c>
      <c r="J288" s="3">
        <f t="shared" si="39"/>
        <v>53281.25</v>
      </c>
      <c r="K288" s="5">
        <f t="shared" si="40"/>
        <v>133396.25</v>
      </c>
      <c r="L288" s="5">
        <f t="shared" si="41"/>
        <v>133635.65</v>
      </c>
      <c r="M288" s="5">
        <f t="shared" si="42"/>
        <v>-239.39999999999418</v>
      </c>
      <c r="N288" s="3"/>
    </row>
    <row r="289" spans="1:14" x14ac:dyDescent="0.25">
      <c r="A289" s="2">
        <v>1200513</v>
      </c>
      <c r="B289" s="3">
        <v>17675</v>
      </c>
      <c r="C289" s="3">
        <v>41850</v>
      </c>
      <c r="D289" s="3">
        <v>20618.75</v>
      </c>
      <c r="E289" s="3">
        <v>49609.399999999994</v>
      </c>
      <c r="F289">
        <f t="shared" si="35"/>
        <v>1200513</v>
      </c>
      <c r="G289" s="3">
        <f t="shared" si="36"/>
        <v>17675</v>
      </c>
      <c r="H289" s="3">
        <f t="shared" si="37"/>
        <v>41850</v>
      </c>
      <c r="I289" s="3">
        <f t="shared" si="38"/>
        <v>20618.75</v>
      </c>
      <c r="J289" s="3">
        <f t="shared" si="39"/>
        <v>49609.399999999994</v>
      </c>
      <c r="K289" s="5">
        <f t="shared" si="40"/>
        <v>129753.15</v>
      </c>
      <c r="L289" s="5">
        <f t="shared" si="41"/>
        <v>133396.25</v>
      </c>
      <c r="M289" s="5">
        <f t="shared" si="42"/>
        <v>-3643.1000000000058</v>
      </c>
      <c r="N289" s="3"/>
    </row>
    <row r="290" spans="1:14" x14ac:dyDescent="0.25">
      <c r="A290" s="2">
        <v>1200514</v>
      </c>
      <c r="B290" s="3">
        <v>18337.5</v>
      </c>
      <c r="C290" s="3">
        <v>42150</v>
      </c>
      <c r="D290" s="3">
        <v>20912.5</v>
      </c>
      <c r="E290" s="3">
        <v>47500</v>
      </c>
      <c r="F290">
        <f t="shared" si="35"/>
        <v>1200514</v>
      </c>
      <c r="G290" s="3">
        <f t="shared" si="36"/>
        <v>18337.5</v>
      </c>
      <c r="H290" s="3">
        <f t="shared" si="37"/>
        <v>42150</v>
      </c>
      <c r="I290" s="3">
        <f t="shared" si="38"/>
        <v>20912.5</v>
      </c>
      <c r="J290" s="3">
        <f t="shared" si="39"/>
        <v>47500</v>
      </c>
      <c r="K290" s="5">
        <f t="shared" si="40"/>
        <v>128900</v>
      </c>
      <c r="L290" s="5">
        <f t="shared" si="41"/>
        <v>129753.15</v>
      </c>
      <c r="M290" s="5">
        <f t="shared" si="42"/>
        <v>-853.14999999999418</v>
      </c>
      <c r="N290" s="3"/>
    </row>
    <row r="291" spans="1:14" x14ac:dyDescent="0.25">
      <c r="A291" s="2">
        <v>1200515</v>
      </c>
      <c r="B291" s="3">
        <v>18756.25</v>
      </c>
      <c r="C291" s="3">
        <v>39590</v>
      </c>
      <c r="D291" s="3">
        <v>20881.25</v>
      </c>
      <c r="E291" s="3">
        <v>47890.600000000006</v>
      </c>
      <c r="F291">
        <f t="shared" si="35"/>
        <v>1200515</v>
      </c>
      <c r="G291" s="3">
        <f t="shared" si="36"/>
        <v>18756.25</v>
      </c>
      <c r="H291" s="3">
        <f t="shared" si="37"/>
        <v>39590</v>
      </c>
      <c r="I291" s="3">
        <f t="shared" si="38"/>
        <v>20881.25</v>
      </c>
      <c r="J291" s="3">
        <f t="shared" si="39"/>
        <v>47890.600000000006</v>
      </c>
      <c r="K291" s="5">
        <f t="shared" si="40"/>
        <v>127118.1</v>
      </c>
      <c r="L291" s="5">
        <f t="shared" si="41"/>
        <v>128900</v>
      </c>
      <c r="M291" s="5">
        <f t="shared" si="42"/>
        <v>-1781.8999999999942</v>
      </c>
      <c r="N291" s="3"/>
    </row>
    <row r="292" spans="1:14" x14ac:dyDescent="0.25">
      <c r="A292" s="2">
        <v>1200517</v>
      </c>
      <c r="B292" s="3">
        <v>18650</v>
      </c>
      <c r="C292" s="3">
        <v>39820</v>
      </c>
      <c r="D292" s="3">
        <v>20406.25</v>
      </c>
      <c r="E292" s="3">
        <v>47656.25</v>
      </c>
      <c r="F292">
        <f t="shared" si="35"/>
        <v>1200517</v>
      </c>
      <c r="G292" s="3">
        <f t="shared" si="36"/>
        <v>18650</v>
      </c>
      <c r="H292" s="3">
        <f t="shared" si="37"/>
        <v>39820</v>
      </c>
      <c r="I292" s="3">
        <f t="shared" si="38"/>
        <v>20406.25</v>
      </c>
      <c r="J292" s="3">
        <f t="shared" si="39"/>
        <v>47656.25</v>
      </c>
      <c r="K292" s="5">
        <f t="shared" si="40"/>
        <v>126532.5</v>
      </c>
      <c r="L292" s="5">
        <f t="shared" si="41"/>
        <v>127118.1</v>
      </c>
      <c r="M292" s="5">
        <f t="shared" si="42"/>
        <v>-585.60000000000582</v>
      </c>
      <c r="N292" s="3"/>
    </row>
    <row r="293" spans="1:14" x14ac:dyDescent="0.25">
      <c r="A293" s="2">
        <v>1200518</v>
      </c>
      <c r="B293" s="3">
        <v>18650</v>
      </c>
      <c r="C293" s="3">
        <v>41180</v>
      </c>
      <c r="D293" s="3">
        <v>20256.25</v>
      </c>
      <c r="E293" s="3">
        <v>47500</v>
      </c>
      <c r="F293">
        <f t="shared" si="35"/>
        <v>1200518</v>
      </c>
      <c r="G293" s="3">
        <f t="shared" si="36"/>
        <v>18650</v>
      </c>
      <c r="H293" s="3">
        <f t="shared" si="37"/>
        <v>41180</v>
      </c>
      <c r="I293" s="3">
        <f t="shared" si="38"/>
        <v>20256.25</v>
      </c>
      <c r="J293" s="3">
        <f t="shared" si="39"/>
        <v>47500</v>
      </c>
      <c r="K293" s="5">
        <f t="shared" si="40"/>
        <v>127586.25</v>
      </c>
      <c r="L293" s="5">
        <f t="shared" si="41"/>
        <v>127586.25</v>
      </c>
      <c r="M293" s="5">
        <f t="shared" si="42"/>
        <v>0</v>
      </c>
      <c r="N293" s="3"/>
    </row>
    <row r="294" spans="1:14" x14ac:dyDescent="0.25">
      <c r="A294" s="2">
        <v>1200519</v>
      </c>
      <c r="B294" s="3">
        <v>18937.5</v>
      </c>
      <c r="C294" s="3">
        <v>43410</v>
      </c>
      <c r="D294" s="3">
        <v>20600</v>
      </c>
      <c r="E294" s="3">
        <v>50078.100000000006</v>
      </c>
      <c r="F294">
        <f t="shared" si="35"/>
        <v>1200519</v>
      </c>
      <c r="G294" s="3">
        <f t="shared" si="36"/>
        <v>18937.5</v>
      </c>
      <c r="H294" s="3">
        <f t="shared" si="37"/>
        <v>43410</v>
      </c>
      <c r="I294" s="3">
        <f t="shared" si="38"/>
        <v>20600</v>
      </c>
      <c r="J294" s="3">
        <f t="shared" si="39"/>
        <v>50078.100000000006</v>
      </c>
      <c r="K294" s="5">
        <f t="shared" si="40"/>
        <v>133025.60000000001</v>
      </c>
      <c r="L294" s="5">
        <f t="shared" si="41"/>
        <v>133025.60000000001</v>
      </c>
      <c r="M294" s="5">
        <f t="shared" si="42"/>
        <v>0</v>
      </c>
      <c r="N294" s="3"/>
    </row>
    <row r="295" spans="1:14" x14ac:dyDescent="0.25">
      <c r="A295" s="2">
        <v>1200520</v>
      </c>
      <c r="B295" s="3">
        <v>18962.5</v>
      </c>
      <c r="C295" s="3">
        <v>43150</v>
      </c>
      <c r="D295" s="3">
        <v>20937.5</v>
      </c>
      <c r="E295" s="3">
        <v>50000</v>
      </c>
      <c r="F295">
        <f t="shared" si="35"/>
        <v>1200520</v>
      </c>
      <c r="G295" s="3">
        <f t="shared" si="36"/>
        <v>18962.5</v>
      </c>
      <c r="H295" s="3">
        <f t="shared" si="37"/>
        <v>43150</v>
      </c>
      <c r="I295" s="3">
        <f t="shared" si="38"/>
        <v>20937.5</v>
      </c>
      <c r="J295" s="3">
        <f t="shared" si="39"/>
        <v>50000</v>
      </c>
      <c r="K295" s="5">
        <f t="shared" si="40"/>
        <v>133050</v>
      </c>
      <c r="L295" s="5">
        <f t="shared" si="41"/>
        <v>133050</v>
      </c>
      <c r="M295" s="5">
        <f t="shared" si="42"/>
        <v>0</v>
      </c>
      <c r="N295" s="3"/>
    </row>
    <row r="296" spans="1:14" x14ac:dyDescent="0.25">
      <c r="A296" s="2">
        <v>1200521</v>
      </c>
      <c r="B296" s="3">
        <v>18725</v>
      </c>
      <c r="C296" s="3">
        <v>42500</v>
      </c>
      <c r="D296" s="3">
        <v>20718.75</v>
      </c>
      <c r="E296" s="3">
        <v>48125</v>
      </c>
      <c r="F296">
        <f t="shared" si="35"/>
        <v>1200521</v>
      </c>
      <c r="G296" s="3">
        <f t="shared" si="36"/>
        <v>18725</v>
      </c>
      <c r="H296" s="3">
        <f t="shared" si="37"/>
        <v>42500</v>
      </c>
      <c r="I296" s="3">
        <f t="shared" si="38"/>
        <v>20718.75</v>
      </c>
      <c r="J296" s="3">
        <f t="shared" si="39"/>
        <v>48125</v>
      </c>
      <c r="K296" s="5">
        <f t="shared" si="40"/>
        <v>130068.75</v>
      </c>
      <c r="L296" s="5">
        <f t="shared" si="41"/>
        <v>133050</v>
      </c>
      <c r="M296" s="5">
        <f t="shared" si="42"/>
        <v>-2981.25</v>
      </c>
      <c r="N296" s="3"/>
    </row>
    <row r="297" spans="1:14" x14ac:dyDescent="0.25">
      <c r="A297" s="2">
        <v>1200522</v>
      </c>
      <c r="B297" s="3">
        <v>18975</v>
      </c>
      <c r="C297" s="3">
        <v>43240</v>
      </c>
      <c r="D297" s="3">
        <v>20931.25</v>
      </c>
      <c r="E297" s="3">
        <v>48281.25</v>
      </c>
      <c r="F297">
        <f t="shared" si="35"/>
        <v>1200522</v>
      </c>
      <c r="G297" s="3">
        <f t="shared" si="36"/>
        <v>18975</v>
      </c>
      <c r="H297" s="3">
        <f t="shared" si="37"/>
        <v>43240</v>
      </c>
      <c r="I297" s="3">
        <f t="shared" si="38"/>
        <v>20931.25</v>
      </c>
      <c r="J297" s="3">
        <f t="shared" si="39"/>
        <v>48281.25</v>
      </c>
      <c r="K297" s="5">
        <f t="shared" si="40"/>
        <v>131427.5</v>
      </c>
      <c r="L297" s="5">
        <f t="shared" si="41"/>
        <v>131427.5</v>
      </c>
      <c r="M297" s="5">
        <f t="shared" si="42"/>
        <v>0</v>
      </c>
      <c r="N297" s="3"/>
    </row>
    <row r="298" spans="1:14" x14ac:dyDescent="0.25">
      <c r="A298" s="2">
        <v>1200524</v>
      </c>
      <c r="B298" s="3">
        <v>18918.75</v>
      </c>
      <c r="C298" s="3">
        <v>42440</v>
      </c>
      <c r="D298" s="3">
        <v>20981.25</v>
      </c>
      <c r="E298" s="3">
        <v>47890.600000000006</v>
      </c>
      <c r="F298">
        <f t="shared" si="35"/>
        <v>1200524</v>
      </c>
      <c r="G298" s="3">
        <f t="shared" si="36"/>
        <v>18918.75</v>
      </c>
      <c r="H298" s="3">
        <f t="shared" si="37"/>
        <v>42440</v>
      </c>
      <c r="I298" s="3">
        <f t="shared" si="38"/>
        <v>20981.25</v>
      </c>
      <c r="J298" s="3">
        <f t="shared" si="39"/>
        <v>47890.600000000006</v>
      </c>
      <c r="K298" s="5">
        <f t="shared" si="40"/>
        <v>130230.6</v>
      </c>
      <c r="L298" s="5">
        <f t="shared" si="41"/>
        <v>131427.5</v>
      </c>
      <c r="M298" s="5">
        <f t="shared" si="42"/>
        <v>-1196.8999999999942</v>
      </c>
      <c r="N298" s="3"/>
    </row>
    <row r="299" spans="1:14" x14ac:dyDescent="0.25">
      <c r="A299" s="2">
        <v>1200525</v>
      </c>
      <c r="B299" s="3">
        <v>18862.5</v>
      </c>
      <c r="C299" s="3">
        <v>42080</v>
      </c>
      <c r="D299" s="3">
        <v>20950</v>
      </c>
      <c r="E299" s="3">
        <v>48046.899999999994</v>
      </c>
      <c r="F299">
        <f t="shared" si="35"/>
        <v>1200525</v>
      </c>
      <c r="G299" s="3">
        <f t="shared" si="36"/>
        <v>18862.5</v>
      </c>
      <c r="H299" s="3">
        <f t="shared" si="37"/>
        <v>42080</v>
      </c>
      <c r="I299" s="3">
        <f t="shared" si="38"/>
        <v>20950</v>
      </c>
      <c r="J299" s="3">
        <f t="shared" si="39"/>
        <v>48046.899999999994</v>
      </c>
      <c r="K299" s="5">
        <f t="shared" si="40"/>
        <v>129939.4</v>
      </c>
      <c r="L299" s="5">
        <f t="shared" si="41"/>
        <v>130230.6</v>
      </c>
      <c r="M299" s="5">
        <f t="shared" si="42"/>
        <v>-291.20000000001164</v>
      </c>
      <c r="N299" s="3"/>
    </row>
    <row r="300" spans="1:14" x14ac:dyDescent="0.25">
      <c r="A300" s="2">
        <v>1200526</v>
      </c>
      <c r="B300" s="3">
        <v>19450</v>
      </c>
      <c r="C300" s="3">
        <v>42900</v>
      </c>
      <c r="D300" s="3">
        <v>20943.75</v>
      </c>
      <c r="E300" s="3">
        <v>46953.100000000006</v>
      </c>
      <c r="F300">
        <f t="shared" si="35"/>
        <v>1200526</v>
      </c>
      <c r="G300" s="3">
        <f t="shared" si="36"/>
        <v>19450</v>
      </c>
      <c r="H300" s="3">
        <f t="shared" si="37"/>
        <v>42900</v>
      </c>
      <c r="I300" s="3">
        <f t="shared" si="38"/>
        <v>20943.75</v>
      </c>
      <c r="J300" s="3">
        <f t="shared" si="39"/>
        <v>46953.100000000006</v>
      </c>
      <c r="K300" s="5">
        <f t="shared" si="40"/>
        <v>130246.85</v>
      </c>
      <c r="L300" s="5">
        <f t="shared" si="41"/>
        <v>130246.85</v>
      </c>
      <c r="M300" s="5">
        <f t="shared" si="42"/>
        <v>0</v>
      </c>
      <c r="N300" s="3"/>
    </row>
    <row r="301" spans="1:14" x14ac:dyDescent="0.25">
      <c r="A301" s="2">
        <v>1200527</v>
      </c>
      <c r="B301" s="3">
        <v>19450</v>
      </c>
      <c r="C301" s="3">
        <v>44740</v>
      </c>
      <c r="D301" s="3">
        <v>20925</v>
      </c>
      <c r="E301" s="3">
        <v>45156.25</v>
      </c>
      <c r="F301">
        <f t="shared" si="35"/>
        <v>1200527</v>
      </c>
      <c r="G301" s="3">
        <f t="shared" si="36"/>
        <v>19450</v>
      </c>
      <c r="H301" s="3">
        <f t="shared" si="37"/>
        <v>44740</v>
      </c>
      <c r="I301" s="3">
        <f t="shared" si="38"/>
        <v>20925</v>
      </c>
      <c r="J301" s="3">
        <f t="shared" si="39"/>
        <v>45156.25</v>
      </c>
      <c r="K301" s="5">
        <f t="shared" si="40"/>
        <v>130271.25</v>
      </c>
      <c r="L301" s="5">
        <f t="shared" si="41"/>
        <v>130271.25</v>
      </c>
      <c r="M301" s="5">
        <f t="shared" si="42"/>
        <v>0</v>
      </c>
      <c r="N301" s="3"/>
    </row>
    <row r="302" spans="1:14" x14ac:dyDescent="0.25">
      <c r="A302" s="2">
        <v>1200528</v>
      </c>
      <c r="B302" s="3">
        <v>18337.5</v>
      </c>
      <c r="C302" s="3">
        <v>43680</v>
      </c>
      <c r="D302" s="3">
        <v>20725</v>
      </c>
      <c r="E302" s="3">
        <v>43984.399999999994</v>
      </c>
      <c r="F302">
        <f t="shared" si="35"/>
        <v>1200528</v>
      </c>
      <c r="G302" s="3">
        <f t="shared" si="36"/>
        <v>18337.5</v>
      </c>
      <c r="H302" s="3">
        <f t="shared" si="37"/>
        <v>43680</v>
      </c>
      <c r="I302" s="3">
        <f t="shared" si="38"/>
        <v>20725</v>
      </c>
      <c r="J302" s="3">
        <f t="shared" si="39"/>
        <v>43984.399999999994</v>
      </c>
      <c r="K302" s="5">
        <f t="shared" si="40"/>
        <v>126726.9</v>
      </c>
      <c r="L302" s="5">
        <f t="shared" si="41"/>
        <v>130271.25</v>
      </c>
      <c r="M302" s="5">
        <f t="shared" si="42"/>
        <v>-3544.3500000000058</v>
      </c>
      <c r="N302" s="3"/>
    </row>
    <row r="303" spans="1:14" x14ac:dyDescent="0.25">
      <c r="A303" s="2">
        <v>1200529</v>
      </c>
      <c r="B303" s="3">
        <v>17418.75</v>
      </c>
      <c r="C303" s="3">
        <v>42420</v>
      </c>
      <c r="D303" s="3">
        <v>21193.75</v>
      </c>
      <c r="E303" s="3">
        <v>42109.399999999994</v>
      </c>
      <c r="F303">
        <f t="shared" si="35"/>
        <v>1200529</v>
      </c>
      <c r="G303" s="3">
        <f t="shared" si="36"/>
        <v>17418.75</v>
      </c>
      <c r="H303" s="3">
        <f t="shared" si="37"/>
        <v>42420</v>
      </c>
      <c r="I303" s="3">
        <f t="shared" si="38"/>
        <v>21193.75</v>
      </c>
      <c r="J303" s="3">
        <f t="shared" si="39"/>
        <v>42109.399999999994</v>
      </c>
      <c r="K303" s="5">
        <f t="shared" si="40"/>
        <v>123141.9</v>
      </c>
      <c r="L303" s="5">
        <f t="shared" si="41"/>
        <v>126726.9</v>
      </c>
      <c r="M303" s="5">
        <f t="shared" si="42"/>
        <v>-3585</v>
      </c>
      <c r="N303" s="3"/>
    </row>
    <row r="304" spans="1:14" x14ac:dyDescent="0.25">
      <c r="A304" s="2">
        <v>1200531</v>
      </c>
      <c r="B304" s="3">
        <v>16787.5</v>
      </c>
      <c r="C304" s="3">
        <v>44590</v>
      </c>
      <c r="D304" s="3">
        <v>21475</v>
      </c>
      <c r="E304" s="3">
        <v>42421.899999999994</v>
      </c>
      <c r="F304">
        <f t="shared" si="35"/>
        <v>1200531</v>
      </c>
      <c r="G304" s="3">
        <f t="shared" si="36"/>
        <v>16787.5</v>
      </c>
      <c r="H304" s="3">
        <f t="shared" si="37"/>
        <v>44590</v>
      </c>
      <c r="I304" s="3">
        <f t="shared" si="38"/>
        <v>21475</v>
      </c>
      <c r="J304" s="3">
        <f t="shared" si="39"/>
        <v>42421.899999999994</v>
      </c>
      <c r="K304" s="5">
        <f t="shared" si="40"/>
        <v>125274.4</v>
      </c>
      <c r="L304" s="5">
        <f t="shared" si="41"/>
        <v>125274.4</v>
      </c>
      <c r="M304" s="5">
        <f t="shared" si="42"/>
        <v>0</v>
      </c>
      <c r="N304" s="3"/>
    </row>
    <row r="305" spans="1:14" x14ac:dyDescent="0.25">
      <c r="A305" s="2">
        <v>1200601</v>
      </c>
      <c r="B305" s="3">
        <v>16256.25</v>
      </c>
      <c r="C305" s="3">
        <v>44380</v>
      </c>
      <c r="D305" s="3">
        <v>21237.5</v>
      </c>
      <c r="E305" s="3">
        <v>42031.25</v>
      </c>
      <c r="F305">
        <f t="shared" si="35"/>
        <v>1200601</v>
      </c>
      <c r="G305" s="3">
        <f t="shared" si="36"/>
        <v>16256.25</v>
      </c>
      <c r="H305" s="3">
        <f t="shared" si="37"/>
        <v>44380</v>
      </c>
      <c r="I305" s="3">
        <f t="shared" si="38"/>
        <v>21237.5</v>
      </c>
      <c r="J305" s="3">
        <f t="shared" si="39"/>
        <v>42031.25</v>
      </c>
      <c r="K305" s="5">
        <f t="shared" si="40"/>
        <v>123905</v>
      </c>
      <c r="L305" s="5">
        <f t="shared" si="41"/>
        <v>125274.4</v>
      </c>
      <c r="M305" s="5">
        <f t="shared" si="42"/>
        <v>-1369.3999999999942</v>
      </c>
      <c r="N305" s="3"/>
    </row>
    <row r="306" spans="1:14" x14ac:dyDescent="0.25">
      <c r="A306" s="2">
        <v>1200602</v>
      </c>
      <c r="B306" s="3">
        <v>15800</v>
      </c>
      <c r="C306" s="3">
        <v>43910</v>
      </c>
      <c r="D306" s="3">
        <v>21425</v>
      </c>
      <c r="E306" s="3">
        <v>40312.5</v>
      </c>
      <c r="F306">
        <f t="shared" si="35"/>
        <v>1200602</v>
      </c>
      <c r="G306" s="3">
        <f t="shared" si="36"/>
        <v>15800</v>
      </c>
      <c r="H306" s="3">
        <f t="shared" si="37"/>
        <v>43910</v>
      </c>
      <c r="I306" s="3">
        <f t="shared" si="38"/>
        <v>21425</v>
      </c>
      <c r="J306" s="3">
        <f t="shared" si="39"/>
        <v>40312.5</v>
      </c>
      <c r="K306" s="5">
        <f t="shared" si="40"/>
        <v>121447.5</v>
      </c>
      <c r="L306" s="5">
        <f t="shared" si="41"/>
        <v>123905</v>
      </c>
      <c r="M306" s="5">
        <f t="shared" si="42"/>
        <v>-2457.5</v>
      </c>
      <c r="N306" s="3"/>
    </row>
    <row r="307" spans="1:14" x14ac:dyDescent="0.25">
      <c r="A307" s="2">
        <v>1200603</v>
      </c>
      <c r="B307" s="3">
        <v>16375</v>
      </c>
      <c r="C307" s="3">
        <v>44050</v>
      </c>
      <c r="D307" s="3">
        <v>22300</v>
      </c>
      <c r="E307" s="3">
        <v>41953.100000000006</v>
      </c>
      <c r="F307">
        <f t="shared" si="35"/>
        <v>1200603</v>
      </c>
      <c r="G307" s="3">
        <f t="shared" si="36"/>
        <v>16375</v>
      </c>
      <c r="H307" s="3">
        <f t="shared" si="37"/>
        <v>44050</v>
      </c>
      <c r="I307" s="3">
        <f t="shared" si="38"/>
        <v>22300</v>
      </c>
      <c r="J307" s="3">
        <f t="shared" si="39"/>
        <v>41953.100000000006</v>
      </c>
      <c r="K307" s="5">
        <f t="shared" si="40"/>
        <v>124678.1</v>
      </c>
      <c r="L307" s="5">
        <f t="shared" si="41"/>
        <v>124678.1</v>
      </c>
      <c r="M307" s="5">
        <f t="shared" si="42"/>
        <v>0</v>
      </c>
      <c r="N307" s="3"/>
    </row>
    <row r="308" spans="1:14" x14ac:dyDescent="0.25">
      <c r="A308" s="2">
        <v>1200604</v>
      </c>
      <c r="B308" s="3">
        <v>16537.5</v>
      </c>
      <c r="C308" s="3">
        <v>46000</v>
      </c>
      <c r="D308" s="3">
        <v>22381.25</v>
      </c>
      <c r="E308" s="3">
        <v>43671.899999999994</v>
      </c>
      <c r="F308">
        <f t="shared" si="35"/>
        <v>1200604</v>
      </c>
      <c r="G308" s="3">
        <f t="shared" si="36"/>
        <v>16537.5</v>
      </c>
      <c r="H308" s="3">
        <f t="shared" si="37"/>
        <v>46000</v>
      </c>
      <c r="I308" s="3">
        <f t="shared" si="38"/>
        <v>22381.25</v>
      </c>
      <c r="J308" s="3">
        <f t="shared" si="39"/>
        <v>43671.899999999994</v>
      </c>
      <c r="K308" s="5">
        <f t="shared" si="40"/>
        <v>128590.65</v>
      </c>
      <c r="L308" s="5">
        <f t="shared" si="41"/>
        <v>128590.65</v>
      </c>
      <c r="M308" s="5">
        <f t="shared" si="42"/>
        <v>0</v>
      </c>
      <c r="N308" s="3"/>
    </row>
    <row r="309" spans="1:14" x14ac:dyDescent="0.25">
      <c r="A309" s="2">
        <v>1200605</v>
      </c>
      <c r="B309" s="3">
        <v>16550</v>
      </c>
      <c r="C309" s="3">
        <v>46280</v>
      </c>
      <c r="D309" s="3">
        <v>21881.25</v>
      </c>
      <c r="E309" s="3">
        <v>46796.899999999994</v>
      </c>
      <c r="F309">
        <f t="shared" si="35"/>
        <v>1200605</v>
      </c>
      <c r="G309" s="3">
        <f t="shared" si="36"/>
        <v>16550</v>
      </c>
      <c r="H309" s="3">
        <f t="shared" si="37"/>
        <v>46280</v>
      </c>
      <c r="I309" s="3">
        <f t="shared" si="38"/>
        <v>21881.25</v>
      </c>
      <c r="J309" s="3">
        <f t="shared" si="39"/>
        <v>46796.899999999994</v>
      </c>
      <c r="K309" s="5">
        <f t="shared" si="40"/>
        <v>131508.15</v>
      </c>
      <c r="L309" s="5">
        <f t="shared" si="41"/>
        <v>131508.15</v>
      </c>
      <c r="M309" s="5">
        <f t="shared" si="42"/>
        <v>0</v>
      </c>
      <c r="N309" s="3"/>
    </row>
    <row r="310" spans="1:14" x14ac:dyDescent="0.25">
      <c r="A310" s="2">
        <v>1200607</v>
      </c>
      <c r="B310" s="3">
        <v>17000</v>
      </c>
      <c r="C310" s="3">
        <v>48610</v>
      </c>
      <c r="D310" s="3">
        <v>21868.75</v>
      </c>
      <c r="E310" s="3">
        <v>49921.899999999994</v>
      </c>
      <c r="F310">
        <f t="shared" si="35"/>
        <v>1200607</v>
      </c>
      <c r="G310" s="3">
        <f t="shared" si="36"/>
        <v>17000</v>
      </c>
      <c r="H310" s="3">
        <f t="shared" si="37"/>
        <v>48610</v>
      </c>
      <c r="I310" s="3">
        <f t="shared" si="38"/>
        <v>21868.75</v>
      </c>
      <c r="J310" s="3">
        <f t="shared" si="39"/>
        <v>49921.899999999994</v>
      </c>
      <c r="K310" s="5">
        <f t="shared" si="40"/>
        <v>137400.65</v>
      </c>
      <c r="L310" s="5">
        <f t="shared" si="41"/>
        <v>137400.65</v>
      </c>
      <c r="M310" s="5">
        <f t="shared" si="42"/>
        <v>0</v>
      </c>
      <c r="N310" s="3"/>
    </row>
    <row r="311" spans="1:14" x14ac:dyDescent="0.25">
      <c r="A311" s="2">
        <v>1200608</v>
      </c>
      <c r="B311" s="3">
        <v>16837.5</v>
      </c>
      <c r="C311" s="3">
        <v>47720</v>
      </c>
      <c r="D311" s="3">
        <v>21675</v>
      </c>
      <c r="E311" s="3">
        <v>49765.600000000006</v>
      </c>
      <c r="F311">
        <f t="shared" si="35"/>
        <v>1200608</v>
      </c>
      <c r="G311" s="3">
        <f t="shared" si="36"/>
        <v>16837.5</v>
      </c>
      <c r="H311" s="3">
        <f t="shared" si="37"/>
        <v>47720</v>
      </c>
      <c r="I311" s="3">
        <f t="shared" si="38"/>
        <v>21675</v>
      </c>
      <c r="J311" s="3">
        <f t="shared" si="39"/>
        <v>49765.600000000006</v>
      </c>
      <c r="K311" s="5">
        <f t="shared" si="40"/>
        <v>135998.1</v>
      </c>
      <c r="L311" s="5">
        <f t="shared" si="41"/>
        <v>137400.65</v>
      </c>
      <c r="M311" s="5">
        <f t="shared" si="42"/>
        <v>-1402.5499999999884</v>
      </c>
      <c r="N311" s="3"/>
    </row>
    <row r="312" spans="1:14" x14ac:dyDescent="0.25">
      <c r="A312" s="2">
        <v>1200609</v>
      </c>
      <c r="B312" s="3">
        <v>17381.25</v>
      </c>
      <c r="C312" s="3">
        <v>46870</v>
      </c>
      <c r="D312" s="3">
        <v>22875</v>
      </c>
      <c r="E312" s="3">
        <v>51328.100000000006</v>
      </c>
      <c r="F312">
        <f t="shared" si="35"/>
        <v>1200609</v>
      </c>
      <c r="G312" s="3">
        <f t="shared" si="36"/>
        <v>17381.25</v>
      </c>
      <c r="H312" s="3">
        <f t="shared" si="37"/>
        <v>46870</v>
      </c>
      <c r="I312" s="3">
        <f t="shared" si="38"/>
        <v>22875</v>
      </c>
      <c r="J312" s="3">
        <f t="shared" si="39"/>
        <v>51328.100000000006</v>
      </c>
      <c r="K312" s="5">
        <f t="shared" si="40"/>
        <v>138454.35</v>
      </c>
      <c r="L312" s="5">
        <f t="shared" si="41"/>
        <v>138454.35</v>
      </c>
      <c r="M312" s="5">
        <f t="shared" si="42"/>
        <v>0</v>
      </c>
      <c r="N312" s="3"/>
    </row>
    <row r="313" spans="1:14" x14ac:dyDescent="0.25">
      <c r="A313" s="2">
        <v>1200610</v>
      </c>
      <c r="B313" s="3">
        <v>17187.5</v>
      </c>
      <c r="C313" s="3">
        <v>49020</v>
      </c>
      <c r="D313" s="3">
        <v>22568.75</v>
      </c>
      <c r="E313" s="3">
        <v>52031.25</v>
      </c>
      <c r="F313">
        <f t="shared" si="35"/>
        <v>1200610</v>
      </c>
      <c r="G313" s="3">
        <f t="shared" si="36"/>
        <v>17187.5</v>
      </c>
      <c r="H313" s="3">
        <f t="shared" si="37"/>
        <v>49020</v>
      </c>
      <c r="I313" s="3">
        <f t="shared" si="38"/>
        <v>22568.75</v>
      </c>
      <c r="J313" s="3">
        <f t="shared" si="39"/>
        <v>52031.25</v>
      </c>
      <c r="K313" s="5">
        <f t="shared" si="40"/>
        <v>140807.5</v>
      </c>
      <c r="L313" s="5">
        <f t="shared" si="41"/>
        <v>140807.5</v>
      </c>
      <c r="M313" s="5">
        <f t="shared" si="42"/>
        <v>0</v>
      </c>
      <c r="N313" s="3"/>
    </row>
    <row r="314" spans="1:14" x14ac:dyDescent="0.25">
      <c r="A314" s="2">
        <v>1200611</v>
      </c>
      <c r="B314" s="3">
        <v>18200</v>
      </c>
      <c r="C314" s="3">
        <v>50870</v>
      </c>
      <c r="D314" s="3">
        <v>22700</v>
      </c>
      <c r="E314" s="3">
        <v>56796.899999999994</v>
      </c>
      <c r="F314">
        <f t="shared" si="35"/>
        <v>1200611</v>
      </c>
      <c r="G314" s="3">
        <f t="shared" si="36"/>
        <v>18200</v>
      </c>
      <c r="H314" s="3">
        <f t="shared" si="37"/>
        <v>50870</v>
      </c>
      <c r="I314" s="3">
        <f t="shared" si="38"/>
        <v>22700</v>
      </c>
      <c r="J314" s="3">
        <f t="shared" si="39"/>
        <v>56796.899999999994</v>
      </c>
      <c r="K314" s="5">
        <f t="shared" si="40"/>
        <v>148566.9</v>
      </c>
      <c r="L314" s="5">
        <f t="shared" si="41"/>
        <v>148566.9</v>
      </c>
      <c r="M314" s="5">
        <f t="shared" si="42"/>
        <v>0</v>
      </c>
      <c r="N314" s="3"/>
    </row>
    <row r="315" spans="1:14" x14ac:dyDescent="0.25">
      <c r="A315" s="2">
        <v>1200612</v>
      </c>
      <c r="B315" s="3">
        <v>20850</v>
      </c>
      <c r="C315" s="3">
        <v>50910</v>
      </c>
      <c r="D315" s="3">
        <v>22318.75</v>
      </c>
      <c r="E315" s="3">
        <v>56875</v>
      </c>
      <c r="F315">
        <f t="shared" si="35"/>
        <v>1200612</v>
      </c>
      <c r="G315" s="3">
        <f t="shared" si="36"/>
        <v>20850</v>
      </c>
      <c r="H315" s="3">
        <f t="shared" si="37"/>
        <v>50910</v>
      </c>
      <c r="I315" s="3">
        <f t="shared" si="38"/>
        <v>22318.75</v>
      </c>
      <c r="J315" s="3">
        <f t="shared" si="39"/>
        <v>56875</v>
      </c>
      <c r="K315" s="5">
        <f t="shared" si="40"/>
        <v>150953.75</v>
      </c>
      <c r="L315" s="5">
        <f t="shared" si="41"/>
        <v>150953.75</v>
      </c>
      <c r="M315" s="5">
        <f t="shared" si="42"/>
        <v>0</v>
      </c>
      <c r="N315" s="3"/>
    </row>
    <row r="316" spans="1:14" x14ac:dyDescent="0.25">
      <c r="A316" s="2">
        <v>1200614</v>
      </c>
      <c r="B316" s="3">
        <v>21868.75</v>
      </c>
      <c r="C316" s="3">
        <v>49840</v>
      </c>
      <c r="D316" s="3">
        <v>22675</v>
      </c>
      <c r="E316" s="3">
        <v>57187.5</v>
      </c>
      <c r="F316">
        <f t="shared" si="35"/>
        <v>1200614</v>
      </c>
      <c r="G316" s="3">
        <f t="shared" si="36"/>
        <v>21868.75</v>
      </c>
      <c r="H316" s="3">
        <f t="shared" si="37"/>
        <v>49840</v>
      </c>
      <c r="I316" s="3">
        <f t="shared" si="38"/>
        <v>22675</v>
      </c>
      <c r="J316" s="3">
        <f t="shared" si="39"/>
        <v>57187.5</v>
      </c>
      <c r="K316" s="5">
        <f t="shared" si="40"/>
        <v>151571.25</v>
      </c>
      <c r="L316" s="5">
        <f t="shared" si="41"/>
        <v>151571.25</v>
      </c>
      <c r="M316" s="5">
        <f t="shared" si="42"/>
        <v>0</v>
      </c>
      <c r="N316" s="3"/>
    </row>
    <row r="317" spans="1:14" x14ac:dyDescent="0.25">
      <c r="A317" s="2">
        <v>1200615</v>
      </c>
      <c r="B317" s="3">
        <v>22450</v>
      </c>
      <c r="C317" s="3">
        <v>49520</v>
      </c>
      <c r="D317" s="3">
        <v>22200</v>
      </c>
      <c r="E317" s="3">
        <v>58359.399999999994</v>
      </c>
      <c r="F317">
        <f t="shared" si="35"/>
        <v>1200615</v>
      </c>
      <c r="G317" s="3">
        <f t="shared" si="36"/>
        <v>22450</v>
      </c>
      <c r="H317" s="3">
        <f t="shared" si="37"/>
        <v>49520</v>
      </c>
      <c r="I317" s="3">
        <f t="shared" si="38"/>
        <v>22200</v>
      </c>
      <c r="J317" s="3">
        <f t="shared" si="39"/>
        <v>58359.399999999994</v>
      </c>
      <c r="K317" s="5">
        <f t="shared" si="40"/>
        <v>152529.4</v>
      </c>
      <c r="L317" s="5">
        <f t="shared" si="41"/>
        <v>152529.4</v>
      </c>
      <c r="M317" s="5">
        <f t="shared" si="42"/>
        <v>0</v>
      </c>
      <c r="N317" s="3"/>
    </row>
    <row r="318" spans="1:14" x14ac:dyDescent="0.25">
      <c r="A318" s="2">
        <v>1200616</v>
      </c>
      <c r="B318" s="3">
        <v>24718.75</v>
      </c>
      <c r="C318" s="3">
        <v>46340</v>
      </c>
      <c r="D318" s="3">
        <v>20550</v>
      </c>
      <c r="E318" s="3">
        <v>58593.75</v>
      </c>
      <c r="F318">
        <f t="shared" si="35"/>
        <v>1200616</v>
      </c>
      <c r="G318" s="3">
        <f t="shared" si="36"/>
        <v>24718.75</v>
      </c>
      <c r="H318" s="3">
        <f t="shared" si="37"/>
        <v>46340</v>
      </c>
      <c r="I318" s="3">
        <f t="shared" si="38"/>
        <v>20550</v>
      </c>
      <c r="J318" s="3">
        <f t="shared" si="39"/>
        <v>58593.75</v>
      </c>
      <c r="K318" s="5">
        <f t="shared" si="40"/>
        <v>150202.5</v>
      </c>
      <c r="L318" s="5">
        <f t="shared" si="41"/>
        <v>152529.4</v>
      </c>
      <c r="M318" s="5">
        <f t="shared" si="42"/>
        <v>-2326.8999999999942</v>
      </c>
      <c r="N318" s="3"/>
    </row>
    <row r="319" spans="1:14" x14ac:dyDescent="0.25">
      <c r="A319" s="2">
        <v>1200617</v>
      </c>
      <c r="B319" s="3">
        <v>23225</v>
      </c>
      <c r="C319" s="3">
        <v>45700</v>
      </c>
      <c r="D319" s="3">
        <v>19975</v>
      </c>
      <c r="E319" s="3">
        <v>57890.600000000006</v>
      </c>
      <c r="F319">
        <f t="shared" si="35"/>
        <v>1200617</v>
      </c>
      <c r="G319" s="3">
        <f t="shared" si="36"/>
        <v>23225</v>
      </c>
      <c r="H319" s="3">
        <f t="shared" si="37"/>
        <v>45700</v>
      </c>
      <c r="I319" s="3">
        <f t="shared" si="38"/>
        <v>19975</v>
      </c>
      <c r="J319" s="3">
        <f t="shared" si="39"/>
        <v>57890.600000000006</v>
      </c>
      <c r="K319" s="5">
        <f t="shared" si="40"/>
        <v>146790.6</v>
      </c>
      <c r="L319" s="5">
        <f t="shared" si="41"/>
        <v>150202.5</v>
      </c>
      <c r="M319" s="5">
        <f t="shared" si="42"/>
        <v>-3411.8999999999942</v>
      </c>
      <c r="N319" s="3"/>
    </row>
    <row r="320" spans="1:14" x14ac:dyDescent="0.25">
      <c r="A320" s="2">
        <v>1200618</v>
      </c>
      <c r="B320" s="3">
        <v>23206.25</v>
      </c>
      <c r="C320" s="3">
        <v>45810</v>
      </c>
      <c r="D320" s="3">
        <v>20393.75</v>
      </c>
      <c r="E320" s="3">
        <v>58515.600000000006</v>
      </c>
      <c r="F320">
        <f t="shared" si="35"/>
        <v>1200618</v>
      </c>
      <c r="G320" s="3">
        <f t="shared" si="36"/>
        <v>23206.25</v>
      </c>
      <c r="H320" s="3">
        <f t="shared" si="37"/>
        <v>45810</v>
      </c>
      <c r="I320" s="3">
        <f t="shared" si="38"/>
        <v>20393.75</v>
      </c>
      <c r="J320" s="3">
        <f t="shared" si="39"/>
        <v>58515.600000000006</v>
      </c>
      <c r="K320" s="5">
        <f t="shared" si="40"/>
        <v>147925.6</v>
      </c>
      <c r="L320" s="5">
        <f t="shared" si="41"/>
        <v>147925.6</v>
      </c>
      <c r="M320" s="5">
        <f t="shared" si="42"/>
        <v>0</v>
      </c>
      <c r="N320" s="3"/>
    </row>
    <row r="321" spans="1:14" x14ac:dyDescent="0.25">
      <c r="A321" s="2">
        <v>1200619</v>
      </c>
      <c r="B321" s="3">
        <v>23206.25</v>
      </c>
      <c r="C321" s="3">
        <v>45030</v>
      </c>
      <c r="D321" s="3">
        <v>20356.25</v>
      </c>
      <c r="E321" s="3">
        <v>58593.75</v>
      </c>
      <c r="F321">
        <f t="shared" si="35"/>
        <v>1200619</v>
      </c>
      <c r="G321" s="3">
        <f t="shared" si="36"/>
        <v>23206.25</v>
      </c>
      <c r="H321" s="3">
        <f t="shared" si="37"/>
        <v>45030</v>
      </c>
      <c r="I321" s="3">
        <f t="shared" si="38"/>
        <v>20356.25</v>
      </c>
      <c r="J321" s="3">
        <f t="shared" si="39"/>
        <v>58593.75</v>
      </c>
      <c r="K321" s="5">
        <f t="shared" si="40"/>
        <v>147186.25</v>
      </c>
      <c r="L321" s="5">
        <f t="shared" si="41"/>
        <v>147925.6</v>
      </c>
      <c r="M321" s="5">
        <f t="shared" si="42"/>
        <v>-739.35000000000582</v>
      </c>
      <c r="N321" s="3"/>
    </row>
    <row r="322" spans="1:14" x14ac:dyDescent="0.25">
      <c r="A322" s="2">
        <v>1200621</v>
      </c>
      <c r="B322" s="3">
        <v>24350</v>
      </c>
      <c r="C322" s="3">
        <v>46430</v>
      </c>
      <c r="D322" s="3">
        <v>20118.75</v>
      </c>
      <c r="E322" s="3">
        <v>56250</v>
      </c>
      <c r="F322">
        <f t="shared" si="35"/>
        <v>1200621</v>
      </c>
      <c r="G322" s="3">
        <f t="shared" si="36"/>
        <v>24350</v>
      </c>
      <c r="H322" s="3">
        <f t="shared" si="37"/>
        <v>46430</v>
      </c>
      <c r="I322" s="3">
        <f t="shared" si="38"/>
        <v>20118.75</v>
      </c>
      <c r="J322" s="3">
        <f t="shared" si="39"/>
        <v>56250</v>
      </c>
      <c r="K322" s="5">
        <f t="shared" si="40"/>
        <v>147148.75</v>
      </c>
      <c r="L322" s="5">
        <f t="shared" si="41"/>
        <v>147186.25</v>
      </c>
      <c r="M322" s="5">
        <f t="shared" si="42"/>
        <v>-37.5</v>
      </c>
      <c r="N322" s="3"/>
    </row>
    <row r="323" spans="1:14" x14ac:dyDescent="0.25">
      <c r="A323" s="2">
        <v>1200622</v>
      </c>
      <c r="B323" s="3">
        <v>23831.25</v>
      </c>
      <c r="C323" s="3">
        <v>47220</v>
      </c>
      <c r="D323" s="3">
        <v>20043.75</v>
      </c>
      <c r="E323" s="3">
        <v>56328.100000000006</v>
      </c>
      <c r="F323">
        <f t="shared" si="35"/>
        <v>1200622</v>
      </c>
      <c r="G323" s="3">
        <f t="shared" si="36"/>
        <v>23831.25</v>
      </c>
      <c r="H323" s="3">
        <f t="shared" si="37"/>
        <v>47220</v>
      </c>
      <c r="I323" s="3">
        <f t="shared" si="38"/>
        <v>20043.75</v>
      </c>
      <c r="J323" s="3">
        <f t="shared" si="39"/>
        <v>56328.100000000006</v>
      </c>
      <c r="K323" s="5">
        <f t="shared" si="40"/>
        <v>147423.1</v>
      </c>
      <c r="L323" s="5">
        <f t="shared" si="41"/>
        <v>147423.1</v>
      </c>
      <c r="M323" s="5">
        <f t="shared" si="42"/>
        <v>0</v>
      </c>
      <c r="N323" s="3"/>
    </row>
    <row r="324" spans="1:14" x14ac:dyDescent="0.25">
      <c r="A324" s="2">
        <v>1200623</v>
      </c>
      <c r="B324" s="3">
        <v>23600</v>
      </c>
      <c r="C324" s="3">
        <v>47480</v>
      </c>
      <c r="D324" s="3">
        <v>20068.75</v>
      </c>
      <c r="E324" s="3">
        <v>55234.399999999994</v>
      </c>
      <c r="F324">
        <f t="shared" si="35"/>
        <v>1200623</v>
      </c>
      <c r="G324" s="3">
        <f t="shared" si="36"/>
        <v>23600</v>
      </c>
      <c r="H324" s="3">
        <f t="shared" si="37"/>
        <v>47480</v>
      </c>
      <c r="I324" s="3">
        <f t="shared" si="38"/>
        <v>20068.75</v>
      </c>
      <c r="J324" s="3">
        <f t="shared" si="39"/>
        <v>55234.399999999994</v>
      </c>
      <c r="K324" s="5">
        <f t="shared" si="40"/>
        <v>146383.15</v>
      </c>
      <c r="L324" s="5">
        <f t="shared" si="41"/>
        <v>147423.1</v>
      </c>
      <c r="M324" s="5">
        <f t="shared" si="42"/>
        <v>-1039.9500000000116</v>
      </c>
      <c r="N324" s="3"/>
    </row>
    <row r="325" spans="1:14" x14ac:dyDescent="0.25">
      <c r="A325" s="2">
        <v>1200624</v>
      </c>
      <c r="B325" s="3">
        <v>24350</v>
      </c>
      <c r="C325" s="3">
        <v>48960</v>
      </c>
      <c r="D325" s="3">
        <v>20418.75</v>
      </c>
      <c r="E325" s="3">
        <v>54062.5</v>
      </c>
      <c r="F325">
        <f t="shared" si="35"/>
        <v>1200624</v>
      </c>
      <c r="G325" s="3">
        <f t="shared" si="36"/>
        <v>24350</v>
      </c>
      <c r="H325" s="3">
        <f t="shared" si="37"/>
        <v>48960</v>
      </c>
      <c r="I325" s="3">
        <f t="shared" si="38"/>
        <v>20418.75</v>
      </c>
      <c r="J325" s="3">
        <f t="shared" si="39"/>
        <v>54062.5</v>
      </c>
      <c r="K325" s="5">
        <f t="shared" si="40"/>
        <v>147791.25</v>
      </c>
      <c r="L325" s="5">
        <f t="shared" si="41"/>
        <v>147791.25</v>
      </c>
      <c r="M325" s="5">
        <f t="shared" si="42"/>
        <v>0</v>
      </c>
      <c r="N325" s="3"/>
    </row>
    <row r="326" spans="1:14" x14ac:dyDescent="0.25">
      <c r="A326" s="2">
        <v>1200625</v>
      </c>
      <c r="B326" s="3">
        <v>25418.75</v>
      </c>
      <c r="C326" s="3">
        <v>49600</v>
      </c>
      <c r="D326" s="3">
        <v>20887.5</v>
      </c>
      <c r="E326" s="3">
        <v>54218.75</v>
      </c>
      <c r="F326">
        <f t="shared" si="35"/>
        <v>1200625</v>
      </c>
      <c r="G326" s="3">
        <f t="shared" si="36"/>
        <v>25418.75</v>
      </c>
      <c r="H326" s="3">
        <f t="shared" si="37"/>
        <v>49600</v>
      </c>
      <c r="I326" s="3">
        <f t="shared" si="38"/>
        <v>20887.5</v>
      </c>
      <c r="J326" s="3">
        <f t="shared" si="39"/>
        <v>54218.75</v>
      </c>
      <c r="K326" s="5">
        <f t="shared" si="40"/>
        <v>150125</v>
      </c>
      <c r="L326" s="5">
        <f t="shared" si="41"/>
        <v>150125</v>
      </c>
      <c r="M326" s="5">
        <f t="shared" si="42"/>
        <v>0</v>
      </c>
      <c r="N326" s="3"/>
    </row>
    <row r="327" spans="1:14" x14ac:dyDescent="0.25">
      <c r="A327" s="2">
        <v>1200626</v>
      </c>
      <c r="B327" s="3">
        <v>25293.75</v>
      </c>
      <c r="C327" s="3">
        <v>50000</v>
      </c>
      <c r="D327" s="3">
        <v>20825</v>
      </c>
      <c r="E327" s="3">
        <v>53984.399999999994</v>
      </c>
      <c r="F327">
        <f t="shared" si="35"/>
        <v>1200626</v>
      </c>
      <c r="G327" s="3">
        <f t="shared" si="36"/>
        <v>25293.75</v>
      </c>
      <c r="H327" s="3">
        <f t="shared" si="37"/>
        <v>50000</v>
      </c>
      <c r="I327" s="3">
        <f t="shared" si="38"/>
        <v>20825</v>
      </c>
      <c r="J327" s="3">
        <f t="shared" si="39"/>
        <v>53984.399999999994</v>
      </c>
      <c r="K327" s="5">
        <f t="shared" si="40"/>
        <v>150103.15</v>
      </c>
      <c r="L327" s="5">
        <f t="shared" si="41"/>
        <v>150125</v>
      </c>
      <c r="M327" s="5">
        <f t="shared" si="42"/>
        <v>-21.850000000005821</v>
      </c>
      <c r="N327" s="3"/>
    </row>
    <row r="328" spans="1:14" x14ac:dyDescent="0.25">
      <c r="A328" s="2">
        <v>1200628</v>
      </c>
      <c r="B328" s="3">
        <v>26487.5</v>
      </c>
      <c r="C328" s="3">
        <v>51080</v>
      </c>
      <c r="D328" s="3">
        <v>20287.5</v>
      </c>
      <c r="E328" s="3">
        <v>55703.100000000006</v>
      </c>
      <c r="F328">
        <f t="shared" si="35"/>
        <v>1200628</v>
      </c>
      <c r="G328" s="3">
        <f t="shared" si="36"/>
        <v>26487.5</v>
      </c>
      <c r="H328" s="3">
        <f t="shared" si="37"/>
        <v>51080</v>
      </c>
      <c r="I328" s="3">
        <f t="shared" si="38"/>
        <v>20287.5</v>
      </c>
      <c r="J328" s="3">
        <f t="shared" si="39"/>
        <v>55703.100000000006</v>
      </c>
      <c r="K328" s="5">
        <f t="shared" si="40"/>
        <v>153558.1</v>
      </c>
      <c r="L328" s="5">
        <f t="shared" si="41"/>
        <v>153558.1</v>
      </c>
      <c r="M328" s="5">
        <f t="shared" si="42"/>
        <v>0</v>
      </c>
      <c r="N328" s="3"/>
    </row>
    <row r="329" spans="1:14" x14ac:dyDescent="0.25">
      <c r="A329" s="2">
        <v>1200629</v>
      </c>
      <c r="B329" s="3">
        <v>26431.25</v>
      </c>
      <c r="C329" s="3">
        <v>50850</v>
      </c>
      <c r="D329" s="3">
        <v>20200</v>
      </c>
      <c r="E329" s="3">
        <v>55625</v>
      </c>
      <c r="F329">
        <f t="shared" si="35"/>
        <v>1200629</v>
      </c>
      <c r="G329" s="3">
        <f t="shared" si="36"/>
        <v>26431.25</v>
      </c>
      <c r="H329" s="3">
        <f t="shared" si="37"/>
        <v>50850</v>
      </c>
      <c r="I329" s="3">
        <f t="shared" si="38"/>
        <v>20200</v>
      </c>
      <c r="J329" s="3">
        <f t="shared" si="39"/>
        <v>55625</v>
      </c>
      <c r="K329" s="5">
        <f t="shared" si="40"/>
        <v>153106.25</v>
      </c>
      <c r="L329" s="5">
        <f t="shared" si="41"/>
        <v>153558.1</v>
      </c>
      <c r="M329" s="5">
        <f t="shared" si="42"/>
        <v>-451.85000000000582</v>
      </c>
      <c r="N329" s="3"/>
    </row>
    <row r="330" spans="1:14" x14ac:dyDescent="0.25">
      <c r="A330" s="2">
        <v>1200630</v>
      </c>
      <c r="B330" s="3">
        <v>26418.75</v>
      </c>
      <c r="C330" s="3">
        <v>50130</v>
      </c>
      <c r="D330" s="3">
        <v>20893.75</v>
      </c>
      <c r="E330" s="3">
        <v>56171.899999999994</v>
      </c>
      <c r="F330">
        <f t="shared" si="35"/>
        <v>1200630</v>
      </c>
      <c r="G330" s="3">
        <f t="shared" si="36"/>
        <v>26418.75</v>
      </c>
      <c r="H330" s="3">
        <f t="shared" si="37"/>
        <v>50130</v>
      </c>
      <c r="I330" s="3">
        <f t="shared" si="38"/>
        <v>20893.75</v>
      </c>
      <c r="J330" s="3">
        <f t="shared" si="39"/>
        <v>56171.899999999994</v>
      </c>
      <c r="K330" s="5">
        <f t="shared" si="40"/>
        <v>153614.39999999999</v>
      </c>
      <c r="L330" s="5">
        <f t="shared" si="41"/>
        <v>153614.39999999999</v>
      </c>
      <c r="M330" s="5">
        <f t="shared" si="42"/>
        <v>0</v>
      </c>
      <c r="N330" s="3"/>
    </row>
    <row r="331" spans="1:14" x14ac:dyDescent="0.25">
      <c r="A331" s="2">
        <v>1200701</v>
      </c>
      <c r="B331" s="3">
        <v>27125</v>
      </c>
      <c r="C331" s="3">
        <v>48070</v>
      </c>
      <c r="D331" s="3">
        <v>20450</v>
      </c>
      <c r="E331" s="3">
        <v>55859.399999999994</v>
      </c>
      <c r="F331">
        <f t="shared" si="35"/>
        <v>1200701</v>
      </c>
      <c r="G331" s="3">
        <f t="shared" si="36"/>
        <v>27125</v>
      </c>
      <c r="H331" s="3">
        <f t="shared" si="37"/>
        <v>48070</v>
      </c>
      <c r="I331" s="3">
        <f t="shared" si="38"/>
        <v>20450</v>
      </c>
      <c r="J331" s="3">
        <f t="shared" si="39"/>
        <v>55859.399999999994</v>
      </c>
      <c r="K331" s="5">
        <f t="shared" si="40"/>
        <v>151504.4</v>
      </c>
      <c r="L331" s="5">
        <f t="shared" si="41"/>
        <v>153614.39999999999</v>
      </c>
      <c r="M331" s="5">
        <f t="shared" si="42"/>
        <v>-2110</v>
      </c>
      <c r="N331" s="3"/>
    </row>
    <row r="332" spans="1:14" x14ac:dyDescent="0.25">
      <c r="A332" s="2">
        <v>1200702</v>
      </c>
      <c r="B332" s="3">
        <v>27675</v>
      </c>
      <c r="C332" s="3">
        <v>48990</v>
      </c>
      <c r="D332" s="3">
        <v>20687.5</v>
      </c>
      <c r="E332" s="3">
        <v>55937.5</v>
      </c>
      <c r="F332">
        <f t="shared" si="35"/>
        <v>1200702</v>
      </c>
      <c r="G332" s="3">
        <f t="shared" si="36"/>
        <v>27675</v>
      </c>
      <c r="H332" s="3">
        <f t="shared" si="37"/>
        <v>48990</v>
      </c>
      <c r="I332" s="3">
        <f t="shared" si="38"/>
        <v>20687.5</v>
      </c>
      <c r="J332" s="3">
        <f t="shared" si="39"/>
        <v>55937.5</v>
      </c>
      <c r="K332" s="5">
        <f t="shared" si="40"/>
        <v>153290</v>
      </c>
      <c r="L332" s="5">
        <f t="shared" si="41"/>
        <v>153290</v>
      </c>
      <c r="M332" s="5">
        <f t="shared" si="42"/>
        <v>0</v>
      </c>
      <c r="N332" s="3"/>
    </row>
    <row r="333" spans="1:14" x14ac:dyDescent="0.25">
      <c r="A333" s="2">
        <v>1200703</v>
      </c>
      <c r="B333" s="3">
        <v>28075</v>
      </c>
      <c r="C333" s="3">
        <v>46710</v>
      </c>
      <c r="D333" s="3">
        <v>20506.25</v>
      </c>
      <c r="E333" s="3">
        <v>56406.25</v>
      </c>
      <c r="F333">
        <f t="shared" si="35"/>
        <v>1200703</v>
      </c>
      <c r="G333" s="3">
        <f t="shared" si="36"/>
        <v>28075</v>
      </c>
      <c r="H333" s="3">
        <f t="shared" si="37"/>
        <v>46710</v>
      </c>
      <c r="I333" s="3">
        <f t="shared" si="38"/>
        <v>20506.25</v>
      </c>
      <c r="J333" s="3">
        <f t="shared" si="39"/>
        <v>56406.25</v>
      </c>
      <c r="K333" s="5">
        <f t="shared" si="40"/>
        <v>151697.5</v>
      </c>
      <c r="L333" s="5">
        <f t="shared" si="41"/>
        <v>153290</v>
      </c>
      <c r="M333" s="5">
        <f t="shared" si="42"/>
        <v>-1592.5</v>
      </c>
      <c r="N333" s="3"/>
    </row>
    <row r="334" spans="1:14" x14ac:dyDescent="0.25">
      <c r="A334" s="2">
        <v>1200705</v>
      </c>
      <c r="B334" s="3">
        <v>27618.75</v>
      </c>
      <c r="C334" s="3">
        <v>47020</v>
      </c>
      <c r="D334" s="3">
        <v>20537.5</v>
      </c>
      <c r="E334" s="3">
        <v>56093.75</v>
      </c>
      <c r="F334">
        <f t="shared" si="35"/>
        <v>1200705</v>
      </c>
      <c r="G334" s="3">
        <f t="shared" si="36"/>
        <v>27618.75</v>
      </c>
      <c r="H334" s="3">
        <f t="shared" si="37"/>
        <v>47020</v>
      </c>
      <c r="I334" s="3">
        <f t="shared" si="38"/>
        <v>20537.5</v>
      </c>
      <c r="J334" s="3">
        <f t="shared" si="39"/>
        <v>56093.75</v>
      </c>
      <c r="K334" s="5">
        <f t="shared" si="40"/>
        <v>151270</v>
      </c>
      <c r="L334" s="5">
        <f t="shared" si="41"/>
        <v>151697.5</v>
      </c>
      <c r="M334" s="5">
        <f t="shared" si="42"/>
        <v>-427.5</v>
      </c>
      <c r="N334" s="3"/>
    </row>
    <row r="335" spans="1:14" x14ac:dyDescent="0.25">
      <c r="A335" s="2">
        <v>1200706</v>
      </c>
      <c r="B335" s="3">
        <v>26800</v>
      </c>
      <c r="C335" s="3">
        <v>47020</v>
      </c>
      <c r="D335" s="3">
        <v>20656.25</v>
      </c>
      <c r="E335" s="3">
        <v>56875</v>
      </c>
      <c r="F335">
        <f t="shared" si="35"/>
        <v>1200706</v>
      </c>
      <c r="G335" s="3">
        <f t="shared" si="36"/>
        <v>26800</v>
      </c>
      <c r="H335" s="3">
        <f t="shared" si="37"/>
        <v>47020</v>
      </c>
      <c r="I335" s="3">
        <f t="shared" si="38"/>
        <v>20656.25</v>
      </c>
      <c r="J335" s="3">
        <f t="shared" si="39"/>
        <v>56875</v>
      </c>
      <c r="K335" s="5">
        <f t="shared" si="40"/>
        <v>151351.25</v>
      </c>
      <c r="L335" s="5">
        <f t="shared" si="41"/>
        <v>151351.25</v>
      </c>
      <c r="M335" s="5">
        <f t="shared" si="42"/>
        <v>0</v>
      </c>
      <c r="N335" s="3"/>
    </row>
    <row r="336" spans="1:14" x14ac:dyDescent="0.25">
      <c r="A336" s="2">
        <v>1200707</v>
      </c>
      <c r="B336" s="3">
        <v>26431.25</v>
      </c>
      <c r="C336" s="3">
        <v>47760</v>
      </c>
      <c r="D336" s="3">
        <v>20693.75</v>
      </c>
      <c r="E336" s="3">
        <v>56328.100000000006</v>
      </c>
      <c r="F336">
        <f t="shared" si="35"/>
        <v>1200707</v>
      </c>
      <c r="G336" s="3">
        <f t="shared" si="36"/>
        <v>26431.25</v>
      </c>
      <c r="H336" s="3">
        <f t="shared" si="37"/>
        <v>47760</v>
      </c>
      <c r="I336" s="3">
        <f t="shared" si="38"/>
        <v>20693.75</v>
      </c>
      <c r="J336" s="3">
        <f t="shared" si="39"/>
        <v>56328.100000000006</v>
      </c>
      <c r="K336" s="5">
        <f t="shared" si="40"/>
        <v>151213.1</v>
      </c>
      <c r="L336" s="5">
        <f t="shared" si="41"/>
        <v>151351.25</v>
      </c>
      <c r="M336" s="5">
        <f t="shared" si="42"/>
        <v>-138.14999999999418</v>
      </c>
      <c r="N336" s="3"/>
    </row>
    <row r="337" spans="1:14" x14ac:dyDescent="0.25">
      <c r="A337" s="2">
        <v>1200708</v>
      </c>
      <c r="B337" s="3">
        <v>25618.75</v>
      </c>
      <c r="C337" s="3">
        <v>45290</v>
      </c>
      <c r="D337" s="3">
        <v>20531.25</v>
      </c>
      <c r="E337" s="3">
        <v>55625</v>
      </c>
      <c r="F337">
        <f t="shared" si="35"/>
        <v>1200708</v>
      </c>
      <c r="G337" s="3">
        <f t="shared" si="36"/>
        <v>25618.75</v>
      </c>
      <c r="H337" s="3">
        <f t="shared" si="37"/>
        <v>45290</v>
      </c>
      <c r="I337" s="3">
        <f t="shared" si="38"/>
        <v>20531.25</v>
      </c>
      <c r="J337" s="3">
        <f t="shared" si="39"/>
        <v>55625</v>
      </c>
      <c r="K337" s="5">
        <f t="shared" si="40"/>
        <v>147065</v>
      </c>
      <c r="L337" s="5">
        <f t="shared" si="41"/>
        <v>151213.1</v>
      </c>
      <c r="M337" s="5">
        <f t="shared" si="42"/>
        <v>-4148.1000000000058</v>
      </c>
      <c r="N337" s="3"/>
    </row>
    <row r="338" spans="1:14" x14ac:dyDescent="0.25">
      <c r="A338" s="2">
        <v>1200709</v>
      </c>
      <c r="B338" s="3">
        <v>25712.5</v>
      </c>
      <c r="C338" s="3">
        <v>46300</v>
      </c>
      <c r="D338" s="3">
        <v>20400</v>
      </c>
      <c r="E338" s="3">
        <v>56015.600000000006</v>
      </c>
      <c r="F338">
        <f t="shared" si="35"/>
        <v>1200709</v>
      </c>
      <c r="G338" s="3">
        <f t="shared" si="36"/>
        <v>25712.5</v>
      </c>
      <c r="H338" s="3">
        <f t="shared" si="37"/>
        <v>46300</v>
      </c>
      <c r="I338" s="3">
        <f t="shared" si="38"/>
        <v>20400</v>
      </c>
      <c r="J338" s="3">
        <f t="shared" si="39"/>
        <v>56015.600000000006</v>
      </c>
      <c r="K338" s="5">
        <f t="shared" si="40"/>
        <v>148428.1</v>
      </c>
      <c r="L338" s="5">
        <f t="shared" si="41"/>
        <v>148428.1</v>
      </c>
      <c r="M338" s="5">
        <f t="shared" si="42"/>
        <v>0</v>
      </c>
      <c r="N338" s="3"/>
    </row>
    <row r="339" spans="1:14" x14ac:dyDescent="0.25">
      <c r="A339" s="2">
        <v>1200710</v>
      </c>
      <c r="B339" s="3">
        <v>26312.5</v>
      </c>
      <c r="C339" s="3">
        <v>47680</v>
      </c>
      <c r="D339" s="3">
        <v>20756.25</v>
      </c>
      <c r="E339" s="3">
        <v>56640.600000000006</v>
      </c>
      <c r="F339">
        <f t="shared" si="35"/>
        <v>1200710</v>
      </c>
      <c r="G339" s="3">
        <f t="shared" si="36"/>
        <v>26312.5</v>
      </c>
      <c r="H339" s="3">
        <f t="shared" si="37"/>
        <v>47680</v>
      </c>
      <c r="I339" s="3">
        <f t="shared" si="38"/>
        <v>20756.25</v>
      </c>
      <c r="J339" s="3">
        <f t="shared" si="39"/>
        <v>56640.600000000006</v>
      </c>
      <c r="K339" s="5">
        <f t="shared" si="40"/>
        <v>151389.35</v>
      </c>
      <c r="L339" s="5">
        <f t="shared" si="41"/>
        <v>151389.35</v>
      </c>
      <c r="M339" s="5">
        <f t="shared" si="42"/>
        <v>0</v>
      </c>
      <c r="N339" s="3"/>
    </row>
    <row r="340" spans="1:14" x14ac:dyDescent="0.25">
      <c r="A340" s="2">
        <v>1200712</v>
      </c>
      <c r="B340" s="3">
        <v>26900</v>
      </c>
      <c r="C340" s="3">
        <v>47020</v>
      </c>
      <c r="D340" s="3">
        <v>20800</v>
      </c>
      <c r="E340" s="3">
        <v>55625</v>
      </c>
      <c r="F340">
        <f t="shared" si="35"/>
        <v>1200712</v>
      </c>
      <c r="G340" s="3">
        <f t="shared" si="36"/>
        <v>26900</v>
      </c>
      <c r="H340" s="3">
        <f t="shared" si="37"/>
        <v>47020</v>
      </c>
      <c r="I340" s="3">
        <f t="shared" si="38"/>
        <v>20800</v>
      </c>
      <c r="J340" s="3">
        <f t="shared" si="39"/>
        <v>55625</v>
      </c>
      <c r="K340" s="5">
        <f t="shared" si="40"/>
        <v>150345</v>
      </c>
      <c r="L340" s="5">
        <f t="shared" si="41"/>
        <v>151389.35</v>
      </c>
      <c r="M340" s="5">
        <f t="shared" si="42"/>
        <v>-1044.3500000000058</v>
      </c>
      <c r="N340" s="3"/>
    </row>
    <row r="341" spans="1:14" x14ac:dyDescent="0.25">
      <c r="A341" s="2">
        <v>1200713</v>
      </c>
      <c r="B341" s="3">
        <v>26831.25</v>
      </c>
      <c r="C341" s="3">
        <v>47240</v>
      </c>
      <c r="D341" s="3">
        <v>20775</v>
      </c>
      <c r="E341" s="3">
        <v>55625</v>
      </c>
      <c r="F341">
        <f t="shared" si="35"/>
        <v>1200713</v>
      </c>
      <c r="G341" s="3">
        <f t="shared" si="36"/>
        <v>26831.25</v>
      </c>
      <c r="H341" s="3">
        <f t="shared" si="37"/>
        <v>47240</v>
      </c>
      <c r="I341" s="3">
        <f t="shared" si="38"/>
        <v>20775</v>
      </c>
      <c r="J341" s="3">
        <f t="shared" si="39"/>
        <v>55625</v>
      </c>
      <c r="K341" s="5">
        <f t="shared" si="40"/>
        <v>150471.25</v>
      </c>
      <c r="L341" s="5">
        <f t="shared" si="41"/>
        <v>150471.25</v>
      </c>
      <c r="M341" s="5">
        <f t="shared" si="42"/>
        <v>0</v>
      </c>
      <c r="N341" s="3"/>
    </row>
    <row r="342" spans="1:14" x14ac:dyDescent="0.25">
      <c r="A342" s="2">
        <v>1200714</v>
      </c>
      <c r="B342" s="3">
        <v>25762.5</v>
      </c>
      <c r="C342" s="3">
        <v>46500</v>
      </c>
      <c r="D342" s="3">
        <v>21168.75</v>
      </c>
      <c r="E342" s="3">
        <v>54453.100000000006</v>
      </c>
      <c r="F342">
        <f t="shared" si="35"/>
        <v>1200714</v>
      </c>
      <c r="G342" s="3">
        <f t="shared" si="36"/>
        <v>25762.5</v>
      </c>
      <c r="H342" s="3">
        <f t="shared" si="37"/>
        <v>46500</v>
      </c>
      <c r="I342" s="3">
        <f t="shared" si="38"/>
        <v>21168.75</v>
      </c>
      <c r="J342" s="3">
        <f t="shared" si="39"/>
        <v>54453.100000000006</v>
      </c>
      <c r="K342" s="5">
        <f t="shared" si="40"/>
        <v>147884.35</v>
      </c>
      <c r="L342" s="5">
        <f t="shared" si="41"/>
        <v>150471.25</v>
      </c>
      <c r="M342" s="5">
        <f t="shared" si="42"/>
        <v>-2586.8999999999942</v>
      </c>
      <c r="N342" s="3"/>
    </row>
    <row r="343" spans="1:14" x14ac:dyDescent="0.25">
      <c r="A343" s="2">
        <v>1200715</v>
      </c>
      <c r="B343" s="3">
        <v>27206.25</v>
      </c>
      <c r="C343" s="3">
        <v>46450</v>
      </c>
      <c r="D343" s="3">
        <v>21156.25</v>
      </c>
      <c r="E343" s="3">
        <v>53125</v>
      </c>
      <c r="F343">
        <f t="shared" si="35"/>
        <v>1200715</v>
      </c>
      <c r="G343" s="3">
        <f t="shared" si="36"/>
        <v>27206.25</v>
      </c>
      <c r="H343" s="3">
        <f t="shared" si="37"/>
        <v>46450</v>
      </c>
      <c r="I343" s="3">
        <f t="shared" si="38"/>
        <v>21156.25</v>
      </c>
      <c r="J343" s="3">
        <f t="shared" si="39"/>
        <v>53125</v>
      </c>
      <c r="K343" s="5">
        <f t="shared" si="40"/>
        <v>147937.5</v>
      </c>
      <c r="L343" s="5">
        <f t="shared" si="41"/>
        <v>147937.5</v>
      </c>
      <c r="M343" s="5">
        <f t="shared" si="42"/>
        <v>0</v>
      </c>
      <c r="N343" s="3"/>
    </row>
    <row r="344" spans="1:14" x14ac:dyDescent="0.25">
      <c r="A344" s="2">
        <v>1200716</v>
      </c>
      <c r="B344" s="3">
        <v>26693.75</v>
      </c>
      <c r="C344" s="3">
        <v>45450</v>
      </c>
      <c r="D344" s="3">
        <v>21562.5</v>
      </c>
      <c r="E344" s="3">
        <v>51640.600000000006</v>
      </c>
      <c r="F344">
        <f t="shared" si="35"/>
        <v>1200716</v>
      </c>
      <c r="G344" s="3">
        <f t="shared" si="36"/>
        <v>26693.75</v>
      </c>
      <c r="H344" s="3">
        <f t="shared" si="37"/>
        <v>45450</v>
      </c>
      <c r="I344" s="3">
        <f t="shared" si="38"/>
        <v>21562.5</v>
      </c>
      <c r="J344" s="3">
        <f t="shared" si="39"/>
        <v>51640.600000000006</v>
      </c>
      <c r="K344" s="5">
        <f t="shared" si="40"/>
        <v>145346.85</v>
      </c>
      <c r="L344" s="5">
        <f t="shared" si="41"/>
        <v>147937.5</v>
      </c>
      <c r="M344" s="5">
        <f t="shared" si="42"/>
        <v>-2590.6499999999942</v>
      </c>
      <c r="N344" s="3"/>
    </row>
    <row r="345" spans="1:14" x14ac:dyDescent="0.25">
      <c r="A345" s="2">
        <v>1200717</v>
      </c>
      <c r="B345" s="3">
        <v>26943.75</v>
      </c>
      <c r="C345" s="3">
        <v>46110</v>
      </c>
      <c r="D345" s="3">
        <v>21225</v>
      </c>
      <c r="E345" s="3">
        <v>52187.5</v>
      </c>
      <c r="F345">
        <f t="shared" ref="F345:F408" si="43">+A345</f>
        <v>1200717</v>
      </c>
      <c r="G345" s="3">
        <f t="shared" si="36"/>
        <v>26943.75</v>
      </c>
      <c r="H345" s="3">
        <f t="shared" si="37"/>
        <v>46110</v>
      </c>
      <c r="I345" s="3">
        <f t="shared" si="38"/>
        <v>21225</v>
      </c>
      <c r="J345" s="3">
        <f t="shared" si="39"/>
        <v>52187.5</v>
      </c>
      <c r="K345" s="5">
        <f t="shared" si="40"/>
        <v>146466.25</v>
      </c>
      <c r="L345" s="5">
        <f t="shared" si="41"/>
        <v>146466.25</v>
      </c>
      <c r="M345" s="5">
        <f t="shared" si="42"/>
        <v>0</v>
      </c>
      <c r="N345" s="3"/>
    </row>
    <row r="346" spans="1:14" x14ac:dyDescent="0.25">
      <c r="A346" s="2">
        <v>1200719</v>
      </c>
      <c r="B346" s="3">
        <v>26900</v>
      </c>
      <c r="C346" s="3">
        <v>47070</v>
      </c>
      <c r="D346" s="3">
        <v>21200</v>
      </c>
      <c r="E346" s="3">
        <v>51875</v>
      </c>
      <c r="F346">
        <f t="shared" si="43"/>
        <v>1200719</v>
      </c>
      <c r="G346" s="3">
        <f t="shared" ref="G346:G409" si="44">+IF(B346&lt;&gt;0,B346,B345)</f>
        <v>26900</v>
      </c>
      <c r="H346" s="3">
        <f t="shared" ref="H346:H409" si="45">+IF(C346&lt;&gt;0,C346,C345)</f>
        <v>47070</v>
      </c>
      <c r="I346" s="3">
        <f t="shared" ref="I346:I409" si="46">+IF(D346&lt;&gt;0,D346,D345)</f>
        <v>21200</v>
      </c>
      <c r="J346" s="3">
        <f t="shared" ref="J346:J409" si="47">+IF(E346&lt;&gt;0,E346,E345)</f>
        <v>51875</v>
      </c>
      <c r="K346" s="5">
        <f t="shared" ref="K346:K409" si="48">+SUM(G346:J346)</f>
        <v>147045</v>
      </c>
      <c r="L346" s="5">
        <f t="shared" si="41"/>
        <v>147045</v>
      </c>
      <c r="M346" s="5">
        <f t="shared" si="42"/>
        <v>0</v>
      </c>
      <c r="N346" s="3"/>
    </row>
    <row r="347" spans="1:14" x14ac:dyDescent="0.25">
      <c r="A347" s="2">
        <v>1200720</v>
      </c>
      <c r="B347" s="3">
        <v>26512.5</v>
      </c>
      <c r="C347" s="3">
        <v>46850</v>
      </c>
      <c r="D347" s="3">
        <v>21081.25</v>
      </c>
      <c r="E347" s="3">
        <v>51484.399999999994</v>
      </c>
      <c r="F347">
        <f t="shared" si="43"/>
        <v>1200720</v>
      </c>
      <c r="G347" s="3">
        <f t="shared" si="44"/>
        <v>26512.5</v>
      </c>
      <c r="H347" s="3">
        <f t="shared" si="45"/>
        <v>46850</v>
      </c>
      <c r="I347" s="3">
        <f t="shared" si="46"/>
        <v>21081.25</v>
      </c>
      <c r="J347" s="3">
        <f t="shared" si="47"/>
        <v>51484.399999999994</v>
      </c>
      <c r="K347" s="5">
        <f t="shared" si="48"/>
        <v>145928.15</v>
      </c>
      <c r="L347" s="5">
        <f t="shared" ref="L347:L410" si="49">+IF(K347&gt;K346,K347,K346)</f>
        <v>147045</v>
      </c>
      <c r="M347" s="5">
        <f t="shared" ref="M347:M410" si="50">+K347-L347</f>
        <v>-1116.8500000000058</v>
      </c>
      <c r="N347" s="3"/>
    </row>
    <row r="348" spans="1:14" x14ac:dyDescent="0.25">
      <c r="A348" s="2">
        <v>1200721</v>
      </c>
      <c r="B348" s="3">
        <v>27531.25</v>
      </c>
      <c r="C348" s="3">
        <v>48180</v>
      </c>
      <c r="D348" s="3">
        <v>20493.75</v>
      </c>
      <c r="E348" s="3">
        <v>51250</v>
      </c>
      <c r="F348">
        <f t="shared" si="43"/>
        <v>1200721</v>
      </c>
      <c r="G348" s="3">
        <f t="shared" si="44"/>
        <v>27531.25</v>
      </c>
      <c r="H348" s="3">
        <f t="shared" si="45"/>
        <v>48180</v>
      </c>
      <c r="I348" s="3">
        <f t="shared" si="46"/>
        <v>20493.75</v>
      </c>
      <c r="J348" s="3">
        <f t="shared" si="47"/>
        <v>51250</v>
      </c>
      <c r="K348" s="5">
        <f t="shared" si="48"/>
        <v>147455</v>
      </c>
      <c r="L348" s="5">
        <f t="shared" si="49"/>
        <v>147455</v>
      </c>
      <c r="M348" s="5">
        <f t="shared" si="50"/>
        <v>0</v>
      </c>
      <c r="N348" s="3"/>
    </row>
    <row r="349" spans="1:14" x14ac:dyDescent="0.25">
      <c r="A349" s="2">
        <v>1200722</v>
      </c>
      <c r="B349" s="3">
        <v>27531.25</v>
      </c>
      <c r="C349" s="3">
        <v>51810</v>
      </c>
      <c r="D349" s="3">
        <v>20725</v>
      </c>
      <c r="E349" s="3">
        <v>51406.25</v>
      </c>
      <c r="F349">
        <f t="shared" si="43"/>
        <v>1200722</v>
      </c>
      <c r="G349" s="3">
        <f t="shared" si="44"/>
        <v>27531.25</v>
      </c>
      <c r="H349" s="3">
        <f t="shared" si="45"/>
        <v>51810</v>
      </c>
      <c r="I349" s="3">
        <f t="shared" si="46"/>
        <v>20725</v>
      </c>
      <c r="J349" s="3">
        <f t="shared" si="47"/>
        <v>51406.25</v>
      </c>
      <c r="K349" s="5">
        <f t="shared" si="48"/>
        <v>151472.5</v>
      </c>
      <c r="L349" s="5">
        <f t="shared" si="49"/>
        <v>151472.5</v>
      </c>
      <c r="M349" s="5">
        <f t="shared" si="50"/>
        <v>0</v>
      </c>
      <c r="N349" s="3"/>
    </row>
    <row r="350" spans="1:14" x14ac:dyDescent="0.25">
      <c r="A350" s="2">
        <v>1200723</v>
      </c>
      <c r="B350" s="3">
        <v>27531.25</v>
      </c>
      <c r="C350" s="3">
        <v>50630</v>
      </c>
      <c r="D350" s="3">
        <v>20600</v>
      </c>
      <c r="E350" s="3">
        <v>51640.600000000006</v>
      </c>
      <c r="F350">
        <f t="shared" si="43"/>
        <v>1200723</v>
      </c>
      <c r="G350" s="3">
        <f t="shared" si="44"/>
        <v>27531.25</v>
      </c>
      <c r="H350" s="3">
        <f t="shared" si="45"/>
        <v>50630</v>
      </c>
      <c r="I350" s="3">
        <f t="shared" si="46"/>
        <v>20600</v>
      </c>
      <c r="J350" s="3">
        <f t="shared" si="47"/>
        <v>51640.600000000006</v>
      </c>
      <c r="K350" s="5">
        <f t="shared" si="48"/>
        <v>150401.85</v>
      </c>
      <c r="L350" s="5">
        <f t="shared" si="49"/>
        <v>151472.5</v>
      </c>
      <c r="M350" s="5">
        <f t="shared" si="50"/>
        <v>-1070.6499999999942</v>
      </c>
      <c r="N350" s="3"/>
    </row>
    <row r="351" spans="1:14" x14ac:dyDescent="0.25">
      <c r="A351" s="2">
        <v>1200724</v>
      </c>
      <c r="B351" s="3">
        <v>28562.5</v>
      </c>
      <c r="C351" s="3">
        <v>51900</v>
      </c>
      <c r="D351" s="3">
        <v>21231.25</v>
      </c>
      <c r="E351" s="3">
        <v>51328.100000000006</v>
      </c>
      <c r="F351">
        <f t="shared" si="43"/>
        <v>1200724</v>
      </c>
      <c r="G351" s="3">
        <f t="shared" si="44"/>
        <v>28562.5</v>
      </c>
      <c r="H351" s="3">
        <f t="shared" si="45"/>
        <v>51900</v>
      </c>
      <c r="I351" s="3">
        <f t="shared" si="46"/>
        <v>21231.25</v>
      </c>
      <c r="J351" s="3">
        <f t="shared" si="47"/>
        <v>51328.100000000006</v>
      </c>
      <c r="K351" s="5">
        <f t="shared" si="48"/>
        <v>153021.85</v>
      </c>
      <c r="L351" s="5">
        <f t="shared" si="49"/>
        <v>153021.85</v>
      </c>
      <c r="M351" s="5">
        <f t="shared" si="50"/>
        <v>0</v>
      </c>
      <c r="N351" s="3"/>
    </row>
    <row r="352" spans="1:14" x14ac:dyDescent="0.25">
      <c r="A352" s="2">
        <v>1200726</v>
      </c>
      <c r="B352" s="3">
        <v>28587.5</v>
      </c>
      <c r="C352" s="3">
        <v>52800</v>
      </c>
      <c r="D352" s="3">
        <v>21712.5</v>
      </c>
      <c r="E352" s="3">
        <v>50390.600000000006</v>
      </c>
      <c r="F352">
        <f t="shared" si="43"/>
        <v>1200726</v>
      </c>
      <c r="G352" s="3">
        <f t="shared" si="44"/>
        <v>28587.5</v>
      </c>
      <c r="H352" s="3">
        <f t="shared" si="45"/>
        <v>52800</v>
      </c>
      <c r="I352" s="3">
        <f t="shared" si="46"/>
        <v>21712.5</v>
      </c>
      <c r="J352" s="3">
        <f t="shared" si="47"/>
        <v>50390.600000000006</v>
      </c>
      <c r="K352" s="5">
        <f t="shared" si="48"/>
        <v>153490.6</v>
      </c>
      <c r="L352" s="5">
        <f t="shared" si="49"/>
        <v>153490.6</v>
      </c>
      <c r="M352" s="5">
        <f t="shared" si="50"/>
        <v>0</v>
      </c>
      <c r="N352" s="3"/>
    </row>
    <row r="353" spans="1:14" x14ac:dyDescent="0.25">
      <c r="A353" s="2">
        <v>1200727</v>
      </c>
      <c r="B353" s="3">
        <v>28100</v>
      </c>
      <c r="C353" s="3">
        <v>54990</v>
      </c>
      <c r="D353" s="3">
        <v>22131.25</v>
      </c>
      <c r="E353" s="3">
        <v>50312.5</v>
      </c>
      <c r="F353">
        <f t="shared" si="43"/>
        <v>1200727</v>
      </c>
      <c r="G353" s="3">
        <f t="shared" si="44"/>
        <v>28100</v>
      </c>
      <c r="H353" s="3">
        <f t="shared" si="45"/>
        <v>54990</v>
      </c>
      <c r="I353" s="3">
        <f t="shared" si="46"/>
        <v>22131.25</v>
      </c>
      <c r="J353" s="3">
        <f t="shared" si="47"/>
        <v>50312.5</v>
      </c>
      <c r="K353" s="5">
        <f t="shared" si="48"/>
        <v>155533.75</v>
      </c>
      <c r="L353" s="5">
        <f t="shared" si="49"/>
        <v>155533.75</v>
      </c>
      <c r="M353" s="5">
        <f t="shared" si="50"/>
        <v>0</v>
      </c>
      <c r="N353" s="3"/>
    </row>
    <row r="354" spans="1:14" x14ac:dyDescent="0.25">
      <c r="A354" s="2">
        <v>1200728</v>
      </c>
      <c r="B354" s="3">
        <v>28100</v>
      </c>
      <c r="C354" s="3">
        <v>55790</v>
      </c>
      <c r="D354" s="3">
        <v>22050</v>
      </c>
      <c r="E354" s="3">
        <v>51718.75</v>
      </c>
      <c r="F354">
        <f t="shared" si="43"/>
        <v>1200728</v>
      </c>
      <c r="G354" s="3">
        <f t="shared" si="44"/>
        <v>28100</v>
      </c>
      <c r="H354" s="3">
        <f t="shared" si="45"/>
        <v>55790</v>
      </c>
      <c r="I354" s="3">
        <f t="shared" si="46"/>
        <v>22050</v>
      </c>
      <c r="J354" s="3">
        <f t="shared" si="47"/>
        <v>51718.75</v>
      </c>
      <c r="K354" s="5">
        <f t="shared" si="48"/>
        <v>157658.75</v>
      </c>
      <c r="L354" s="5">
        <f t="shared" si="49"/>
        <v>157658.75</v>
      </c>
      <c r="M354" s="5">
        <f t="shared" si="50"/>
        <v>0</v>
      </c>
      <c r="N354" s="3"/>
    </row>
    <row r="355" spans="1:14" x14ac:dyDescent="0.25">
      <c r="A355" s="2">
        <v>1200729</v>
      </c>
      <c r="B355" s="3">
        <v>27931.25</v>
      </c>
      <c r="C355" s="3">
        <v>54510</v>
      </c>
      <c r="D355" s="3">
        <v>21637.5</v>
      </c>
      <c r="E355" s="3">
        <v>51640.600000000006</v>
      </c>
      <c r="F355">
        <f t="shared" si="43"/>
        <v>1200729</v>
      </c>
      <c r="G355" s="3">
        <f t="shared" si="44"/>
        <v>27931.25</v>
      </c>
      <c r="H355" s="3">
        <f t="shared" si="45"/>
        <v>54510</v>
      </c>
      <c r="I355" s="3">
        <f t="shared" si="46"/>
        <v>21637.5</v>
      </c>
      <c r="J355" s="3">
        <f t="shared" si="47"/>
        <v>51640.600000000006</v>
      </c>
      <c r="K355" s="5">
        <f t="shared" si="48"/>
        <v>155719.35</v>
      </c>
      <c r="L355" s="5">
        <f t="shared" si="49"/>
        <v>157658.75</v>
      </c>
      <c r="M355" s="5">
        <f t="shared" si="50"/>
        <v>-1939.3999999999942</v>
      </c>
      <c r="N355" s="3"/>
    </row>
    <row r="356" spans="1:14" x14ac:dyDescent="0.25">
      <c r="A356" s="2">
        <v>1200730</v>
      </c>
      <c r="B356" s="3">
        <v>28368.75</v>
      </c>
      <c r="C356" s="3">
        <v>54510</v>
      </c>
      <c r="D356" s="3">
        <v>21250</v>
      </c>
      <c r="E356" s="3">
        <v>51093.75</v>
      </c>
      <c r="F356">
        <f t="shared" si="43"/>
        <v>1200730</v>
      </c>
      <c r="G356" s="3">
        <f t="shared" si="44"/>
        <v>28368.75</v>
      </c>
      <c r="H356" s="3">
        <f t="shared" si="45"/>
        <v>54510</v>
      </c>
      <c r="I356" s="3">
        <f t="shared" si="46"/>
        <v>21250</v>
      </c>
      <c r="J356" s="3">
        <f t="shared" si="47"/>
        <v>51093.75</v>
      </c>
      <c r="K356" s="5">
        <f t="shared" si="48"/>
        <v>155222.5</v>
      </c>
      <c r="L356" s="5">
        <f t="shared" si="49"/>
        <v>155719.35</v>
      </c>
      <c r="M356" s="5">
        <f t="shared" si="50"/>
        <v>-496.85000000000582</v>
      </c>
      <c r="N356" s="3"/>
    </row>
    <row r="357" spans="1:14" x14ac:dyDescent="0.25">
      <c r="A357" s="2">
        <v>1200731</v>
      </c>
      <c r="B357" s="3">
        <v>25793.75</v>
      </c>
      <c r="C357" s="3">
        <v>51960</v>
      </c>
      <c r="D357" s="3">
        <v>21925</v>
      </c>
      <c r="E357" s="3">
        <v>52734.399999999994</v>
      </c>
      <c r="F357">
        <f t="shared" si="43"/>
        <v>1200731</v>
      </c>
      <c r="G357" s="3">
        <f t="shared" si="44"/>
        <v>25793.75</v>
      </c>
      <c r="H357" s="3">
        <f t="shared" si="45"/>
        <v>51960</v>
      </c>
      <c r="I357" s="3">
        <f t="shared" si="46"/>
        <v>21925</v>
      </c>
      <c r="J357" s="3">
        <f t="shared" si="47"/>
        <v>52734.399999999994</v>
      </c>
      <c r="K357" s="5">
        <f t="shared" si="48"/>
        <v>152413.15</v>
      </c>
      <c r="L357" s="5">
        <f t="shared" si="49"/>
        <v>155222.5</v>
      </c>
      <c r="M357" s="5">
        <f t="shared" si="50"/>
        <v>-2809.3500000000058</v>
      </c>
      <c r="N357" s="3"/>
    </row>
    <row r="358" spans="1:14" x14ac:dyDescent="0.25">
      <c r="A358" s="2">
        <v>1200802</v>
      </c>
      <c r="B358" s="3">
        <v>25568.75</v>
      </c>
      <c r="C358" s="3">
        <v>51490</v>
      </c>
      <c r="D358" s="3">
        <v>22343.75</v>
      </c>
      <c r="E358" s="3">
        <v>51406.25</v>
      </c>
      <c r="F358">
        <f t="shared" si="43"/>
        <v>1200802</v>
      </c>
      <c r="G358" s="3">
        <f t="shared" si="44"/>
        <v>25568.75</v>
      </c>
      <c r="H358" s="3">
        <f t="shared" si="45"/>
        <v>51490</v>
      </c>
      <c r="I358" s="3">
        <f t="shared" si="46"/>
        <v>22343.75</v>
      </c>
      <c r="J358" s="3">
        <f t="shared" si="47"/>
        <v>51406.25</v>
      </c>
      <c r="K358" s="5">
        <f t="shared" si="48"/>
        <v>150808.75</v>
      </c>
      <c r="L358" s="5">
        <f t="shared" si="49"/>
        <v>152413.15</v>
      </c>
      <c r="M358" s="5">
        <f t="shared" si="50"/>
        <v>-1604.3999999999942</v>
      </c>
      <c r="N358" s="3"/>
    </row>
    <row r="359" spans="1:14" x14ac:dyDescent="0.25">
      <c r="A359" s="2">
        <v>1200803</v>
      </c>
      <c r="B359" s="3">
        <v>25543.75</v>
      </c>
      <c r="C359" s="3">
        <v>51490</v>
      </c>
      <c r="D359" s="3">
        <v>22387.5</v>
      </c>
      <c r="E359" s="3">
        <v>51953.100000000006</v>
      </c>
      <c r="F359">
        <f t="shared" si="43"/>
        <v>1200803</v>
      </c>
      <c r="G359" s="3">
        <f t="shared" si="44"/>
        <v>25543.75</v>
      </c>
      <c r="H359" s="3">
        <f t="shared" si="45"/>
        <v>51490</v>
      </c>
      <c r="I359" s="3">
        <f t="shared" si="46"/>
        <v>22387.5</v>
      </c>
      <c r="J359" s="3">
        <f t="shared" si="47"/>
        <v>51953.100000000006</v>
      </c>
      <c r="K359" s="5">
        <f t="shared" si="48"/>
        <v>151374.35</v>
      </c>
      <c r="L359" s="5">
        <f t="shared" si="49"/>
        <v>151374.35</v>
      </c>
      <c r="M359" s="5">
        <f t="shared" si="50"/>
        <v>0</v>
      </c>
      <c r="N359" s="3"/>
    </row>
    <row r="360" spans="1:14" x14ac:dyDescent="0.25">
      <c r="A360" s="2">
        <v>1200804</v>
      </c>
      <c r="B360" s="3">
        <v>25037.5</v>
      </c>
      <c r="C360" s="3">
        <v>51060</v>
      </c>
      <c r="D360" s="3">
        <v>22637.5</v>
      </c>
      <c r="E360" s="3">
        <v>51953.100000000006</v>
      </c>
      <c r="F360">
        <f t="shared" si="43"/>
        <v>1200804</v>
      </c>
      <c r="G360" s="3">
        <f t="shared" si="44"/>
        <v>25037.5</v>
      </c>
      <c r="H360" s="3">
        <f t="shared" si="45"/>
        <v>51060</v>
      </c>
      <c r="I360" s="3">
        <f t="shared" si="46"/>
        <v>22637.5</v>
      </c>
      <c r="J360" s="3">
        <f t="shared" si="47"/>
        <v>51953.100000000006</v>
      </c>
      <c r="K360" s="5">
        <f t="shared" si="48"/>
        <v>150688.1</v>
      </c>
      <c r="L360" s="5">
        <f t="shared" si="49"/>
        <v>151374.35</v>
      </c>
      <c r="M360" s="5">
        <f t="shared" si="50"/>
        <v>-686.25</v>
      </c>
      <c r="N360" s="3"/>
    </row>
    <row r="361" spans="1:14" x14ac:dyDescent="0.25">
      <c r="A361" s="2">
        <v>1200805</v>
      </c>
      <c r="B361" s="3">
        <v>25168.75</v>
      </c>
      <c r="C361" s="3">
        <v>47030</v>
      </c>
      <c r="D361" s="3">
        <v>22700</v>
      </c>
      <c r="E361" s="3">
        <v>52187.5</v>
      </c>
      <c r="F361">
        <f t="shared" si="43"/>
        <v>1200805</v>
      </c>
      <c r="G361" s="3">
        <f t="shared" si="44"/>
        <v>25168.75</v>
      </c>
      <c r="H361" s="3">
        <f t="shared" si="45"/>
        <v>47030</v>
      </c>
      <c r="I361" s="3">
        <f t="shared" si="46"/>
        <v>22700</v>
      </c>
      <c r="J361" s="3">
        <f t="shared" si="47"/>
        <v>52187.5</v>
      </c>
      <c r="K361" s="5">
        <f t="shared" si="48"/>
        <v>147086.25</v>
      </c>
      <c r="L361" s="5">
        <f t="shared" si="49"/>
        <v>150688.1</v>
      </c>
      <c r="M361" s="5">
        <f t="shared" si="50"/>
        <v>-3601.8500000000058</v>
      </c>
      <c r="N361" s="3"/>
    </row>
    <row r="362" spans="1:14" x14ac:dyDescent="0.25">
      <c r="A362" s="2">
        <v>1200806</v>
      </c>
      <c r="B362" s="3">
        <v>25043.75</v>
      </c>
      <c r="C362" s="3">
        <v>44810</v>
      </c>
      <c r="D362" s="3">
        <v>22300</v>
      </c>
      <c r="E362" s="3">
        <v>52031.25</v>
      </c>
      <c r="F362">
        <f t="shared" si="43"/>
        <v>1200806</v>
      </c>
      <c r="G362" s="3">
        <f t="shared" si="44"/>
        <v>25043.75</v>
      </c>
      <c r="H362" s="3">
        <f t="shared" si="45"/>
        <v>44810</v>
      </c>
      <c r="I362" s="3">
        <f t="shared" si="46"/>
        <v>22300</v>
      </c>
      <c r="J362" s="3">
        <f t="shared" si="47"/>
        <v>52031.25</v>
      </c>
      <c r="K362" s="5">
        <f t="shared" si="48"/>
        <v>144185</v>
      </c>
      <c r="L362" s="5">
        <f t="shared" si="49"/>
        <v>147086.25</v>
      </c>
      <c r="M362" s="5">
        <f t="shared" si="50"/>
        <v>-2901.25</v>
      </c>
      <c r="N362" s="3"/>
    </row>
    <row r="363" spans="1:14" x14ac:dyDescent="0.25">
      <c r="A363" s="2">
        <v>1200807</v>
      </c>
      <c r="B363" s="3">
        <v>25275</v>
      </c>
      <c r="C363" s="3">
        <v>45260</v>
      </c>
      <c r="D363" s="3">
        <v>22250</v>
      </c>
      <c r="E363" s="3">
        <v>50859.399999999994</v>
      </c>
      <c r="F363">
        <f t="shared" si="43"/>
        <v>1200807</v>
      </c>
      <c r="G363" s="3">
        <f t="shared" si="44"/>
        <v>25275</v>
      </c>
      <c r="H363" s="3">
        <f t="shared" si="45"/>
        <v>45260</v>
      </c>
      <c r="I363" s="3">
        <f t="shared" si="46"/>
        <v>22250</v>
      </c>
      <c r="J363" s="3">
        <f t="shared" si="47"/>
        <v>50859.399999999994</v>
      </c>
      <c r="K363" s="5">
        <f t="shared" si="48"/>
        <v>143644.4</v>
      </c>
      <c r="L363" s="5">
        <f t="shared" si="49"/>
        <v>144185</v>
      </c>
      <c r="M363" s="5">
        <f t="shared" si="50"/>
        <v>-540.60000000000582</v>
      </c>
      <c r="N363" s="3"/>
    </row>
    <row r="364" spans="1:14" x14ac:dyDescent="0.25">
      <c r="A364" s="2">
        <v>1200809</v>
      </c>
      <c r="B364" s="3">
        <v>24731.25</v>
      </c>
      <c r="C364" s="3">
        <v>46150</v>
      </c>
      <c r="D364" s="3">
        <v>22250</v>
      </c>
      <c r="E364" s="3">
        <v>51171.899999999994</v>
      </c>
      <c r="F364">
        <f t="shared" si="43"/>
        <v>1200809</v>
      </c>
      <c r="G364" s="3">
        <f t="shared" si="44"/>
        <v>24731.25</v>
      </c>
      <c r="H364" s="3">
        <f t="shared" si="45"/>
        <v>46150</v>
      </c>
      <c r="I364" s="3">
        <f t="shared" si="46"/>
        <v>22250</v>
      </c>
      <c r="J364" s="3">
        <f t="shared" si="47"/>
        <v>51171.899999999994</v>
      </c>
      <c r="K364" s="5">
        <f t="shared" si="48"/>
        <v>144303.15</v>
      </c>
      <c r="L364" s="5">
        <f t="shared" si="49"/>
        <v>144303.15</v>
      </c>
      <c r="M364" s="5">
        <f t="shared" si="50"/>
        <v>0</v>
      </c>
      <c r="N364" s="3"/>
    </row>
    <row r="365" spans="1:14" x14ac:dyDescent="0.25">
      <c r="A365" s="2">
        <v>1200810</v>
      </c>
      <c r="B365" s="3">
        <v>24393.75</v>
      </c>
      <c r="C365" s="3">
        <v>45790</v>
      </c>
      <c r="D365" s="3">
        <v>22087.5</v>
      </c>
      <c r="E365" s="3">
        <v>51562.5</v>
      </c>
      <c r="F365">
        <f t="shared" si="43"/>
        <v>1200810</v>
      </c>
      <c r="G365" s="3">
        <f t="shared" si="44"/>
        <v>24393.75</v>
      </c>
      <c r="H365" s="3">
        <f t="shared" si="45"/>
        <v>45790</v>
      </c>
      <c r="I365" s="3">
        <f t="shared" si="46"/>
        <v>22087.5</v>
      </c>
      <c r="J365" s="3">
        <f t="shared" si="47"/>
        <v>51562.5</v>
      </c>
      <c r="K365" s="5">
        <f t="shared" si="48"/>
        <v>143833.75</v>
      </c>
      <c r="L365" s="5">
        <f t="shared" si="49"/>
        <v>144303.15</v>
      </c>
      <c r="M365" s="5">
        <f t="shared" si="50"/>
        <v>-469.39999999999418</v>
      </c>
      <c r="N365" s="3"/>
    </row>
    <row r="366" spans="1:14" x14ac:dyDescent="0.25">
      <c r="A366" s="2">
        <v>1200811</v>
      </c>
      <c r="B366" s="3">
        <v>24293.75</v>
      </c>
      <c r="C366" s="3">
        <v>43900</v>
      </c>
      <c r="D366" s="3">
        <v>21812.5</v>
      </c>
      <c r="E366" s="3">
        <v>49609.399999999994</v>
      </c>
      <c r="F366">
        <f t="shared" si="43"/>
        <v>1200811</v>
      </c>
      <c r="G366" s="3">
        <f t="shared" si="44"/>
        <v>24293.75</v>
      </c>
      <c r="H366" s="3">
        <f t="shared" si="45"/>
        <v>43900</v>
      </c>
      <c r="I366" s="3">
        <f t="shared" si="46"/>
        <v>21812.5</v>
      </c>
      <c r="J366" s="3">
        <f t="shared" si="47"/>
        <v>49609.399999999994</v>
      </c>
      <c r="K366" s="5">
        <f t="shared" si="48"/>
        <v>139615.65</v>
      </c>
      <c r="L366" s="5">
        <f t="shared" si="49"/>
        <v>143833.75</v>
      </c>
      <c r="M366" s="5">
        <f t="shared" si="50"/>
        <v>-4218.1000000000058</v>
      </c>
      <c r="N366" s="3"/>
    </row>
    <row r="367" spans="1:14" x14ac:dyDescent="0.25">
      <c r="A367" s="2">
        <v>1200812</v>
      </c>
      <c r="B367" s="3">
        <v>24981.25</v>
      </c>
      <c r="C367" s="3">
        <v>54400</v>
      </c>
      <c r="D367" s="3">
        <v>22093.75</v>
      </c>
      <c r="E367" s="3">
        <v>50390.600000000006</v>
      </c>
      <c r="F367">
        <f t="shared" si="43"/>
        <v>1200812</v>
      </c>
      <c r="G367" s="3">
        <f t="shared" si="44"/>
        <v>24981.25</v>
      </c>
      <c r="H367" s="3">
        <f t="shared" si="45"/>
        <v>54400</v>
      </c>
      <c r="I367" s="3">
        <f t="shared" si="46"/>
        <v>22093.75</v>
      </c>
      <c r="J367" s="3">
        <f t="shared" si="47"/>
        <v>50390.600000000006</v>
      </c>
      <c r="K367" s="5">
        <f t="shared" si="48"/>
        <v>151865.60000000001</v>
      </c>
      <c r="L367" s="5">
        <f t="shared" si="49"/>
        <v>151865.60000000001</v>
      </c>
      <c r="M367" s="5">
        <f t="shared" si="50"/>
        <v>0</v>
      </c>
      <c r="N367" s="3"/>
    </row>
    <row r="368" spans="1:14" x14ac:dyDescent="0.25">
      <c r="A368" s="2">
        <v>1200813</v>
      </c>
      <c r="B368" s="3">
        <v>24256.25</v>
      </c>
      <c r="C368" s="3">
        <v>48940</v>
      </c>
      <c r="D368" s="3">
        <v>21668.75</v>
      </c>
      <c r="E368" s="3">
        <v>50390.600000000006</v>
      </c>
      <c r="F368">
        <f t="shared" si="43"/>
        <v>1200813</v>
      </c>
      <c r="G368" s="3">
        <f t="shared" si="44"/>
        <v>24256.25</v>
      </c>
      <c r="H368" s="3">
        <f t="shared" si="45"/>
        <v>48940</v>
      </c>
      <c r="I368" s="3">
        <f t="shared" si="46"/>
        <v>21668.75</v>
      </c>
      <c r="J368" s="3">
        <f t="shared" si="47"/>
        <v>50390.600000000006</v>
      </c>
      <c r="K368" s="5">
        <f t="shared" si="48"/>
        <v>145255.6</v>
      </c>
      <c r="L368" s="5">
        <f t="shared" si="49"/>
        <v>151865.60000000001</v>
      </c>
      <c r="M368" s="5">
        <f t="shared" si="50"/>
        <v>-6610</v>
      </c>
      <c r="N368" s="3"/>
    </row>
    <row r="369" spans="1:14" x14ac:dyDescent="0.25">
      <c r="A369" s="2">
        <v>1200814</v>
      </c>
      <c r="B369" s="3">
        <v>23756.25</v>
      </c>
      <c r="C369" s="3">
        <v>44250</v>
      </c>
      <c r="D369" s="3">
        <v>21593.75</v>
      </c>
      <c r="E369" s="3">
        <v>51953.100000000006</v>
      </c>
      <c r="F369">
        <f t="shared" si="43"/>
        <v>1200814</v>
      </c>
      <c r="G369" s="3">
        <f t="shared" si="44"/>
        <v>23756.25</v>
      </c>
      <c r="H369" s="3">
        <f t="shared" si="45"/>
        <v>44250</v>
      </c>
      <c r="I369" s="3">
        <f t="shared" si="46"/>
        <v>21593.75</v>
      </c>
      <c r="J369" s="3">
        <f t="shared" si="47"/>
        <v>51953.100000000006</v>
      </c>
      <c r="K369" s="5">
        <f t="shared" si="48"/>
        <v>141553.1</v>
      </c>
      <c r="L369" s="5">
        <f t="shared" si="49"/>
        <v>145255.6</v>
      </c>
      <c r="M369" s="5">
        <f t="shared" si="50"/>
        <v>-3702.5</v>
      </c>
      <c r="N369" s="3"/>
    </row>
    <row r="370" spans="1:14" x14ac:dyDescent="0.25">
      <c r="A370" s="2">
        <v>1200816</v>
      </c>
      <c r="B370" s="3">
        <v>23887.5</v>
      </c>
      <c r="C370" s="3">
        <v>44380</v>
      </c>
      <c r="D370" s="3">
        <v>21437.5</v>
      </c>
      <c r="E370" s="3">
        <v>50937.5</v>
      </c>
      <c r="F370">
        <f t="shared" si="43"/>
        <v>1200816</v>
      </c>
      <c r="G370" s="3">
        <f t="shared" si="44"/>
        <v>23887.5</v>
      </c>
      <c r="H370" s="3">
        <f t="shared" si="45"/>
        <v>44380</v>
      </c>
      <c r="I370" s="3">
        <f t="shared" si="46"/>
        <v>21437.5</v>
      </c>
      <c r="J370" s="3">
        <f t="shared" si="47"/>
        <v>50937.5</v>
      </c>
      <c r="K370" s="5">
        <f t="shared" si="48"/>
        <v>140642.5</v>
      </c>
      <c r="L370" s="5">
        <f t="shared" si="49"/>
        <v>141553.1</v>
      </c>
      <c r="M370" s="5">
        <f t="shared" si="50"/>
        <v>-910.60000000000582</v>
      </c>
      <c r="N370" s="3"/>
    </row>
    <row r="371" spans="1:14" x14ac:dyDescent="0.25">
      <c r="A371" s="2">
        <v>1200817</v>
      </c>
      <c r="B371" s="3">
        <v>23887.5</v>
      </c>
      <c r="C371" s="3">
        <v>44380</v>
      </c>
      <c r="D371" s="3">
        <v>21437.5</v>
      </c>
      <c r="E371" s="3">
        <v>51406.25</v>
      </c>
      <c r="F371">
        <f t="shared" si="43"/>
        <v>1200817</v>
      </c>
      <c r="G371" s="3">
        <f t="shared" si="44"/>
        <v>23887.5</v>
      </c>
      <c r="H371" s="3">
        <f t="shared" si="45"/>
        <v>44380</v>
      </c>
      <c r="I371" s="3">
        <f t="shared" si="46"/>
        <v>21437.5</v>
      </c>
      <c r="J371" s="3">
        <f t="shared" si="47"/>
        <v>51406.25</v>
      </c>
      <c r="K371" s="5">
        <f t="shared" si="48"/>
        <v>141111.25</v>
      </c>
      <c r="L371" s="5">
        <f t="shared" si="49"/>
        <v>141111.25</v>
      </c>
      <c r="M371" s="5">
        <f t="shared" si="50"/>
        <v>0</v>
      </c>
      <c r="N371" s="3"/>
    </row>
    <row r="372" spans="1:14" x14ac:dyDescent="0.25">
      <c r="A372" s="2">
        <v>1200818</v>
      </c>
      <c r="B372" s="3">
        <v>23887.5</v>
      </c>
      <c r="C372" s="3">
        <v>47550</v>
      </c>
      <c r="D372" s="3">
        <v>22500</v>
      </c>
      <c r="E372" s="3">
        <v>52265.600000000006</v>
      </c>
      <c r="F372">
        <f t="shared" si="43"/>
        <v>1200818</v>
      </c>
      <c r="G372" s="3">
        <f t="shared" si="44"/>
        <v>23887.5</v>
      </c>
      <c r="H372" s="3">
        <f t="shared" si="45"/>
        <v>47550</v>
      </c>
      <c r="I372" s="3">
        <f t="shared" si="46"/>
        <v>22500</v>
      </c>
      <c r="J372" s="3">
        <f t="shared" si="47"/>
        <v>52265.600000000006</v>
      </c>
      <c r="K372" s="5">
        <f t="shared" si="48"/>
        <v>146203.1</v>
      </c>
      <c r="L372" s="5">
        <f t="shared" si="49"/>
        <v>146203.1</v>
      </c>
      <c r="M372" s="5">
        <f t="shared" si="50"/>
        <v>0</v>
      </c>
      <c r="N372" s="3"/>
    </row>
    <row r="373" spans="1:14" x14ac:dyDescent="0.25">
      <c r="A373" s="2">
        <v>1200819</v>
      </c>
      <c r="B373" s="3">
        <v>23156.25</v>
      </c>
      <c r="C373" s="3">
        <v>48850</v>
      </c>
      <c r="D373" s="3">
        <v>22587.5</v>
      </c>
      <c r="E373" s="3">
        <v>51015.600000000006</v>
      </c>
      <c r="F373">
        <f t="shared" si="43"/>
        <v>1200819</v>
      </c>
      <c r="G373" s="3">
        <f t="shared" si="44"/>
        <v>23156.25</v>
      </c>
      <c r="H373" s="3">
        <f t="shared" si="45"/>
        <v>48850</v>
      </c>
      <c r="I373" s="3">
        <f t="shared" si="46"/>
        <v>22587.5</v>
      </c>
      <c r="J373" s="3">
        <f t="shared" si="47"/>
        <v>51015.600000000006</v>
      </c>
      <c r="K373" s="5">
        <f t="shared" si="48"/>
        <v>145609.35</v>
      </c>
      <c r="L373" s="5">
        <f t="shared" si="49"/>
        <v>146203.1</v>
      </c>
      <c r="M373" s="5">
        <f t="shared" si="50"/>
        <v>-593.75</v>
      </c>
      <c r="N373" s="3"/>
    </row>
    <row r="374" spans="1:14" x14ac:dyDescent="0.25">
      <c r="A374" s="2">
        <v>1200820</v>
      </c>
      <c r="B374" s="3">
        <v>23587.5</v>
      </c>
      <c r="C374" s="3">
        <v>51980</v>
      </c>
      <c r="D374" s="3">
        <v>23081.25</v>
      </c>
      <c r="E374" s="3">
        <v>50234.399999999994</v>
      </c>
      <c r="F374">
        <f t="shared" si="43"/>
        <v>1200820</v>
      </c>
      <c r="G374" s="3">
        <f t="shared" si="44"/>
        <v>23587.5</v>
      </c>
      <c r="H374" s="3">
        <f t="shared" si="45"/>
        <v>51980</v>
      </c>
      <c r="I374" s="3">
        <f t="shared" si="46"/>
        <v>23081.25</v>
      </c>
      <c r="J374" s="3">
        <f t="shared" si="47"/>
        <v>50234.399999999994</v>
      </c>
      <c r="K374" s="5">
        <f t="shared" si="48"/>
        <v>148883.15</v>
      </c>
      <c r="L374" s="5">
        <f t="shared" si="49"/>
        <v>148883.15</v>
      </c>
      <c r="M374" s="5">
        <f t="shared" si="50"/>
        <v>0</v>
      </c>
      <c r="N374" s="3"/>
    </row>
    <row r="375" spans="1:14" x14ac:dyDescent="0.25">
      <c r="A375" s="2">
        <v>1200821</v>
      </c>
      <c r="B375" s="3">
        <v>23750</v>
      </c>
      <c r="C375" s="3">
        <v>53530</v>
      </c>
      <c r="D375" s="3">
        <v>23200</v>
      </c>
      <c r="E375" s="3">
        <v>50156.25</v>
      </c>
      <c r="F375">
        <f t="shared" si="43"/>
        <v>1200821</v>
      </c>
      <c r="G375" s="3">
        <f t="shared" si="44"/>
        <v>23750</v>
      </c>
      <c r="H375" s="3">
        <f t="shared" si="45"/>
        <v>53530</v>
      </c>
      <c r="I375" s="3">
        <f t="shared" si="46"/>
        <v>23200</v>
      </c>
      <c r="J375" s="3">
        <f t="shared" si="47"/>
        <v>50156.25</v>
      </c>
      <c r="K375" s="5">
        <f t="shared" si="48"/>
        <v>150636.25</v>
      </c>
      <c r="L375" s="5">
        <f t="shared" si="49"/>
        <v>150636.25</v>
      </c>
      <c r="M375" s="5">
        <f t="shared" si="50"/>
        <v>0</v>
      </c>
      <c r="N375" s="3"/>
    </row>
    <row r="376" spans="1:14" x14ac:dyDescent="0.25">
      <c r="A376" s="2">
        <v>1200823</v>
      </c>
      <c r="B376" s="3">
        <v>23675</v>
      </c>
      <c r="C376" s="3">
        <v>53150</v>
      </c>
      <c r="D376" s="3">
        <v>23225</v>
      </c>
      <c r="E376" s="3">
        <v>50859.399999999994</v>
      </c>
      <c r="F376">
        <f t="shared" si="43"/>
        <v>1200823</v>
      </c>
      <c r="G376" s="3">
        <f t="shared" si="44"/>
        <v>23675</v>
      </c>
      <c r="H376" s="3">
        <f t="shared" si="45"/>
        <v>53150</v>
      </c>
      <c r="I376" s="3">
        <f t="shared" si="46"/>
        <v>23225</v>
      </c>
      <c r="J376" s="3">
        <f t="shared" si="47"/>
        <v>50859.399999999994</v>
      </c>
      <c r="K376" s="5">
        <f t="shared" si="48"/>
        <v>150909.4</v>
      </c>
      <c r="L376" s="5">
        <f t="shared" si="49"/>
        <v>150909.4</v>
      </c>
      <c r="M376" s="5">
        <f t="shared" si="50"/>
        <v>0</v>
      </c>
      <c r="N376" s="3"/>
    </row>
    <row r="377" spans="1:14" x14ac:dyDescent="0.25">
      <c r="A377" s="2">
        <v>1200824</v>
      </c>
      <c r="B377" s="3">
        <v>23743.75</v>
      </c>
      <c r="C377" s="3">
        <v>53740</v>
      </c>
      <c r="D377" s="3">
        <v>23200</v>
      </c>
      <c r="E377" s="3">
        <v>51171.899999999994</v>
      </c>
      <c r="F377">
        <f t="shared" si="43"/>
        <v>1200824</v>
      </c>
      <c r="G377" s="3">
        <f t="shared" si="44"/>
        <v>23743.75</v>
      </c>
      <c r="H377" s="3">
        <f t="shared" si="45"/>
        <v>53740</v>
      </c>
      <c r="I377" s="3">
        <f t="shared" si="46"/>
        <v>23200</v>
      </c>
      <c r="J377" s="3">
        <f t="shared" si="47"/>
        <v>51171.899999999994</v>
      </c>
      <c r="K377" s="5">
        <f t="shared" si="48"/>
        <v>151855.65</v>
      </c>
      <c r="L377" s="5">
        <f t="shared" si="49"/>
        <v>151855.65</v>
      </c>
      <c r="M377" s="5">
        <f t="shared" si="50"/>
        <v>0</v>
      </c>
      <c r="N377" s="3"/>
    </row>
    <row r="378" spans="1:14" x14ac:dyDescent="0.25">
      <c r="A378" s="2">
        <v>1200825</v>
      </c>
      <c r="B378" s="3">
        <v>24412.5</v>
      </c>
      <c r="C378" s="3">
        <v>50330</v>
      </c>
      <c r="D378" s="3">
        <v>22962.5</v>
      </c>
      <c r="E378" s="3">
        <v>50859.399999999994</v>
      </c>
      <c r="F378">
        <f t="shared" si="43"/>
        <v>1200825</v>
      </c>
      <c r="G378" s="3">
        <f t="shared" si="44"/>
        <v>24412.5</v>
      </c>
      <c r="H378" s="3">
        <f t="shared" si="45"/>
        <v>50330</v>
      </c>
      <c r="I378" s="3">
        <f t="shared" si="46"/>
        <v>22962.5</v>
      </c>
      <c r="J378" s="3">
        <f t="shared" si="47"/>
        <v>50859.399999999994</v>
      </c>
      <c r="K378" s="5">
        <f t="shared" si="48"/>
        <v>148564.4</v>
      </c>
      <c r="L378" s="5">
        <f t="shared" si="49"/>
        <v>151855.65</v>
      </c>
      <c r="M378" s="5">
        <f t="shared" si="50"/>
        <v>-3291.25</v>
      </c>
      <c r="N378" s="3"/>
    </row>
    <row r="379" spans="1:14" x14ac:dyDescent="0.25">
      <c r="A379" s="2">
        <v>1200826</v>
      </c>
      <c r="B379" s="3">
        <v>24050</v>
      </c>
      <c r="C379" s="3">
        <v>50110</v>
      </c>
      <c r="D379" s="3">
        <v>23406.25</v>
      </c>
      <c r="E379" s="3">
        <v>52500</v>
      </c>
      <c r="F379">
        <f t="shared" si="43"/>
        <v>1200826</v>
      </c>
      <c r="G379" s="3">
        <f t="shared" si="44"/>
        <v>24050</v>
      </c>
      <c r="H379" s="3">
        <f t="shared" si="45"/>
        <v>50110</v>
      </c>
      <c r="I379" s="3">
        <f t="shared" si="46"/>
        <v>23406.25</v>
      </c>
      <c r="J379" s="3">
        <f t="shared" si="47"/>
        <v>52500</v>
      </c>
      <c r="K379" s="5">
        <f t="shared" si="48"/>
        <v>150066.25</v>
      </c>
      <c r="L379" s="5">
        <f t="shared" si="49"/>
        <v>150066.25</v>
      </c>
      <c r="M379" s="5">
        <f t="shared" si="50"/>
        <v>0</v>
      </c>
      <c r="N379" s="3"/>
    </row>
    <row r="380" spans="1:14" x14ac:dyDescent="0.25">
      <c r="A380" s="2">
        <v>1200827</v>
      </c>
      <c r="B380" s="3">
        <v>24531.25</v>
      </c>
      <c r="C380" s="3">
        <v>47410</v>
      </c>
      <c r="D380" s="3">
        <v>23387.5</v>
      </c>
      <c r="E380" s="3">
        <v>50859.399999999994</v>
      </c>
      <c r="F380">
        <f t="shared" si="43"/>
        <v>1200827</v>
      </c>
      <c r="G380" s="3">
        <f t="shared" si="44"/>
        <v>24531.25</v>
      </c>
      <c r="H380" s="3">
        <f t="shared" si="45"/>
        <v>47410</v>
      </c>
      <c r="I380" s="3">
        <f t="shared" si="46"/>
        <v>23387.5</v>
      </c>
      <c r="J380" s="3">
        <f t="shared" si="47"/>
        <v>50859.399999999994</v>
      </c>
      <c r="K380" s="5">
        <f t="shared" si="48"/>
        <v>146188.15</v>
      </c>
      <c r="L380" s="5">
        <f t="shared" si="49"/>
        <v>150066.25</v>
      </c>
      <c r="M380" s="5">
        <f t="shared" si="50"/>
        <v>-3878.1000000000058</v>
      </c>
      <c r="N380" s="3"/>
    </row>
    <row r="381" spans="1:14" x14ac:dyDescent="0.25">
      <c r="A381" s="2">
        <v>1200828</v>
      </c>
      <c r="B381" s="3">
        <v>24050</v>
      </c>
      <c r="C381" s="3">
        <v>47690</v>
      </c>
      <c r="D381" s="3">
        <v>22950</v>
      </c>
      <c r="E381" s="3">
        <v>49843.75</v>
      </c>
      <c r="F381">
        <f t="shared" si="43"/>
        <v>1200828</v>
      </c>
      <c r="G381" s="3">
        <f t="shared" si="44"/>
        <v>24050</v>
      </c>
      <c r="H381" s="3">
        <f t="shared" si="45"/>
        <v>47690</v>
      </c>
      <c r="I381" s="3">
        <f t="shared" si="46"/>
        <v>22950</v>
      </c>
      <c r="J381" s="3">
        <f t="shared" si="47"/>
        <v>49843.75</v>
      </c>
      <c r="K381" s="5">
        <f t="shared" si="48"/>
        <v>144533.75</v>
      </c>
      <c r="L381" s="5">
        <f t="shared" si="49"/>
        <v>146188.15</v>
      </c>
      <c r="M381" s="5">
        <f t="shared" si="50"/>
        <v>-1654.3999999999942</v>
      </c>
      <c r="N381" s="3"/>
    </row>
    <row r="382" spans="1:14" x14ac:dyDescent="0.25">
      <c r="A382" s="2">
        <v>1200830</v>
      </c>
      <c r="B382" s="3">
        <v>22825</v>
      </c>
      <c r="C382" s="3">
        <v>49930</v>
      </c>
      <c r="D382" s="3">
        <v>21031.25</v>
      </c>
      <c r="E382" s="3">
        <v>49843.75</v>
      </c>
      <c r="F382">
        <f t="shared" si="43"/>
        <v>1200830</v>
      </c>
      <c r="G382" s="3">
        <f t="shared" si="44"/>
        <v>22825</v>
      </c>
      <c r="H382" s="3">
        <f t="shared" si="45"/>
        <v>49930</v>
      </c>
      <c r="I382" s="3">
        <f t="shared" si="46"/>
        <v>21031.25</v>
      </c>
      <c r="J382" s="3">
        <f t="shared" si="47"/>
        <v>49843.75</v>
      </c>
      <c r="K382" s="5">
        <f t="shared" si="48"/>
        <v>143630</v>
      </c>
      <c r="L382" s="5">
        <f t="shared" si="49"/>
        <v>144533.75</v>
      </c>
      <c r="M382" s="5">
        <f t="shared" si="50"/>
        <v>-903.75</v>
      </c>
      <c r="N382" s="3"/>
    </row>
    <row r="383" spans="1:14" x14ac:dyDescent="0.25">
      <c r="A383" s="2">
        <v>1200831</v>
      </c>
      <c r="B383" s="3">
        <v>22618.75</v>
      </c>
      <c r="C383" s="3">
        <v>49580</v>
      </c>
      <c r="D383" s="3">
        <v>21006.25</v>
      </c>
      <c r="E383" s="3">
        <v>49296.899999999994</v>
      </c>
      <c r="F383">
        <f t="shared" si="43"/>
        <v>1200831</v>
      </c>
      <c r="G383" s="3">
        <f t="shared" si="44"/>
        <v>22618.75</v>
      </c>
      <c r="H383" s="3">
        <f t="shared" si="45"/>
        <v>49580</v>
      </c>
      <c r="I383" s="3">
        <f t="shared" si="46"/>
        <v>21006.25</v>
      </c>
      <c r="J383" s="3">
        <f t="shared" si="47"/>
        <v>49296.899999999994</v>
      </c>
      <c r="K383" s="5">
        <f t="shared" si="48"/>
        <v>142501.9</v>
      </c>
      <c r="L383" s="5">
        <f t="shared" si="49"/>
        <v>143630</v>
      </c>
      <c r="M383" s="5">
        <f t="shared" si="50"/>
        <v>-1128.1000000000058</v>
      </c>
      <c r="N383" s="3"/>
    </row>
    <row r="384" spans="1:14" x14ac:dyDescent="0.25">
      <c r="A384" s="2">
        <v>1200901</v>
      </c>
      <c r="B384" s="3">
        <v>23112.5</v>
      </c>
      <c r="C384" s="3">
        <v>48860</v>
      </c>
      <c r="D384" s="3">
        <v>20181.25</v>
      </c>
      <c r="E384" s="3">
        <v>49765.600000000006</v>
      </c>
      <c r="F384">
        <f t="shared" si="43"/>
        <v>1200901</v>
      </c>
      <c r="G384" s="3">
        <f t="shared" si="44"/>
        <v>23112.5</v>
      </c>
      <c r="H384" s="3">
        <f t="shared" si="45"/>
        <v>48860</v>
      </c>
      <c r="I384" s="3">
        <f t="shared" si="46"/>
        <v>20181.25</v>
      </c>
      <c r="J384" s="3">
        <f t="shared" si="47"/>
        <v>49765.600000000006</v>
      </c>
      <c r="K384" s="5">
        <f t="shared" si="48"/>
        <v>141919.35</v>
      </c>
      <c r="L384" s="5">
        <f t="shared" si="49"/>
        <v>142501.9</v>
      </c>
      <c r="M384" s="5">
        <f t="shared" si="50"/>
        <v>-582.54999999998836</v>
      </c>
      <c r="N384" s="3"/>
    </row>
    <row r="385" spans="1:14" x14ac:dyDescent="0.25">
      <c r="A385" s="2">
        <v>1200902</v>
      </c>
      <c r="B385" s="3">
        <v>23612.5</v>
      </c>
      <c r="C385" s="3">
        <v>48860</v>
      </c>
      <c r="D385" s="3">
        <v>20162.5</v>
      </c>
      <c r="E385" s="3">
        <v>49062.5</v>
      </c>
      <c r="F385">
        <f t="shared" si="43"/>
        <v>1200902</v>
      </c>
      <c r="G385" s="3">
        <f t="shared" si="44"/>
        <v>23612.5</v>
      </c>
      <c r="H385" s="3">
        <f t="shared" si="45"/>
        <v>48860</v>
      </c>
      <c r="I385" s="3">
        <f t="shared" si="46"/>
        <v>20162.5</v>
      </c>
      <c r="J385" s="3">
        <f t="shared" si="47"/>
        <v>49062.5</v>
      </c>
      <c r="K385" s="5">
        <f t="shared" si="48"/>
        <v>141697.5</v>
      </c>
      <c r="L385" s="5">
        <f t="shared" si="49"/>
        <v>141919.35</v>
      </c>
      <c r="M385" s="5">
        <f t="shared" si="50"/>
        <v>-221.85000000000582</v>
      </c>
      <c r="N385" s="3"/>
    </row>
    <row r="386" spans="1:14" x14ac:dyDescent="0.25">
      <c r="A386" s="2">
        <v>1200903</v>
      </c>
      <c r="B386" s="3">
        <v>24618.75</v>
      </c>
      <c r="C386" s="3">
        <v>44200</v>
      </c>
      <c r="D386" s="3">
        <v>20450</v>
      </c>
      <c r="E386" s="3">
        <v>49765.600000000006</v>
      </c>
      <c r="F386">
        <f t="shared" si="43"/>
        <v>1200903</v>
      </c>
      <c r="G386" s="3">
        <f t="shared" si="44"/>
        <v>24618.75</v>
      </c>
      <c r="H386" s="3">
        <f t="shared" si="45"/>
        <v>44200</v>
      </c>
      <c r="I386" s="3">
        <f t="shared" si="46"/>
        <v>20450</v>
      </c>
      <c r="J386" s="3">
        <f t="shared" si="47"/>
        <v>49765.600000000006</v>
      </c>
      <c r="K386" s="5">
        <f t="shared" si="48"/>
        <v>139034.35</v>
      </c>
      <c r="L386" s="5">
        <f t="shared" si="49"/>
        <v>141697.5</v>
      </c>
      <c r="M386" s="5">
        <f t="shared" si="50"/>
        <v>-2663.1499999999942</v>
      </c>
      <c r="N386" s="3"/>
    </row>
    <row r="387" spans="1:14" x14ac:dyDescent="0.25">
      <c r="A387" s="2">
        <v>1200904</v>
      </c>
      <c r="B387" s="3">
        <v>27162.5</v>
      </c>
      <c r="C387" s="3">
        <v>41240</v>
      </c>
      <c r="D387" s="3">
        <v>20356.25</v>
      </c>
      <c r="E387" s="3">
        <v>50546.899999999994</v>
      </c>
      <c r="F387">
        <f t="shared" si="43"/>
        <v>1200904</v>
      </c>
      <c r="G387" s="3">
        <f t="shared" si="44"/>
        <v>27162.5</v>
      </c>
      <c r="H387" s="3">
        <f t="shared" si="45"/>
        <v>41240</v>
      </c>
      <c r="I387" s="3">
        <f t="shared" si="46"/>
        <v>20356.25</v>
      </c>
      <c r="J387" s="3">
        <f t="shared" si="47"/>
        <v>50546.899999999994</v>
      </c>
      <c r="K387" s="5">
        <f t="shared" si="48"/>
        <v>139305.65</v>
      </c>
      <c r="L387" s="5">
        <f t="shared" si="49"/>
        <v>139305.65</v>
      </c>
      <c r="M387" s="5">
        <f t="shared" si="50"/>
        <v>0</v>
      </c>
      <c r="N387" s="3"/>
    </row>
    <row r="388" spans="1:14" x14ac:dyDescent="0.25">
      <c r="A388" s="2">
        <v>1200906</v>
      </c>
      <c r="B388" s="3">
        <v>28312.5</v>
      </c>
      <c r="C388" s="3">
        <v>38830</v>
      </c>
      <c r="D388" s="3">
        <v>20262.5</v>
      </c>
      <c r="E388" s="3">
        <v>52031.25</v>
      </c>
      <c r="F388">
        <f t="shared" si="43"/>
        <v>1200906</v>
      </c>
      <c r="G388" s="3">
        <f t="shared" si="44"/>
        <v>28312.5</v>
      </c>
      <c r="H388" s="3">
        <f t="shared" si="45"/>
        <v>38830</v>
      </c>
      <c r="I388" s="3">
        <f t="shared" si="46"/>
        <v>20262.5</v>
      </c>
      <c r="J388" s="3">
        <f t="shared" si="47"/>
        <v>52031.25</v>
      </c>
      <c r="K388" s="5">
        <f t="shared" si="48"/>
        <v>139436.25</v>
      </c>
      <c r="L388" s="5">
        <f t="shared" si="49"/>
        <v>139436.25</v>
      </c>
      <c r="M388" s="5">
        <f t="shared" si="50"/>
        <v>0</v>
      </c>
      <c r="N388" s="3"/>
    </row>
    <row r="389" spans="1:14" x14ac:dyDescent="0.25">
      <c r="A389" s="2">
        <v>1200907</v>
      </c>
      <c r="B389" s="3">
        <v>28237.5</v>
      </c>
      <c r="C389" s="3">
        <v>39030</v>
      </c>
      <c r="D389" s="3">
        <v>20243.75</v>
      </c>
      <c r="E389" s="3">
        <v>52187.5</v>
      </c>
      <c r="F389">
        <f t="shared" si="43"/>
        <v>1200907</v>
      </c>
      <c r="G389" s="3">
        <f t="shared" si="44"/>
        <v>28237.5</v>
      </c>
      <c r="H389" s="3">
        <f t="shared" si="45"/>
        <v>39030</v>
      </c>
      <c r="I389" s="3">
        <f t="shared" si="46"/>
        <v>20243.75</v>
      </c>
      <c r="J389" s="3">
        <f t="shared" si="47"/>
        <v>52187.5</v>
      </c>
      <c r="K389" s="5">
        <f t="shared" si="48"/>
        <v>139698.75</v>
      </c>
      <c r="L389" s="5">
        <f t="shared" si="49"/>
        <v>139698.75</v>
      </c>
      <c r="M389" s="5">
        <f t="shared" si="50"/>
        <v>0</v>
      </c>
      <c r="N389" s="3"/>
    </row>
    <row r="390" spans="1:14" x14ac:dyDescent="0.25">
      <c r="A390" s="2">
        <v>1200908</v>
      </c>
      <c r="B390" s="3">
        <v>27818.75</v>
      </c>
      <c r="C390" s="3">
        <v>39610</v>
      </c>
      <c r="D390" s="3">
        <v>20268.75</v>
      </c>
      <c r="E390" s="3">
        <v>51718.75</v>
      </c>
      <c r="F390">
        <f t="shared" si="43"/>
        <v>1200908</v>
      </c>
      <c r="G390" s="3">
        <f t="shared" si="44"/>
        <v>27818.75</v>
      </c>
      <c r="H390" s="3">
        <f t="shared" si="45"/>
        <v>39610</v>
      </c>
      <c r="I390" s="3">
        <f t="shared" si="46"/>
        <v>20268.75</v>
      </c>
      <c r="J390" s="3">
        <f t="shared" si="47"/>
        <v>51718.75</v>
      </c>
      <c r="K390" s="5">
        <f t="shared" si="48"/>
        <v>139416.25</v>
      </c>
      <c r="L390" s="5">
        <f t="shared" si="49"/>
        <v>139698.75</v>
      </c>
      <c r="M390" s="5">
        <f t="shared" si="50"/>
        <v>-282.5</v>
      </c>
      <c r="N390" s="3"/>
    </row>
    <row r="391" spans="1:14" x14ac:dyDescent="0.25">
      <c r="A391" s="2">
        <v>1200909</v>
      </c>
      <c r="B391" s="3">
        <v>25325</v>
      </c>
      <c r="C391" s="3">
        <v>38650</v>
      </c>
      <c r="D391" s="3">
        <v>20531.25</v>
      </c>
      <c r="E391" s="3">
        <v>51562.5</v>
      </c>
      <c r="F391">
        <f t="shared" si="43"/>
        <v>1200909</v>
      </c>
      <c r="G391" s="3">
        <f t="shared" si="44"/>
        <v>25325</v>
      </c>
      <c r="H391" s="3">
        <f t="shared" si="45"/>
        <v>38650</v>
      </c>
      <c r="I391" s="3">
        <f t="shared" si="46"/>
        <v>20531.25</v>
      </c>
      <c r="J391" s="3">
        <f t="shared" si="47"/>
        <v>51562.5</v>
      </c>
      <c r="K391" s="5">
        <f t="shared" si="48"/>
        <v>136068.75</v>
      </c>
      <c r="L391" s="5">
        <f t="shared" si="49"/>
        <v>139416.25</v>
      </c>
      <c r="M391" s="5">
        <f t="shared" si="50"/>
        <v>-3347.5</v>
      </c>
      <c r="N391" s="3"/>
    </row>
    <row r="392" spans="1:14" x14ac:dyDescent="0.25">
      <c r="A392" s="2">
        <v>1200910</v>
      </c>
      <c r="B392" s="3">
        <v>24700</v>
      </c>
      <c r="C392" s="3">
        <v>37540</v>
      </c>
      <c r="D392" s="3">
        <v>20162.5</v>
      </c>
      <c r="E392" s="3">
        <v>50781.25</v>
      </c>
      <c r="F392">
        <f t="shared" si="43"/>
        <v>1200910</v>
      </c>
      <c r="G392" s="3">
        <f t="shared" si="44"/>
        <v>24700</v>
      </c>
      <c r="H392" s="3">
        <f t="shared" si="45"/>
        <v>37540</v>
      </c>
      <c r="I392" s="3">
        <f t="shared" si="46"/>
        <v>20162.5</v>
      </c>
      <c r="J392" s="3">
        <f t="shared" si="47"/>
        <v>50781.25</v>
      </c>
      <c r="K392" s="5">
        <f t="shared" si="48"/>
        <v>133183.75</v>
      </c>
      <c r="L392" s="5">
        <f t="shared" si="49"/>
        <v>136068.75</v>
      </c>
      <c r="M392" s="5">
        <f t="shared" si="50"/>
        <v>-2885</v>
      </c>
      <c r="N392" s="3"/>
    </row>
    <row r="393" spans="1:14" x14ac:dyDescent="0.25">
      <c r="A393" s="2">
        <v>1200911</v>
      </c>
      <c r="B393" s="3">
        <v>25075</v>
      </c>
      <c r="C393" s="3">
        <v>39150</v>
      </c>
      <c r="D393" s="3">
        <v>19956.25</v>
      </c>
      <c r="E393" s="3">
        <v>50468.75</v>
      </c>
      <c r="F393">
        <f t="shared" si="43"/>
        <v>1200911</v>
      </c>
      <c r="G393" s="3">
        <f t="shared" si="44"/>
        <v>25075</v>
      </c>
      <c r="H393" s="3">
        <f t="shared" si="45"/>
        <v>39150</v>
      </c>
      <c r="I393" s="3">
        <f t="shared" si="46"/>
        <v>19956.25</v>
      </c>
      <c r="J393" s="3">
        <f t="shared" si="47"/>
        <v>50468.75</v>
      </c>
      <c r="K393" s="5">
        <f t="shared" si="48"/>
        <v>134650</v>
      </c>
      <c r="L393" s="5">
        <f t="shared" si="49"/>
        <v>134650</v>
      </c>
      <c r="M393" s="5">
        <f t="shared" si="50"/>
        <v>0</v>
      </c>
      <c r="N393" s="3"/>
    </row>
    <row r="394" spans="1:14" x14ac:dyDescent="0.25">
      <c r="A394" s="2">
        <v>1200913</v>
      </c>
      <c r="B394" s="3">
        <v>25168.75</v>
      </c>
      <c r="C394" s="3">
        <v>38500</v>
      </c>
      <c r="D394" s="3">
        <v>19987.5</v>
      </c>
      <c r="E394" s="3">
        <v>50937.5</v>
      </c>
      <c r="F394">
        <f t="shared" si="43"/>
        <v>1200913</v>
      </c>
      <c r="G394" s="3">
        <f t="shared" si="44"/>
        <v>25168.75</v>
      </c>
      <c r="H394" s="3">
        <f t="shared" si="45"/>
        <v>38500</v>
      </c>
      <c r="I394" s="3">
        <f t="shared" si="46"/>
        <v>19987.5</v>
      </c>
      <c r="J394" s="3">
        <f t="shared" si="47"/>
        <v>50937.5</v>
      </c>
      <c r="K394" s="5">
        <f t="shared" si="48"/>
        <v>134593.75</v>
      </c>
      <c r="L394" s="5">
        <f t="shared" si="49"/>
        <v>134650</v>
      </c>
      <c r="M394" s="5">
        <f t="shared" si="50"/>
        <v>-56.25</v>
      </c>
      <c r="N394" s="3"/>
    </row>
    <row r="395" spans="1:14" x14ac:dyDescent="0.25">
      <c r="A395" s="2">
        <v>1200914</v>
      </c>
      <c r="B395" s="3">
        <v>24800</v>
      </c>
      <c r="C395" s="3">
        <v>39330</v>
      </c>
      <c r="D395" s="3">
        <v>20062.5</v>
      </c>
      <c r="E395" s="3">
        <v>51015.600000000006</v>
      </c>
      <c r="F395">
        <f t="shared" si="43"/>
        <v>1200914</v>
      </c>
      <c r="G395" s="3">
        <f t="shared" si="44"/>
        <v>24800</v>
      </c>
      <c r="H395" s="3">
        <f t="shared" si="45"/>
        <v>39330</v>
      </c>
      <c r="I395" s="3">
        <f t="shared" si="46"/>
        <v>20062.5</v>
      </c>
      <c r="J395" s="3">
        <f t="shared" si="47"/>
        <v>51015.600000000006</v>
      </c>
      <c r="K395" s="5">
        <f t="shared" si="48"/>
        <v>135208.1</v>
      </c>
      <c r="L395" s="5">
        <f t="shared" si="49"/>
        <v>135208.1</v>
      </c>
      <c r="M395" s="5">
        <f t="shared" si="50"/>
        <v>0</v>
      </c>
      <c r="N395" s="3"/>
    </row>
    <row r="396" spans="1:14" x14ac:dyDescent="0.25">
      <c r="A396" s="2">
        <v>1200915</v>
      </c>
      <c r="B396" s="3">
        <v>24437.5</v>
      </c>
      <c r="C396" s="3">
        <v>39300</v>
      </c>
      <c r="D396" s="3">
        <v>20468.75</v>
      </c>
      <c r="E396" s="3">
        <v>50000</v>
      </c>
      <c r="F396">
        <f t="shared" si="43"/>
        <v>1200915</v>
      </c>
      <c r="G396" s="3">
        <f t="shared" si="44"/>
        <v>24437.5</v>
      </c>
      <c r="H396" s="3">
        <f t="shared" si="45"/>
        <v>39300</v>
      </c>
      <c r="I396" s="3">
        <f t="shared" si="46"/>
        <v>20468.75</v>
      </c>
      <c r="J396" s="3">
        <f t="shared" si="47"/>
        <v>50000</v>
      </c>
      <c r="K396" s="5">
        <f t="shared" si="48"/>
        <v>134206.25</v>
      </c>
      <c r="L396" s="5">
        <f t="shared" si="49"/>
        <v>135208.1</v>
      </c>
      <c r="M396" s="5">
        <f t="shared" si="50"/>
        <v>-1001.8500000000058</v>
      </c>
      <c r="N396" s="3"/>
    </row>
    <row r="397" spans="1:14" x14ac:dyDescent="0.25">
      <c r="A397" s="2">
        <v>1200916</v>
      </c>
      <c r="B397" s="3">
        <v>24912.5</v>
      </c>
      <c r="C397" s="3">
        <v>38240</v>
      </c>
      <c r="D397" s="3">
        <v>20887.5</v>
      </c>
      <c r="E397" s="3">
        <v>48906.25</v>
      </c>
      <c r="F397">
        <f t="shared" si="43"/>
        <v>1200916</v>
      </c>
      <c r="G397" s="3">
        <f t="shared" si="44"/>
        <v>24912.5</v>
      </c>
      <c r="H397" s="3">
        <f t="shared" si="45"/>
        <v>38240</v>
      </c>
      <c r="I397" s="3">
        <f t="shared" si="46"/>
        <v>20887.5</v>
      </c>
      <c r="J397" s="3">
        <f t="shared" si="47"/>
        <v>48906.25</v>
      </c>
      <c r="K397" s="5">
        <f t="shared" si="48"/>
        <v>132946.25</v>
      </c>
      <c r="L397" s="5">
        <f t="shared" si="49"/>
        <v>134206.25</v>
      </c>
      <c r="M397" s="5">
        <f t="shared" si="50"/>
        <v>-1260</v>
      </c>
      <c r="N397" s="3"/>
    </row>
    <row r="398" spans="1:14" x14ac:dyDescent="0.25">
      <c r="A398" s="2">
        <v>1200917</v>
      </c>
      <c r="B398" s="3">
        <v>22306.25</v>
      </c>
      <c r="C398" s="3">
        <v>35350</v>
      </c>
      <c r="D398" s="3">
        <v>21137.5</v>
      </c>
      <c r="E398" s="3">
        <v>48437.5</v>
      </c>
      <c r="F398">
        <f t="shared" si="43"/>
        <v>1200917</v>
      </c>
      <c r="G398" s="3">
        <f t="shared" si="44"/>
        <v>22306.25</v>
      </c>
      <c r="H398" s="3">
        <f t="shared" si="45"/>
        <v>35350</v>
      </c>
      <c r="I398" s="3">
        <f t="shared" si="46"/>
        <v>21137.5</v>
      </c>
      <c r="J398" s="3">
        <f t="shared" si="47"/>
        <v>48437.5</v>
      </c>
      <c r="K398" s="5">
        <f t="shared" si="48"/>
        <v>127231.25</v>
      </c>
      <c r="L398" s="5">
        <f t="shared" si="49"/>
        <v>132946.25</v>
      </c>
      <c r="M398" s="5">
        <f t="shared" si="50"/>
        <v>-5715</v>
      </c>
      <c r="N398" s="3"/>
    </row>
    <row r="399" spans="1:14" x14ac:dyDescent="0.25">
      <c r="A399" s="2">
        <v>1200918</v>
      </c>
      <c r="B399" s="3">
        <v>22506.25</v>
      </c>
      <c r="C399" s="3">
        <v>35900</v>
      </c>
      <c r="D399" s="3">
        <v>21300</v>
      </c>
      <c r="E399" s="3">
        <v>48125</v>
      </c>
      <c r="F399">
        <f t="shared" si="43"/>
        <v>1200918</v>
      </c>
      <c r="G399" s="3">
        <f t="shared" si="44"/>
        <v>22506.25</v>
      </c>
      <c r="H399" s="3">
        <f t="shared" si="45"/>
        <v>35900</v>
      </c>
      <c r="I399" s="3">
        <f t="shared" si="46"/>
        <v>21300</v>
      </c>
      <c r="J399" s="3">
        <f t="shared" si="47"/>
        <v>48125</v>
      </c>
      <c r="K399" s="5">
        <f t="shared" si="48"/>
        <v>127831.25</v>
      </c>
      <c r="L399" s="5">
        <f t="shared" si="49"/>
        <v>127831.25</v>
      </c>
      <c r="M399" s="5">
        <f t="shared" si="50"/>
        <v>0</v>
      </c>
      <c r="N399" s="3"/>
    </row>
    <row r="400" spans="1:14" x14ac:dyDescent="0.25">
      <c r="A400" s="2">
        <v>1200920</v>
      </c>
      <c r="B400" s="3">
        <v>23075</v>
      </c>
      <c r="C400" s="3">
        <v>35850</v>
      </c>
      <c r="D400" s="3">
        <v>20962.5</v>
      </c>
      <c r="E400" s="3">
        <v>47968.75</v>
      </c>
      <c r="F400">
        <f t="shared" si="43"/>
        <v>1200920</v>
      </c>
      <c r="G400" s="3">
        <f t="shared" si="44"/>
        <v>23075</v>
      </c>
      <c r="H400" s="3">
        <f t="shared" si="45"/>
        <v>35850</v>
      </c>
      <c r="I400" s="3">
        <f t="shared" si="46"/>
        <v>20962.5</v>
      </c>
      <c r="J400" s="3">
        <f t="shared" si="47"/>
        <v>47968.75</v>
      </c>
      <c r="K400" s="5">
        <f t="shared" si="48"/>
        <v>127856.25</v>
      </c>
      <c r="L400" s="5">
        <f t="shared" si="49"/>
        <v>127856.25</v>
      </c>
      <c r="M400" s="5">
        <f t="shared" si="50"/>
        <v>0</v>
      </c>
      <c r="N400" s="3"/>
    </row>
    <row r="401" spans="1:14" x14ac:dyDescent="0.25">
      <c r="A401" s="2">
        <v>1200921</v>
      </c>
      <c r="B401" s="3">
        <v>23218.75</v>
      </c>
      <c r="C401" s="3">
        <v>35490</v>
      </c>
      <c r="D401" s="3">
        <v>20681.25</v>
      </c>
      <c r="E401" s="3">
        <v>48046.899999999994</v>
      </c>
      <c r="F401">
        <f t="shared" si="43"/>
        <v>1200921</v>
      </c>
      <c r="G401" s="3">
        <f t="shared" si="44"/>
        <v>23218.75</v>
      </c>
      <c r="H401" s="3">
        <f t="shared" si="45"/>
        <v>35490</v>
      </c>
      <c r="I401" s="3">
        <f t="shared" si="46"/>
        <v>20681.25</v>
      </c>
      <c r="J401" s="3">
        <f t="shared" si="47"/>
        <v>48046.899999999994</v>
      </c>
      <c r="K401" s="5">
        <f t="shared" si="48"/>
        <v>127436.9</v>
      </c>
      <c r="L401" s="5">
        <f t="shared" si="49"/>
        <v>127856.25</v>
      </c>
      <c r="M401" s="5">
        <f t="shared" si="50"/>
        <v>-419.35000000000582</v>
      </c>
      <c r="N401" s="3"/>
    </row>
    <row r="402" spans="1:14" x14ac:dyDescent="0.25">
      <c r="A402" s="2">
        <v>1200922</v>
      </c>
      <c r="B402" s="3">
        <v>23962.5</v>
      </c>
      <c r="C402" s="3">
        <v>38820</v>
      </c>
      <c r="D402" s="3">
        <v>20856.25</v>
      </c>
      <c r="E402" s="3">
        <v>48750</v>
      </c>
      <c r="F402">
        <f t="shared" si="43"/>
        <v>1200922</v>
      </c>
      <c r="G402" s="3">
        <f t="shared" si="44"/>
        <v>23962.5</v>
      </c>
      <c r="H402" s="3">
        <f t="shared" si="45"/>
        <v>38820</v>
      </c>
      <c r="I402" s="3">
        <f t="shared" si="46"/>
        <v>20856.25</v>
      </c>
      <c r="J402" s="3">
        <f t="shared" si="47"/>
        <v>48750</v>
      </c>
      <c r="K402" s="5">
        <f t="shared" si="48"/>
        <v>132388.75</v>
      </c>
      <c r="L402" s="5">
        <f t="shared" si="49"/>
        <v>132388.75</v>
      </c>
      <c r="M402" s="5">
        <f t="shared" si="50"/>
        <v>0</v>
      </c>
      <c r="N402" s="3"/>
    </row>
    <row r="403" spans="1:14" x14ac:dyDescent="0.25">
      <c r="A403" s="2">
        <v>1200923</v>
      </c>
      <c r="B403" s="3">
        <v>23737.5</v>
      </c>
      <c r="C403" s="3">
        <v>38820</v>
      </c>
      <c r="D403" s="3">
        <v>21468.75</v>
      </c>
      <c r="E403" s="3">
        <v>47187.5</v>
      </c>
      <c r="F403">
        <f t="shared" si="43"/>
        <v>1200923</v>
      </c>
      <c r="G403" s="3">
        <f t="shared" si="44"/>
        <v>23737.5</v>
      </c>
      <c r="H403" s="3">
        <f t="shared" si="45"/>
        <v>38820</v>
      </c>
      <c r="I403" s="3">
        <f t="shared" si="46"/>
        <v>21468.75</v>
      </c>
      <c r="J403" s="3">
        <f t="shared" si="47"/>
        <v>47187.5</v>
      </c>
      <c r="K403" s="5">
        <f t="shared" si="48"/>
        <v>131213.75</v>
      </c>
      <c r="L403" s="5">
        <f t="shared" si="49"/>
        <v>132388.75</v>
      </c>
      <c r="M403" s="5">
        <f t="shared" si="50"/>
        <v>-1175</v>
      </c>
      <c r="N403" s="3"/>
    </row>
    <row r="404" spans="1:14" x14ac:dyDescent="0.25">
      <c r="A404" s="2">
        <v>1200924</v>
      </c>
      <c r="B404" s="3">
        <v>25575</v>
      </c>
      <c r="C404" s="3">
        <v>40670</v>
      </c>
      <c r="D404" s="3">
        <v>21912.5</v>
      </c>
      <c r="E404" s="3">
        <v>47109.399999999994</v>
      </c>
      <c r="F404">
        <f t="shared" si="43"/>
        <v>1200924</v>
      </c>
      <c r="G404" s="3">
        <f t="shared" si="44"/>
        <v>25575</v>
      </c>
      <c r="H404" s="3">
        <f t="shared" si="45"/>
        <v>40670</v>
      </c>
      <c r="I404" s="3">
        <f t="shared" si="46"/>
        <v>21912.5</v>
      </c>
      <c r="J404" s="3">
        <f t="shared" si="47"/>
        <v>47109.399999999994</v>
      </c>
      <c r="K404" s="5">
        <f t="shared" si="48"/>
        <v>135266.9</v>
      </c>
      <c r="L404" s="5">
        <f t="shared" si="49"/>
        <v>135266.9</v>
      </c>
      <c r="M404" s="5">
        <f t="shared" si="50"/>
        <v>0</v>
      </c>
      <c r="N404" s="3"/>
    </row>
    <row r="405" spans="1:14" x14ac:dyDescent="0.25">
      <c r="A405" s="2">
        <v>1200925</v>
      </c>
      <c r="B405" s="3">
        <v>25437.5</v>
      </c>
      <c r="C405" s="3">
        <v>41090</v>
      </c>
      <c r="D405" s="3">
        <v>21850</v>
      </c>
      <c r="E405" s="3">
        <v>46406.25</v>
      </c>
      <c r="F405">
        <f t="shared" si="43"/>
        <v>1200925</v>
      </c>
      <c r="G405" s="3">
        <f t="shared" si="44"/>
        <v>25437.5</v>
      </c>
      <c r="H405" s="3">
        <f t="shared" si="45"/>
        <v>41090</v>
      </c>
      <c r="I405" s="3">
        <f t="shared" si="46"/>
        <v>21850</v>
      </c>
      <c r="J405" s="3">
        <f t="shared" si="47"/>
        <v>46406.25</v>
      </c>
      <c r="K405" s="5">
        <f t="shared" si="48"/>
        <v>134783.75</v>
      </c>
      <c r="L405" s="5">
        <f t="shared" si="49"/>
        <v>135266.9</v>
      </c>
      <c r="M405" s="5">
        <f t="shared" si="50"/>
        <v>-483.14999999999418</v>
      </c>
      <c r="N405" s="3"/>
    </row>
    <row r="406" spans="1:14" x14ac:dyDescent="0.25">
      <c r="A406" s="2">
        <v>1200927</v>
      </c>
      <c r="B406" s="3">
        <v>26093.75</v>
      </c>
      <c r="C406" s="3">
        <v>40970</v>
      </c>
      <c r="D406" s="3">
        <v>22043.75</v>
      </c>
      <c r="E406" s="3">
        <v>47031.25</v>
      </c>
      <c r="F406">
        <f t="shared" si="43"/>
        <v>1200927</v>
      </c>
      <c r="G406" s="3">
        <f t="shared" si="44"/>
        <v>26093.75</v>
      </c>
      <c r="H406" s="3">
        <f t="shared" si="45"/>
        <v>40970</v>
      </c>
      <c r="I406" s="3">
        <f t="shared" si="46"/>
        <v>22043.75</v>
      </c>
      <c r="J406" s="3">
        <f t="shared" si="47"/>
        <v>47031.25</v>
      </c>
      <c r="K406" s="5">
        <f t="shared" si="48"/>
        <v>136138.75</v>
      </c>
      <c r="L406" s="5">
        <f t="shared" si="49"/>
        <v>136138.75</v>
      </c>
      <c r="M406" s="5">
        <f t="shared" si="50"/>
        <v>0</v>
      </c>
      <c r="N406" s="3"/>
    </row>
    <row r="407" spans="1:14" x14ac:dyDescent="0.25">
      <c r="A407" s="2">
        <v>1200928</v>
      </c>
      <c r="B407" s="3">
        <v>26193.75</v>
      </c>
      <c r="C407" s="3">
        <v>41320</v>
      </c>
      <c r="D407" s="3">
        <v>21743.75</v>
      </c>
      <c r="E407" s="3">
        <v>47031.25</v>
      </c>
      <c r="F407">
        <f t="shared" si="43"/>
        <v>1200928</v>
      </c>
      <c r="G407" s="3">
        <f t="shared" si="44"/>
        <v>26193.75</v>
      </c>
      <c r="H407" s="3">
        <f t="shared" si="45"/>
        <v>41320</v>
      </c>
      <c r="I407" s="3">
        <f t="shared" si="46"/>
        <v>21743.75</v>
      </c>
      <c r="J407" s="3">
        <f t="shared" si="47"/>
        <v>47031.25</v>
      </c>
      <c r="K407" s="5">
        <f t="shared" si="48"/>
        <v>136288.75</v>
      </c>
      <c r="L407" s="5">
        <f t="shared" si="49"/>
        <v>136288.75</v>
      </c>
      <c r="M407" s="5">
        <f t="shared" si="50"/>
        <v>0</v>
      </c>
      <c r="N407" s="3"/>
    </row>
    <row r="408" spans="1:14" x14ac:dyDescent="0.25">
      <c r="A408" s="2">
        <v>1200929</v>
      </c>
      <c r="B408" s="3">
        <v>27700</v>
      </c>
      <c r="C408" s="3">
        <v>43080</v>
      </c>
      <c r="D408" s="3">
        <v>22043.75</v>
      </c>
      <c r="E408" s="3">
        <v>45703.100000000006</v>
      </c>
      <c r="F408">
        <f t="shared" si="43"/>
        <v>1200929</v>
      </c>
      <c r="G408" s="3">
        <f t="shared" si="44"/>
        <v>27700</v>
      </c>
      <c r="H408" s="3">
        <f t="shared" si="45"/>
        <v>43080</v>
      </c>
      <c r="I408" s="3">
        <f t="shared" si="46"/>
        <v>22043.75</v>
      </c>
      <c r="J408" s="3">
        <f t="shared" si="47"/>
        <v>45703.100000000006</v>
      </c>
      <c r="K408" s="5">
        <f t="shared" si="48"/>
        <v>138526.85</v>
      </c>
      <c r="L408" s="5">
        <f t="shared" si="49"/>
        <v>138526.85</v>
      </c>
      <c r="M408" s="5">
        <f t="shared" si="50"/>
        <v>0</v>
      </c>
      <c r="N408" s="3"/>
    </row>
    <row r="409" spans="1:14" x14ac:dyDescent="0.25">
      <c r="A409" s="2">
        <v>1200930</v>
      </c>
      <c r="B409" s="3">
        <v>27450</v>
      </c>
      <c r="C409" s="3">
        <v>43180</v>
      </c>
      <c r="D409" s="3">
        <v>21625</v>
      </c>
      <c r="E409" s="3">
        <v>46093.75</v>
      </c>
      <c r="F409">
        <f t="shared" ref="F409:F472" si="51">+A409</f>
        <v>1200930</v>
      </c>
      <c r="G409" s="3">
        <f t="shared" si="44"/>
        <v>27450</v>
      </c>
      <c r="H409" s="3">
        <f t="shared" si="45"/>
        <v>43180</v>
      </c>
      <c r="I409" s="3">
        <f t="shared" si="46"/>
        <v>21625</v>
      </c>
      <c r="J409" s="3">
        <f t="shared" si="47"/>
        <v>46093.75</v>
      </c>
      <c r="K409" s="5">
        <f t="shared" si="48"/>
        <v>138348.75</v>
      </c>
      <c r="L409" s="5">
        <f t="shared" si="49"/>
        <v>138526.85</v>
      </c>
      <c r="M409" s="5">
        <f t="shared" si="50"/>
        <v>-178.10000000000582</v>
      </c>
      <c r="N409" s="3"/>
    </row>
    <row r="410" spans="1:14" x14ac:dyDescent="0.25">
      <c r="A410" s="2">
        <v>1201001</v>
      </c>
      <c r="B410" s="3">
        <v>26531.25</v>
      </c>
      <c r="C410" s="3">
        <v>41390</v>
      </c>
      <c r="D410" s="3">
        <v>21350</v>
      </c>
      <c r="E410" s="3">
        <v>46640.600000000006</v>
      </c>
      <c r="F410">
        <f t="shared" si="51"/>
        <v>1201001</v>
      </c>
      <c r="G410" s="3">
        <f t="shared" ref="G410:G473" si="52">+IF(B410&lt;&gt;0,B410,B409)</f>
        <v>26531.25</v>
      </c>
      <c r="H410" s="3">
        <f t="shared" ref="H410:H473" si="53">+IF(C410&lt;&gt;0,C410,C409)</f>
        <v>41390</v>
      </c>
      <c r="I410" s="3">
        <f t="shared" ref="I410:I473" si="54">+IF(D410&lt;&gt;0,D410,D409)</f>
        <v>21350</v>
      </c>
      <c r="J410" s="3">
        <f t="shared" ref="J410:J473" si="55">+IF(E410&lt;&gt;0,E410,E409)</f>
        <v>46640.600000000006</v>
      </c>
      <c r="K410" s="5">
        <f t="shared" ref="K410:K473" si="56">+SUM(G410:J410)</f>
        <v>135911.85</v>
      </c>
      <c r="L410" s="5">
        <f t="shared" si="49"/>
        <v>138348.75</v>
      </c>
      <c r="M410" s="5">
        <f t="shared" si="50"/>
        <v>-2436.8999999999942</v>
      </c>
      <c r="N410" s="3"/>
    </row>
    <row r="411" spans="1:14" x14ac:dyDescent="0.25">
      <c r="A411" s="2">
        <v>1201002</v>
      </c>
      <c r="B411" s="3">
        <v>27212.5</v>
      </c>
      <c r="C411" s="3">
        <v>42630</v>
      </c>
      <c r="D411" s="3">
        <v>21062.5</v>
      </c>
      <c r="E411" s="3">
        <v>46875</v>
      </c>
      <c r="F411">
        <f t="shared" si="51"/>
        <v>1201002</v>
      </c>
      <c r="G411" s="3">
        <f t="shared" si="52"/>
        <v>27212.5</v>
      </c>
      <c r="H411" s="3">
        <f t="shared" si="53"/>
        <v>42630</v>
      </c>
      <c r="I411" s="3">
        <f t="shared" si="54"/>
        <v>21062.5</v>
      </c>
      <c r="J411" s="3">
        <f t="shared" si="55"/>
        <v>46875</v>
      </c>
      <c r="K411" s="5">
        <f t="shared" si="56"/>
        <v>137780</v>
      </c>
      <c r="L411" s="5">
        <f t="shared" ref="L411:L474" si="57">+IF(K411&gt;K410,K411,K410)</f>
        <v>137780</v>
      </c>
      <c r="M411" s="5">
        <f t="shared" ref="M411:M474" si="58">+K411-L411</f>
        <v>0</v>
      </c>
      <c r="N411" s="3"/>
    </row>
    <row r="412" spans="1:14" x14ac:dyDescent="0.25">
      <c r="A412" s="2">
        <v>1201004</v>
      </c>
      <c r="B412" s="3">
        <v>27406.25</v>
      </c>
      <c r="C412" s="3">
        <v>42630</v>
      </c>
      <c r="D412" s="3">
        <v>21018.75</v>
      </c>
      <c r="E412" s="3">
        <v>46640.600000000006</v>
      </c>
      <c r="F412">
        <f t="shared" si="51"/>
        <v>1201004</v>
      </c>
      <c r="G412" s="3">
        <f t="shared" si="52"/>
        <v>27406.25</v>
      </c>
      <c r="H412" s="3">
        <f t="shared" si="53"/>
        <v>42630</v>
      </c>
      <c r="I412" s="3">
        <f t="shared" si="54"/>
        <v>21018.75</v>
      </c>
      <c r="J412" s="3">
        <f t="shared" si="55"/>
        <v>46640.600000000006</v>
      </c>
      <c r="K412" s="5">
        <f t="shared" si="56"/>
        <v>137695.6</v>
      </c>
      <c r="L412" s="5">
        <f t="shared" si="57"/>
        <v>137780</v>
      </c>
      <c r="M412" s="5">
        <f t="shared" si="58"/>
        <v>-84.399999999994179</v>
      </c>
      <c r="N412" s="3"/>
    </row>
    <row r="413" spans="1:14" x14ac:dyDescent="0.25">
      <c r="A413" s="2">
        <v>1201005</v>
      </c>
      <c r="B413" s="3">
        <v>27406.25</v>
      </c>
      <c r="C413" s="3">
        <v>42630</v>
      </c>
      <c r="D413" s="3">
        <v>21081.25</v>
      </c>
      <c r="E413" s="3">
        <v>46718.75</v>
      </c>
      <c r="F413">
        <f t="shared" si="51"/>
        <v>1201005</v>
      </c>
      <c r="G413" s="3">
        <f t="shared" si="52"/>
        <v>27406.25</v>
      </c>
      <c r="H413" s="3">
        <f t="shared" si="53"/>
        <v>42630</v>
      </c>
      <c r="I413" s="3">
        <f t="shared" si="54"/>
        <v>21081.25</v>
      </c>
      <c r="J413" s="3">
        <f t="shared" si="55"/>
        <v>46718.75</v>
      </c>
      <c r="K413" s="5">
        <f t="shared" si="56"/>
        <v>137836.25</v>
      </c>
      <c r="L413" s="5">
        <f t="shared" si="57"/>
        <v>137836.25</v>
      </c>
      <c r="M413" s="5">
        <f t="shared" si="58"/>
        <v>0</v>
      </c>
      <c r="N413" s="3"/>
    </row>
    <row r="414" spans="1:14" x14ac:dyDescent="0.25">
      <c r="A414" s="2">
        <v>1201006</v>
      </c>
      <c r="B414" s="3">
        <v>27975</v>
      </c>
      <c r="C414" s="3">
        <v>43680</v>
      </c>
      <c r="D414" s="3">
        <v>20881.25</v>
      </c>
      <c r="E414" s="3">
        <v>49062.5</v>
      </c>
      <c r="F414">
        <f t="shared" si="51"/>
        <v>1201006</v>
      </c>
      <c r="G414" s="3">
        <f t="shared" si="52"/>
        <v>27975</v>
      </c>
      <c r="H414" s="3">
        <f t="shared" si="53"/>
        <v>43680</v>
      </c>
      <c r="I414" s="3">
        <f t="shared" si="54"/>
        <v>20881.25</v>
      </c>
      <c r="J414" s="3">
        <f t="shared" si="55"/>
        <v>49062.5</v>
      </c>
      <c r="K414" s="5">
        <f t="shared" si="56"/>
        <v>141598.75</v>
      </c>
      <c r="L414" s="5">
        <f t="shared" si="57"/>
        <v>141598.75</v>
      </c>
      <c r="M414" s="5">
        <f t="shared" si="58"/>
        <v>0</v>
      </c>
      <c r="N414" s="3"/>
    </row>
    <row r="415" spans="1:14" x14ac:dyDescent="0.25">
      <c r="A415" s="2">
        <v>1201007</v>
      </c>
      <c r="B415" s="3">
        <v>27837.5</v>
      </c>
      <c r="C415" s="3">
        <v>39140</v>
      </c>
      <c r="D415" s="3">
        <v>20593.75</v>
      </c>
      <c r="E415" s="3">
        <v>48593.75</v>
      </c>
      <c r="F415">
        <f t="shared" si="51"/>
        <v>1201007</v>
      </c>
      <c r="G415" s="3">
        <f t="shared" si="52"/>
        <v>27837.5</v>
      </c>
      <c r="H415" s="3">
        <f t="shared" si="53"/>
        <v>39140</v>
      </c>
      <c r="I415" s="3">
        <f t="shared" si="54"/>
        <v>20593.75</v>
      </c>
      <c r="J415" s="3">
        <f t="shared" si="55"/>
        <v>48593.75</v>
      </c>
      <c r="K415" s="5">
        <f t="shared" si="56"/>
        <v>136165</v>
      </c>
      <c r="L415" s="5">
        <f t="shared" si="57"/>
        <v>141598.75</v>
      </c>
      <c r="M415" s="5">
        <f t="shared" si="58"/>
        <v>-5433.75</v>
      </c>
      <c r="N415" s="3"/>
    </row>
    <row r="416" spans="1:14" x14ac:dyDescent="0.25">
      <c r="A416" s="2">
        <v>1201008</v>
      </c>
      <c r="B416" s="3">
        <v>27462.5</v>
      </c>
      <c r="C416" s="3">
        <v>39810</v>
      </c>
      <c r="D416" s="3">
        <v>20875</v>
      </c>
      <c r="E416" s="3">
        <v>49609.399999999994</v>
      </c>
      <c r="F416">
        <f t="shared" si="51"/>
        <v>1201008</v>
      </c>
      <c r="G416" s="3">
        <f t="shared" si="52"/>
        <v>27462.5</v>
      </c>
      <c r="H416" s="3">
        <f t="shared" si="53"/>
        <v>39810</v>
      </c>
      <c r="I416" s="3">
        <f t="shared" si="54"/>
        <v>20875</v>
      </c>
      <c r="J416" s="3">
        <f t="shared" si="55"/>
        <v>49609.399999999994</v>
      </c>
      <c r="K416" s="5">
        <f t="shared" si="56"/>
        <v>137756.9</v>
      </c>
      <c r="L416" s="5">
        <f t="shared" si="57"/>
        <v>137756.9</v>
      </c>
      <c r="M416" s="5">
        <f t="shared" si="58"/>
        <v>0</v>
      </c>
      <c r="N416" s="3"/>
    </row>
    <row r="417" spans="1:14" x14ac:dyDescent="0.25">
      <c r="A417" s="2">
        <v>1201009</v>
      </c>
      <c r="B417" s="3">
        <v>28187.5</v>
      </c>
      <c r="C417" s="3">
        <v>41400</v>
      </c>
      <c r="D417" s="3">
        <v>20893.75</v>
      </c>
      <c r="E417" s="3">
        <v>49140.600000000006</v>
      </c>
      <c r="F417">
        <f t="shared" si="51"/>
        <v>1201009</v>
      </c>
      <c r="G417" s="3">
        <f t="shared" si="52"/>
        <v>28187.5</v>
      </c>
      <c r="H417" s="3">
        <f t="shared" si="53"/>
        <v>41400</v>
      </c>
      <c r="I417" s="3">
        <f t="shared" si="54"/>
        <v>20893.75</v>
      </c>
      <c r="J417" s="3">
        <f t="shared" si="55"/>
        <v>49140.600000000006</v>
      </c>
      <c r="K417" s="5">
        <f t="shared" si="56"/>
        <v>139621.85</v>
      </c>
      <c r="L417" s="5">
        <f t="shared" si="57"/>
        <v>139621.85</v>
      </c>
      <c r="M417" s="5">
        <f t="shared" si="58"/>
        <v>0</v>
      </c>
      <c r="N417" s="3"/>
    </row>
    <row r="418" spans="1:14" x14ac:dyDescent="0.25">
      <c r="A418" s="2">
        <v>1201011</v>
      </c>
      <c r="B418" s="3">
        <v>28562.5</v>
      </c>
      <c r="C418" s="3">
        <v>42740</v>
      </c>
      <c r="D418" s="3">
        <v>21131.25</v>
      </c>
      <c r="E418" s="3">
        <v>46484.399999999994</v>
      </c>
      <c r="F418">
        <f t="shared" si="51"/>
        <v>1201011</v>
      </c>
      <c r="G418" s="3">
        <f t="shared" si="52"/>
        <v>28562.5</v>
      </c>
      <c r="H418" s="3">
        <f t="shared" si="53"/>
        <v>42740</v>
      </c>
      <c r="I418" s="3">
        <f t="shared" si="54"/>
        <v>21131.25</v>
      </c>
      <c r="J418" s="3">
        <f t="shared" si="55"/>
        <v>46484.399999999994</v>
      </c>
      <c r="K418" s="5">
        <f t="shared" si="56"/>
        <v>138918.15</v>
      </c>
      <c r="L418" s="5">
        <f t="shared" si="57"/>
        <v>139621.85</v>
      </c>
      <c r="M418" s="5">
        <f t="shared" si="58"/>
        <v>-703.70000000001164</v>
      </c>
      <c r="N418" s="3"/>
    </row>
    <row r="419" spans="1:14" x14ac:dyDescent="0.25">
      <c r="A419" s="2">
        <v>1201012</v>
      </c>
      <c r="B419" s="3">
        <v>28768.75</v>
      </c>
      <c r="C419" s="3">
        <v>42740</v>
      </c>
      <c r="D419" s="3">
        <v>21306.25</v>
      </c>
      <c r="E419" s="3">
        <v>46406.25</v>
      </c>
      <c r="F419">
        <f t="shared" si="51"/>
        <v>1201012</v>
      </c>
      <c r="G419" s="3">
        <f t="shared" si="52"/>
        <v>28768.75</v>
      </c>
      <c r="H419" s="3">
        <f t="shared" si="53"/>
        <v>42740</v>
      </c>
      <c r="I419" s="3">
        <f t="shared" si="54"/>
        <v>21306.25</v>
      </c>
      <c r="J419" s="3">
        <f t="shared" si="55"/>
        <v>46406.25</v>
      </c>
      <c r="K419" s="5">
        <f t="shared" si="56"/>
        <v>139221.25</v>
      </c>
      <c r="L419" s="5">
        <f t="shared" si="57"/>
        <v>139221.25</v>
      </c>
      <c r="M419" s="5">
        <f t="shared" si="58"/>
        <v>0</v>
      </c>
      <c r="N419" s="3"/>
    </row>
    <row r="420" spans="1:14" x14ac:dyDescent="0.25">
      <c r="A420" s="2">
        <v>1201013</v>
      </c>
      <c r="B420" s="3">
        <v>29925</v>
      </c>
      <c r="C420" s="3">
        <v>44000</v>
      </c>
      <c r="D420" s="3">
        <v>21368.75</v>
      </c>
      <c r="E420" s="3">
        <v>46328.100000000006</v>
      </c>
      <c r="F420">
        <f t="shared" si="51"/>
        <v>1201013</v>
      </c>
      <c r="G420" s="3">
        <f t="shared" si="52"/>
        <v>29925</v>
      </c>
      <c r="H420" s="3">
        <f t="shared" si="53"/>
        <v>44000</v>
      </c>
      <c r="I420" s="3">
        <f t="shared" si="54"/>
        <v>21368.75</v>
      </c>
      <c r="J420" s="3">
        <f t="shared" si="55"/>
        <v>46328.100000000006</v>
      </c>
      <c r="K420" s="5">
        <f t="shared" si="56"/>
        <v>141621.85</v>
      </c>
      <c r="L420" s="5">
        <f t="shared" si="57"/>
        <v>141621.85</v>
      </c>
      <c r="M420" s="5">
        <f t="shared" si="58"/>
        <v>0</v>
      </c>
      <c r="N420" s="3"/>
    </row>
    <row r="421" spans="1:14" x14ac:dyDescent="0.25">
      <c r="A421" s="2">
        <v>1201014</v>
      </c>
      <c r="B421" s="3">
        <v>29806.25</v>
      </c>
      <c r="C421" s="3">
        <v>43690</v>
      </c>
      <c r="D421" s="3">
        <v>21025</v>
      </c>
      <c r="E421" s="3">
        <v>46250</v>
      </c>
      <c r="F421">
        <f t="shared" si="51"/>
        <v>1201014</v>
      </c>
      <c r="G421" s="3">
        <f t="shared" si="52"/>
        <v>29806.25</v>
      </c>
      <c r="H421" s="3">
        <f t="shared" si="53"/>
        <v>43690</v>
      </c>
      <c r="I421" s="3">
        <f t="shared" si="54"/>
        <v>21025</v>
      </c>
      <c r="J421" s="3">
        <f t="shared" si="55"/>
        <v>46250</v>
      </c>
      <c r="K421" s="5">
        <f t="shared" si="56"/>
        <v>140771.25</v>
      </c>
      <c r="L421" s="5">
        <f t="shared" si="57"/>
        <v>141621.85</v>
      </c>
      <c r="M421" s="5">
        <f t="shared" si="58"/>
        <v>-850.60000000000582</v>
      </c>
      <c r="N421" s="3"/>
    </row>
    <row r="422" spans="1:14" x14ac:dyDescent="0.25">
      <c r="A422" s="2">
        <v>1201015</v>
      </c>
      <c r="B422" s="3">
        <v>30906.25</v>
      </c>
      <c r="C422" s="3">
        <v>43360</v>
      </c>
      <c r="D422" s="3">
        <v>21206.25</v>
      </c>
      <c r="E422" s="3">
        <v>46718.75</v>
      </c>
      <c r="F422">
        <f t="shared" si="51"/>
        <v>1201015</v>
      </c>
      <c r="G422" s="3">
        <f t="shared" si="52"/>
        <v>30906.25</v>
      </c>
      <c r="H422" s="3">
        <f t="shared" si="53"/>
        <v>43360</v>
      </c>
      <c r="I422" s="3">
        <f t="shared" si="54"/>
        <v>21206.25</v>
      </c>
      <c r="J422" s="3">
        <f t="shared" si="55"/>
        <v>46718.75</v>
      </c>
      <c r="K422" s="5">
        <f t="shared" si="56"/>
        <v>142191.25</v>
      </c>
      <c r="L422" s="5">
        <f t="shared" si="57"/>
        <v>142191.25</v>
      </c>
      <c r="M422" s="5">
        <f t="shared" si="58"/>
        <v>0</v>
      </c>
      <c r="N422" s="3"/>
    </row>
    <row r="423" spans="1:14" x14ac:dyDescent="0.25">
      <c r="A423" s="2">
        <v>1201016</v>
      </c>
      <c r="B423" s="3">
        <v>31031.25</v>
      </c>
      <c r="C423" s="3">
        <v>41540</v>
      </c>
      <c r="D423" s="3">
        <v>21006.25</v>
      </c>
      <c r="E423" s="3">
        <v>46953.100000000006</v>
      </c>
      <c r="F423">
        <f t="shared" si="51"/>
        <v>1201016</v>
      </c>
      <c r="G423" s="3">
        <f t="shared" si="52"/>
        <v>31031.25</v>
      </c>
      <c r="H423" s="3">
        <f t="shared" si="53"/>
        <v>41540</v>
      </c>
      <c r="I423" s="3">
        <f t="shared" si="54"/>
        <v>21006.25</v>
      </c>
      <c r="J423" s="3">
        <f t="shared" si="55"/>
        <v>46953.100000000006</v>
      </c>
      <c r="K423" s="5">
        <f t="shared" si="56"/>
        <v>140530.6</v>
      </c>
      <c r="L423" s="5">
        <f t="shared" si="57"/>
        <v>142191.25</v>
      </c>
      <c r="M423" s="5">
        <f t="shared" si="58"/>
        <v>-1660.6499999999942</v>
      </c>
      <c r="N423" s="3"/>
    </row>
    <row r="424" spans="1:14" x14ac:dyDescent="0.25">
      <c r="A424" s="2">
        <v>1201018</v>
      </c>
      <c r="B424" s="3">
        <v>30650</v>
      </c>
      <c r="C424" s="3">
        <v>40180</v>
      </c>
      <c r="D424" s="3">
        <v>21212.5</v>
      </c>
      <c r="E424" s="3">
        <v>45390.600000000006</v>
      </c>
      <c r="F424">
        <f t="shared" si="51"/>
        <v>1201018</v>
      </c>
      <c r="G424" s="3">
        <f t="shared" si="52"/>
        <v>30650</v>
      </c>
      <c r="H424" s="3">
        <f t="shared" si="53"/>
        <v>40180</v>
      </c>
      <c r="I424" s="3">
        <f t="shared" si="54"/>
        <v>21212.5</v>
      </c>
      <c r="J424" s="3">
        <f t="shared" si="55"/>
        <v>45390.600000000006</v>
      </c>
      <c r="K424" s="5">
        <f t="shared" si="56"/>
        <v>137433.1</v>
      </c>
      <c r="L424" s="5">
        <f t="shared" si="57"/>
        <v>140530.6</v>
      </c>
      <c r="M424" s="5">
        <f t="shared" si="58"/>
        <v>-3097.5</v>
      </c>
      <c r="N424" s="3"/>
    </row>
    <row r="425" spans="1:14" x14ac:dyDescent="0.25">
      <c r="A425" s="2">
        <v>1201019</v>
      </c>
      <c r="B425" s="3">
        <v>30843.75</v>
      </c>
      <c r="C425" s="3">
        <v>40160</v>
      </c>
      <c r="D425" s="3">
        <v>21243.75</v>
      </c>
      <c r="E425" s="3">
        <v>45703.100000000006</v>
      </c>
      <c r="F425">
        <f t="shared" si="51"/>
        <v>1201019</v>
      </c>
      <c r="G425" s="3">
        <f t="shared" si="52"/>
        <v>30843.75</v>
      </c>
      <c r="H425" s="3">
        <f t="shared" si="53"/>
        <v>40160</v>
      </c>
      <c r="I425" s="3">
        <f t="shared" si="54"/>
        <v>21243.75</v>
      </c>
      <c r="J425" s="3">
        <f t="shared" si="55"/>
        <v>45703.100000000006</v>
      </c>
      <c r="K425" s="5">
        <f t="shared" si="56"/>
        <v>137950.6</v>
      </c>
      <c r="L425" s="5">
        <f t="shared" si="57"/>
        <v>137950.6</v>
      </c>
      <c r="M425" s="5">
        <f t="shared" si="58"/>
        <v>0</v>
      </c>
      <c r="N425" s="3"/>
    </row>
    <row r="426" spans="1:14" x14ac:dyDescent="0.25">
      <c r="A426" s="2">
        <v>1201020</v>
      </c>
      <c r="B426" s="3">
        <v>31912.5</v>
      </c>
      <c r="C426" s="3">
        <v>40090</v>
      </c>
      <c r="D426" s="3">
        <v>20950</v>
      </c>
      <c r="E426" s="3">
        <v>45937.5</v>
      </c>
      <c r="F426">
        <f t="shared" si="51"/>
        <v>1201020</v>
      </c>
      <c r="G426" s="3">
        <f t="shared" si="52"/>
        <v>31912.5</v>
      </c>
      <c r="H426" s="3">
        <f t="shared" si="53"/>
        <v>40090</v>
      </c>
      <c r="I426" s="3">
        <f t="shared" si="54"/>
        <v>20950</v>
      </c>
      <c r="J426" s="3">
        <f t="shared" si="55"/>
        <v>45937.5</v>
      </c>
      <c r="K426" s="5">
        <f t="shared" si="56"/>
        <v>138890</v>
      </c>
      <c r="L426" s="5">
        <f t="shared" si="57"/>
        <v>138890</v>
      </c>
      <c r="M426" s="5">
        <f t="shared" si="58"/>
        <v>0</v>
      </c>
      <c r="N426" s="3"/>
    </row>
    <row r="427" spans="1:14" x14ac:dyDescent="0.25">
      <c r="A427" s="2">
        <v>1201021</v>
      </c>
      <c r="B427" s="3">
        <v>30275</v>
      </c>
      <c r="C427" s="3">
        <v>41840</v>
      </c>
      <c r="D427" s="3">
        <v>21100</v>
      </c>
      <c r="E427" s="3">
        <v>48046.899999999994</v>
      </c>
      <c r="F427">
        <f t="shared" si="51"/>
        <v>1201021</v>
      </c>
      <c r="G427" s="3">
        <f t="shared" si="52"/>
        <v>30275</v>
      </c>
      <c r="H427" s="3">
        <f t="shared" si="53"/>
        <v>41840</v>
      </c>
      <c r="I427" s="3">
        <f t="shared" si="54"/>
        <v>21100</v>
      </c>
      <c r="J427" s="3">
        <f t="shared" si="55"/>
        <v>48046.899999999994</v>
      </c>
      <c r="K427" s="5">
        <f t="shared" si="56"/>
        <v>141261.9</v>
      </c>
      <c r="L427" s="5">
        <f t="shared" si="57"/>
        <v>141261.9</v>
      </c>
      <c r="M427" s="5">
        <f t="shared" si="58"/>
        <v>0</v>
      </c>
      <c r="N427" s="3"/>
    </row>
    <row r="428" spans="1:14" x14ac:dyDescent="0.25">
      <c r="A428" s="2">
        <v>1201022</v>
      </c>
      <c r="B428" s="3">
        <v>29781.25</v>
      </c>
      <c r="C428" s="3">
        <v>39950</v>
      </c>
      <c r="D428" s="3">
        <v>21756.25</v>
      </c>
      <c r="E428" s="3">
        <v>47343.75</v>
      </c>
      <c r="F428">
        <f t="shared" si="51"/>
        <v>1201022</v>
      </c>
      <c r="G428" s="3">
        <f t="shared" si="52"/>
        <v>29781.25</v>
      </c>
      <c r="H428" s="3">
        <f t="shared" si="53"/>
        <v>39950</v>
      </c>
      <c r="I428" s="3">
        <f t="shared" si="54"/>
        <v>21756.25</v>
      </c>
      <c r="J428" s="3">
        <f t="shared" si="55"/>
        <v>47343.75</v>
      </c>
      <c r="K428" s="5">
        <f t="shared" si="56"/>
        <v>138831.25</v>
      </c>
      <c r="L428" s="5">
        <f t="shared" si="57"/>
        <v>141261.9</v>
      </c>
      <c r="M428" s="5">
        <f t="shared" si="58"/>
        <v>-2430.6499999999942</v>
      </c>
      <c r="N428" s="3"/>
    </row>
    <row r="429" spans="1:14" x14ac:dyDescent="0.25">
      <c r="A429" s="2">
        <v>1201023</v>
      </c>
      <c r="B429" s="3">
        <v>30125</v>
      </c>
      <c r="C429" s="3">
        <v>39990</v>
      </c>
      <c r="D429" s="3">
        <v>21593.75</v>
      </c>
      <c r="E429" s="3">
        <v>47421.899999999994</v>
      </c>
      <c r="F429">
        <f t="shared" si="51"/>
        <v>1201023</v>
      </c>
      <c r="G429" s="3">
        <f t="shared" si="52"/>
        <v>30125</v>
      </c>
      <c r="H429" s="3">
        <f t="shared" si="53"/>
        <v>39990</v>
      </c>
      <c r="I429" s="3">
        <f t="shared" si="54"/>
        <v>21593.75</v>
      </c>
      <c r="J429" s="3">
        <f t="shared" si="55"/>
        <v>47421.899999999994</v>
      </c>
      <c r="K429" s="5">
        <f t="shared" si="56"/>
        <v>139130.65</v>
      </c>
      <c r="L429" s="5">
        <f t="shared" si="57"/>
        <v>139130.65</v>
      </c>
      <c r="M429" s="5">
        <f t="shared" si="58"/>
        <v>0</v>
      </c>
      <c r="N429" s="3"/>
    </row>
    <row r="430" spans="1:14" x14ac:dyDescent="0.25">
      <c r="A430" s="2">
        <v>1201025</v>
      </c>
      <c r="B430" s="3">
        <v>29887.5</v>
      </c>
      <c r="C430" s="3">
        <v>37930</v>
      </c>
      <c r="D430" s="3">
        <v>21593.75</v>
      </c>
      <c r="E430" s="3">
        <v>46953.100000000006</v>
      </c>
      <c r="F430">
        <f t="shared" si="51"/>
        <v>1201025</v>
      </c>
      <c r="G430" s="3">
        <f t="shared" si="52"/>
        <v>29887.5</v>
      </c>
      <c r="H430" s="3">
        <f t="shared" si="53"/>
        <v>37930</v>
      </c>
      <c r="I430" s="3">
        <f t="shared" si="54"/>
        <v>21593.75</v>
      </c>
      <c r="J430" s="3">
        <f t="shared" si="55"/>
        <v>46953.100000000006</v>
      </c>
      <c r="K430" s="5">
        <f t="shared" si="56"/>
        <v>136364.35</v>
      </c>
      <c r="L430" s="5">
        <f t="shared" si="57"/>
        <v>139130.65</v>
      </c>
      <c r="M430" s="5">
        <f t="shared" si="58"/>
        <v>-2766.2999999999884</v>
      </c>
      <c r="N430" s="3"/>
    </row>
    <row r="431" spans="1:14" x14ac:dyDescent="0.25">
      <c r="A431" s="2">
        <v>1201026</v>
      </c>
      <c r="B431" s="3">
        <v>29893.75</v>
      </c>
      <c r="C431" s="3">
        <v>38400</v>
      </c>
      <c r="D431" s="3">
        <v>21818.75</v>
      </c>
      <c r="E431" s="3">
        <v>46562.5</v>
      </c>
      <c r="F431">
        <f t="shared" si="51"/>
        <v>1201026</v>
      </c>
      <c r="G431" s="3">
        <f t="shared" si="52"/>
        <v>29893.75</v>
      </c>
      <c r="H431" s="3">
        <f t="shared" si="53"/>
        <v>38400</v>
      </c>
      <c r="I431" s="3">
        <f t="shared" si="54"/>
        <v>21818.75</v>
      </c>
      <c r="J431" s="3">
        <f t="shared" si="55"/>
        <v>46562.5</v>
      </c>
      <c r="K431" s="5">
        <f t="shared" si="56"/>
        <v>136675</v>
      </c>
      <c r="L431" s="5">
        <f t="shared" si="57"/>
        <v>136675</v>
      </c>
      <c r="M431" s="5">
        <f t="shared" si="58"/>
        <v>0</v>
      </c>
      <c r="N431" s="3"/>
    </row>
    <row r="432" spans="1:14" x14ac:dyDescent="0.25">
      <c r="A432" s="2">
        <v>1201027</v>
      </c>
      <c r="B432" s="3">
        <v>30650</v>
      </c>
      <c r="C432" s="3">
        <v>39440</v>
      </c>
      <c r="D432" s="3">
        <v>21737.5</v>
      </c>
      <c r="E432" s="3">
        <v>46328.100000000006</v>
      </c>
      <c r="F432">
        <f t="shared" si="51"/>
        <v>1201027</v>
      </c>
      <c r="G432" s="3">
        <f t="shared" si="52"/>
        <v>30650</v>
      </c>
      <c r="H432" s="3">
        <f t="shared" si="53"/>
        <v>39440</v>
      </c>
      <c r="I432" s="3">
        <f t="shared" si="54"/>
        <v>21737.5</v>
      </c>
      <c r="J432" s="3">
        <f t="shared" si="55"/>
        <v>46328.100000000006</v>
      </c>
      <c r="K432" s="5">
        <f t="shared" si="56"/>
        <v>138155.6</v>
      </c>
      <c r="L432" s="5">
        <f t="shared" si="57"/>
        <v>138155.6</v>
      </c>
      <c r="M432" s="5">
        <f t="shared" si="58"/>
        <v>0</v>
      </c>
      <c r="N432" s="3"/>
    </row>
    <row r="433" spans="1:14" x14ac:dyDescent="0.25">
      <c r="A433" s="2">
        <v>1201028</v>
      </c>
      <c r="B433" s="3">
        <v>31025</v>
      </c>
      <c r="C433" s="3">
        <v>38580</v>
      </c>
      <c r="D433" s="3">
        <v>22331.25</v>
      </c>
      <c r="E433" s="3">
        <v>47500</v>
      </c>
      <c r="F433">
        <f t="shared" si="51"/>
        <v>1201028</v>
      </c>
      <c r="G433" s="3">
        <f t="shared" si="52"/>
        <v>31025</v>
      </c>
      <c r="H433" s="3">
        <f t="shared" si="53"/>
        <v>38580</v>
      </c>
      <c r="I433" s="3">
        <f t="shared" si="54"/>
        <v>22331.25</v>
      </c>
      <c r="J433" s="3">
        <f t="shared" si="55"/>
        <v>47500</v>
      </c>
      <c r="K433" s="5">
        <f t="shared" si="56"/>
        <v>139436.25</v>
      </c>
      <c r="L433" s="5">
        <f t="shared" si="57"/>
        <v>139436.25</v>
      </c>
      <c r="M433" s="5">
        <f t="shared" si="58"/>
        <v>0</v>
      </c>
      <c r="N433" s="3"/>
    </row>
    <row r="434" spans="1:14" x14ac:dyDescent="0.25">
      <c r="A434" s="2">
        <v>1201029</v>
      </c>
      <c r="B434" s="3">
        <v>31268.75</v>
      </c>
      <c r="C434" s="3">
        <v>41250</v>
      </c>
      <c r="D434" s="3">
        <v>22337.5</v>
      </c>
      <c r="E434" s="3">
        <v>46718.75</v>
      </c>
      <c r="F434">
        <f t="shared" si="51"/>
        <v>1201029</v>
      </c>
      <c r="G434" s="3">
        <f t="shared" si="52"/>
        <v>31268.75</v>
      </c>
      <c r="H434" s="3">
        <f t="shared" si="53"/>
        <v>41250</v>
      </c>
      <c r="I434" s="3">
        <f t="shared" si="54"/>
        <v>22337.5</v>
      </c>
      <c r="J434" s="3">
        <f t="shared" si="55"/>
        <v>46718.75</v>
      </c>
      <c r="K434" s="5">
        <f t="shared" si="56"/>
        <v>141575</v>
      </c>
      <c r="L434" s="5">
        <f t="shared" si="57"/>
        <v>141575</v>
      </c>
      <c r="M434" s="5">
        <f t="shared" si="58"/>
        <v>0</v>
      </c>
      <c r="N434" s="3"/>
    </row>
    <row r="435" spans="1:14" x14ac:dyDescent="0.25">
      <c r="A435" s="2">
        <v>1201030</v>
      </c>
      <c r="B435" s="3">
        <v>30625</v>
      </c>
      <c r="C435" s="3">
        <v>41810</v>
      </c>
      <c r="D435" s="3">
        <v>22250</v>
      </c>
      <c r="E435" s="3">
        <v>47109.399999999994</v>
      </c>
      <c r="F435">
        <f t="shared" si="51"/>
        <v>1201030</v>
      </c>
      <c r="G435" s="3">
        <f t="shared" si="52"/>
        <v>30625</v>
      </c>
      <c r="H435" s="3">
        <f t="shared" si="53"/>
        <v>41810</v>
      </c>
      <c r="I435" s="3">
        <f t="shared" si="54"/>
        <v>22250</v>
      </c>
      <c r="J435" s="3">
        <f t="shared" si="55"/>
        <v>47109.399999999994</v>
      </c>
      <c r="K435" s="5">
        <f t="shared" si="56"/>
        <v>141794.4</v>
      </c>
      <c r="L435" s="5">
        <f t="shared" si="57"/>
        <v>141794.4</v>
      </c>
      <c r="M435" s="5">
        <f t="shared" si="58"/>
        <v>0</v>
      </c>
      <c r="N435" s="3"/>
    </row>
    <row r="436" spans="1:14" x14ac:dyDescent="0.25">
      <c r="A436" s="2">
        <v>1201101</v>
      </c>
      <c r="B436" s="3">
        <v>28868.75</v>
      </c>
      <c r="C436" s="3">
        <v>41510</v>
      </c>
      <c r="D436" s="3">
        <v>22506.25</v>
      </c>
      <c r="E436" s="3">
        <v>48593.75</v>
      </c>
      <c r="F436">
        <f t="shared" si="51"/>
        <v>1201101</v>
      </c>
      <c r="G436" s="3">
        <f t="shared" si="52"/>
        <v>28868.75</v>
      </c>
      <c r="H436" s="3">
        <f t="shared" si="53"/>
        <v>41510</v>
      </c>
      <c r="I436" s="3">
        <f t="shared" si="54"/>
        <v>22506.25</v>
      </c>
      <c r="J436" s="3">
        <f t="shared" si="55"/>
        <v>48593.75</v>
      </c>
      <c r="K436" s="5">
        <f t="shared" si="56"/>
        <v>141478.75</v>
      </c>
      <c r="L436" s="5">
        <f t="shared" si="57"/>
        <v>141794.4</v>
      </c>
      <c r="M436" s="5">
        <f t="shared" si="58"/>
        <v>-315.64999999999418</v>
      </c>
      <c r="N436" s="3"/>
    </row>
    <row r="437" spans="1:14" x14ac:dyDescent="0.25">
      <c r="A437" s="2">
        <v>1201102</v>
      </c>
      <c r="B437" s="3">
        <v>28287.5</v>
      </c>
      <c r="C437" s="3">
        <v>41790</v>
      </c>
      <c r="D437" s="3">
        <v>22637.5</v>
      </c>
      <c r="E437" s="3">
        <v>48750</v>
      </c>
      <c r="F437">
        <f t="shared" si="51"/>
        <v>1201102</v>
      </c>
      <c r="G437" s="3">
        <f t="shared" si="52"/>
        <v>28287.5</v>
      </c>
      <c r="H437" s="3">
        <f t="shared" si="53"/>
        <v>41790</v>
      </c>
      <c r="I437" s="3">
        <f t="shared" si="54"/>
        <v>22637.5</v>
      </c>
      <c r="J437" s="3">
        <f t="shared" si="55"/>
        <v>48750</v>
      </c>
      <c r="K437" s="5">
        <f t="shared" si="56"/>
        <v>141465</v>
      </c>
      <c r="L437" s="5">
        <f t="shared" si="57"/>
        <v>141478.75</v>
      </c>
      <c r="M437" s="5">
        <f t="shared" si="58"/>
        <v>-13.75</v>
      </c>
      <c r="N437" s="3"/>
    </row>
    <row r="438" spans="1:14" x14ac:dyDescent="0.25">
      <c r="A438" s="2">
        <v>1201103</v>
      </c>
      <c r="B438" s="3">
        <v>26950</v>
      </c>
      <c r="C438" s="3">
        <v>42800</v>
      </c>
      <c r="D438" s="3">
        <v>22587.5</v>
      </c>
      <c r="E438" s="3">
        <v>48281.25</v>
      </c>
      <c r="F438">
        <f t="shared" si="51"/>
        <v>1201103</v>
      </c>
      <c r="G438" s="3">
        <f t="shared" si="52"/>
        <v>26950</v>
      </c>
      <c r="H438" s="3">
        <f t="shared" si="53"/>
        <v>42800</v>
      </c>
      <c r="I438" s="3">
        <f t="shared" si="54"/>
        <v>22587.5</v>
      </c>
      <c r="J438" s="3">
        <f t="shared" si="55"/>
        <v>48281.25</v>
      </c>
      <c r="K438" s="5">
        <f t="shared" si="56"/>
        <v>140618.75</v>
      </c>
      <c r="L438" s="5">
        <f t="shared" si="57"/>
        <v>141465</v>
      </c>
      <c r="M438" s="5">
        <f t="shared" si="58"/>
        <v>-846.25</v>
      </c>
      <c r="N438" s="3"/>
    </row>
    <row r="439" spans="1:14" x14ac:dyDescent="0.25">
      <c r="A439" s="2">
        <v>1201104</v>
      </c>
      <c r="B439" s="3">
        <v>28681.25</v>
      </c>
      <c r="C439" s="3">
        <v>43010</v>
      </c>
      <c r="D439" s="3">
        <v>22081.25</v>
      </c>
      <c r="E439" s="3">
        <v>44140.600000000006</v>
      </c>
      <c r="F439">
        <f t="shared" si="51"/>
        <v>1201104</v>
      </c>
      <c r="G439" s="3">
        <f t="shared" si="52"/>
        <v>28681.25</v>
      </c>
      <c r="H439" s="3">
        <f t="shared" si="53"/>
        <v>43010</v>
      </c>
      <c r="I439" s="3">
        <f t="shared" si="54"/>
        <v>22081.25</v>
      </c>
      <c r="J439" s="3">
        <f t="shared" si="55"/>
        <v>44140.600000000006</v>
      </c>
      <c r="K439" s="5">
        <f t="shared" si="56"/>
        <v>137913.1</v>
      </c>
      <c r="L439" s="5">
        <f t="shared" si="57"/>
        <v>140618.75</v>
      </c>
      <c r="M439" s="5">
        <f t="shared" si="58"/>
        <v>-2705.6499999999942</v>
      </c>
      <c r="N439" s="3"/>
    </row>
    <row r="440" spans="1:14" x14ac:dyDescent="0.25">
      <c r="A440" s="2">
        <v>1201105</v>
      </c>
      <c r="B440" s="3">
        <v>30825</v>
      </c>
      <c r="C440" s="3">
        <v>40330</v>
      </c>
      <c r="D440" s="3">
        <v>21687.5</v>
      </c>
      <c r="E440" s="3">
        <v>43906.25</v>
      </c>
      <c r="F440">
        <f t="shared" si="51"/>
        <v>1201105</v>
      </c>
      <c r="G440" s="3">
        <f t="shared" si="52"/>
        <v>30825</v>
      </c>
      <c r="H440" s="3">
        <f t="shared" si="53"/>
        <v>40330</v>
      </c>
      <c r="I440" s="3">
        <f t="shared" si="54"/>
        <v>21687.5</v>
      </c>
      <c r="J440" s="3">
        <f t="shared" si="55"/>
        <v>43906.25</v>
      </c>
      <c r="K440" s="5">
        <f t="shared" si="56"/>
        <v>136748.75</v>
      </c>
      <c r="L440" s="5">
        <f t="shared" si="57"/>
        <v>137913.1</v>
      </c>
      <c r="M440" s="5">
        <f t="shared" si="58"/>
        <v>-1164.3500000000058</v>
      </c>
      <c r="N440" s="3"/>
    </row>
    <row r="441" spans="1:14" x14ac:dyDescent="0.25">
      <c r="A441" s="2">
        <v>1201106</v>
      </c>
      <c r="B441" s="3">
        <v>31618.75</v>
      </c>
      <c r="C441" s="3">
        <v>42990</v>
      </c>
      <c r="D441" s="3">
        <v>22575</v>
      </c>
      <c r="E441" s="3">
        <v>43593.75</v>
      </c>
      <c r="F441">
        <f t="shared" si="51"/>
        <v>1201106</v>
      </c>
      <c r="G441" s="3">
        <f t="shared" si="52"/>
        <v>31618.75</v>
      </c>
      <c r="H441" s="3">
        <f t="shared" si="53"/>
        <v>42990</v>
      </c>
      <c r="I441" s="3">
        <f t="shared" si="54"/>
        <v>22575</v>
      </c>
      <c r="J441" s="3">
        <f t="shared" si="55"/>
        <v>43593.75</v>
      </c>
      <c r="K441" s="5">
        <f t="shared" si="56"/>
        <v>140777.5</v>
      </c>
      <c r="L441" s="5">
        <f t="shared" si="57"/>
        <v>140777.5</v>
      </c>
      <c r="M441" s="5">
        <f t="shared" si="58"/>
        <v>0</v>
      </c>
      <c r="N441" s="3"/>
    </row>
    <row r="442" spans="1:14" x14ac:dyDescent="0.25">
      <c r="A442" s="2">
        <v>1201108</v>
      </c>
      <c r="B442" s="3">
        <v>31618.75</v>
      </c>
      <c r="C442" s="3">
        <v>43780</v>
      </c>
      <c r="D442" s="3">
        <v>22175</v>
      </c>
      <c r="E442" s="3">
        <v>45546.899999999994</v>
      </c>
      <c r="F442">
        <f t="shared" si="51"/>
        <v>1201108</v>
      </c>
      <c r="G442" s="3">
        <f t="shared" si="52"/>
        <v>31618.75</v>
      </c>
      <c r="H442" s="3">
        <f t="shared" si="53"/>
        <v>43780</v>
      </c>
      <c r="I442" s="3">
        <f t="shared" si="54"/>
        <v>22175</v>
      </c>
      <c r="J442" s="3">
        <f t="shared" si="55"/>
        <v>45546.899999999994</v>
      </c>
      <c r="K442" s="5">
        <f t="shared" si="56"/>
        <v>143120.65</v>
      </c>
      <c r="L442" s="5">
        <f t="shared" si="57"/>
        <v>143120.65</v>
      </c>
      <c r="M442" s="5">
        <f t="shared" si="58"/>
        <v>0</v>
      </c>
      <c r="N442" s="3"/>
    </row>
    <row r="443" spans="1:14" x14ac:dyDescent="0.25">
      <c r="A443" s="2">
        <v>1201109</v>
      </c>
      <c r="B443" s="3">
        <v>31618.75</v>
      </c>
      <c r="C443" s="3">
        <v>44160</v>
      </c>
      <c r="D443" s="3">
        <v>22512.5</v>
      </c>
      <c r="E443" s="3">
        <v>45078.100000000006</v>
      </c>
      <c r="F443">
        <f t="shared" si="51"/>
        <v>1201109</v>
      </c>
      <c r="G443" s="3">
        <f t="shared" si="52"/>
        <v>31618.75</v>
      </c>
      <c r="H443" s="3">
        <f t="shared" si="53"/>
        <v>44160</v>
      </c>
      <c r="I443" s="3">
        <f t="shared" si="54"/>
        <v>22512.5</v>
      </c>
      <c r="J443" s="3">
        <f t="shared" si="55"/>
        <v>45078.100000000006</v>
      </c>
      <c r="K443" s="5">
        <f t="shared" si="56"/>
        <v>143369.35</v>
      </c>
      <c r="L443" s="5">
        <f t="shared" si="57"/>
        <v>143369.35</v>
      </c>
      <c r="M443" s="5">
        <f t="shared" si="58"/>
        <v>0</v>
      </c>
      <c r="N443" s="3"/>
    </row>
    <row r="444" spans="1:14" x14ac:dyDescent="0.25">
      <c r="A444" s="2">
        <v>1201110</v>
      </c>
      <c r="B444" s="3">
        <v>31618.75</v>
      </c>
      <c r="C444" s="3">
        <v>50550</v>
      </c>
      <c r="D444" s="3">
        <v>24143.75</v>
      </c>
      <c r="E444" s="3">
        <v>49062.5</v>
      </c>
      <c r="F444">
        <f t="shared" si="51"/>
        <v>1201110</v>
      </c>
      <c r="G444" s="3">
        <f t="shared" si="52"/>
        <v>31618.75</v>
      </c>
      <c r="H444" s="3">
        <f t="shared" si="53"/>
        <v>50550</v>
      </c>
      <c r="I444" s="3">
        <f t="shared" si="54"/>
        <v>24143.75</v>
      </c>
      <c r="J444" s="3">
        <f t="shared" si="55"/>
        <v>49062.5</v>
      </c>
      <c r="K444" s="5">
        <f t="shared" si="56"/>
        <v>155375</v>
      </c>
      <c r="L444" s="5">
        <f t="shared" si="57"/>
        <v>155375</v>
      </c>
      <c r="M444" s="5">
        <f t="shared" si="58"/>
        <v>0</v>
      </c>
      <c r="N444" s="3"/>
    </row>
    <row r="445" spans="1:14" x14ac:dyDescent="0.25">
      <c r="A445" s="2">
        <v>1201111</v>
      </c>
      <c r="B445" s="3">
        <v>30750</v>
      </c>
      <c r="C445" s="3">
        <v>50520</v>
      </c>
      <c r="D445" s="3">
        <v>24443.75</v>
      </c>
      <c r="E445" s="3">
        <v>51562.5</v>
      </c>
      <c r="F445">
        <f t="shared" si="51"/>
        <v>1201111</v>
      </c>
      <c r="G445" s="3">
        <f t="shared" si="52"/>
        <v>30750</v>
      </c>
      <c r="H445" s="3">
        <f t="shared" si="53"/>
        <v>50520</v>
      </c>
      <c r="I445" s="3">
        <f t="shared" si="54"/>
        <v>24443.75</v>
      </c>
      <c r="J445" s="3">
        <f t="shared" si="55"/>
        <v>51562.5</v>
      </c>
      <c r="K445" s="5">
        <f t="shared" si="56"/>
        <v>157276.25</v>
      </c>
      <c r="L445" s="5">
        <f t="shared" si="57"/>
        <v>157276.25</v>
      </c>
      <c r="M445" s="5">
        <f t="shared" si="58"/>
        <v>0</v>
      </c>
      <c r="N445" s="3"/>
    </row>
    <row r="446" spans="1:14" x14ac:dyDescent="0.25">
      <c r="A446" s="2">
        <v>1201112</v>
      </c>
      <c r="B446" s="3">
        <v>29543.75</v>
      </c>
      <c r="C446" s="3">
        <v>52440</v>
      </c>
      <c r="D446" s="3">
        <v>24762.5</v>
      </c>
      <c r="E446" s="3">
        <v>51875</v>
      </c>
      <c r="F446">
        <f t="shared" si="51"/>
        <v>1201112</v>
      </c>
      <c r="G446" s="3">
        <f t="shared" si="52"/>
        <v>29543.75</v>
      </c>
      <c r="H446" s="3">
        <f t="shared" si="53"/>
        <v>52440</v>
      </c>
      <c r="I446" s="3">
        <f t="shared" si="54"/>
        <v>24762.5</v>
      </c>
      <c r="J446" s="3">
        <f t="shared" si="55"/>
        <v>51875</v>
      </c>
      <c r="K446" s="5">
        <f t="shared" si="56"/>
        <v>158621.25</v>
      </c>
      <c r="L446" s="5">
        <f t="shared" si="57"/>
        <v>158621.25</v>
      </c>
      <c r="M446" s="5">
        <f t="shared" si="58"/>
        <v>0</v>
      </c>
      <c r="N446" s="3"/>
    </row>
    <row r="447" spans="1:14" x14ac:dyDescent="0.25">
      <c r="A447" s="2">
        <v>1201113</v>
      </c>
      <c r="B447" s="3">
        <v>29368.75</v>
      </c>
      <c r="C447" s="3">
        <v>52970</v>
      </c>
      <c r="D447" s="3">
        <v>25143.75</v>
      </c>
      <c r="E447" s="3">
        <v>54218.75</v>
      </c>
      <c r="F447">
        <f t="shared" si="51"/>
        <v>1201113</v>
      </c>
      <c r="G447" s="3">
        <f t="shared" si="52"/>
        <v>29368.75</v>
      </c>
      <c r="H447" s="3">
        <f t="shared" si="53"/>
        <v>52970</v>
      </c>
      <c r="I447" s="3">
        <f t="shared" si="54"/>
        <v>25143.75</v>
      </c>
      <c r="J447" s="3">
        <f t="shared" si="55"/>
        <v>54218.75</v>
      </c>
      <c r="K447" s="5">
        <f t="shared" si="56"/>
        <v>161701.25</v>
      </c>
      <c r="L447" s="5">
        <f t="shared" si="57"/>
        <v>161701.25</v>
      </c>
      <c r="M447" s="5">
        <f t="shared" si="58"/>
        <v>0</v>
      </c>
      <c r="N447" s="3"/>
    </row>
    <row r="448" spans="1:14" x14ac:dyDescent="0.25">
      <c r="A448" s="2">
        <v>1201115</v>
      </c>
      <c r="B448" s="3">
        <v>29450</v>
      </c>
      <c r="C448" s="3">
        <v>53080</v>
      </c>
      <c r="D448" s="3">
        <v>25381.25</v>
      </c>
      <c r="E448" s="3">
        <v>53203.100000000006</v>
      </c>
      <c r="F448">
        <f t="shared" si="51"/>
        <v>1201115</v>
      </c>
      <c r="G448" s="3">
        <f t="shared" si="52"/>
        <v>29450</v>
      </c>
      <c r="H448" s="3">
        <f t="shared" si="53"/>
        <v>53080</v>
      </c>
      <c r="I448" s="3">
        <f t="shared" si="54"/>
        <v>25381.25</v>
      </c>
      <c r="J448" s="3">
        <f t="shared" si="55"/>
        <v>53203.100000000006</v>
      </c>
      <c r="K448" s="5">
        <f t="shared" si="56"/>
        <v>161114.35</v>
      </c>
      <c r="L448" s="5">
        <f t="shared" si="57"/>
        <v>161701.25</v>
      </c>
      <c r="M448" s="5">
        <f t="shared" si="58"/>
        <v>-586.89999999999418</v>
      </c>
      <c r="N448" s="3"/>
    </row>
    <row r="449" spans="1:14" x14ac:dyDescent="0.25">
      <c r="A449" s="2">
        <v>1201116</v>
      </c>
      <c r="B449" s="3">
        <v>29587.5</v>
      </c>
      <c r="C449" s="3">
        <v>53630</v>
      </c>
      <c r="D449" s="3">
        <v>25487.5</v>
      </c>
      <c r="E449" s="3">
        <v>53046.899999999994</v>
      </c>
      <c r="F449">
        <f t="shared" si="51"/>
        <v>1201116</v>
      </c>
      <c r="G449" s="3">
        <f t="shared" si="52"/>
        <v>29587.5</v>
      </c>
      <c r="H449" s="3">
        <f t="shared" si="53"/>
        <v>53630</v>
      </c>
      <c r="I449" s="3">
        <f t="shared" si="54"/>
        <v>25487.5</v>
      </c>
      <c r="J449" s="3">
        <f t="shared" si="55"/>
        <v>53046.899999999994</v>
      </c>
      <c r="K449" s="5">
        <f t="shared" si="56"/>
        <v>161751.9</v>
      </c>
      <c r="L449" s="5">
        <f t="shared" si="57"/>
        <v>161751.9</v>
      </c>
      <c r="M449" s="5">
        <f t="shared" si="58"/>
        <v>0</v>
      </c>
      <c r="N449" s="3"/>
    </row>
    <row r="450" spans="1:14" x14ac:dyDescent="0.25">
      <c r="A450" s="2">
        <v>1201117</v>
      </c>
      <c r="B450" s="3">
        <v>29500</v>
      </c>
      <c r="C450" s="3">
        <v>52550</v>
      </c>
      <c r="D450" s="3">
        <v>25568.75</v>
      </c>
      <c r="E450" s="3">
        <v>53593.75</v>
      </c>
      <c r="F450">
        <f t="shared" si="51"/>
        <v>1201117</v>
      </c>
      <c r="G450" s="3">
        <f t="shared" si="52"/>
        <v>29500</v>
      </c>
      <c r="H450" s="3">
        <f t="shared" si="53"/>
        <v>52550</v>
      </c>
      <c r="I450" s="3">
        <f t="shared" si="54"/>
        <v>25568.75</v>
      </c>
      <c r="J450" s="3">
        <f t="shared" si="55"/>
        <v>53593.75</v>
      </c>
      <c r="K450" s="5">
        <f t="shared" si="56"/>
        <v>161212.5</v>
      </c>
      <c r="L450" s="5">
        <f t="shared" si="57"/>
        <v>161751.9</v>
      </c>
      <c r="M450" s="5">
        <f t="shared" si="58"/>
        <v>-539.39999999999418</v>
      </c>
      <c r="N450" s="3"/>
    </row>
    <row r="451" spans="1:14" x14ac:dyDescent="0.25">
      <c r="A451" s="2">
        <v>1201118</v>
      </c>
      <c r="B451" s="3">
        <v>28937.5</v>
      </c>
      <c r="C451" s="3">
        <v>50840</v>
      </c>
      <c r="D451" s="3">
        <v>26156.25</v>
      </c>
      <c r="E451" s="3">
        <v>54375</v>
      </c>
      <c r="F451">
        <f t="shared" si="51"/>
        <v>1201118</v>
      </c>
      <c r="G451" s="3">
        <f t="shared" si="52"/>
        <v>28937.5</v>
      </c>
      <c r="H451" s="3">
        <f t="shared" si="53"/>
        <v>50840</v>
      </c>
      <c r="I451" s="3">
        <f t="shared" si="54"/>
        <v>26156.25</v>
      </c>
      <c r="J451" s="3">
        <f t="shared" si="55"/>
        <v>54375</v>
      </c>
      <c r="K451" s="5">
        <f t="shared" si="56"/>
        <v>160308.75</v>
      </c>
      <c r="L451" s="5">
        <f t="shared" si="57"/>
        <v>161212.5</v>
      </c>
      <c r="M451" s="5">
        <f t="shared" si="58"/>
        <v>-903.75</v>
      </c>
      <c r="N451" s="3"/>
    </row>
    <row r="452" spans="1:14" x14ac:dyDescent="0.25">
      <c r="A452" s="2">
        <v>1201119</v>
      </c>
      <c r="B452" s="3">
        <v>29068.75</v>
      </c>
      <c r="C452" s="3">
        <v>51240</v>
      </c>
      <c r="D452" s="3">
        <v>25956.25</v>
      </c>
      <c r="E452" s="3">
        <v>52812.5</v>
      </c>
      <c r="F452">
        <f t="shared" si="51"/>
        <v>1201119</v>
      </c>
      <c r="G452" s="3">
        <f t="shared" si="52"/>
        <v>29068.75</v>
      </c>
      <c r="H452" s="3">
        <f t="shared" si="53"/>
        <v>51240</v>
      </c>
      <c r="I452" s="3">
        <f t="shared" si="54"/>
        <v>25956.25</v>
      </c>
      <c r="J452" s="3">
        <f t="shared" si="55"/>
        <v>52812.5</v>
      </c>
      <c r="K452" s="5">
        <f t="shared" si="56"/>
        <v>159077.5</v>
      </c>
      <c r="L452" s="5">
        <f t="shared" si="57"/>
        <v>160308.75</v>
      </c>
      <c r="M452" s="5">
        <f t="shared" si="58"/>
        <v>-1231.25</v>
      </c>
      <c r="N452" s="3"/>
    </row>
    <row r="453" spans="1:14" x14ac:dyDescent="0.25">
      <c r="A453" s="2">
        <v>1201120</v>
      </c>
      <c r="B453" s="3">
        <v>28818.75</v>
      </c>
      <c r="C453" s="3">
        <v>50380</v>
      </c>
      <c r="D453" s="3">
        <v>25937.5</v>
      </c>
      <c r="E453" s="3">
        <v>52031.25</v>
      </c>
      <c r="F453">
        <f t="shared" si="51"/>
        <v>1201120</v>
      </c>
      <c r="G453" s="3">
        <f t="shared" si="52"/>
        <v>28818.75</v>
      </c>
      <c r="H453" s="3">
        <f t="shared" si="53"/>
        <v>50380</v>
      </c>
      <c r="I453" s="3">
        <f t="shared" si="54"/>
        <v>25937.5</v>
      </c>
      <c r="J453" s="3">
        <f t="shared" si="55"/>
        <v>52031.25</v>
      </c>
      <c r="K453" s="5">
        <f t="shared" si="56"/>
        <v>157167.5</v>
      </c>
      <c r="L453" s="5">
        <f t="shared" si="57"/>
        <v>159077.5</v>
      </c>
      <c r="M453" s="5">
        <f t="shared" si="58"/>
        <v>-1910</v>
      </c>
      <c r="N453" s="3"/>
    </row>
    <row r="454" spans="1:14" x14ac:dyDescent="0.25">
      <c r="A454" s="2">
        <v>1201122</v>
      </c>
      <c r="B454" s="3">
        <v>28568.75</v>
      </c>
      <c r="C454" s="3">
        <v>49570</v>
      </c>
      <c r="D454" s="3">
        <v>25893.75</v>
      </c>
      <c r="E454" s="3">
        <v>52031.25</v>
      </c>
      <c r="F454">
        <f t="shared" si="51"/>
        <v>1201122</v>
      </c>
      <c r="G454" s="3">
        <f t="shared" si="52"/>
        <v>28568.75</v>
      </c>
      <c r="H454" s="3">
        <f t="shared" si="53"/>
        <v>49570</v>
      </c>
      <c r="I454" s="3">
        <f t="shared" si="54"/>
        <v>25893.75</v>
      </c>
      <c r="J454" s="3">
        <f t="shared" si="55"/>
        <v>52031.25</v>
      </c>
      <c r="K454" s="5">
        <f t="shared" si="56"/>
        <v>156063.75</v>
      </c>
      <c r="L454" s="5">
        <f t="shared" si="57"/>
        <v>157167.5</v>
      </c>
      <c r="M454" s="5">
        <f t="shared" si="58"/>
        <v>-1103.75</v>
      </c>
      <c r="N454" s="3"/>
    </row>
    <row r="455" spans="1:14" x14ac:dyDescent="0.25">
      <c r="A455" s="2">
        <v>1201123</v>
      </c>
      <c r="B455" s="3">
        <v>28568.75</v>
      </c>
      <c r="C455" s="3">
        <v>49570</v>
      </c>
      <c r="D455" s="3">
        <v>25981.25</v>
      </c>
      <c r="E455" s="3">
        <v>52109.399999999994</v>
      </c>
      <c r="F455">
        <f t="shared" si="51"/>
        <v>1201123</v>
      </c>
      <c r="G455" s="3">
        <f t="shared" si="52"/>
        <v>28568.75</v>
      </c>
      <c r="H455" s="3">
        <f t="shared" si="53"/>
        <v>49570</v>
      </c>
      <c r="I455" s="3">
        <f t="shared" si="54"/>
        <v>25981.25</v>
      </c>
      <c r="J455" s="3">
        <f t="shared" si="55"/>
        <v>52109.399999999994</v>
      </c>
      <c r="K455" s="5">
        <f t="shared" si="56"/>
        <v>156229.4</v>
      </c>
      <c r="L455" s="5">
        <f t="shared" si="57"/>
        <v>156229.4</v>
      </c>
      <c r="M455" s="5">
        <f t="shared" si="58"/>
        <v>0</v>
      </c>
      <c r="N455" s="3"/>
    </row>
    <row r="456" spans="1:14" x14ac:dyDescent="0.25">
      <c r="A456" s="2">
        <v>1201124</v>
      </c>
      <c r="B456" s="3">
        <v>27543.75</v>
      </c>
      <c r="C456" s="3">
        <v>54070</v>
      </c>
      <c r="D456" s="3">
        <v>26506.25</v>
      </c>
      <c r="E456" s="3">
        <v>53125</v>
      </c>
      <c r="F456">
        <f t="shared" si="51"/>
        <v>1201124</v>
      </c>
      <c r="G456" s="3">
        <f t="shared" si="52"/>
        <v>27543.75</v>
      </c>
      <c r="H456" s="3">
        <f t="shared" si="53"/>
        <v>54070</v>
      </c>
      <c r="I456" s="3">
        <f t="shared" si="54"/>
        <v>26506.25</v>
      </c>
      <c r="J456" s="3">
        <f t="shared" si="55"/>
        <v>53125</v>
      </c>
      <c r="K456" s="5">
        <f t="shared" si="56"/>
        <v>161245</v>
      </c>
      <c r="L456" s="5">
        <f t="shared" si="57"/>
        <v>161245</v>
      </c>
      <c r="M456" s="5">
        <f t="shared" si="58"/>
        <v>0</v>
      </c>
      <c r="N456" s="3"/>
    </row>
    <row r="457" spans="1:14" x14ac:dyDescent="0.25">
      <c r="A457" s="2">
        <v>1201125</v>
      </c>
      <c r="B457" s="3">
        <v>28018.75</v>
      </c>
      <c r="C457" s="3">
        <v>56100</v>
      </c>
      <c r="D457" s="3">
        <v>26637.5</v>
      </c>
      <c r="E457" s="3">
        <v>53437.5</v>
      </c>
      <c r="F457">
        <f t="shared" si="51"/>
        <v>1201125</v>
      </c>
      <c r="G457" s="3">
        <f t="shared" si="52"/>
        <v>28018.75</v>
      </c>
      <c r="H457" s="3">
        <f t="shared" si="53"/>
        <v>56100</v>
      </c>
      <c r="I457" s="3">
        <f t="shared" si="54"/>
        <v>26637.5</v>
      </c>
      <c r="J457" s="3">
        <f t="shared" si="55"/>
        <v>53437.5</v>
      </c>
      <c r="K457" s="5">
        <f t="shared" si="56"/>
        <v>164193.75</v>
      </c>
      <c r="L457" s="5">
        <f t="shared" si="57"/>
        <v>164193.75</v>
      </c>
      <c r="M457" s="5">
        <f t="shared" si="58"/>
        <v>0</v>
      </c>
      <c r="N457" s="3"/>
    </row>
    <row r="458" spans="1:14" x14ac:dyDescent="0.25">
      <c r="A458" s="2">
        <v>1201126</v>
      </c>
      <c r="B458" s="3">
        <v>27218.75</v>
      </c>
      <c r="C458" s="3">
        <v>54700</v>
      </c>
      <c r="D458" s="3">
        <v>26462.5</v>
      </c>
      <c r="E458" s="3">
        <v>52656.25</v>
      </c>
      <c r="F458">
        <f t="shared" si="51"/>
        <v>1201126</v>
      </c>
      <c r="G458" s="3">
        <f t="shared" si="52"/>
        <v>27218.75</v>
      </c>
      <c r="H458" s="3">
        <f t="shared" si="53"/>
        <v>54700</v>
      </c>
      <c r="I458" s="3">
        <f t="shared" si="54"/>
        <v>26462.5</v>
      </c>
      <c r="J458" s="3">
        <f t="shared" si="55"/>
        <v>52656.25</v>
      </c>
      <c r="K458" s="5">
        <f t="shared" si="56"/>
        <v>161037.5</v>
      </c>
      <c r="L458" s="5">
        <f t="shared" si="57"/>
        <v>164193.75</v>
      </c>
      <c r="M458" s="5">
        <f t="shared" si="58"/>
        <v>-3156.25</v>
      </c>
      <c r="N458" s="3"/>
    </row>
    <row r="459" spans="1:14" x14ac:dyDescent="0.25">
      <c r="A459" s="2">
        <v>1201127</v>
      </c>
      <c r="B459" s="3">
        <v>27362.5</v>
      </c>
      <c r="C459" s="3">
        <v>54370</v>
      </c>
      <c r="D459" s="3">
        <v>26937.5</v>
      </c>
      <c r="E459" s="3">
        <v>53203.100000000006</v>
      </c>
      <c r="F459">
        <f t="shared" si="51"/>
        <v>1201127</v>
      </c>
      <c r="G459" s="3">
        <f t="shared" si="52"/>
        <v>27362.5</v>
      </c>
      <c r="H459" s="3">
        <f t="shared" si="53"/>
        <v>54370</v>
      </c>
      <c r="I459" s="3">
        <f t="shared" si="54"/>
        <v>26937.5</v>
      </c>
      <c r="J459" s="3">
        <f t="shared" si="55"/>
        <v>53203.100000000006</v>
      </c>
      <c r="K459" s="5">
        <f t="shared" si="56"/>
        <v>161873.1</v>
      </c>
      <c r="L459" s="5">
        <f t="shared" si="57"/>
        <v>161873.1</v>
      </c>
      <c r="M459" s="5">
        <f t="shared" si="58"/>
        <v>0</v>
      </c>
      <c r="N459" s="3"/>
    </row>
    <row r="460" spans="1:14" x14ac:dyDescent="0.25">
      <c r="A460" s="2">
        <v>1201129</v>
      </c>
      <c r="B460" s="3">
        <v>27056.25</v>
      </c>
      <c r="C460" s="3">
        <v>56010</v>
      </c>
      <c r="D460" s="3">
        <v>26637.5</v>
      </c>
      <c r="E460" s="3">
        <v>53593.75</v>
      </c>
      <c r="F460">
        <f t="shared" si="51"/>
        <v>1201129</v>
      </c>
      <c r="G460" s="3">
        <f t="shared" si="52"/>
        <v>27056.25</v>
      </c>
      <c r="H460" s="3">
        <f t="shared" si="53"/>
        <v>56010</v>
      </c>
      <c r="I460" s="3">
        <f t="shared" si="54"/>
        <v>26637.5</v>
      </c>
      <c r="J460" s="3">
        <f t="shared" si="55"/>
        <v>53593.75</v>
      </c>
      <c r="K460" s="5">
        <f t="shared" si="56"/>
        <v>163297.5</v>
      </c>
      <c r="L460" s="5">
        <f t="shared" si="57"/>
        <v>163297.5</v>
      </c>
      <c r="M460" s="5">
        <f t="shared" si="58"/>
        <v>0</v>
      </c>
      <c r="N460" s="3"/>
    </row>
    <row r="461" spans="1:14" x14ac:dyDescent="0.25">
      <c r="A461" s="2">
        <v>1201130</v>
      </c>
      <c r="B461" s="3">
        <v>26375</v>
      </c>
      <c r="C461" s="3">
        <v>57680</v>
      </c>
      <c r="D461" s="3">
        <v>26606.25</v>
      </c>
      <c r="E461" s="3">
        <v>53828.100000000006</v>
      </c>
      <c r="F461">
        <f t="shared" si="51"/>
        <v>1201130</v>
      </c>
      <c r="G461" s="3">
        <f t="shared" si="52"/>
        <v>26375</v>
      </c>
      <c r="H461" s="3">
        <f t="shared" si="53"/>
        <v>57680</v>
      </c>
      <c r="I461" s="3">
        <f t="shared" si="54"/>
        <v>26606.25</v>
      </c>
      <c r="J461" s="3">
        <f t="shared" si="55"/>
        <v>53828.100000000006</v>
      </c>
      <c r="K461" s="5">
        <f t="shared" si="56"/>
        <v>164489.35</v>
      </c>
      <c r="L461" s="5">
        <f t="shared" si="57"/>
        <v>164489.35</v>
      </c>
      <c r="M461" s="5">
        <f t="shared" si="58"/>
        <v>0</v>
      </c>
      <c r="N461" s="3"/>
    </row>
    <row r="462" spans="1:14" x14ac:dyDescent="0.25">
      <c r="A462" s="2">
        <v>1201201</v>
      </c>
      <c r="B462" s="3">
        <v>24800</v>
      </c>
      <c r="C462" s="3">
        <v>56850</v>
      </c>
      <c r="D462" s="3">
        <v>26087.5</v>
      </c>
      <c r="E462" s="3">
        <v>52812.5</v>
      </c>
      <c r="F462">
        <f t="shared" si="51"/>
        <v>1201201</v>
      </c>
      <c r="G462" s="3">
        <f t="shared" si="52"/>
        <v>24800</v>
      </c>
      <c r="H462" s="3">
        <f t="shared" si="53"/>
        <v>56850</v>
      </c>
      <c r="I462" s="3">
        <f t="shared" si="54"/>
        <v>26087.5</v>
      </c>
      <c r="J462" s="3">
        <f t="shared" si="55"/>
        <v>52812.5</v>
      </c>
      <c r="K462" s="5">
        <f t="shared" si="56"/>
        <v>160550</v>
      </c>
      <c r="L462" s="5">
        <f t="shared" si="57"/>
        <v>164489.35</v>
      </c>
      <c r="M462" s="5">
        <f t="shared" si="58"/>
        <v>-3939.3500000000058</v>
      </c>
      <c r="N462" s="3"/>
    </row>
    <row r="463" spans="1:14" x14ac:dyDescent="0.25">
      <c r="A463" s="2">
        <v>1201202</v>
      </c>
      <c r="B463" s="3">
        <v>24125</v>
      </c>
      <c r="C463" s="3">
        <v>58320</v>
      </c>
      <c r="D463" s="3">
        <v>26150</v>
      </c>
      <c r="E463" s="3">
        <v>55468.75</v>
      </c>
      <c r="F463">
        <f t="shared" si="51"/>
        <v>1201202</v>
      </c>
      <c r="G463" s="3">
        <f t="shared" si="52"/>
        <v>24125</v>
      </c>
      <c r="H463" s="3">
        <f t="shared" si="53"/>
        <v>58320</v>
      </c>
      <c r="I463" s="3">
        <f t="shared" si="54"/>
        <v>26150</v>
      </c>
      <c r="J463" s="3">
        <f t="shared" si="55"/>
        <v>55468.75</v>
      </c>
      <c r="K463" s="5">
        <f t="shared" si="56"/>
        <v>164063.75</v>
      </c>
      <c r="L463" s="5">
        <f t="shared" si="57"/>
        <v>164063.75</v>
      </c>
      <c r="M463" s="5">
        <f t="shared" si="58"/>
        <v>0</v>
      </c>
      <c r="N463" s="3"/>
    </row>
    <row r="464" spans="1:14" x14ac:dyDescent="0.25">
      <c r="A464" s="2">
        <v>1201203</v>
      </c>
      <c r="B464" s="3">
        <v>24475</v>
      </c>
      <c r="C464" s="3">
        <v>60970</v>
      </c>
      <c r="D464" s="3">
        <v>26287.5</v>
      </c>
      <c r="E464" s="3">
        <v>56093.75</v>
      </c>
      <c r="F464">
        <f t="shared" si="51"/>
        <v>1201203</v>
      </c>
      <c r="G464" s="3">
        <f t="shared" si="52"/>
        <v>24475</v>
      </c>
      <c r="H464" s="3">
        <f t="shared" si="53"/>
        <v>60970</v>
      </c>
      <c r="I464" s="3">
        <f t="shared" si="54"/>
        <v>26287.5</v>
      </c>
      <c r="J464" s="3">
        <f t="shared" si="55"/>
        <v>56093.75</v>
      </c>
      <c r="K464" s="5">
        <f t="shared" si="56"/>
        <v>167826.25</v>
      </c>
      <c r="L464" s="5">
        <f t="shared" si="57"/>
        <v>167826.25</v>
      </c>
      <c r="M464" s="5">
        <f t="shared" si="58"/>
        <v>0</v>
      </c>
      <c r="N464" s="3"/>
    </row>
    <row r="465" spans="1:14" x14ac:dyDescent="0.25">
      <c r="A465" s="2">
        <v>1201204</v>
      </c>
      <c r="B465" s="3">
        <v>24525</v>
      </c>
      <c r="C465" s="3">
        <v>61570</v>
      </c>
      <c r="D465" s="3">
        <v>26837.5</v>
      </c>
      <c r="E465" s="3">
        <v>56484.399999999994</v>
      </c>
      <c r="F465">
        <f t="shared" si="51"/>
        <v>1201204</v>
      </c>
      <c r="G465" s="3">
        <f t="shared" si="52"/>
        <v>24525</v>
      </c>
      <c r="H465" s="3">
        <f t="shared" si="53"/>
        <v>61570</v>
      </c>
      <c r="I465" s="3">
        <f t="shared" si="54"/>
        <v>26837.5</v>
      </c>
      <c r="J465" s="3">
        <f t="shared" si="55"/>
        <v>56484.399999999994</v>
      </c>
      <c r="K465" s="5">
        <f t="shared" si="56"/>
        <v>169416.9</v>
      </c>
      <c r="L465" s="5">
        <f t="shared" si="57"/>
        <v>169416.9</v>
      </c>
      <c r="M465" s="5">
        <f t="shared" si="58"/>
        <v>0</v>
      </c>
      <c r="N465" s="3"/>
    </row>
    <row r="466" spans="1:14" x14ac:dyDescent="0.25">
      <c r="A466" s="2">
        <v>1201206</v>
      </c>
      <c r="B466" s="3">
        <v>25150</v>
      </c>
      <c r="C466" s="3">
        <v>61110</v>
      </c>
      <c r="D466" s="3">
        <v>26462.5</v>
      </c>
      <c r="E466" s="3">
        <v>53437.5</v>
      </c>
      <c r="F466">
        <f t="shared" si="51"/>
        <v>1201206</v>
      </c>
      <c r="G466" s="3">
        <f t="shared" si="52"/>
        <v>25150</v>
      </c>
      <c r="H466" s="3">
        <f t="shared" si="53"/>
        <v>61110</v>
      </c>
      <c r="I466" s="3">
        <f t="shared" si="54"/>
        <v>26462.5</v>
      </c>
      <c r="J466" s="3">
        <f t="shared" si="55"/>
        <v>53437.5</v>
      </c>
      <c r="K466" s="5">
        <f t="shared" si="56"/>
        <v>166160</v>
      </c>
      <c r="L466" s="5">
        <f t="shared" si="57"/>
        <v>169416.9</v>
      </c>
      <c r="M466" s="5">
        <f t="shared" si="58"/>
        <v>-3256.8999999999942</v>
      </c>
      <c r="N466" s="3"/>
    </row>
    <row r="467" spans="1:14" x14ac:dyDescent="0.25">
      <c r="A467" s="2">
        <v>1201207</v>
      </c>
      <c r="B467" s="3">
        <v>25150</v>
      </c>
      <c r="C467" s="3">
        <v>60700</v>
      </c>
      <c r="D467" s="3">
        <v>26325</v>
      </c>
      <c r="E467" s="3">
        <v>52890.600000000006</v>
      </c>
      <c r="F467">
        <f t="shared" si="51"/>
        <v>1201207</v>
      </c>
      <c r="G467" s="3">
        <f t="shared" si="52"/>
        <v>25150</v>
      </c>
      <c r="H467" s="3">
        <f t="shared" si="53"/>
        <v>60700</v>
      </c>
      <c r="I467" s="3">
        <f t="shared" si="54"/>
        <v>26325</v>
      </c>
      <c r="J467" s="3">
        <f t="shared" si="55"/>
        <v>52890.600000000006</v>
      </c>
      <c r="K467" s="5">
        <f t="shared" si="56"/>
        <v>165065.60000000001</v>
      </c>
      <c r="L467" s="5">
        <f t="shared" si="57"/>
        <v>166160</v>
      </c>
      <c r="M467" s="5">
        <f t="shared" si="58"/>
        <v>-1094.3999999999942</v>
      </c>
      <c r="N467" s="3"/>
    </row>
    <row r="468" spans="1:14" x14ac:dyDescent="0.25">
      <c r="A468" s="2">
        <v>1201208</v>
      </c>
      <c r="B468" s="3">
        <v>24850</v>
      </c>
      <c r="C468" s="3">
        <v>58880</v>
      </c>
      <c r="D468" s="3">
        <v>26506.25</v>
      </c>
      <c r="E468" s="3">
        <v>52343.75</v>
      </c>
      <c r="F468">
        <f t="shared" si="51"/>
        <v>1201208</v>
      </c>
      <c r="G468" s="3">
        <f t="shared" si="52"/>
        <v>24850</v>
      </c>
      <c r="H468" s="3">
        <f t="shared" si="53"/>
        <v>58880</v>
      </c>
      <c r="I468" s="3">
        <f t="shared" si="54"/>
        <v>26506.25</v>
      </c>
      <c r="J468" s="3">
        <f t="shared" si="55"/>
        <v>52343.75</v>
      </c>
      <c r="K468" s="5">
        <f t="shared" si="56"/>
        <v>162580</v>
      </c>
      <c r="L468" s="5">
        <f t="shared" si="57"/>
        <v>165065.60000000001</v>
      </c>
      <c r="M468" s="5">
        <f t="shared" si="58"/>
        <v>-2485.6000000000058</v>
      </c>
      <c r="N468" s="3"/>
    </row>
    <row r="469" spans="1:14" x14ac:dyDescent="0.25">
      <c r="A469" s="2">
        <v>1201209</v>
      </c>
      <c r="B469" s="3">
        <v>25575</v>
      </c>
      <c r="C469" s="3">
        <v>56640</v>
      </c>
      <c r="D469" s="3">
        <v>26493.75</v>
      </c>
      <c r="E469" s="3">
        <v>52031.25</v>
      </c>
      <c r="F469">
        <f t="shared" si="51"/>
        <v>1201209</v>
      </c>
      <c r="G469" s="3">
        <f t="shared" si="52"/>
        <v>25575</v>
      </c>
      <c r="H469" s="3">
        <f t="shared" si="53"/>
        <v>56640</v>
      </c>
      <c r="I469" s="3">
        <f t="shared" si="54"/>
        <v>26493.75</v>
      </c>
      <c r="J469" s="3">
        <f t="shared" si="55"/>
        <v>52031.25</v>
      </c>
      <c r="K469" s="5">
        <f t="shared" si="56"/>
        <v>160740</v>
      </c>
      <c r="L469" s="5">
        <f t="shared" si="57"/>
        <v>162580</v>
      </c>
      <c r="M469" s="5">
        <f t="shared" si="58"/>
        <v>-1840</v>
      </c>
      <c r="N469" s="3"/>
    </row>
    <row r="470" spans="1:14" x14ac:dyDescent="0.25">
      <c r="A470" s="2">
        <v>1201210</v>
      </c>
      <c r="B470" s="3">
        <v>26206.25</v>
      </c>
      <c r="C470" s="3">
        <v>57760</v>
      </c>
      <c r="D470" s="3">
        <v>26831.25</v>
      </c>
      <c r="E470" s="3">
        <v>50859.399999999994</v>
      </c>
      <c r="F470">
        <f t="shared" si="51"/>
        <v>1201210</v>
      </c>
      <c r="G470" s="3">
        <f t="shared" si="52"/>
        <v>26206.25</v>
      </c>
      <c r="H470" s="3">
        <f t="shared" si="53"/>
        <v>57760</v>
      </c>
      <c r="I470" s="3">
        <f t="shared" si="54"/>
        <v>26831.25</v>
      </c>
      <c r="J470" s="3">
        <f t="shared" si="55"/>
        <v>50859.399999999994</v>
      </c>
      <c r="K470" s="5">
        <f t="shared" si="56"/>
        <v>161656.9</v>
      </c>
      <c r="L470" s="5">
        <f t="shared" si="57"/>
        <v>161656.9</v>
      </c>
      <c r="M470" s="5">
        <f t="shared" si="58"/>
        <v>0</v>
      </c>
      <c r="N470" s="3"/>
    </row>
    <row r="471" spans="1:14" x14ac:dyDescent="0.25">
      <c r="A471" s="2">
        <v>1201211</v>
      </c>
      <c r="B471" s="3">
        <v>26400</v>
      </c>
      <c r="C471" s="3">
        <v>57700</v>
      </c>
      <c r="D471" s="3">
        <v>27331.25</v>
      </c>
      <c r="E471" s="3">
        <v>46796.899999999994</v>
      </c>
      <c r="F471">
        <f t="shared" si="51"/>
        <v>1201211</v>
      </c>
      <c r="G471" s="3">
        <f t="shared" si="52"/>
        <v>26400</v>
      </c>
      <c r="H471" s="3">
        <f t="shared" si="53"/>
        <v>57700</v>
      </c>
      <c r="I471" s="3">
        <f t="shared" si="54"/>
        <v>27331.25</v>
      </c>
      <c r="J471" s="3">
        <f t="shared" si="55"/>
        <v>46796.899999999994</v>
      </c>
      <c r="K471" s="5">
        <f t="shared" si="56"/>
        <v>158228.15</v>
      </c>
      <c r="L471" s="5">
        <f t="shared" si="57"/>
        <v>161656.9</v>
      </c>
      <c r="M471" s="5">
        <f t="shared" si="58"/>
        <v>-3428.75</v>
      </c>
      <c r="N471" s="3"/>
    </row>
    <row r="472" spans="1:14" x14ac:dyDescent="0.25">
      <c r="A472" s="2">
        <v>1201213</v>
      </c>
      <c r="B472" s="3">
        <v>26400</v>
      </c>
      <c r="C472" s="3">
        <v>56150</v>
      </c>
      <c r="D472" s="3">
        <v>26893.75</v>
      </c>
      <c r="E472" s="3">
        <v>44687.5</v>
      </c>
      <c r="F472">
        <f t="shared" si="51"/>
        <v>1201213</v>
      </c>
      <c r="G472" s="3">
        <f t="shared" si="52"/>
        <v>26400</v>
      </c>
      <c r="H472" s="3">
        <f t="shared" si="53"/>
        <v>56150</v>
      </c>
      <c r="I472" s="3">
        <f t="shared" si="54"/>
        <v>26893.75</v>
      </c>
      <c r="J472" s="3">
        <f t="shared" si="55"/>
        <v>44687.5</v>
      </c>
      <c r="K472" s="5">
        <f t="shared" si="56"/>
        <v>154131.25</v>
      </c>
      <c r="L472" s="5">
        <f t="shared" si="57"/>
        <v>158228.15</v>
      </c>
      <c r="M472" s="5">
        <f t="shared" si="58"/>
        <v>-4096.8999999999942</v>
      </c>
      <c r="N472" s="3"/>
    </row>
    <row r="473" spans="1:14" x14ac:dyDescent="0.25">
      <c r="A473" s="2">
        <v>1201214</v>
      </c>
      <c r="B473" s="3">
        <v>26400</v>
      </c>
      <c r="C473" s="3">
        <v>55870</v>
      </c>
      <c r="D473" s="3">
        <v>26818.75</v>
      </c>
      <c r="E473" s="3">
        <v>44765.600000000006</v>
      </c>
      <c r="F473">
        <f t="shared" ref="F473:F536" si="59">+A473</f>
        <v>1201214</v>
      </c>
      <c r="G473" s="3">
        <f t="shared" si="52"/>
        <v>26400</v>
      </c>
      <c r="H473" s="3">
        <f t="shared" si="53"/>
        <v>55870</v>
      </c>
      <c r="I473" s="3">
        <f t="shared" si="54"/>
        <v>26818.75</v>
      </c>
      <c r="J473" s="3">
        <f t="shared" si="55"/>
        <v>44765.600000000006</v>
      </c>
      <c r="K473" s="5">
        <f t="shared" si="56"/>
        <v>153854.35</v>
      </c>
      <c r="L473" s="5">
        <f t="shared" si="57"/>
        <v>154131.25</v>
      </c>
      <c r="M473" s="5">
        <f t="shared" si="58"/>
        <v>-276.89999999999418</v>
      </c>
      <c r="N473" s="3"/>
    </row>
    <row r="474" spans="1:14" x14ac:dyDescent="0.25">
      <c r="A474" s="2">
        <v>1201215</v>
      </c>
      <c r="B474" s="3">
        <v>26412.5</v>
      </c>
      <c r="C474" s="3">
        <v>53820</v>
      </c>
      <c r="D474" s="3">
        <v>27037.5</v>
      </c>
      <c r="E474" s="3">
        <v>43359.399999999994</v>
      </c>
      <c r="F474">
        <f t="shared" si="59"/>
        <v>1201215</v>
      </c>
      <c r="G474" s="3">
        <f t="shared" ref="G474:G537" si="60">+IF(B474&lt;&gt;0,B474,B473)</f>
        <v>26412.5</v>
      </c>
      <c r="H474" s="3">
        <f t="shared" ref="H474:H537" si="61">+IF(C474&lt;&gt;0,C474,C473)</f>
        <v>53820</v>
      </c>
      <c r="I474" s="3">
        <f t="shared" ref="I474:I537" si="62">+IF(D474&lt;&gt;0,D474,D473)</f>
        <v>27037.5</v>
      </c>
      <c r="J474" s="3">
        <f t="shared" ref="J474:J537" si="63">+IF(E474&lt;&gt;0,E474,E473)</f>
        <v>43359.399999999994</v>
      </c>
      <c r="K474" s="5">
        <f t="shared" ref="K474:K537" si="64">+SUM(G474:J474)</f>
        <v>150629.4</v>
      </c>
      <c r="L474" s="5">
        <f t="shared" si="57"/>
        <v>153854.35</v>
      </c>
      <c r="M474" s="5">
        <f t="shared" si="58"/>
        <v>-3224.9500000000116</v>
      </c>
      <c r="N474" s="3"/>
    </row>
    <row r="475" spans="1:14" x14ac:dyDescent="0.25">
      <c r="A475" s="2">
        <v>1201216</v>
      </c>
      <c r="B475" s="3">
        <v>26131.25</v>
      </c>
      <c r="C475" s="3">
        <v>53690</v>
      </c>
      <c r="D475" s="3">
        <v>27356.25</v>
      </c>
      <c r="E475" s="3">
        <v>42968.75</v>
      </c>
      <c r="F475">
        <f t="shared" si="59"/>
        <v>1201216</v>
      </c>
      <c r="G475" s="3">
        <f t="shared" si="60"/>
        <v>26131.25</v>
      </c>
      <c r="H475" s="3">
        <f t="shared" si="61"/>
        <v>53690</v>
      </c>
      <c r="I475" s="3">
        <f t="shared" si="62"/>
        <v>27356.25</v>
      </c>
      <c r="J475" s="3">
        <f t="shared" si="63"/>
        <v>42968.75</v>
      </c>
      <c r="K475" s="5">
        <f t="shared" si="64"/>
        <v>150146.25</v>
      </c>
      <c r="L475" s="5">
        <f t="shared" ref="L475:L538" si="65">+IF(K475&gt;K474,K475,K474)</f>
        <v>150629.4</v>
      </c>
      <c r="M475" s="5">
        <f t="shared" ref="M475:M538" si="66">+K475-L475</f>
        <v>-483.14999999999418</v>
      </c>
      <c r="N475" s="3"/>
    </row>
    <row r="476" spans="1:14" x14ac:dyDescent="0.25">
      <c r="A476" s="2">
        <v>1201217</v>
      </c>
      <c r="B476" s="3">
        <v>26262.5</v>
      </c>
      <c r="C476" s="3">
        <v>51750</v>
      </c>
      <c r="D476" s="3">
        <v>27100</v>
      </c>
      <c r="E476" s="3">
        <v>43515.600000000006</v>
      </c>
      <c r="F476">
        <f t="shared" si="59"/>
        <v>1201217</v>
      </c>
      <c r="G476" s="3">
        <f t="shared" si="60"/>
        <v>26262.5</v>
      </c>
      <c r="H476" s="3">
        <f t="shared" si="61"/>
        <v>51750</v>
      </c>
      <c r="I476" s="3">
        <f t="shared" si="62"/>
        <v>27100</v>
      </c>
      <c r="J476" s="3">
        <f t="shared" si="63"/>
        <v>43515.600000000006</v>
      </c>
      <c r="K476" s="5">
        <f t="shared" si="64"/>
        <v>148628.1</v>
      </c>
      <c r="L476" s="5">
        <f t="shared" si="65"/>
        <v>150146.25</v>
      </c>
      <c r="M476" s="5">
        <f t="shared" si="66"/>
        <v>-1518.1499999999942</v>
      </c>
      <c r="N476" s="3"/>
    </row>
    <row r="477" spans="1:14" x14ac:dyDescent="0.25">
      <c r="A477" s="2">
        <v>1201218</v>
      </c>
      <c r="B477" s="3">
        <v>26262.5</v>
      </c>
      <c r="C477" s="3">
        <v>50380</v>
      </c>
      <c r="D477" s="3">
        <v>27456.25</v>
      </c>
      <c r="E477" s="3">
        <v>40625</v>
      </c>
      <c r="F477">
        <f t="shared" si="59"/>
        <v>1201218</v>
      </c>
      <c r="G477" s="3">
        <f t="shared" si="60"/>
        <v>26262.5</v>
      </c>
      <c r="H477" s="3">
        <f t="shared" si="61"/>
        <v>50380</v>
      </c>
      <c r="I477" s="3">
        <f t="shared" si="62"/>
        <v>27456.25</v>
      </c>
      <c r="J477" s="3">
        <f t="shared" si="63"/>
        <v>40625</v>
      </c>
      <c r="K477" s="5">
        <f t="shared" si="64"/>
        <v>144723.75</v>
      </c>
      <c r="L477" s="5">
        <f t="shared" si="65"/>
        <v>148628.1</v>
      </c>
      <c r="M477" s="5">
        <f t="shared" si="66"/>
        <v>-3904.3500000000058</v>
      </c>
      <c r="N477" s="3"/>
    </row>
    <row r="478" spans="1:14" x14ac:dyDescent="0.25">
      <c r="A478" s="2">
        <v>1201220</v>
      </c>
      <c r="B478" s="3">
        <v>25993.75</v>
      </c>
      <c r="C478" s="3">
        <v>50620</v>
      </c>
      <c r="D478" s="3">
        <v>27187.5</v>
      </c>
      <c r="E478" s="3">
        <v>41093.75</v>
      </c>
      <c r="F478">
        <f t="shared" si="59"/>
        <v>1201220</v>
      </c>
      <c r="G478" s="3">
        <f t="shared" si="60"/>
        <v>25993.75</v>
      </c>
      <c r="H478" s="3">
        <f t="shared" si="61"/>
        <v>50620</v>
      </c>
      <c r="I478" s="3">
        <f t="shared" si="62"/>
        <v>27187.5</v>
      </c>
      <c r="J478" s="3">
        <f t="shared" si="63"/>
        <v>41093.75</v>
      </c>
      <c r="K478" s="5">
        <f t="shared" si="64"/>
        <v>144895</v>
      </c>
      <c r="L478" s="5">
        <f t="shared" si="65"/>
        <v>144895</v>
      </c>
      <c r="M478" s="5">
        <f t="shared" si="66"/>
        <v>0</v>
      </c>
      <c r="N478" s="3"/>
    </row>
    <row r="479" spans="1:14" x14ac:dyDescent="0.25">
      <c r="A479" s="2">
        <v>1201221</v>
      </c>
      <c r="B479" s="3">
        <v>25956.25</v>
      </c>
      <c r="C479" s="3">
        <v>50620</v>
      </c>
      <c r="D479" s="3">
        <v>27212.5</v>
      </c>
      <c r="E479" s="3">
        <v>40781.25</v>
      </c>
      <c r="F479">
        <f t="shared" si="59"/>
        <v>1201221</v>
      </c>
      <c r="G479" s="3">
        <f t="shared" si="60"/>
        <v>25956.25</v>
      </c>
      <c r="H479" s="3">
        <f t="shared" si="61"/>
        <v>50620</v>
      </c>
      <c r="I479" s="3">
        <f t="shared" si="62"/>
        <v>27212.5</v>
      </c>
      <c r="J479" s="3">
        <f t="shared" si="63"/>
        <v>40781.25</v>
      </c>
      <c r="K479" s="5">
        <f t="shared" si="64"/>
        <v>144570</v>
      </c>
      <c r="L479" s="5">
        <f t="shared" si="65"/>
        <v>144895</v>
      </c>
      <c r="M479" s="5">
        <f t="shared" si="66"/>
        <v>-325</v>
      </c>
      <c r="N479" s="3"/>
    </row>
    <row r="480" spans="1:14" x14ac:dyDescent="0.25">
      <c r="A480" s="2">
        <v>1201222</v>
      </c>
      <c r="B480" s="3">
        <v>27200</v>
      </c>
      <c r="C480" s="3">
        <v>51690</v>
      </c>
      <c r="D480" s="3">
        <v>27218.75</v>
      </c>
      <c r="E480" s="3">
        <v>40937.5</v>
      </c>
      <c r="F480">
        <f t="shared" si="59"/>
        <v>1201222</v>
      </c>
      <c r="G480" s="3">
        <f t="shared" si="60"/>
        <v>27200</v>
      </c>
      <c r="H480" s="3">
        <f t="shared" si="61"/>
        <v>51690</v>
      </c>
      <c r="I480" s="3">
        <f t="shared" si="62"/>
        <v>27218.75</v>
      </c>
      <c r="J480" s="3">
        <f t="shared" si="63"/>
        <v>40937.5</v>
      </c>
      <c r="K480" s="5">
        <f t="shared" si="64"/>
        <v>147046.25</v>
      </c>
      <c r="L480" s="5">
        <f t="shared" si="65"/>
        <v>147046.25</v>
      </c>
      <c r="M480" s="5">
        <f t="shared" si="66"/>
        <v>0</v>
      </c>
      <c r="N480" s="3"/>
    </row>
    <row r="481" spans="1:14" x14ac:dyDescent="0.25">
      <c r="A481" s="2">
        <v>1201223</v>
      </c>
      <c r="B481" s="3">
        <v>27200</v>
      </c>
      <c r="C481" s="3">
        <v>52440</v>
      </c>
      <c r="D481" s="3">
        <v>27237.5</v>
      </c>
      <c r="E481" s="3">
        <v>41015.600000000006</v>
      </c>
      <c r="F481">
        <f t="shared" si="59"/>
        <v>1201223</v>
      </c>
      <c r="G481" s="3">
        <f t="shared" si="60"/>
        <v>27200</v>
      </c>
      <c r="H481" s="3">
        <f t="shared" si="61"/>
        <v>52440</v>
      </c>
      <c r="I481" s="3">
        <f t="shared" si="62"/>
        <v>27237.5</v>
      </c>
      <c r="J481" s="3">
        <f t="shared" si="63"/>
        <v>41015.600000000006</v>
      </c>
      <c r="K481" s="5">
        <f t="shared" si="64"/>
        <v>147893.1</v>
      </c>
      <c r="L481" s="5">
        <f t="shared" si="65"/>
        <v>147893.1</v>
      </c>
      <c r="M481" s="5">
        <f t="shared" si="66"/>
        <v>0</v>
      </c>
      <c r="N481" s="3"/>
    </row>
    <row r="482" spans="1:14" x14ac:dyDescent="0.25">
      <c r="A482" s="2">
        <v>1201224</v>
      </c>
      <c r="B482" s="3">
        <v>26956.25</v>
      </c>
      <c r="C482" s="3">
        <v>51500</v>
      </c>
      <c r="D482" s="3">
        <v>27425</v>
      </c>
      <c r="E482" s="3">
        <v>41015.600000000006</v>
      </c>
      <c r="F482">
        <f t="shared" si="59"/>
        <v>1201224</v>
      </c>
      <c r="G482" s="3">
        <f t="shared" si="60"/>
        <v>26956.25</v>
      </c>
      <c r="H482" s="3">
        <f t="shared" si="61"/>
        <v>51500</v>
      </c>
      <c r="I482" s="3">
        <f t="shared" si="62"/>
        <v>27425</v>
      </c>
      <c r="J482" s="3">
        <f t="shared" si="63"/>
        <v>41015.600000000006</v>
      </c>
      <c r="K482" s="5">
        <f t="shared" si="64"/>
        <v>146896.85</v>
      </c>
      <c r="L482" s="5">
        <f t="shared" si="65"/>
        <v>147893.1</v>
      </c>
      <c r="M482" s="5">
        <f t="shared" si="66"/>
        <v>-996.25</v>
      </c>
      <c r="N482" s="3"/>
    </row>
    <row r="483" spans="1:14" x14ac:dyDescent="0.25">
      <c r="A483" s="2">
        <v>1201227</v>
      </c>
      <c r="B483" s="3">
        <v>26225</v>
      </c>
      <c r="C483" s="3">
        <v>49860</v>
      </c>
      <c r="D483" s="3">
        <v>27456.25</v>
      </c>
      <c r="E483" s="3">
        <v>40781.25</v>
      </c>
      <c r="F483">
        <f t="shared" si="59"/>
        <v>1201227</v>
      </c>
      <c r="G483" s="3">
        <f t="shared" si="60"/>
        <v>26225</v>
      </c>
      <c r="H483" s="3">
        <f t="shared" si="61"/>
        <v>49860</v>
      </c>
      <c r="I483" s="3">
        <f t="shared" si="62"/>
        <v>27456.25</v>
      </c>
      <c r="J483" s="3">
        <f t="shared" si="63"/>
        <v>40781.25</v>
      </c>
      <c r="K483" s="5">
        <f t="shared" si="64"/>
        <v>144322.5</v>
      </c>
      <c r="L483" s="5">
        <f t="shared" si="65"/>
        <v>146896.85</v>
      </c>
      <c r="M483" s="5">
        <f t="shared" si="66"/>
        <v>-2574.3500000000058</v>
      </c>
      <c r="N483" s="3"/>
    </row>
    <row r="484" spans="1:14" x14ac:dyDescent="0.25">
      <c r="A484" s="2">
        <v>1201228</v>
      </c>
      <c r="B484" s="3">
        <v>26606.25</v>
      </c>
      <c r="C484" s="3">
        <v>49210</v>
      </c>
      <c r="D484" s="3">
        <v>27537.5</v>
      </c>
      <c r="E484" s="3">
        <v>40312.5</v>
      </c>
      <c r="F484">
        <f t="shared" si="59"/>
        <v>1201228</v>
      </c>
      <c r="G484" s="3">
        <f t="shared" si="60"/>
        <v>26606.25</v>
      </c>
      <c r="H484" s="3">
        <f t="shared" si="61"/>
        <v>49210</v>
      </c>
      <c r="I484" s="3">
        <f t="shared" si="62"/>
        <v>27537.5</v>
      </c>
      <c r="J484" s="3">
        <f t="shared" si="63"/>
        <v>40312.5</v>
      </c>
      <c r="K484" s="5">
        <f t="shared" si="64"/>
        <v>143666.25</v>
      </c>
      <c r="L484" s="5">
        <f t="shared" si="65"/>
        <v>144322.5</v>
      </c>
      <c r="M484" s="5">
        <f t="shared" si="66"/>
        <v>-656.25</v>
      </c>
      <c r="N484" s="3"/>
    </row>
    <row r="485" spans="1:14" x14ac:dyDescent="0.25">
      <c r="A485" s="2">
        <v>1201229</v>
      </c>
      <c r="B485" s="3">
        <v>27100</v>
      </c>
      <c r="C485" s="3">
        <v>49250</v>
      </c>
      <c r="D485" s="3">
        <v>27262.5</v>
      </c>
      <c r="E485" s="3">
        <v>39218.75</v>
      </c>
      <c r="F485">
        <f t="shared" si="59"/>
        <v>1201229</v>
      </c>
      <c r="G485" s="3">
        <f t="shared" si="60"/>
        <v>27100</v>
      </c>
      <c r="H485" s="3">
        <f t="shared" si="61"/>
        <v>49250</v>
      </c>
      <c r="I485" s="3">
        <f t="shared" si="62"/>
        <v>27262.5</v>
      </c>
      <c r="J485" s="3">
        <f t="shared" si="63"/>
        <v>39218.75</v>
      </c>
      <c r="K485" s="5">
        <f t="shared" si="64"/>
        <v>142831.25</v>
      </c>
      <c r="L485" s="5">
        <f t="shared" si="65"/>
        <v>143666.25</v>
      </c>
      <c r="M485" s="5">
        <f t="shared" si="66"/>
        <v>-835</v>
      </c>
      <c r="N485" s="3"/>
    </row>
    <row r="486" spans="1:14" x14ac:dyDescent="0.25">
      <c r="A486" s="2">
        <v>1201230</v>
      </c>
      <c r="B486" s="3">
        <v>27056.25</v>
      </c>
      <c r="C486" s="3">
        <v>47310</v>
      </c>
      <c r="D486" s="3">
        <v>27468.75</v>
      </c>
      <c r="E486" s="3">
        <v>38984.400000000001</v>
      </c>
      <c r="F486">
        <f t="shared" si="59"/>
        <v>1201230</v>
      </c>
      <c r="G486" s="3">
        <f t="shared" si="60"/>
        <v>27056.25</v>
      </c>
      <c r="H486" s="3">
        <f t="shared" si="61"/>
        <v>47310</v>
      </c>
      <c r="I486" s="3">
        <f t="shared" si="62"/>
        <v>27468.75</v>
      </c>
      <c r="J486" s="3">
        <f t="shared" si="63"/>
        <v>38984.400000000001</v>
      </c>
      <c r="K486" s="5">
        <f t="shared" si="64"/>
        <v>140819.4</v>
      </c>
      <c r="L486" s="5">
        <f t="shared" si="65"/>
        <v>142831.25</v>
      </c>
      <c r="M486" s="5">
        <f t="shared" si="66"/>
        <v>-2011.8500000000058</v>
      </c>
      <c r="N486" s="3"/>
    </row>
    <row r="487" spans="1:14" x14ac:dyDescent="0.25">
      <c r="A487" s="2">
        <v>1201231</v>
      </c>
      <c r="B487" s="3">
        <v>27043.75</v>
      </c>
      <c r="C487" s="3">
        <v>47100</v>
      </c>
      <c r="D487" s="3">
        <v>27700</v>
      </c>
      <c r="E487" s="3">
        <v>39296.9</v>
      </c>
      <c r="F487">
        <f t="shared" si="59"/>
        <v>1201231</v>
      </c>
      <c r="G487" s="3">
        <f t="shared" si="60"/>
        <v>27043.75</v>
      </c>
      <c r="H487" s="3">
        <f t="shared" si="61"/>
        <v>47100</v>
      </c>
      <c r="I487" s="3">
        <f t="shared" si="62"/>
        <v>27700</v>
      </c>
      <c r="J487" s="3">
        <f t="shared" si="63"/>
        <v>39296.9</v>
      </c>
      <c r="K487" s="5">
        <f t="shared" si="64"/>
        <v>141140.65</v>
      </c>
      <c r="L487" s="5">
        <f t="shared" si="65"/>
        <v>141140.65</v>
      </c>
      <c r="M487" s="5">
        <f t="shared" si="66"/>
        <v>0</v>
      </c>
      <c r="N487" s="3"/>
    </row>
    <row r="488" spans="1:14" x14ac:dyDescent="0.25">
      <c r="A488" s="2">
        <v>1210103</v>
      </c>
      <c r="B488" s="3">
        <v>27487.5</v>
      </c>
      <c r="C488" s="3">
        <v>48940</v>
      </c>
      <c r="D488" s="3">
        <v>27700</v>
      </c>
      <c r="E488" s="3">
        <v>38515.599999999999</v>
      </c>
      <c r="F488">
        <f t="shared" si="59"/>
        <v>1210103</v>
      </c>
      <c r="G488" s="3">
        <f t="shared" si="60"/>
        <v>27487.5</v>
      </c>
      <c r="H488" s="3">
        <f t="shared" si="61"/>
        <v>48940</v>
      </c>
      <c r="I488" s="3">
        <f t="shared" si="62"/>
        <v>27700</v>
      </c>
      <c r="J488" s="3">
        <f t="shared" si="63"/>
        <v>38515.599999999999</v>
      </c>
      <c r="K488" s="5">
        <f t="shared" si="64"/>
        <v>142643.1</v>
      </c>
      <c r="L488" s="5">
        <f t="shared" si="65"/>
        <v>142643.1</v>
      </c>
      <c r="M488" s="5">
        <f t="shared" si="66"/>
        <v>0</v>
      </c>
      <c r="N488" s="3"/>
    </row>
    <row r="489" spans="1:14" x14ac:dyDescent="0.25">
      <c r="A489" s="2">
        <v>1210104</v>
      </c>
      <c r="B489" s="3">
        <v>27493.75</v>
      </c>
      <c r="C489" s="3">
        <v>49920</v>
      </c>
      <c r="D489" s="3">
        <v>27406.25</v>
      </c>
      <c r="E489" s="3">
        <v>38046.9</v>
      </c>
      <c r="F489">
        <f t="shared" si="59"/>
        <v>1210104</v>
      </c>
      <c r="G489" s="3">
        <f t="shared" si="60"/>
        <v>27493.75</v>
      </c>
      <c r="H489" s="3">
        <f t="shared" si="61"/>
        <v>49920</v>
      </c>
      <c r="I489" s="3">
        <f t="shared" si="62"/>
        <v>27406.25</v>
      </c>
      <c r="J489" s="3">
        <f t="shared" si="63"/>
        <v>38046.9</v>
      </c>
      <c r="K489" s="5">
        <f t="shared" si="64"/>
        <v>142866.9</v>
      </c>
      <c r="L489" s="5">
        <f t="shared" si="65"/>
        <v>142866.9</v>
      </c>
      <c r="M489" s="5">
        <f t="shared" si="66"/>
        <v>0</v>
      </c>
      <c r="N489" s="3"/>
    </row>
    <row r="490" spans="1:14" x14ac:dyDescent="0.25">
      <c r="A490" s="2">
        <v>1210105</v>
      </c>
      <c r="B490" s="3">
        <v>28243.75</v>
      </c>
      <c r="C490" s="3">
        <v>51490</v>
      </c>
      <c r="D490" s="3">
        <v>27556.25</v>
      </c>
      <c r="E490" s="3">
        <v>36796.9</v>
      </c>
      <c r="F490">
        <f t="shared" si="59"/>
        <v>1210105</v>
      </c>
      <c r="G490" s="3">
        <f t="shared" si="60"/>
        <v>28243.75</v>
      </c>
      <c r="H490" s="3">
        <f t="shared" si="61"/>
        <v>51490</v>
      </c>
      <c r="I490" s="3">
        <f t="shared" si="62"/>
        <v>27556.25</v>
      </c>
      <c r="J490" s="3">
        <f t="shared" si="63"/>
        <v>36796.9</v>
      </c>
      <c r="K490" s="5">
        <f t="shared" si="64"/>
        <v>144086.9</v>
      </c>
      <c r="L490" s="5">
        <f t="shared" si="65"/>
        <v>144086.9</v>
      </c>
      <c r="M490" s="5">
        <f t="shared" si="66"/>
        <v>0</v>
      </c>
      <c r="N490" s="3"/>
    </row>
    <row r="491" spans="1:14" x14ac:dyDescent="0.25">
      <c r="A491" s="2">
        <v>1210106</v>
      </c>
      <c r="B491" s="3">
        <v>27381.25</v>
      </c>
      <c r="C491" s="3">
        <v>51910</v>
      </c>
      <c r="D491" s="3">
        <v>27393.75</v>
      </c>
      <c r="E491" s="3">
        <v>38984.400000000001</v>
      </c>
      <c r="F491">
        <f t="shared" si="59"/>
        <v>1210106</v>
      </c>
      <c r="G491" s="3">
        <f t="shared" si="60"/>
        <v>27381.25</v>
      </c>
      <c r="H491" s="3">
        <f t="shared" si="61"/>
        <v>51910</v>
      </c>
      <c r="I491" s="3">
        <f t="shared" si="62"/>
        <v>27393.75</v>
      </c>
      <c r="J491" s="3">
        <f t="shared" si="63"/>
        <v>38984.400000000001</v>
      </c>
      <c r="K491" s="5">
        <f t="shared" si="64"/>
        <v>145669.4</v>
      </c>
      <c r="L491" s="5">
        <f t="shared" si="65"/>
        <v>145669.4</v>
      </c>
      <c r="M491" s="5">
        <f t="shared" si="66"/>
        <v>0</v>
      </c>
      <c r="N491" s="3"/>
    </row>
    <row r="492" spans="1:14" x14ac:dyDescent="0.25">
      <c r="A492" s="2">
        <v>1210107</v>
      </c>
      <c r="B492" s="3">
        <v>28993.75</v>
      </c>
      <c r="C492" s="3">
        <v>54010</v>
      </c>
      <c r="D492" s="3">
        <v>27662.5</v>
      </c>
      <c r="E492" s="3">
        <v>40468.75</v>
      </c>
      <c r="F492">
        <f t="shared" si="59"/>
        <v>1210107</v>
      </c>
      <c r="G492" s="3">
        <f t="shared" si="60"/>
        <v>28993.75</v>
      </c>
      <c r="H492" s="3">
        <f t="shared" si="61"/>
        <v>54010</v>
      </c>
      <c r="I492" s="3">
        <f t="shared" si="62"/>
        <v>27662.5</v>
      </c>
      <c r="J492" s="3">
        <f t="shared" si="63"/>
        <v>40468.75</v>
      </c>
      <c r="K492" s="5">
        <f t="shared" si="64"/>
        <v>151135</v>
      </c>
      <c r="L492" s="5">
        <f t="shared" si="65"/>
        <v>151135</v>
      </c>
      <c r="M492" s="5">
        <f t="shared" si="66"/>
        <v>0</v>
      </c>
      <c r="N492" s="3"/>
    </row>
    <row r="493" spans="1:14" x14ac:dyDescent="0.25">
      <c r="A493" s="2">
        <v>1210108</v>
      </c>
      <c r="B493" s="3">
        <v>30275</v>
      </c>
      <c r="C493" s="3">
        <v>54530</v>
      </c>
      <c r="D493" s="3">
        <v>28475</v>
      </c>
      <c r="E493" s="3">
        <v>42500</v>
      </c>
      <c r="F493">
        <f t="shared" si="59"/>
        <v>1210108</v>
      </c>
      <c r="G493" s="3">
        <f t="shared" si="60"/>
        <v>30275</v>
      </c>
      <c r="H493" s="3">
        <f t="shared" si="61"/>
        <v>54530</v>
      </c>
      <c r="I493" s="3">
        <f t="shared" si="62"/>
        <v>28475</v>
      </c>
      <c r="J493" s="3">
        <f t="shared" si="63"/>
        <v>42500</v>
      </c>
      <c r="K493" s="5">
        <f t="shared" si="64"/>
        <v>155780</v>
      </c>
      <c r="L493" s="5">
        <f t="shared" si="65"/>
        <v>155780</v>
      </c>
      <c r="M493" s="5">
        <f t="shared" si="66"/>
        <v>0</v>
      </c>
      <c r="N493" s="3"/>
    </row>
    <row r="494" spans="1:14" x14ac:dyDescent="0.25">
      <c r="A494" s="2">
        <v>1210110</v>
      </c>
      <c r="B494" s="3">
        <v>29643.75</v>
      </c>
      <c r="C494" s="3">
        <v>54530</v>
      </c>
      <c r="D494" s="3">
        <v>28000</v>
      </c>
      <c r="E494" s="3">
        <v>41328.100000000006</v>
      </c>
      <c r="F494">
        <f t="shared" si="59"/>
        <v>1210110</v>
      </c>
      <c r="G494" s="3">
        <f t="shared" si="60"/>
        <v>29643.75</v>
      </c>
      <c r="H494" s="3">
        <f t="shared" si="61"/>
        <v>54530</v>
      </c>
      <c r="I494" s="3">
        <f t="shared" si="62"/>
        <v>28000</v>
      </c>
      <c r="J494" s="3">
        <f t="shared" si="63"/>
        <v>41328.100000000006</v>
      </c>
      <c r="K494" s="5">
        <f t="shared" si="64"/>
        <v>153501.85</v>
      </c>
      <c r="L494" s="5">
        <f t="shared" si="65"/>
        <v>155780</v>
      </c>
      <c r="M494" s="5">
        <f t="shared" si="66"/>
        <v>-2278.1499999999942</v>
      </c>
      <c r="N494" s="3"/>
    </row>
    <row r="495" spans="1:14" x14ac:dyDescent="0.25">
      <c r="A495" s="2">
        <v>1210111</v>
      </c>
      <c r="B495" s="3">
        <v>30043.75</v>
      </c>
      <c r="C495" s="3">
        <v>54530</v>
      </c>
      <c r="D495" s="3">
        <v>28112.5</v>
      </c>
      <c r="E495" s="3">
        <v>41171.899999999994</v>
      </c>
      <c r="F495">
        <f t="shared" si="59"/>
        <v>1210111</v>
      </c>
      <c r="G495" s="3">
        <f t="shared" si="60"/>
        <v>30043.75</v>
      </c>
      <c r="H495" s="3">
        <f t="shared" si="61"/>
        <v>54530</v>
      </c>
      <c r="I495" s="3">
        <f t="shared" si="62"/>
        <v>28112.5</v>
      </c>
      <c r="J495" s="3">
        <f t="shared" si="63"/>
        <v>41171.899999999994</v>
      </c>
      <c r="K495" s="5">
        <f t="shared" si="64"/>
        <v>153858.15</v>
      </c>
      <c r="L495" s="5">
        <f t="shared" si="65"/>
        <v>153858.15</v>
      </c>
      <c r="M495" s="5">
        <f t="shared" si="66"/>
        <v>0</v>
      </c>
      <c r="N495" s="3"/>
    </row>
    <row r="496" spans="1:14" x14ac:dyDescent="0.25">
      <c r="A496" s="2">
        <v>1210112</v>
      </c>
      <c r="B496" s="3">
        <v>29612.5</v>
      </c>
      <c r="C496" s="3">
        <v>54530</v>
      </c>
      <c r="D496" s="3">
        <v>28175</v>
      </c>
      <c r="E496" s="3">
        <v>42812.5</v>
      </c>
      <c r="F496">
        <f t="shared" si="59"/>
        <v>1210112</v>
      </c>
      <c r="G496" s="3">
        <f t="shared" si="60"/>
        <v>29612.5</v>
      </c>
      <c r="H496" s="3">
        <f t="shared" si="61"/>
        <v>54530</v>
      </c>
      <c r="I496" s="3">
        <f t="shared" si="62"/>
        <v>28175</v>
      </c>
      <c r="J496" s="3">
        <f t="shared" si="63"/>
        <v>42812.5</v>
      </c>
      <c r="K496" s="5">
        <f t="shared" si="64"/>
        <v>155130</v>
      </c>
      <c r="L496" s="5">
        <f t="shared" si="65"/>
        <v>155130</v>
      </c>
      <c r="M496" s="5">
        <f t="shared" si="66"/>
        <v>0</v>
      </c>
      <c r="N496" s="3"/>
    </row>
    <row r="497" spans="1:14" x14ac:dyDescent="0.25">
      <c r="A497" s="2">
        <v>1210113</v>
      </c>
      <c r="B497" s="3">
        <v>28818.75</v>
      </c>
      <c r="C497" s="3">
        <v>51910</v>
      </c>
      <c r="D497" s="3">
        <v>28568.75</v>
      </c>
      <c r="E497" s="3">
        <v>41796.899999999994</v>
      </c>
      <c r="F497">
        <f t="shared" si="59"/>
        <v>1210113</v>
      </c>
      <c r="G497" s="3">
        <f t="shared" si="60"/>
        <v>28818.75</v>
      </c>
      <c r="H497" s="3">
        <f t="shared" si="61"/>
        <v>51910</v>
      </c>
      <c r="I497" s="3">
        <f t="shared" si="62"/>
        <v>28568.75</v>
      </c>
      <c r="J497" s="3">
        <f t="shared" si="63"/>
        <v>41796.899999999994</v>
      </c>
      <c r="K497" s="5">
        <f t="shared" si="64"/>
        <v>151094.39999999999</v>
      </c>
      <c r="L497" s="5">
        <f t="shared" si="65"/>
        <v>155130</v>
      </c>
      <c r="M497" s="5">
        <f t="shared" si="66"/>
        <v>-4035.6000000000058</v>
      </c>
      <c r="N497" s="3"/>
    </row>
    <row r="498" spans="1:14" x14ac:dyDescent="0.25">
      <c r="A498" s="2">
        <v>1210114</v>
      </c>
      <c r="B498" s="3">
        <v>28806.25</v>
      </c>
      <c r="C498" s="3">
        <v>52020</v>
      </c>
      <c r="D498" s="3">
        <v>28193.75</v>
      </c>
      <c r="E498" s="3">
        <v>41093.75</v>
      </c>
      <c r="F498">
        <f t="shared" si="59"/>
        <v>1210114</v>
      </c>
      <c r="G498" s="3">
        <f t="shared" si="60"/>
        <v>28806.25</v>
      </c>
      <c r="H498" s="3">
        <f t="shared" si="61"/>
        <v>52020</v>
      </c>
      <c r="I498" s="3">
        <f t="shared" si="62"/>
        <v>28193.75</v>
      </c>
      <c r="J498" s="3">
        <f t="shared" si="63"/>
        <v>41093.75</v>
      </c>
      <c r="K498" s="5">
        <f t="shared" si="64"/>
        <v>150113.75</v>
      </c>
      <c r="L498" s="5">
        <f t="shared" si="65"/>
        <v>151094.39999999999</v>
      </c>
      <c r="M498" s="5">
        <f t="shared" si="66"/>
        <v>-980.64999999999418</v>
      </c>
      <c r="N498" s="3"/>
    </row>
    <row r="499" spans="1:14" x14ac:dyDescent="0.25">
      <c r="A499" s="2">
        <v>1210115</v>
      </c>
      <c r="B499" s="3">
        <v>29593.75</v>
      </c>
      <c r="C499" s="3">
        <v>52020</v>
      </c>
      <c r="D499" s="3">
        <v>28318.75</v>
      </c>
      <c r="E499" s="3">
        <v>42109.399999999994</v>
      </c>
      <c r="F499">
        <f t="shared" si="59"/>
        <v>1210115</v>
      </c>
      <c r="G499" s="3">
        <f t="shared" si="60"/>
        <v>29593.75</v>
      </c>
      <c r="H499" s="3">
        <f t="shared" si="61"/>
        <v>52020</v>
      </c>
      <c r="I499" s="3">
        <f t="shared" si="62"/>
        <v>28318.75</v>
      </c>
      <c r="J499" s="3">
        <f t="shared" si="63"/>
        <v>42109.399999999994</v>
      </c>
      <c r="K499" s="5">
        <f t="shared" si="64"/>
        <v>152041.9</v>
      </c>
      <c r="L499" s="5">
        <f t="shared" si="65"/>
        <v>152041.9</v>
      </c>
      <c r="M499" s="5">
        <f t="shared" si="66"/>
        <v>0</v>
      </c>
      <c r="N499" s="3"/>
    </row>
    <row r="500" spans="1:14" x14ac:dyDescent="0.25">
      <c r="A500" s="2">
        <v>1210117</v>
      </c>
      <c r="B500" s="3">
        <v>29437.5</v>
      </c>
      <c r="C500" s="3">
        <v>54820</v>
      </c>
      <c r="D500" s="3">
        <v>28550</v>
      </c>
      <c r="E500" s="3">
        <v>42968.75</v>
      </c>
      <c r="F500">
        <f t="shared" si="59"/>
        <v>1210117</v>
      </c>
      <c r="G500" s="3">
        <f t="shared" si="60"/>
        <v>29437.5</v>
      </c>
      <c r="H500" s="3">
        <f t="shared" si="61"/>
        <v>54820</v>
      </c>
      <c r="I500" s="3">
        <f t="shared" si="62"/>
        <v>28550</v>
      </c>
      <c r="J500" s="3">
        <f t="shared" si="63"/>
        <v>42968.75</v>
      </c>
      <c r="K500" s="5">
        <f t="shared" si="64"/>
        <v>155776.25</v>
      </c>
      <c r="L500" s="5">
        <f t="shared" si="65"/>
        <v>155776.25</v>
      </c>
      <c r="M500" s="5">
        <f t="shared" si="66"/>
        <v>0</v>
      </c>
      <c r="N500" s="3"/>
    </row>
    <row r="501" spans="1:14" x14ac:dyDescent="0.25">
      <c r="A501" s="2">
        <v>1210118</v>
      </c>
      <c r="B501" s="3">
        <v>29437.5</v>
      </c>
      <c r="C501" s="3">
        <v>53060</v>
      </c>
      <c r="D501" s="3">
        <v>28331.25</v>
      </c>
      <c r="E501" s="3">
        <v>43125</v>
      </c>
      <c r="F501">
        <f t="shared" si="59"/>
        <v>1210118</v>
      </c>
      <c r="G501" s="3">
        <f t="shared" si="60"/>
        <v>29437.5</v>
      </c>
      <c r="H501" s="3">
        <f t="shared" si="61"/>
        <v>53060</v>
      </c>
      <c r="I501" s="3">
        <f t="shared" si="62"/>
        <v>28331.25</v>
      </c>
      <c r="J501" s="3">
        <f t="shared" si="63"/>
        <v>43125</v>
      </c>
      <c r="K501" s="5">
        <f t="shared" si="64"/>
        <v>153953.75</v>
      </c>
      <c r="L501" s="5">
        <f t="shared" si="65"/>
        <v>155776.25</v>
      </c>
      <c r="M501" s="5">
        <f t="shared" si="66"/>
        <v>-1822.5</v>
      </c>
      <c r="N501" s="3"/>
    </row>
    <row r="502" spans="1:14" x14ac:dyDescent="0.25">
      <c r="A502" s="2">
        <v>1210119</v>
      </c>
      <c r="B502" s="3">
        <v>29850</v>
      </c>
      <c r="C502" s="3">
        <v>52400</v>
      </c>
      <c r="D502" s="3">
        <v>28362.5</v>
      </c>
      <c r="E502" s="3">
        <v>43125</v>
      </c>
      <c r="F502">
        <f t="shared" si="59"/>
        <v>1210119</v>
      </c>
      <c r="G502" s="3">
        <f t="shared" si="60"/>
        <v>29850</v>
      </c>
      <c r="H502" s="3">
        <f t="shared" si="61"/>
        <v>52400</v>
      </c>
      <c r="I502" s="3">
        <f t="shared" si="62"/>
        <v>28362.5</v>
      </c>
      <c r="J502" s="3">
        <f t="shared" si="63"/>
        <v>43125</v>
      </c>
      <c r="K502" s="5">
        <f t="shared" si="64"/>
        <v>153737.5</v>
      </c>
      <c r="L502" s="5">
        <f t="shared" si="65"/>
        <v>153953.75</v>
      </c>
      <c r="M502" s="5">
        <f t="shared" si="66"/>
        <v>-216.25</v>
      </c>
      <c r="N502" s="3"/>
    </row>
    <row r="503" spans="1:14" x14ac:dyDescent="0.25">
      <c r="A503" s="2">
        <v>1210120</v>
      </c>
      <c r="B503" s="3">
        <v>29081.25</v>
      </c>
      <c r="C503" s="3">
        <v>50130</v>
      </c>
      <c r="D503" s="3">
        <v>28556.25</v>
      </c>
      <c r="E503" s="3">
        <v>42890.600000000006</v>
      </c>
      <c r="F503">
        <f t="shared" si="59"/>
        <v>1210120</v>
      </c>
      <c r="G503" s="3">
        <f t="shared" si="60"/>
        <v>29081.25</v>
      </c>
      <c r="H503" s="3">
        <f t="shared" si="61"/>
        <v>50130</v>
      </c>
      <c r="I503" s="3">
        <f t="shared" si="62"/>
        <v>28556.25</v>
      </c>
      <c r="J503" s="3">
        <f t="shared" si="63"/>
        <v>42890.600000000006</v>
      </c>
      <c r="K503" s="5">
        <f t="shared" si="64"/>
        <v>150658.1</v>
      </c>
      <c r="L503" s="5">
        <f t="shared" si="65"/>
        <v>153737.5</v>
      </c>
      <c r="M503" s="5">
        <f t="shared" si="66"/>
        <v>-3079.3999999999942</v>
      </c>
      <c r="N503" s="3"/>
    </row>
    <row r="504" spans="1:14" x14ac:dyDescent="0.25">
      <c r="A504" s="2">
        <v>1210121</v>
      </c>
      <c r="B504" s="3">
        <v>30368.75</v>
      </c>
      <c r="C504" s="3">
        <v>46030</v>
      </c>
      <c r="D504" s="3">
        <v>28706.25</v>
      </c>
      <c r="E504" s="3">
        <v>42187.5</v>
      </c>
      <c r="F504">
        <f t="shared" si="59"/>
        <v>1210121</v>
      </c>
      <c r="G504" s="3">
        <f t="shared" si="60"/>
        <v>30368.75</v>
      </c>
      <c r="H504" s="3">
        <f t="shared" si="61"/>
        <v>46030</v>
      </c>
      <c r="I504" s="3">
        <f t="shared" si="62"/>
        <v>28706.25</v>
      </c>
      <c r="J504" s="3">
        <f t="shared" si="63"/>
        <v>42187.5</v>
      </c>
      <c r="K504" s="5">
        <f t="shared" si="64"/>
        <v>147292.5</v>
      </c>
      <c r="L504" s="5">
        <f t="shared" si="65"/>
        <v>150658.1</v>
      </c>
      <c r="M504" s="5">
        <f t="shared" si="66"/>
        <v>-3365.6000000000058</v>
      </c>
      <c r="N504" s="3"/>
    </row>
    <row r="505" spans="1:14" x14ac:dyDescent="0.25">
      <c r="A505" s="2">
        <v>1210122</v>
      </c>
      <c r="B505" s="3">
        <v>30368.75</v>
      </c>
      <c r="C505" s="3">
        <v>47100</v>
      </c>
      <c r="D505" s="3">
        <v>28518.75</v>
      </c>
      <c r="E505" s="3">
        <v>41796.899999999994</v>
      </c>
      <c r="F505">
        <f t="shared" si="59"/>
        <v>1210122</v>
      </c>
      <c r="G505" s="3">
        <f t="shared" si="60"/>
        <v>30368.75</v>
      </c>
      <c r="H505" s="3">
        <f t="shared" si="61"/>
        <v>47100</v>
      </c>
      <c r="I505" s="3">
        <f t="shared" si="62"/>
        <v>28518.75</v>
      </c>
      <c r="J505" s="3">
        <f t="shared" si="63"/>
        <v>41796.899999999994</v>
      </c>
      <c r="K505" s="5">
        <f t="shared" si="64"/>
        <v>147784.4</v>
      </c>
      <c r="L505" s="5">
        <f t="shared" si="65"/>
        <v>147784.4</v>
      </c>
      <c r="M505" s="5">
        <f t="shared" si="66"/>
        <v>0</v>
      </c>
      <c r="N505" s="3"/>
    </row>
    <row r="506" spans="1:14" x14ac:dyDescent="0.25">
      <c r="A506" s="2">
        <v>1210124</v>
      </c>
      <c r="B506" s="3">
        <v>30406.25</v>
      </c>
      <c r="C506" s="3">
        <v>47110</v>
      </c>
      <c r="D506" s="3">
        <v>28768.75</v>
      </c>
      <c r="E506" s="3">
        <v>41093.75</v>
      </c>
      <c r="F506">
        <f t="shared" si="59"/>
        <v>1210124</v>
      </c>
      <c r="G506" s="3">
        <f t="shared" si="60"/>
        <v>30406.25</v>
      </c>
      <c r="H506" s="3">
        <f t="shared" si="61"/>
        <v>47110</v>
      </c>
      <c r="I506" s="3">
        <f t="shared" si="62"/>
        <v>28768.75</v>
      </c>
      <c r="J506" s="3">
        <f t="shared" si="63"/>
        <v>41093.75</v>
      </c>
      <c r="K506" s="5">
        <f t="shared" si="64"/>
        <v>147378.75</v>
      </c>
      <c r="L506" s="5">
        <f t="shared" si="65"/>
        <v>147784.4</v>
      </c>
      <c r="M506" s="5">
        <f t="shared" si="66"/>
        <v>-405.64999999999418</v>
      </c>
      <c r="N506" s="3"/>
    </row>
    <row r="507" spans="1:14" x14ac:dyDescent="0.25">
      <c r="A507" s="2">
        <v>1210125</v>
      </c>
      <c r="B507" s="3">
        <v>30612.5</v>
      </c>
      <c r="C507" s="3">
        <v>47340</v>
      </c>
      <c r="D507" s="3">
        <v>28681.25</v>
      </c>
      <c r="E507" s="3">
        <v>41093.75</v>
      </c>
      <c r="F507">
        <f t="shared" si="59"/>
        <v>1210125</v>
      </c>
      <c r="G507" s="3">
        <f t="shared" si="60"/>
        <v>30612.5</v>
      </c>
      <c r="H507" s="3">
        <f t="shared" si="61"/>
        <v>47340</v>
      </c>
      <c r="I507" s="3">
        <f t="shared" si="62"/>
        <v>28681.25</v>
      </c>
      <c r="J507" s="3">
        <f t="shared" si="63"/>
        <v>41093.75</v>
      </c>
      <c r="K507" s="5">
        <f t="shared" si="64"/>
        <v>147727.5</v>
      </c>
      <c r="L507" s="5">
        <f t="shared" si="65"/>
        <v>147727.5</v>
      </c>
      <c r="M507" s="5">
        <f t="shared" si="66"/>
        <v>0</v>
      </c>
      <c r="N507" s="3"/>
    </row>
    <row r="508" spans="1:14" x14ac:dyDescent="0.25">
      <c r="A508" s="2">
        <v>1210126</v>
      </c>
      <c r="B508" s="3">
        <v>30212.5</v>
      </c>
      <c r="C508" s="3">
        <v>47040</v>
      </c>
      <c r="D508" s="3">
        <v>28293.75</v>
      </c>
      <c r="E508" s="3">
        <v>43359.399999999994</v>
      </c>
      <c r="F508">
        <f t="shared" si="59"/>
        <v>1210126</v>
      </c>
      <c r="G508" s="3">
        <f t="shared" si="60"/>
        <v>30212.5</v>
      </c>
      <c r="H508" s="3">
        <f t="shared" si="61"/>
        <v>47040</v>
      </c>
      <c r="I508" s="3">
        <f t="shared" si="62"/>
        <v>28293.75</v>
      </c>
      <c r="J508" s="3">
        <f t="shared" si="63"/>
        <v>43359.399999999994</v>
      </c>
      <c r="K508" s="5">
        <f t="shared" si="64"/>
        <v>148905.65</v>
      </c>
      <c r="L508" s="5">
        <f t="shared" si="65"/>
        <v>148905.65</v>
      </c>
      <c r="M508" s="5">
        <f t="shared" si="66"/>
        <v>0</v>
      </c>
      <c r="N508" s="3"/>
    </row>
    <row r="509" spans="1:14" x14ac:dyDescent="0.25">
      <c r="A509" s="2">
        <v>1210127</v>
      </c>
      <c r="B509" s="3">
        <v>29856.25</v>
      </c>
      <c r="C509" s="3">
        <v>46660</v>
      </c>
      <c r="D509" s="3">
        <v>28343.75</v>
      </c>
      <c r="E509" s="3">
        <v>42031.25</v>
      </c>
      <c r="F509">
        <f t="shared" si="59"/>
        <v>1210127</v>
      </c>
      <c r="G509" s="3">
        <f t="shared" si="60"/>
        <v>29856.25</v>
      </c>
      <c r="H509" s="3">
        <f t="shared" si="61"/>
        <v>46660</v>
      </c>
      <c r="I509" s="3">
        <f t="shared" si="62"/>
        <v>28343.75</v>
      </c>
      <c r="J509" s="3">
        <f t="shared" si="63"/>
        <v>42031.25</v>
      </c>
      <c r="K509" s="5">
        <f t="shared" si="64"/>
        <v>146891.25</v>
      </c>
      <c r="L509" s="5">
        <f t="shared" si="65"/>
        <v>148905.65</v>
      </c>
      <c r="M509" s="5">
        <f t="shared" si="66"/>
        <v>-2014.3999999999942</v>
      </c>
      <c r="N509" s="3"/>
    </row>
    <row r="510" spans="1:14" x14ac:dyDescent="0.25">
      <c r="A510" s="2">
        <v>1210128</v>
      </c>
      <c r="B510" s="3">
        <v>30593.75</v>
      </c>
      <c r="C510" s="3">
        <v>47760</v>
      </c>
      <c r="D510" s="3">
        <v>28556.25</v>
      </c>
      <c r="E510" s="3">
        <v>42187.5</v>
      </c>
      <c r="F510">
        <f t="shared" si="59"/>
        <v>1210128</v>
      </c>
      <c r="G510" s="3">
        <f t="shared" si="60"/>
        <v>30593.75</v>
      </c>
      <c r="H510" s="3">
        <f t="shared" si="61"/>
        <v>47760</v>
      </c>
      <c r="I510" s="3">
        <f t="shared" si="62"/>
        <v>28556.25</v>
      </c>
      <c r="J510" s="3">
        <f t="shared" si="63"/>
        <v>42187.5</v>
      </c>
      <c r="K510" s="5">
        <f t="shared" si="64"/>
        <v>149097.5</v>
      </c>
      <c r="L510" s="5">
        <f t="shared" si="65"/>
        <v>149097.5</v>
      </c>
      <c r="M510" s="5">
        <f t="shared" si="66"/>
        <v>0</v>
      </c>
      <c r="N510" s="3"/>
    </row>
    <row r="511" spans="1:14" x14ac:dyDescent="0.25">
      <c r="A511" s="2">
        <v>1210129</v>
      </c>
      <c r="B511" s="3">
        <v>27562.5</v>
      </c>
      <c r="C511" s="3">
        <v>47360</v>
      </c>
      <c r="D511" s="3">
        <v>28512.5</v>
      </c>
      <c r="E511" s="3">
        <v>42187.5</v>
      </c>
      <c r="F511">
        <f t="shared" si="59"/>
        <v>1210129</v>
      </c>
      <c r="G511" s="3">
        <f t="shared" si="60"/>
        <v>27562.5</v>
      </c>
      <c r="H511" s="3">
        <f t="shared" si="61"/>
        <v>47360</v>
      </c>
      <c r="I511" s="3">
        <f t="shared" si="62"/>
        <v>28512.5</v>
      </c>
      <c r="J511" s="3">
        <f t="shared" si="63"/>
        <v>42187.5</v>
      </c>
      <c r="K511" s="5">
        <f t="shared" si="64"/>
        <v>145622.5</v>
      </c>
      <c r="L511" s="5">
        <f t="shared" si="65"/>
        <v>149097.5</v>
      </c>
      <c r="M511" s="5">
        <f t="shared" si="66"/>
        <v>-3475</v>
      </c>
      <c r="N511" s="3"/>
    </row>
    <row r="512" spans="1:14" x14ac:dyDescent="0.25">
      <c r="A512" s="2">
        <v>1210131</v>
      </c>
      <c r="B512" s="3">
        <v>28350</v>
      </c>
      <c r="C512" s="3">
        <v>48760</v>
      </c>
      <c r="D512" s="3">
        <v>28800</v>
      </c>
      <c r="E512" s="3">
        <v>42656.25</v>
      </c>
      <c r="F512">
        <f t="shared" si="59"/>
        <v>1210131</v>
      </c>
      <c r="G512" s="3">
        <f t="shared" si="60"/>
        <v>28350</v>
      </c>
      <c r="H512" s="3">
        <f t="shared" si="61"/>
        <v>48760</v>
      </c>
      <c r="I512" s="3">
        <f t="shared" si="62"/>
        <v>28800</v>
      </c>
      <c r="J512" s="3">
        <f t="shared" si="63"/>
        <v>42656.25</v>
      </c>
      <c r="K512" s="5">
        <f t="shared" si="64"/>
        <v>148566.25</v>
      </c>
      <c r="L512" s="5">
        <f t="shared" si="65"/>
        <v>148566.25</v>
      </c>
      <c r="M512" s="5">
        <f t="shared" si="66"/>
        <v>0</v>
      </c>
      <c r="N512" s="3"/>
    </row>
    <row r="513" spans="1:14" x14ac:dyDescent="0.25">
      <c r="A513" s="2">
        <v>1210201</v>
      </c>
      <c r="B513" s="3">
        <v>27187.5</v>
      </c>
      <c r="C513" s="3">
        <v>49190</v>
      </c>
      <c r="D513" s="3">
        <v>28731.25</v>
      </c>
      <c r="E513" s="3">
        <v>43046.899999999994</v>
      </c>
      <c r="F513">
        <f t="shared" si="59"/>
        <v>1210201</v>
      </c>
      <c r="G513" s="3">
        <f t="shared" si="60"/>
        <v>27187.5</v>
      </c>
      <c r="H513" s="3">
        <f t="shared" si="61"/>
        <v>49190</v>
      </c>
      <c r="I513" s="3">
        <f t="shared" si="62"/>
        <v>28731.25</v>
      </c>
      <c r="J513" s="3">
        <f t="shared" si="63"/>
        <v>43046.899999999994</v>
      </c>
      <c r="K513" s="5">
        <f t="shared" si="64"/>
        <v>148155.65</v>
      </c>
      <c r="L513" s="5">
        <f t="shared" si="65"/>
        <v>148566.25</v>
      </c>
      <c r="M513" s="5">
        <f t="shared" si="66"/>
        <v>-410.60000000000582</v>
      </c>
      <c r="N513" s="3"/>
    </row>
    <row r="514" spans="1:14" x14ac:dyDescent="0.25">
      <c r="A514" s="2">
        <v>1210202</v>
      </c>
      <c r="B514" s="3">
        <v>27462.5</v>
      </c>
      <c r="C514" s="3">
        <v>49140</v>
      </c>
      <c r="D514" s="3">
        <v>29087.5</v>
      </c>
      <c r="E514" s="3">
        <v>42031.25</v>
      </c>
      <c r="F514">
        <f t="shared" si="59"/>
        <v>1210202</v>
      </c>
      <c r="G514" s="3">
        <f t="shared" si="60"/>
        <v>27462.5</v>
      </c>
      <c r="H514" s="3">
        <f t="shared" si="61"/>
        <v>49140</v>
      </c>
      <c r="I514" s="3">
        <f t="shared" si="62"/>
        <v>29087.5</v>
      </c>
      <c r="J514" s="3">
        <f t="shared" si="63"/>
        <v>42031.25</v>
      </c>
      <c r="K514" s="5">
        <f t="shared" si="64"/>
        <v>147721.25</v>
      </c>
      <c r="L514" s="5">
        <f t="shared" si="65"/>
        <v>148155.65</v>
      </c>
      <c r="M514" s="5">
        <f t="shared" si="66"/>
        <v>-434.39999999999418</v>
      </c>
      <c r="N514" s="3"/>
    </row>
    <row r="515" spans="1:14" x14ac:dyDescent="0.25">
      <c r="A515" s="2">
        <v>1210203</v>
      </c>
      <c r="B515" s="3">
        <v>28625</v>
      </c>
      <c r="C515" s="3">
        <v>50600</v>
      </c>
      <c r="D515" s="3">
        <v>29125</v>
      </c>
      <c r="E515" s="3">
        <v>41093.75</v>
      </c>
      <c r="F515">
        <f t="shared" si="59"/>
        <v>1210203</v>
      </c>
      <c r="G515" s="3">
        <f t="shared" si="60"/>
        <v>28625</v>
      </c>
      <c r="H515" s="3">
        <f t="shared" si="61"/>
        <v>50600</v>
      </c>
      <c r="I515" s="3">
        <f t="shared" si="62"/>
        <v>29125</v>
      </c>
      <c r="J515" s="3">
        <f t="shared" si="63"/>
        <v>41093.75</v>
      </c>
      <c r="K515" s="5">
        <f t="shared" si="64"/>
        <v>149443.75</v>
      </c>
      <c r="L515" s="5">
        <f t="shared" si="65"/>
        <v>149443.75</v>
      </c>
      <c r="M515" s="5">
        <f t="shared" si="66"/>
        <v>0</v>
      </c>
      <c r="N515" s="3"/>
    </row>
    <row r="516" spans="1:14" x14ac:dyDescent="0.25">
      <c r="A516" s="2">
        <v>1210204</v>
      </c>
      <c r="B516" s="3">
        <v>28325</v>
      </c>
      <c r="C516" s="3">
        <v>50780</v>
      </c>
      <c r="D516" s="3">
        <v>29062.5</v>
      </c>
      <c r="E516" s="3">
        <v>42265.600000000006</v>
      </c>
      <c r="F516">
        <f t="shared" si="59"/>
        <v>1210204</v>
      </c>
      <c r="G516" s="3">
        <f t="shared" si="60"/>
        <v>28325</v>
      </c>
      <c r="H516" s="3">
        <f t="shared" si="61"/>
        <v>50780</v>
      </c>
      <c r="I516" s="3">
        <f t="shared" si="62"/>
        <v>29062.5</v>
      </c>
      <c r="J516" s="3">
        <f t="shared" si="63"/>
        <v>42265.600000000006</v>
      </c>
      <c r="K516" s="5">
        <f t="shared" si="64"/>
        <v>150433.1</v>
      </c>
      <c r="L516" s="5">
        <f t="shared" si="65"/>
        <v>150433.1</v>
      </c>
      <c r="M516" s="5">
        <f t="shared" si="66"/>
        <v>0</v>
      </c>
      <c r="N516" s="3"/>
    </row>
    <row r="517" spans="1:14" x14ac:dyDescent="0.25">
      <c r="A517" s="2">
        <v>1210205</v>
      </c>
      <c r="B517" s="3">
        <v>28581.25</v>
      </c>
      <c r="C517" s="3">
        <v>52890</v>
      </c>
      <c r="D517" s="3">
        <v>29481.25</v>
      </c>
      <c r="E517" s="3">
        <v>41562.5</v>
      </c>
      <c r="F517">
        <f t="shared" si="59"/>
        <v>1210205</v>
      </c>
      <c r="G517" s="3">
        <f t="shared" si="60"/>
        <v>28581.25</v>
      </c>
      <c r="H517" s="3">
        <f t="shared" si="61"/>
        <v>52890</v>
      </c>
      <c r="I517" s="3">
        <f t="shared" si="62"/>
        <v>29481.25</v>
      </c>
      <c r="J517" s="3">
        <f t="shared" si="63"/>
        <v>41562.5</v>
      </c>
      <c r="K517" s="5">
        <f t="shared" si="64"/>
        <v>152515</v>
      </c>
      <c r="L517" s="5">
        <f t="shared" si="65"/>
        <v>152515</v>
      </c>
      <c r="M517" s="5">
        <f t="shared" si="66"/>
        <v>0</v>
      </c>
      <c r="N517" s="3"/>
    </row>
    <row r="518" spans="1:14" x14ac:dyDescent="0.25">
      <c r="A518" s="2">
        <v>1210207</v>
      </c>
      <c r="B518" s="3">
        <v>28687.5</v>
      </c>
      <c r="C518" s="3">
        <v>49180</v>
      </c>
      <c r="D518" s="3">
        <v>29343.75</v>
      </c>
      <c r="E518" s="3">
        <v>42500</v>
      </c>
      <c r="F518">
        <f t="shared" si="59"/>
        <v>1210207</v>
      </c>
      <c r="G518" s="3">
        <f t="shared" si="60"/>
        <v>28687.5</v>
      </c>
      <c r="H518" s="3">
        <f t="shared" si="61"/>
        <v>49180</v>
      </c>
      <c r="I518" s="3">
        <f t="shared" si="62"/>
        <v>29343.75</v>
      </c>
      <c r="J518" s="3">
        <f t="shared" si="63"/>
        <v>42500</v>
      </c>
      <c r="K518" s="5">
        <f t="shared" si="64"/>
        <v>149711.25</v>
      </c>
      <c r="L518" s="5">
        <f t="shared" si="65"/>
        <v>152515</v>
      </c>
      <c r="M518" s="5">
        <f t="shared" si="66"/>
        <v>-2803.75</v>
      </c>
      <c r="N518" s="3"/>
    </row>
    <row r="519" spans="1:14" x14ac:dyDescent="0.25">
      <c r="A519" s="2">
        <v>1210208</v>
      </c>
      <c r="B519" s="3">
        <v>28825</v>
      </c>
      <c r="C519" s="3">
        <v>49970</v>
      </c>
      <c r="D519" s="3">
        <v>29468.75</v>
      </c>
      <c r="E519" s="3">
        <v>42890.600000000006</v>
      </c>
      <c r="F519">
        <f t="shared" si="59"/>
        <v>1210208</v>
      </c>
      <c r="G519" s="3">
        <f t="shared" si="60"/>
        <v>28825</v>
      </c>
      <c r="H519" s="3">
        <f t="shared" si="61"/>
        <v>49970</v>
      </c>
      <c r="I519" s="3">
        <f t="shared" si="62"/>
        <v>29468.75</v>
      </c>
      <c r="J519" s="3">
        <f t="shared" si="63"/>
        <v>42890.600000000006</v>
      </c>
      <c r="K519" s="5">
        <f t="shared" si="64"/>
        <v>151154.35</v>
      </c>
      <c r="L519" s="5">
        <f t="shared" si="65"/>
        <v>151154.35</v>
      </c>
      <c r="M519" s="5">
        <f t="shared" si="66"/>
        <v>0</v>
      </c>
      <c r="N519" s="3"/>
    </row>
    <row r="520" spans="1:14" x14ac:dyDescent="0.25">
      <c r="A520" s="2">
        <v>1210209</v>
      </c>
      <c r="B520" s="3">
        <v>28700</v>
      </c>
      <c r="C520" s="3">
        <v>51690</v>
      </c>
      <c r="D520" s="3">
        <v>30043.75</v>
      </c>
      <c r="E520" s="3">
        <v>42343.75</v>
      </c>
      <c r="F520">
        <f t="shared" si="59"/>
        <v>1210209</v>
      </c>
      <c r="G520" s="3">
        <f t="shared" si="60"/>
        <v>28700</v>
      </c>
      <c r="H520" s="3">
        <f t="shared" si="61"/>
        <v>51690</v>
      </c>
      <c r="I520" s="3">
        <f t="shared" si="62"/>
        <v>30043.75</v>
      </c>
      <c r="J520" s="3">
        <f t="shared" si="63"/>
        <v>42343.75</v>
      </c>
      <c r="K520" s="5">
        <f t="shared" si="64"/>
        <v>152777.5</v>
      </c>
      <c r="L520" s="5">
        <f t="shared" si="65"/>
        <v>152777.5</v>
      </c>
      <c r="M520" s="5">
        <f t="shared" si="66"/>
        <v>0</v>
      </c>
      <c r="N520" s="3"/>
    </row>
    <row r="521" spans="1:14" x14ac:dyDescent="0.25">
      <c r="A521" s="2">
        <v>1210210</v>
      </c>
      <c r="B521" s="3">
        <v>28918.75</v>
      </c>
      <c r="C521" s="3">
        <v>51630</v>
      </c>
      <c r="D521" s="3">
        <v>30418.75</v>
      </c>
      <c r="E521" s="3">
        <v>42421.899999999994</v>
      </c>
      <c r="F521">
        <f t="shared" si="59"/>
        <v>1210210</v>
      </c>
      <c r="G521" s="3">
        <f t="shared" si="60"/>
        <v>28918.75</v>
      </c>
      <c r="H521" s="3">
        <f t="shared" si="61"/>
        <v>51630</v>
      </c>
      <c r="I521" s="3">
        <f t="shared" si="62"/>
        <v>30418.75</v>
      </c>
      <c r="J521" s="3">
        <f t="shared" si="63"/>
        <v>42421.899999999994</v>
      </c>
      <c r="K521" s="5">
        <f t="shared" si="64"/>
        <v>153389.4</v>
      </c>
      <c r="L521" s="5">
        <f t="shared" si="65"/>
        <v>153389.4</v>
      </c>
      <c r="M521" s="5">
        <f t="shared" si="66"/>
        <v>0</v>
      </c>
      <c r="N521" s="3"/>
    </row>
    <row r="522" spans="1:14" x14ac:dyDescent="0.25">
      <c r="A522" s="2">
        <v>1210211</v>
      </c>
      <c r="B522" s="3">
        <v>29081.25</v>
      </c>
      <c r="C522" s="3">
        <v>49600</v>
      </c>
      <c r="D522" s="3">
        <v>30375</v>
      </c>
      <c r="E522" s="3">
        <v>42421.899999999994</v>
      </c>
      <c r="F522">
        <f t="shared" si="59"/>
        <v>1210211</v>
      </c>
      <c r="G522" s="3">
        <f t="shared" si="60"/>
        <v>29081.25</v>
      </c>
      <c r="H522" s="3">
        <f t="shared" si="61"/>
        <v>49600</v>
      </c>
      <c r="I522" s="3">
        <f t="shared" si="62"/>
        <v>30375</v>
      </c>
      <c r="J522" s="3">
        <f t="shared" si="63"/>
        <v>42421.899999999994</v>
      </c>
      <c r="K522" s="5">
        <f t="shared" si="64"/>
        <v>151478.15</v>
      </c>
      <c r="L522" s="5">
        <f t="shared" si="65"/>
        <v>153389.4</v>
      </c>
      <c r="M522" s="5">
        <f t="shared" si="66"/>
        <v>-1911.25</v>
      </c>
      <c r="N522" s="3"/>
    </row>
    <row r="523" spans="1:14" x14ac:dyDescent="0.25">
      <c r="A523" s="2">
        <v>1210212</v>
      </c>
      <c r="B523" s="3">
        <v>28881.25</v>
      </c>
      <c r="C523" s="3">
        <v>50310</v>
      </c>
      <c r="D523" s="3">
        <v>30318.75</v>
      </c>
      <c r="E523" s="3">
        <v>42500</v>
      </c>
      <c r="F523">
        <f t="shared" si="59"/>
        <v>1210212</v>
      </c>
      <c r="G523" s="3">
        <f t="shared" si="60"/>
        <v>28881.25</v>
      </c>
      <c r="H523" s="3">
        <f t="shared" si="61"/>
        <v>50310</v>
      </c>
      <c r="I523" s="3">
        <f t="shared" si="62"/>
        <v>30318.75</v>
      </c>
      <c r="J523" s="3">
        <f t="shared" si="63"/>
        <v>42500</v>
      </c>
      <c r="K523" s="5">
        <f t="shared" si="64"/>
        <v>152010</v>
      </c>
      <c r="L523" s="5">
        <f t="shared" si="65"/>
        <v>152010</v>
      </c>
      <c r="M523" s="5">
        <f t="shared" si="66"/>
        <v>0</v>
      </c>
      <c r="N523" s="3"/>
    </row>
    <row r="524" spans="1:14" x14ac:dyDescent="0.25">
      <c r="A524" s="2">
        <v>1210214</v>
      </c>
      <c r="B524" s="3">
        <v>29481.25</v>
      </c>
      <c r="C524" s="3">
        <v>49460</v>
      </c>
      <c r="D524" s="3">
        <v>30531.25</v>
      </c>
      <c r="E524" s="3">
        <v>45234.399999999994</v>
      </c>
      <c r="F524">
        <f t="shared" si="59"/>
        <v>1210214</v>
      </c>
      <c r="G524" s="3">
        <f t="shared" si="60"/>
        <v>29481.25</v>
      </c>
      <c r="H524" s="3">
        <f t="shared" si="61"/>
        <v>49460</v>
      </c>
      <c r="I524" s="3">
        <f t="shared" si="62"/>
        <v>30531.25</v>
      </c>
      <c r="J524" s="3">
        <f t="shared" si="63"/>
        <v>45234.399999999994</v>
      </c>
      <c r="K524" s="5">
        <f t="shared" si="64"/>
        <v>154706.9</v>
      </c>
      <c r="L524" s="5">
        <f t="shared" si="65"/>
        <v>154706.9</v>
      </c>
      <c r="M524" s="5">
        <f t="shared" si="66"/>
        <v>0</v>
      </c>
      <c r="N524" s="3"/>
    </row>
    <row r="525" spans="1:14" x14ac:dyDescent="0.25">
      <c r="A525" s="2">
        <v>1210215</v>
      </c>
      <c r="B525" s="3">
        <v>29725</v>
      </c>
      <c r="C525" s="3">
        <v>49310</v>
      </c>
      <c r="D525" s="3">
        <v>30512.5</v>
      </c>
      <c r="E525" s="3">
        <v>45937.5</v>
      </c>
      <c r="F525">
        <f t="shared" si="59"/>
        <v>1210215</v>
      </c>
      <c r="G525" s="3">
        <f t="shared" si="60"/>
        <v>29725</v>
      </c>
      <c r="H525" s="3">
        <f t="shared" si="61"/>
        <v>49310</v>
      </c>
      <c r="I525" s="3">
        <f t="shared" si="62"/>
        <v>30512.5</v>
      </c>
      <c r="J525" s="3">
        <f t="shared" si="63"/>
        <v>45937.5</v>
      </c>
      <c r="K525" s="5">
        <f t="shared" si="64"/>
        <v>155485</v>
      </c>
      <c r="L525" s="5">
        <f t="shared" si="65"/>
        <v>155485</v>
      </c>
      <c r="M525" s="5">
        <f t="shared" si="66"/>
        <v>0</v>
      </c>
      <c r="N525" s="3"/>
    </row>
    <row r="526" spans="1:14" x14ac:dyDescent="0.25">
      <c r="A526" s="2">
        <v>1210216</v>
      </c>
      <c r="B526" s="3">
        <v>29875</v>
      </c>
      <c r="C526" s="3">
        <v>49680</v>
      </c>
      <c r="D526" s="3">
        <v>30975</v>
      </c>
      <c r="E526" s="3">
        <v>45390.600000000006</v>
      </c>
      <c r="F526">
        <f t="shared" si="59"/>
        <v>1210216</v>
      </c>
      <c r="G526" s="3">
        <f t="shared" si="60"/>
        <v>29875</v>
      </c>
      <c r="H526" s="3">
        <f t="shared" si="61"/>
        <v>49680</v>
      </c>
      <c r="I526" s="3">
        <f t="shared" si="62"/>
        <v>30975</v>
      </c>
      <c r="J526" s="3">
        <f t="shared" si="63"/>
        <v>45390.600000000006</v>
      </c>
      <c r="K526" s="5">
        <f t="shared" si="64"/>
        <v>155920.6</v>
      </c>
      <c r="L526" s="5">
        <f t="shared" si="65"/>
        <v>155920.6</v>
      </c>
      <c r="M526" s="5">
        <f t="shared" si="66"/>
        <v>0</v>
      </c>
      <c r="N526" s="3"/>
    </row>
    <row r="527" spans="1:14" x14ac:dyDescent="0.25">
      <c r="A527" s="2">
        <v>1210217</v>
      </c>
      <c r="B527" s="3">
        <v>29631.25</v>
      </c>
      <c r="C527" s="3">
        <v>52340</v>
      </c>
      <c r="D527" s="3">
        <v>31443.75</v>
      </c>
      <c r="E527" s="3">
        <v>48203.100000000006</v>
      </c>
      <c r="F527">
        <f t="shared" si="59"/>
        <v>1210217</v>
      </c>
      <c r="G527" s="3">
        <f t="shared" si="60"/>
        <v>29631.25</v>
      </c>
      <c r="H527" s="3">
        <f t="shared" si="61"/>
        <v>52340</v>
      </c>
      <c r="I527" s="3">
        <f t="shared" si="62"/>
        <v>31443.75</v>
      </c>
      <c r="J527" s="3">
        <f t="shared" si="63"/>
        <v>48203.100000000006</v>
      </c>
      <c r="K527" s="5">
        <f t="shared" si="64"/>
        <v>161618.1</v>
      </c>
      <c r="L527" s="5">
        <f t="shared" si="65"/>
        <v>161618.1</v>
      </c>
      <c r="M527" s="5">
        <f t="shared" si="66"/>
        <v>0</v>
      </c>
      <c r="N527" s="3"/>
    </row>
    <row r="528" spans="1:14" x14ac:dyDescent="0.25">
      <c r="A528" s="2">
        <v>1210218</v>
      </c>
      <c r="B528" s="3">
        <v>30106.25</v>
      </c>
      <c r="C528" s="3">
        <v>52440</v>
      </c>
      <c r="D528" s="3">
        <v>31425</v>
      </c>
      <c r="E528" s="3">
        <v>47500</v>
      </c>
      <c r="F528">
        <f t="shared" si="59"/>
        <v>1210218</v>
      </c>
      <c r="G528" s="3">
        <f t="shared" si="60"/>
        <v>30106.25</v>
      </c>
      <c r="H528" s="3">
        <f t="shared" si="61"/>
        <v>52440</v>
      </c>
      <c r="I528" s="3">
        <f t="shared" si="62"/>
        <v>31425</v>
      </c>
      <c r="J528" s="3">
        <f t="shared" si="63"/>
        <v>47500</v>
      </c>
      <c r="K528" s="5">
        <f t="shared" si="64"/>
        <v>161471.25</v>
      </c>
      <c r="L528" s="5">
        <f t="shared" si="65"/>
        <v>161618.1</v>
      </c>
      <c r="M528" s="5">
        <f t="shared" si="66"/>
        <v>-146.85000000000582</v>
      </c>
      <c r="N528" s="3"/>
    </row>
    <row r="529" spans="1:14" x14ac:dyDescent="0.25">
      <c r="A529" s="2">
        <v>1210219</v>
      </c>
      <c r="B529" s="3">
        <v>29806.25</v>
      </c>
      <c r="C529" s="3">
        <v>49570</v>
      </c>
      <c r="D529" s="3">
        <v>31175</v>
      </c>
      <c r="E529" s="3">
        <v>47109.399999999994</v>
      </c>
      <c r="F529">
        <f t="shared" si="59"/>
        <v>1210219</v>
      </c>
      <c r="G529" s="3">
        <f t="shared" si="60"/>
        <v>29806.25</v>
      </c>
      <c r="H529" s="3">
        <f t="shared" si="61"/>
        <v>49570</v>
      </c>
      <c r="I529" s="3">
        <f t="shared" si="62"/>
        <v>31175</v>
      </c>
      <c r="J529" s="3">
        <f t="shared" si="63"/>
        <v>47109.399999999994</v>
      </c>
      <c r="K529" s="5">
        <f t="shared" si="64"/>
        <v>157660.65</v>
      </c>
      <c r="L529" s="5">
        <f t="shared" si="65"/>
        <v>161471.25</v>
      </c>
      <c r="M529" s="5">
        <f t="shared" si="66"/>
        <v>-3810.6000000000058</v>
      </c>
      <c r="N529" s="3"/>
    </row>
    <row r="530" spans="1:14" x14ac:dyDescent="0.25">
      <c r="A530" s="2">
        <v>1210221</v>
      </c>
      <c r="B530" s="3">
        <v>29387.5</v>
      </c>
      <c r="C530" s="3">
        <v>51560</v>
      </c>
      <c r="D530" s="3">
        <v>31043.75</v>
      </c>
      <c r="E530" s="3">
        <v>49531.25</v>
      </c>
      <c r="F530">
        <f t="shared" si="59"/>
        <v>1210221</v>
      </c>
      <c r="G530" s="3">
        <f t="shared" si="60"/>
        <v>29387.5</v>
      </c>
      <c r="H530" s="3">
        <f t="shared" si="61"/>
        <v>51560</v>
      </c>
      <c r="I530" s="3">
        <f t="shared" si="62"/>
        <v>31043.75</v>
      </c>
      <c r="J530" s="3">
        <f t="shared" si="63"/>
        <v>49531.25</v>
      </c>
      <c r="K530" s="5">
        <f t="shared" si="64"/>
        <v>161522.5</v>
      </c>
      <c r="L530" s="5">
        <f t="shared" si="65"/>
        <v>161522.5</v>
      </c>
      <c r="M530" s="5">
        <f t="shared" si="66"/>
        <v>0</v>
      </c>
      <c r="N530" s="3"/>
    </row>
    <row r="531" spans="1:14" x14ac:dyDescent="0.25">
      <c r="A531" s="2">
        <v>1210222</v>
      </c>
      <c r="B531" s="3">
        <v>29387.5</v>
      </c>
      <c r="C531" s="3">
        <v>51560</v>
      </c>
      <c r="D531" s="3">
        <v>31181.25</v>
      </c>
      <c r="E531" s="3">
        <v>50312.5</v>
      </c>
      <c r="F531">
        <f t="shared" si="59"/>
        <v>1210222</v>
      </c>
      <c r="G531" s="3">
        <f t="shared" si="60"/>
        <v>29387.5</v>
      </c>
      <c r="H531" s="3">
        <f t="shared" si="61"/>
        <v>51560</v>
      </c>
      <c r="I531" s="3">
        <f t="shared" si="62"/>
        <v>31181.25</v>
      </c>
      <c r="J531" s="3">
        <f t="shared" si="63"/>
        <v>50312.5</v>
      </c>
      <c r="K531" s="5">
        <f t="shared" si="64"/>
        <v>162441.25</v>
      </c>
      <c r="L531" s="5">
        <f t="shared" si="65"/>
        <v>162441.25</v>
      </c>
      <c r="M531" s="5">
        <f t="shared" si="66"/>
        <v>0</v>
      </c>
      <c r="N531" s="3"/>
    </row>
    <row r="532" spans="1:14" x14ac:dyDescent="0.25">
      <c r="A532" s="2">
        <v>1210223</v>
      </c>
      <c r="B532" s="3">
        <v>29387.5</v>
      </c>
      <c r="C532" s="3">
        <v>53320</v>
      </c>
      <c r="D532" s="3">
        <v>31468.75</v>
      </c>
      <c r="E532" s="3">
        <v>49375</v>
      </c>
      <c r="F532">
        <f t="shared" si="59"/>
        <v>1210223</v>
      </c>
      <c r="G532" s="3">
        <f t="shared" si="60"/>
        <v>29387.5</v>
      </c>
      <c r="H532" s="3">
        <f t="shared" si="61"/>
        <v>53320</v>
      </c>
      <c r="I532" s="3">
        <f t="shared" si="62"/>
        <v>31468.75</v>
      </c>
      <c r="J532" s="3">
        <f t="shared" si="63"/>
        <v>49375</v>
      </c>
      <c r="K532" s="5">
        <f t="shared" si="64"/>
        <v>163551.25</v>
      </c>
      <c r="L532" s="5">
        <f t="shared" si="65"/>
        <v>163551.25</v>
      </c>
      <c r="M532" s="5">
        <f t="shared" si="66"/>
        <v>0</v>
      </c>
      <c r="N532" s="3"/>
    </row>
    <row r="533" spans="1:14" x14ac:dyDescent="0.25">
      <c r="A533" s="2">
        <v>1210224</v>
      </c>
      <c r="B533" s="3">
        <v>29387.5</v>
      </c>
      <c r="C533" s="3">
        <v>52430</v>
      </c>
      <c r="D533" s="3">
        <v>30881.25</v>
      </c>
      <c r="E533" s="3">
        <v>45546.899999999994</v>
      </c>
      <c r="F533">
        <f t="shared" si="59"/>
        <v>1210224</v>
      </c>
      <c r="G533" s="3">
        <f t="shared" si="60"/>
        <v>29387.5</v>
      </c>
      <c r="H533" s="3">
        <f t="shared" si="61"/>
        <v>52430</v>
      </c>
      <c r="I533" s="3">
        <f t="shared" si="62"/>
        <v>30881.25</v>
      </c>
      <c r="J533" s="3">
        <f t="shared" si="63"/>
        <v>45546.899999999994</v>
      </c>
      <c r="K533" s="5">
        <f t="shared" si="64"/>
        <v>158245.65</v>
      </c>
      <c r="L533" s="5">
        <f t="shared" si="65"/>
        <v>163551.25</v>
      </c>
      <c r="M533" s="5">
        <f t="shared" si="66"/>
        <v>-5305.6000000000058</v>
      </c>
      <c r="N533" s="3"/>
    </row>
    <row r="534" spans="1:14" x14ac:dyDescent="0.25">
      <c r="A534" s="2">
        <v>1210225</v>
      </c>
      <c r="B534" s="3">
        <v>30243.75</v>
      </c>
      <c r="C534" s="3">
        <v>53380</v>
      </c>
      <c r="D534" s="3">
        <v>31275</v>
      </c>
      <c r="E534" s="3">
        <v>45468.75</v>
      </c>
      <c r="F534">
        <f t="shared" si="59"/>
        <v>1210225</v>
      </c>
      <c r="G534" s="3">
        <f t="shared" si="60"/>
        <v>30243.75</v>
      </c>
      <c r="H534" s="3">
        <f t="shared" si="61"/>
        <v>53380</v>
      </c>
      <c r="I534" s="3">
        <f t="shared" si="62"/>
        <v>31275</v>
      </c>
      <c r="J534" s="3">
        <f t="shared" si="63"/>
        <v>45468.75</v>
      </c>
      <c r="K534" s="5">
        <f t="shared" si="64"/>
        <v>160367.5</v>
      </c>
      <c r="L534" s="5">
        <f t="shared" si="65"/>
        <v>160367.5</v>
      </c>
      <c r="M534" s="5">
        <f t="shared" si="66"/>
        <v>0</v>
      </c>
      <c r="N534" s="3"/>
    </row>
    <row r="535" spans="1:14" x14ac:dyDescent="0.25">
      <c r="A535" s="2">
        <v>1210226</v>
      </c>
      <c r="B535" s="3">
        <v>31975</v>
      </c>
      <c r="C535" s="3">
        <v>55020</v>
      </c>
      <c r="D535" s="3">
        <v>31250</v>
      </c>
      <c r="E535" s="3">
        <v>51093.75</v>
      </c>
      <c r="F535">
        <f t="shared" si="59"/>
        <v>1210226</v>
      </c>
      <c r="G535" s="3">
        <f t="shared" si="60"/>
        <v>31975</v>
      </c>
      <c r="H535" s="3">
        <f t="shared" si="61"/>
        <v>55020</v>
      </c>
      <c r="I535" s="3">
        <f t="shared" si="62"/>
        <v>31250</v>
      </c>
      <c r="J535" s="3">
        <f t="shared" si="63"/>
        <v>51093.75</v>
      </c>
      <c r="K535" s="5">
        <f t="shared" si="64"/>
        <v>169338.75</v>
      </c>
      <c r="L535" s="5">
        <f t="shared" si="65"/>
        <v>169338.75</v>
      </c>
      <c r="M535" s="5">
        <f t="shared" si="66"/>
        <v>0</v>
      </c>
      <c r="N535" s="3"/>
    </row>
    <row r="536" spans="1:14" x14ac:dyDescent="0.25">
      <c r="A536" s="2">
        <v>1210228</v>
      </c>
      <c r="B536" s="3">
        <v>30806.25</v>
      </c>
      <c r="C536" s="3">
        <v>55020</v>
      </c>
      <c r="D536" s="3">
        <v>31568.75</v>
      </c>
      <c r="E536" s="3">
        <v>48515.600000000006</v>
      </c>
      <c r="F536">
        <f t="shared" si="59"/>
        <v>1210228</v>
      </c>
      <c r="G536" s="3">
        <f t="shared" si="60"/>
        <v>30806.25</v>
      </c>
      <c r="H536" s="3">
        <f t="shared" si="61"/>
        <v>55020</v>
      </c>
      <c r="I536" s="3">
        <f t="shared" si="62"/>
        <v>31568.75</v>
      </c>
      <c r="J536" s="3">
        <f t="shared" si="63"/>
        <v>48515.600000000006</v>
      </c>
      <c r="K536" s="5">
        <f t="shared" si="64"/>
        <v>165910.6</v>
      </c>
      <c r="L536" s="5">
        <f t="shared" si="65"/>
        <v>169338.75</v>
      </c>
      <c r="M536" s="5">
        <f t="shared" si="66"/>
        <v>-3428.1499999999942</v>
      </c>
      <c r="N536" s="3"/>
    </row>
    <row r="537" spans="1:14" x14ac:dyDescent="0.25">
      <c r="A537" s="2">
        <v>1210301</v>
      </c>
      <c r="B537" s="3">
        <v>30825</v>
      </c>
      <c r="C537" s="3">
        <v>55020</v>
      </c>
      <c r="D537" s="3">
        <v>31618.75</v>
      </c>
      <c r="E537" s="3">
        <v>48750</v>
      </c>
      <c r="F537">
        <f t="shared" ref="F537:F600" si="67">+A537</f>
        <v>1210301</v>
      </c>
      <c r="G537" s="3">
        <f t="shared" si="60"/>
        <v>30825</v>
      </c>
      <c r="H537" s="3">
        <f t="shared" si="61"/>
        <v>55020</v>
      </c>
      <c r="I537" s="3">
        <f t="shared" si="62"/>
        <v>31618.75</v>
      </c>
      <c r="J537" s="3">
        <f t="shared" si="63"/>
        <v>48750</v>
      </c>
      <c r="K537" s="5">
        <f t="shared" si="64"/>
        <v>166213.75</v>
      </c>
      <c r="L537" s="5">
        <f t="shared" si="65"/>
        <v>166213.75</v>
      </c>
      <c r="M537" s="5">
        <f t="shared" si="66"/>
        <v>0</v>
      </c>
      <c r="N537" s="3"/>
    </row>
    <row r="538" spans="1:14" x14ac:dyDescent="0.25">
      <c r="A538" s="2">
        <v>1210302</v>
      </c>
      <c r="B538" s="3">
        <v>31925</v>
      </c>
      <c r="C538" s="3">
        <v>58430</v>
      </c>
      <c r="D538" s="3">
        <v>31500</v>
      </c>
      <c r="E538" s="3">
        <v>48281.25</v>
      </c>
      <c r="F538">
        <f t="shared" si="67"/>
        <v>1210302</v>
      </c>
      <c r="G538" s="3">
        <f t="shared" ref="G538:G601" si="68">+IF(B538&lt;&gt;0,B538,B537)</f>
        <v>31925</v>
      </c>
      <c r="H538" s="3">
        <f t="shared" ref="H538:H601" si="69">+IF(C538&lt;&gt;0,C538,C537)</f>
        <v>58430</v>
      </c>
      <c r="I538" s="3">
        <f t="shared" ref="I538:I601" si="70">+IF(D538&lt;&gt;0,D538,D537)</f>
        <v>31500</v>
      </c>
      <c r="J538" s="3">
        <f t="shared" ref="J538:J601" si="71">+IF(E538&lt;&gt;0,E538,E537)</f>
        <v>48281.25</v>
      </c>
      <c r="K538" s="5">
        <f t="shared" ref="K538:K601" si="72">+SUM(G538:J538)</f>
        <v>170136.25</v>
      </c>
      <c r="L538" s="5">
        <f t="shared" si="65"/>
        <v>170136.25</v>
      </c>
      <c r="M538" s="5">
        <f t="shared" si="66"/>
        <v>0</v>
      </c>
      <c r="N538" s="3"/>
    </row>
    <row r="539" spans="1:14" x14ac:dyDescent="0.25">
      <c r="A539" s="2">
        <v>1210303</v>
      </c>
      <c r="B539" s="3">
        <v>31606.25</v>
      </c>
      <c r="C539" s="3">
        <v>58590</v>
      </c>
      <c r="D539" s="3">
        <v>31450</v>
      </c>
      <c r="E539" s="3">
        <v>48359.399999999994</v>
      </c>
      <c r="F539">
        <f t="shared" si="67"/>
        <v>1210303</v>
      </c>
      <c r="G539" s="3">
        <f t="shared" si="68"/>
        <v>31606.25</v>
      </c>
      <c r="H539" s="3">
        <f t="shared" si="69"/>
        <v>58590</v>
      </c>
      <c r="I539" s="3">
        <f t="shared" si="70"/>
        <v>31450</v>
      </c>
      <c r="J539" s="3">
        <f t="shared" si="71"/>
        <v>48359.399999999994</v>
      </c>
      <c r="K539" s="5">
        <f t="shared" si="72"/>
        <v>170005.65</v>
      </c>
      <c r="L539" s="5">
        <f t="shared" ref="L539:L602" si="73">+IF(K539&gt;K538,K539,K538)</f>
        <v>170136.25</v>
      </c>
      <c r="M539" s="5">
        <f t="shared" ref="M539:M602" si="74">+K539-L539</f>
        <v>-130.60000000000582</v>
      </c>
      <c r="N539" s="3"/>
    </row>
    <row r="540" spans="1:14" x14ac:dyDescent="0.25">
      <c r="A540" s="2">
        <v>1210304</v>
      </c>
      <c r="B540" s="3">
        <v>32868.75</v>
      </c>
      <c r="C540" s="3">
        <v>58790</v>
      </c>
      <c r="D540" s="3">
        <v>31325</v>
      </c>
      <c r="E540" s="3">
        <v>47109.399999999994</v>
      </c>
      <c r="F540">
        <f t="shared" si="67"/>
        <v>1210304</v>
      </c>
      <c r="G540" s="3">
        <f t="shared" si="68"/>
        <v>32868.75</v>
      </c>
      <c r="H540" s="3">
        <f t="shared" si="69"/>
        <v>58790</v>
      </c>
      <c r="I540" s="3">
        <f t="shared" si="70"/>
        <v>31325</v>
      </c>
      <c r="J540" s="3">
        <f t="shared" si="71"/>
        <v>47109.399999999994</v>
      </c>
      <c r="K540" s="5">
        <f t="shared" si="72"/>
        <v>170093.15</v>
      </c>
      <c r="L540" s="5">
        <f t="shared" si="73"/>
        <v>170093.15</v>
      </c>
      <c r="M540" s="5">
        <f t="shared" si="74"/>
        <v>0</v>
      </c>
      <c r="N540" s="3"/>
    </row>
    <row r="541" spans="1:14" x14ac:dyDescent="0.25">
      <c r="A541" s="2">
        <v>1210305</v>
      </c>
      <c r="B541" s="3">
        <v>30606.25</v>
      </c>
      <c r="C541" s="3">
        <v>55730</v>
      </c>
      <c r="D541" s="3">
        <v>32450</v>
      </c>
      <c r="E541" s="3">
        <v>50703.100000000006</v>
      </c>
      <c r="F541">
        <f t="shared" si="67"/>
        <v>1210305</v>
      </c>
      <c r="G541" s="3">
        <f t="shared" si="68"/>
        <v>30606.25</v>
      </c>
      <c r="H541" s="3">
        <f t="shared" si="69"/>
        <v>55730</v>
      </c>
      <c r="I541" s="3">
        <f t="shared" si="70"/>
        <v>32450</v>
      </c>
      <c r="J541" s="3">
        <f t="shared" si="71"/>
        <v>50703.100000000006</v>
      </c>
      <c r="K541" s="5">
        <f t="shared" si="72"/>
        <v>169489.35</v>
      </c>
      <c r="L541" s="5">
        <f t="shared" si="73"/>
        <v>170093.15</v>
      </c>
      <c r="M541" s="5">
        <f t="shared" si="74"/>
        <v>-603.79999999998836</v>
      </c>
      <c r="N541" s="3"/>
    </row>
    <row r="542" spans="1:14" x14ac:dyDescent="0.25">
      <c r="A542" s="2">
        <v>1210307</v>
      </c>
      <c r="B542" s="3">
        <v>30462.5</v>
      </c>
      <c r="C542" s="3">
        <v>53980</v>
      </c>
      <c r="D542" s="3">
        <v>32375</v>
      </c>
      <c r="E542" s="3">
        <v>52187.5</v>
      </c>
      <c r="F542">
        <f t="shared" si="67"/>
        <v>1210307</v>
      </c>
      <c r="G542" s="3">
        <f t="shared" si="68"/>
        <v>30462.5</v>
      </c>
      <c r="H542" s="3">
        <f t="shared" si="69"/>
        <v>53980</v>
      </c>
      <c r="I542" s="3">
        <f t="shared" si="70"/>
        <v>32375</v>
      </c>
      <c r="J542" s="3">
        <f t="shared" si="71"/>
        <v>52187.5</v>
      </c>
      <c r="K542" s="5">
        <f t="shared" si="72"/>
        <v>169005</v>
      </c>
      <c r="L542" s="5">
        <f t="shared" si="73"/>
        <v>169489.35</v>
      </c>
      <c r="M542" s="5">
        <f t="shared" si="74"/>
        <v>-484.35000000000582</v>
      </c>
      <c r="N542" s="3"/>
    </row>
    <row r="543" spans="1:14" x14ac:dyDescent="0.25">
      <c r="A543" s="2">
        <v>1210308</v>
      </c>
      <c r="B543" s="3">
        <v>29825</v>
      </c>
      <c r="C543" s="3">
        <v>54030</v>
      </c>
      <c r="D543" s="3">
        <v>32437.5</v>
      </c>
      <c r="E543" s="3">
        <v>51796.899999999994</v>
      </c>
      <c r="F543">
        <f t="shared" si="67"/>
        <v>1210308</v>
      </c>
      <c r="G543" s="3">
        <f t="shared" si="68"/>
        <v>29825</v>
      </c>
      <c r="H543" s="3">
        <f t="shared" si="69"/>
        <v>54030</v>
      </c>
      <c r="I543" s="3">
        <f t="shared" si="70"/>
        <v>32437.5</v>
      </c>
      <c r="J543" s="3">
        <f t="shared" si="71"/>
        <v>51796.899999999994</v>
      </c>
      <c r="K543" s="5">
        <f t="shared" si="72"/>
        <v>168089.4</v>
      </c>
      <c r="L543" s="5">
        <f t="shared" si="73"/>
        <v>169005</v>
      </c>
      <c r="M543" s="5">
        <f t="shared" si="74"/>
        <v>-915.60000000000582</v>
      </c>
      <c r="N543" s="3"/>
    </row>
    <row r="544" spans="1:14" x14ac:dyDescent="0.25">
      <c r="A544" s="2">
        <v>1210309</v>
      </c>
      <c r="B544" s="3">
        <v>30350</v>
      </c>
      <c r="C544" s="3">
        <v>56190</v>
      </c>
      <c r="D544" s="3">
        <v>32787.5</v>
      </c>
      <c r="E544" s="3">
        <v>51953.100000000006</v>
      </c>
      <c r="F544">
        <f t="shared" si="67"/>
        <v>1210309</v>
      </c>
      <c r="G544" s="3">
        <f t="shared" si="68"/>
        <v>30350</v>
      </c>
      <c r="H544" s="3">
        <f t="shared" si="69"/>
        <v>56190</v>
      </c>
      <c r="I544" s="3">
        <f t="shared" si="70"/>
        <v>32787.5</v>
      </c>
      <c r="J544" s="3">
        <f t="shared" si="71"/>
        <v>51953.100000000006</v>
      </c>
      <c r="K544" s="5">
        <f t="shared" si="72"/>
        <v>171280.6</v>
      </c>
      <c r="L544" s="5">
        <f t="shared" si="73"/>
        <v>171280.6</v>
      </c>
      <c r="M544" s="5">
        <f t="shared" si="74"/>
        <v>0</v>
      </c>
      <c r="N544" s="3"/>
    </row>
    <row r="545" spans="1:14" x14ac:dyDescent="0.25">
      <c r="A545" s="2">
        <v>1210310</v>
      </c>
      <c r="B545" s="3">
        <v>30018.75</v>
      </c>
      <c r="C545" s="3">
        <v>57240</v>
      </c>
      <c r="D545" s="3">
        <v>31775</v>
      </c>
      <c r="E545" s="3">
        <v>50234.399999999994</v>
      </c>
      <c r="F545">
        <f t="shared" si="67"/>
        <v>1210310</v>
      </c>
      <c r="G545" s="3">
        <f t="shared" si="68"/>
        <v>30018.75</v>
      </c>
      <c r="H545" s="3">
        <f t="shared" si="69"/>
        <v>57240</v>
      </c>
      <c r="I545" s="3">
        <f t="shared" si="70"/>
        <v>31775</v>
      </c>
      <c r="J545" s="3">
        <f t="shared" si="71"/>
        <v>50234.399999999994</v>
      </c>
      <c r="K545" s="5">
        <f t="shared" si="72"/>
        <v>169268.15</v>
      </c>
      <c r="L545" s="5">
        <f t="shared" si="73"/>
        <v>171280.6</v>
      </c>
      <c r="M545" s="5">
        <f t="shared" si="74"/>
        <v>-2012.4500000000116</v>
      </c>
      <c r="N545" s="3"/>
    </row>
    <row r="546" spans="1:14" x14ac:dyDescent="0.25">
      <c r="A546" s="2">
        <v>1210311</v>
      </c>
      <c r="B546" s="3">
        <v>31056.25</v>
      </c>
      <c r="C546" s="3">
        <v>57860</v>
      </c>
      <c r="D546" s="3">
        <v>31525</v>
      </c>
      <c r="E546" s="3">
        <v>47812.5</v>
      </c>
      <c r="F546">
        <f t="shared" si="67"/>
        <v>1210311</v>
      </c>
      <c r="G546" s="3">
        <f t="shared" si="68"/>
        <v>31056.25</v>
      </c>
      <c r="H546" s="3">
        <f t="shared" si="69"/>
        <v>57860</v>
      </c>
      <c r="I546" s="3">
        <f t="shared" si="70"/>
        <v>31525</v>
      </c>
      <c r="J546" s="3">
        <f t="shared" si="71"/>
        <v>47812.5</v>
      </c>
      <c r="K546" s="5">
        <f t="shared" si="72"/>
        <v>168253.75</v>
      </c>
      <c r="L546" s="5">
        <f t="shared" si="73"/>
        <v>169268.15</v>
      </c>
      <c r="M546" s="5">
        <f t="shared" si="74"/>
        <v>-1014.3999999999942</v>
      </c>
      <c r="N546" s="3"/>
    </row>
    <row r="547" spans="1:14" x14ac:dyDescent="0.25">
      <c r="A547" s="2">
        <v>1210312</v>
      </c>
      <c r="B547" s="3">
        <v>31625</v>
      </c>
      <c r="C547" s="3">
        <v>58700</v>
      </c>
      <c r="D547" s="3">
        <v>31500</v>
      </c>
      <c r="E547" s="3">
        <v>47500</v>
      </c>
      <c r="F547">
        <f t="shared" si="67"/>
        <v>1210312</v>
      </c>
      <c r="G547" s="3">
        <f t="shared" si="68"/>
        <v>31625</v>
      </c>
      <c r="H547" s="3">
        <f t="shared" si="69"/>
        <v>58700</v>
      </c>
      <c r="I547" s="3">
        <f t="shared" si="70"/>
        <v>31500</v>
      </c>
      <c r="J547" s="3">
        <f t="shared" si="71"/>
        <v>47500</v>
      </c>
      <c r="K547" s="5">
        <f t="shared" si="72"/>
        <v>169325</v>
      </c>
      <c r="L547" s="5">
        <f t="shared" si="73"/>
        <v>169325</v>
      </c>
      <c r="M547" s="5">
        <f t="shared" si="74"/>
        <v>0</v>
      </c>
      <c r="N547" s="3"/>
    </row>
    <row r="548" spans="1:14" x14ac:dyDescent="0.25">
      <c r="A548" s="2">
        <v>1210314</v>
      </c>
      <c r="B548" s="3">
        <v>31625</v>
      </c>
      <c r="C548" s="3">
        <v>59940</v>
      </c>
      <c r="D548" s="3">
        <v>31531.25</v>
      </c>
      <c r="E548" s="3">
        <v>50703.100000000006</v>
      </c>
      <c r="F548">
        <f t="shared" si="67"/>
        <v>1210314</v>
      </c>
      <c r="G548" s="3">
        <f t="shared" si="68"/>
        <v>31625</v>
      </c>
      <c r="H548" s="3">
        <f t="shared" si="69"/>
        <v>59940</v>
      </c>
      <c r="I548" s="3">
        <f t="shared" si="70"/>
        <v>31531.25</v>
      </c>
      <c r="J548" s="3">
        <f t="shared" si="71"/>
        <v>50703.100000000006</v>
      </c>
      <c r="K548" s="5">
        <f t="shared" si="72"/>
        <v>173799.35</v>
      </c>
      <c r="L548" s="5">
        <f t="shared" si="73"/>
        <v>173799.35</v>
      </c>
      <c r="M548" s="5">
        <f t="shared" si="74"/>
        <v>0</v>
      </c>
      <c r="N548" s="3"/>
    </row>
    <row r="549" spans="1:14" x14ac:dyDescent="0.25">
      <c r="A549" s="2">
        <v>1210315</v>
      </c>
      <c r="B549" s="3">
        <v>31625</v>
      </c>
      <c r="C549" s="3">
        <v>59940</v>
      </c>
      <c r="D549" s="3">
        <v>31456.25</v>
      </c>
      <c r="E549" s="3">
        <v>50781.25</v>
      </c>
      <c r="F549">
        <f t="shared" si="67"/>
        <v>1210315</v>
      </c>
      <c r="G549" s="3">
        <f t="shared" si="68"/>
        <v>31625</v>
      </c>
      <c r="H549" s="3">
        <f t="shared" si="69"/>
        <v>59940</v>
      </c>
      <c r="I549" s="3">
        <f t="shared" si="70"/>
        <v>31456.25</v>
      </c>
      <c r="J549" s="3">
        <f t="shared" si="71"/>
        <v>50781.25</v>
      </c>
      <c r="K549" s="5">
        <f t="shared" si="72"/>
        <v>173802.5</v>
      </c>
      <c r="L549" s="5">
        <f t="shared" si="73"/>
        <v>173802.5</v>
      </c>
      <c r="M549" s="5">
        <f t="shared" si="74"/>
        <v>0</v>
      </c>
      <c r="N549" s="3"/>
    </row>
    <row r="550" spans="1:14" x14ac:dyDescent="0.25">
      <c r="A550" s="2">
        <v>1210316</v>
      </c>
      <c r="B550" s="3">
        <v>31331.25</v>
      </c>
      <c r="C550" s="3">
        <v>60170</v>
      </c>
      <c r="D550" s="3">
        <v>31456.25</v>
      </c>
      <c r="E550" s="3">
        <v>49921.899999999994</v>
      </c>
      <c r="F550">
        <f t="shared" si="67"/>
        <v>1210316</v>
      </c>
      <c r="G550" s="3">
        <f t="shared" si="68"/>
        <v>31331.25</v>
      </c>
      <c r="H550" s="3">
        <f t="shared" si="69"/>
        <v>60170</v>
      </c>
      <c r="I550" s="3">
        <f t="shared" si="70"/>
        <v>31456.25</v>
      </c>
      <c r="J550" s="3">
        <f t="shared" si="71"/>
        <v>49921.899999999994</v>
      </c>
      <c r="K550" s="5">
        <f t="shared" si="72"/>
        <v>172879.4</v>
      </c>
      <c r="L550" s="5">
        <f t="shared" si="73"/>
        <v>173802.5</v>
      </c>
      <c r="M550" s="5">
        <f t="shared" si="74"/>
        <v>-923.10000000000582</v>
      </c>
      <c r="N550" s="3"/>
    </row>
    <row r="551" spans="1:14" x14ac:dyDescent="0.25">
      <c r="A551" s="2">
        <v>1210317</v>
      </c>
      <c r="B551" s="3">
        <v>31312.5</v>
      </c>
      <c r="C551" s="3">
        <v>60270</v>
      </c>
      <c r="D551" s="3">
        <v>31368.75</v>
      </c>
      <c r="E551" s="3">
        <v>48828.100000000006</v>
      </c>
      <c r="F551">
        <f t="shared" si="67"/>
        <v>1210317</v>
      </c>
      <c r="G551" s="3">
        <f t="shared" si="68"/>
        <v>31312.5</v>
      </c>
      <c r="H551" s="3">
        <f t="shared" si="69"/>
        <v>60270</v>
      </c>
      <c r="I551" s="3">
        <f t="shared" si="70"/>
        <v>31368.75</v>
      </c>
      <c r="J551" s="3">
        <f t="shared" si="71"/>
        <v>48828.100000000006</v>
      </c>
      <c r="K551" s="5">
        <f t="shared" si="72"/>
        <v>171779.35</v>
      </c>
      <c r="L551" s="5">
        <f t="shared" si="73"/>
        <v>172879.4</v>
      </c>
      <c r="M551" s="5">
        <f t="shared" si="74"/>
        <v>-1100.0499999999884</v>
      </c>
      <c r="N551" s="3"/>
    </row>
    <row r="552" spans="1:14" x14ac:dyDescent="0.25">
      <c r="A552" s="2">
        <v>1210318</v>
      </c>
      <c r="B552" s="3">
        <v>32068.75</v>
      </c>
      <c r="C552" s="3">
        <v>58580</v>
      </c>
      <c r="D552" s="3">
        <v>31275</v>
      </c>
      <c r="E552" s="3">
        <v>47109.399999999994</v>
      </c>
      <c r="F552">
        <f t="shared" si="67"/>
        <v>1210318</v>
      </c>
      <c r="G552" s="3">
        <f t="shared" si="68"/>
        <v>32068.75</v>
      </c>
      <c r="H552" s="3">
        <f t="shared" si="69"/>
        <v>58580</v>
      </c>
      <c r="I552" s="3">
        <f t="shared" si="70"/>
        <v>31275</v>
      </c>
      <c r="J552" s="3">
        <f t="shared" si="71"/>
        <v>47109.399999999994</v>
      </c>
      <c r="K552" s="5">
        <f t="shared" si="72"/>
        <v>169033.15</v>
      </c>
      <c r="L552" s="5">
        <f t="shared" si="73"/>
        <v>171779.35</v>
      </c>
      <c r="M552" s="5">
        <f t="shared" si="74"/>
        <v>-2746.2000000000116</v>
      </c>
      <c r="N552" s="3"/>
    </row>
    <row r="553" spans="1:14" x14ac:dyDescent="0.25">
      <c r="A553" s="2">
        <v>1210319</v>
      </c>
      <c r="B553" s="3">
        <v>31606.25</v>
      </c>
      <c r="C553" s="3">
        <v>60530</v>
      </c>
      <c r="D553" s="3">
        <v>31337.5</v>
      </c>
      <c r="E553" s="3">
        <v>48828.100000000006</v>
      </c>
      <c r="F553">
        <f t="shared" si="67"/>
        <v>1210319</v>
      </c>
      <c r="G553" s="3">
        <f t="shared" si="68"/>
        <v>31606.25</v>
      </c>
      <c r="H553" s="3">
        <f t="shared" si="69"/>
        <v>60530</v>
      </c>
      <c r="I553" s="3">
        <f t="shared" si="70"/>
        <v>31337.5</v>
      </c>
      <c r="J553" s="3">
        <f t="shared" si="71"/>
        <v>48828.100000000006</v>
      </c>
      <c r="K553" s="5">
        <f t="shared" si="72"/>
        <v>172301.85</v>
      </c>
      <c r="L553" s="5">
        <f t="shared" si="73"/>
        <v>172301.85</v>
      </c>
      <c r="M553" s="5">
        <f t="shared" si="74"/>
        <v>0</v>
      </c>
      <c r="N553" s="3"/>
    </row>
    <row r="554" spans="1:14" x14ac:dyDescent="0.25">
      <c r="A554" s="2">
        <v>1210321</v>
      </c>
      <c r="B554" s="3">
        <v>32000</v>
      </c>
      <c r="C554" s="3">
        <v>60530</v>
      </c>
      <c r="D554" s="3">
        <v>30681.25</v>
      </c>
      <c r="E554" s="3">
        <v>49531.25</v>
      </c>
      <c r="F554">
        <f t="shared" si="67"/>
        <v>1210321</v>
      </c>
      <c r="G554" s="3">
        <f t="shared" si="68"/>
        <v>32000</v>
      </c>
      <c r="H554" s="3">
        <f t="shared" si="69"/>
        <v>60530</v>
      </c>
      <c r="I554" s="3">
        <f t="shared" si="70"/>
        <v>30681.25</v>
      </c>
      <c r="J554" s="3">
        <f t="shared" si="71"/>
        <v>49531.25</v>
      </c>
      <c r="K554" s="5">
        <f t="shared" si="72"/>
        <v>172742.5</v>
      </c>
      <c r="L554" s="5">
        <f t="shared" si="73"/>
        <v>172742.5</v>
      </c>
      <c r="M554" s="5">
        <f t="shared" si="74"/>
        <v>0</v>
      </c>
      <c r="N554" s="3"/>
    </row>
    <row r="555" spans="1:14" x14ac:dyDescent="0.25">
      <c r="A555" s="2">
        <v>1210322</v>
      </c>
      <c r="B555" s="3">
        <v>32000</v>
      </c>
      <c r="C555" s="3">
        <v>60530</v>
      </c>
      <c r="D555" s="3">
        <v>30587.5</v>
      </c>
      <c r="E555" s="3">
        <v>48203.100000000006</v>
      </c>
      <c r="F555">
        <f t="shared" si="67"/>
        <v>1210322</v>
      </c>
      <c r="G555" s="3">
        <f t="shared" si="68"/>
        <v>32000</v>
      </c>
      <c r="H555" s="3">
        <f t="shared" si="69"/>
        <v>60530</v>
      </c>
      <c r="I555" s="3">
        <f t="shared" si="70"/>
        <v>30587.5</v>
      </c>
      <c r="J555" s="3">
        <f t="shared" si="71"/>
        <v>48203.100000000006</v>
      </c>
      <c r="K555" s="5">
        <f t="shared" si="72"/>
        <v>171320.6</v>
      </c>
      <c r="L555" s="5">
        <f t="shared" si="73"/>
        <v>172742.5</v>
      </c>
      <c r="M555" s="5">
        <f t="shared" si="74"/>
        <v>-1421.8999999999942</v>
      </c>
      <c r="N555" s="3"/>
    </row>
    <row r="556" spans="1:14" x14ac:dyDescent="0.25">
      <c r="A556" s="2">
        <v>1210323</v>
      </c>
      <c r="B556" s="3">
        <v>32068.75</v>
      </c>
      <c r="C556" s="3">
        <v>60530</v>
      </c>
      <c r="D556" s="3">
        <v>30518.75</v>
      </c>
      <c r="E556" s="3">
        <v>47890.600000000006</v>
      </c>
      <c r="F556">
        <f t="shared" si="67"/>
        <v>1210323</v>
      </c>
      <c r="G556" s="3">
        <f t="shared" si="68"/>
        <v>32068.75</v>
      </c>
      <c r="H556" s="3">
        <f t="shared" si="69"/>
        <v>60530</v>
      </c>
      <c r="I556" s="3">
        <f t="shared" si="70"/>
        <v>30518.75</v>
      </c>
      <c r="J556" s="3">
        <f t="shared" si="71"/>
        <v>47890.600000000006</v>
      </c>
      <c r="K556" s="5">
        <f t="shared" si="72"/>
        <v>171008.1</v>
      </c>
      <c r="L556" s="5">
        <f t="shared" si="73"/>
        <v>171320.6</v>
      </c>
      <c r="M556" s="5">
        <f t="shared" si="74"/>
        <v>-312.5</v>
      </c>
      <c r="N556" s="3"/>
    </row>
    <row r="557" spans="1:14" x14ac:dyDescent="0.25">
      <c r="A557" s="2">
        <v>1210324</v>
      </c>
      <c r="B557" s="3">
        <v>31500</v>
      </c>
      <c r="C557" s="3">
        <v>59680</v>
      </c>
      <c r="D557" s="3">
        <v>30275</v>
      </c>
      <c r="E557" s="3">
        <v>47265.600000000006</v>
      </c>
      <c r="F557">
        <f t="shared" si="67"/>
        <v>1210324</v>
      </c>
      <c r="G557" s="3">
        <f t="shared" si="68"/>
        <v>31500</v>
      </c>
      <c r="H557" s="3">
        <f t="shared" si="69"/>
        <v>59680</v>
      </c>
      <c r="I557" s="3">
        <f t="shared" si="70"/>
        <v>30275</v>
      </c>
      <c r="J557" s="3">
        <f t="shared" si="71"/>
        <v>47265.600000000006</v>
      </c>
      <c r="K557" s="5">
        <f t="shared" si="72"/>
        <v>168720.6</v>
      </c>
      <c r="L557" s="5">
        <f t="shared" si="73"/>
        <v>171008.1</v>
      </c>
      <c r="M557" s="5">
        <f t="shared" si="74"/>
        <v>-2287.5</v>
      </c>
      <c r="N557" s="3"/>
    </row>
    <row r="558" spans="1:14" x14ac:dyDescent="0.25">
      <c r="A558" s="2">
        <v>1210325</v>
      </c>
      <c r="B558" s="3">
        <v>31968.75</v>
      </c>
      <c r="C558" s="3">
        <v>60050</v>
      </c>
      <c r="D558" s="3">
        <v>30725</v>
      </c>
      <c r="E558" s="3">
        <v>45312.5</v>
      </c>
      <c r="F558">
        <f t="shared" si="67"/>
        <v>1210325</v>
      </c>
      <c r="G558" s="3">
        <f t="shared" si="68"/>
        <v>31968.75</v>
      </c>
      <c r="H558" s="3">
        <f t="shared" si="69"/>
        <v>60050</v>
      </c>
      <c r="I558" s="3">
        <f t="shared" si="70"/>
        <v>30725</v>
      </c>
      <c r="J558" s="3">
        <f t="shared" si="71"/>
        <v>45312.5</v>
      </c>
      <c r="K558" s="5">
        <f t="shared" si="72"/>
        <v>168056.25</v>
      </c>
      <c r="L558" s="5">
        <f t="shared" si="73"/>
        <v>168720.6</v>
      </c>
      <c r="M558" s="5">
        <f t="shared" si="74"/>
        <v>-664.35000000000582</v>
      </c>
      <c r="N558" s="3"/>
    </row>
    <row r="559" spans="1:14" x14ac:dyDescent="0.25">
      <c r="A559" s="2">
        <v>1210326</v>
      </c>
      <c r="B559" s="3">
        <v>30456.25</v>
      </c>
      <c r="C559" s="3">
        <v>60190</v>
      </c>
      <c r="D559" s="3">
        <v>31100</v>
      </c>
      <c r="E559" s="3">
        <v>44218.75</v>
      </c>
      <c r="F559">
        <f t="shared" si="67"/>
        <v>1210326</v>
      </c>
      <c r="G559" s="3">
        <f t="shared" si="68"/>
        <v>30456.25</v>
      </c>
      <c r="H559" s="3">
        <f t="shared" si="69"/>
        <v>60190</v>
      </c>
      <c r="I559" s="3">
        <f t="shared" si="70"/>
        <v>31100</v>
      </c>
      <c r="J559" s="3">
        <f t="shared" si="71"/>
        <v>44218.75</v>
      </c>
      <c r="K559" s="5">
        <f t="shared" si="72"/>
        <v>165965</v>
      </c>
      <c r="L559" s="5">
        <f t="shared" si="73"/>
        <v>168056.25</v>
      </c>
      <c r="M559" s="5">
        <f t="shared" si="74"/>
        <v>-2091.25</v>
      </c>
      <c r="N559" s="3"/>
    </row>
    <row r="560" spans="1:14" x14ac:dyDescent="0.25">
      <c r="A560" s="2">
        <v>1210328</v>
      </c>
      <c r="B560" s="3">
        <v>31181.25</v>
      </c>
      <c r="C560" s="3">
        <v>58150</v>
      </c>
      <c r="D560" s="3">
        <v>31600</v>
      </c>
      <c r="E560" s="3">
        <v>42109.399999999994</v>
      </c>
      <c r="F560">
        <f t="shared" si="67"/>
        <v>1210328</v>
      </c>
      <c r="G560" s="3">
        <f t="shared" si="68"/>
        <v>31181.25</v>
      </c>
      <c r="H560" s="3">
        <f t="shared" si="69"/>
        <v>58150</v>
      </c>
      <c r="I560" s="3">
        <f t="shared" si="70"/>
        <v>31600</v>
      </c>
      <c r="J560" s="3">
        <f t="shared" si="71"/>
        <v>42109.399999999994</v>
      </c>
      <c r="K560" s="5">
        <f t="shared" si="72"/>
        <v>163040.65</v>
      </c>
      <c r="L560" s="5">
        <f t="shared" si="73"/>
        <v>165965</v>
      </c>
      <c r="M560" s="5">
        <f t="shared" si="74"/>
        <v>-2924.3500000000058</v>
      </c>
      <c r="N560" s="3"/>
    </row>
    <row r="561" spans="1:14" x14ac:dyDescent="0.25">
      <c r="A561" s="2">
        <v>1210329</v>
      </c>
      <c r="B561" s="3">
        <v>30837.5</v>
      </c>
      <c r="C561" s="3">
        <v>58380</v>
      </c>
      <c r="D561" s="3">
        <v>31362.5</v>
      </c>
      <c r="E561" s="3">
        <v>41875</v>
      </c>
      <c r="F561">
        <f t="shared" si="67"/>
        <v>1210329</v>
      </c>
      <c r="G561" s="3">
        <f t="shared" si="68"/>
        <v>30837.5</v>
      </c>
      <c r="H561" s="3">
        <f t="shared" si="69"/>
        <v>58380</v>
      </c>
      <c r="I561" s="3">
        <f t="shared" si="70"/>
        <v>31362.5</v>
      </c>
      <c r="J561" s="3">
        <f t="shared" si="71"/>
        <v>41875</v>
      </c>
      <c r="K561" s="5">
        <f t="shared" si="72"/>
        <v>162455</v>
      </c>
      <c r="L561" s="5">
        <f t="shared" si="73"/>
        <v>163040.65</v>
      </c>
      <c r="M561" s="5">
        <f t="shared" si="74"/>
        <v>-585.64999999999418</v>
      </c>
      <c r="N561" s="3"/>
    </row>
    <row r="562" spans="1:14" x14ac:dyDescent="0.25">
      <c r="A562" s="2">
        <v>1210330</v>
      </c>
      <c r="B562" s="3">
        <v>31068.75</v>
      </c>
      <c r="C562" s="3">
        <v>58960</v>
      </c>
      <c r="D562" s="3">
        <v>31625</v>
      </c>
      <c r="E562" s="3">
        <v>45234.399999999994</v>
      </c>
      <c r="F562">
        <f t="shared" si="67"/>
        <v>1210330</v>
      </c>
      <c r="G562" s="3">
        <f t="shared" si="68"/>
        <v>31068.75</v>
      </c>
      <c r="H562" s="3">
        <f t="shared" si="69"/>
        <v>58960</v>
      </c>
      <c r="I562" s="3">
        <f t="shared" si="70"/>
        <v>31625</v>
      </c>
      <c r="J562" s="3">
        <f t="shared" si="71"/>
        <v>45234.399999999994</v>
      </c>
      <c r="K562" s="5">
        <f t="shared" si="72"/>
        <v>166888.15</v>
      </c>
      <c r="L562" s="5">
        <f t="shared" si="73"/>
        <v>166888.15</v>
      </c>
      <c r="M562" s="5">
        <f t="shared" si="74"/>
        <v>0</v>
      </c>
      <c r="N562" s="3"/>
    </row>
    <row r="563" spans="1:14" x14ac:dyDescent="0.25">
      <c r="A563" s="2">
        <v>1210331</v>
      </c>
      <c r="B563" s="3">
        <v>30193.75</v>
      </c>
      <c r="C563" s="3">
        <v>60520</v>
      </c>
      <c r="D563" s="3">
        <v>32575</v>
      </c>
      <c r="E563" s="3">
        <v>45390.600000000006</v>
      </c>
      <c r="F563">
        <f t="shared" si="67"/>
        <v>1210331</v>
      </c>
      <c r="G563" s="3">
        <f t="shared" si="68"/>
        <v>30193.75</v>
      </c>
      <c r="H563" s="3">
        <f t="shared" si="69"/>
        <v>60520</v>
      </c>
      <c r="I563" s="3">
        <f t="shared" si="70"/>
        <v>32575</v>
      </c>
      <c r="J563" s="3">
        <f t="shared" si="71"/>
        <v>45390.600000000006</v>
      </c>
      <c r="K563" s="5">
        <f t="shared" si="72"/>
        <v>168679.35</v>
      </c>
      <c r="L563" s="5">
        <f t="shared" si="73"/>
        <v>168679.35</v>
      </c>
      <c r="M563" s="5">
        <f t="shared" si="74"/>
        <v>0</v>
      </c>
      <c r="N563" s="3"/>
    </row>
    <row r="564" spans="1:14" x14ac:dyDescent="0.25">
      <c r="A564" s="2">
        <v>1210401</v>
      </c>
      <c r="B564" s="3">
        <v>29718.75</v>
      </c>
      <c r="C564" s="3">
        <v>62120</v>
      </c>
      <c r="D564" s="3">
        <v>31937.5</v>
      </c>
      <c r="E564" s="3">
        <v>43437.5</v>
      </c>
      <c r="F564">
        <f t="shared" si="67"/>
        <v>1210401</v>
      </c>
      <c r="G564" s="3">
        <f t="shared" si="68"/>
        <v>29718.75</v>
      </c>
      <c r="H564" s="3">
        <f t="shared" si="69"/>
        <v>62120</v>
      </c>
      <c r="I564" s="3">
        <f t="shared" si="70"/>
        <v>31937.5</v>
      </c>
      <c r="J564" s="3">
        <f t="shared" si="71"/>
        <v>43437.5</v>
      </c>
      <c r="K564" s="5">
        <f t="shared" si="72"/>
        <v>167213.75</v>
      </c>
      <c r="L564" s="5">
        <f t="shared" si="73"/>
        <v>168679.35</v>
      </c>
      <c r="M564" s="5">
        <f t="shared" si="74"/>
        <v>-1465.6000000000058</v>
      </c>
      <c r="N564" s="3"/>
    </row>
    <row r="565" spans="1:14" x14ac:dyDescent="0.25">
      <c r="A565" s="2">
        <v>1210402</v>
      </c>
      <c r="B565" s="3">
        <v>30925</v>
      </c>
      <c r="C565" s="3"/>
      <c r="D565" s="3">
        <v>31881.25</v>
      </c>
      <c r="E565" s="3">
        <v>45000</v>
      </c>
      <c r="F565">
        <f t="shared" si="67"/>
        <v>1210402</v>
      </c>
      <c r="G565" s="3">
        <f t="shared" si="68"/>
        <v>30925</v>
      </c>
      <c r="H565" s="3">
        <f t="shared" si="69"/>
        <v>62120</v>
      </c>
      <c r="I565" s="3">
        <f t="shared" si="70"/>
        <v>31881.25</v>
      </c>
      <c r="J565" s="3">
        <f t="shared" si="71"/>
        <v>45000</v>
      </c>
      <c r="K565" s="5">
        <f t="shared" si="72"/>
        <v>169926.25</v>
      </c>
      <c r="L565" s="5">
        <f t="shared" si="73"/>
        <v>169926.25</v>
      </c>
      <c r="M565" s="5">
        <f t="shared" si="74"/>
        <v>0</v>
      </c>
      <c r="N565" s="3"/>
    </row>
    <row r="566" spans="1:14" x14ac:dyDescent="0.25">
      <c r="A566" s="2">
        <v>1210404</v>
      </c>
      <c r="B566" s="3">
        <v>31125</v>
      </c>
      <c r="C566" s="3">
        <v>62510</v>
      </c>
      <c r="D566" s="3">
        <v>32075</v>
      </c>
      <c r="E566" s="3">
        <v>43515.600000000006</v>
      </c>
      <c r="F566">
        <f t="shared" si="67"/>
        <v>1210404</v>
      </c>
      <c r="G566" s="3">
        <f t="shared" si="68"/>
        <v>31125</v>
      </c>
      <c r="H566" s="3">
        <f t="shared" si="69"/>
        <v>62510</v>
      </c>
      <c r="I566" s="3">
        <f t="shared" si="70"/>
        <v>32075</v>
      </c>
      <c r="J566" s="3">
        <f t="shared" si="71"/>
        <v>43515.600000000006</v>
      </c>
      <c r="K566" s="5">
        <f t="shared" si="72"/>
        <v>169225.60000000001</v>
      </c>
      <c r="L566" s="5">
        <f t="shared" si="73"/>
        <v>169926.25</v>
      </c>
      <c r="M566" s="5">
        <f t="shared" si="74"/>
        <v>-700.64999999999418</v>
      </c>
      <c r="N566" s="3"/>
    </row>
    <row r="567" spans="1:14" x14ac:dyDescent="0.25">
      <c r="A567" s="2">
        <v>1210405</v>
      </c>
      <c r="B567" s="3">
        <v>31250</v>
      </c>
      <c r="C567" s="3">
        <v>62510</v>
      </c>
      <c r="D567" s="3">
        <v>32006.25</v>
      </c>
      <c r="E567" s="3">
        <v>43906.25</v>
      </c>
      <c r="F567">
        <f t="shared" si="67"/>
        <v>1210405</v>
      </c>
      <c r="G567" s="3">
        <f t="shared" si="68"/>
        <v>31250</v>
      </c>
      <c r="H567" s="3">
        <f t="shared" si="69"/>
        <v>62510</v>
      </c>
      <c r="I567" s="3">
        <f t="shared" si="70"/>
        <v>32006.25</v>
      </c>
      <c r="J567" s="3">
        <f t="shared" si="71"/>
        <v>43906.25</v>
      </c>
      <c r="K567" s="5">
        <f t="shared" si="72"/>
        <v>169672.5</v>
      </c>
      <c r="L567" s="5">
        <f t="shared" si="73"/>
        <v>169672.5</v>
      </c>
      <c r="M567" s="5">
        <f t="shared" si="74"/>
        <v>0</v>
      </c>
      <c r="N567" s="3"/>
    </row>
    <row r="568" spans="1:14" x14ac:dyDescent="0.25">
      <c r="A568" s="2">
        <v>1210406</v>
      </c>
      <c r="B568" s="3">
        <v>31487.5</v>
      </c>
      <c r="C568" s="3">
        <v>62990</v>
      </c>
      <c r="D568" s="3">
        <v>32225</v>
      </c>
      <c r="E568" s="3">
        <v>44218.75</v>
      </c>
      <c r="F568">
        <f t="shared" si="67"/>
        <v>1210406</v>
      </c>
      <c r="G568" s="3">
        <f t="shared" si="68"/>
        <v>31487.5</v>
      </c>
      <c r="H568" s="3">
        <f t="shared" si="69"/>
        <v>62990</v>
      </c>
      <c r="I568" s="3">
        <f t="shared" si="70"/>
        <v>32225</v>
      </c>
      <c r="J568" s="3">
        <f t="shared" si="71"/>
        <v>44218.75</v>
      </c>
      <c r="K568" s="5">
        <f t="shared" si="72"/>
        <v>170921.25</v>
      </c>
      <c r="L568" s="5">
        <f t="shared" si="73"/>
        <v>170921.25</v>
      </c>
      <c r="M568" s="5">
        <f t="shared" si="74"/>
        <v>0</v>
      </c>
      <c r="N568" s="3"/>
    </row>
    <row r="569" spans="1:14" x14ac:dyDescent="0.25">
      <c r="A569" s="2">
        <v>1210407</v>
      </c>
      <c r="B569" s="3">
        <v>31625</v>
      </c>
      <c r="C569" s="3">
        <v>63750</v>
      </c>
      <c r="D569" s="3">
        <v>32775</v>
      </c>
      <c r="E569" s="3">
        <v>45546.899999999994</v>
      </c>
      <c r="F569">
        <f t="shared" si="67"/>
        <v>1210407</v>
      </c>
      <c r="G569" s="3">
        <f t="shared" si="68"/>
        <v>31625</v>
      </c>
      <c r="H569" s="3">
        <f t="shared" si="69"/>
        <v>63750</v>
      </c>
      <c r="I569" s="3">
        <f t="shared" si="70"/>
        <v>32775</v>
      </c>
      <c r="J569" s="3">
        <f t="shared" si="71"/>
        <v>45546.899999999994</v>
      </c>
      <c r="K569" s="5">
        <f t="shared" si="72"/>
        <v>173696.9</v>
      </c>
      <c r="L569" s="5">
        <f t="shared" si="73"/>
        <v>173696.9</v>
      </c>
      <c r="M569" s="5">
        <f t="shared" si="74"/>
        <v>0</v>
      </c>
      <c r="N569" s="3"/>
    </row>
    <row r="570" spans="1:14" x14ac:dyDescent="0.25">
      <c r="A570" s="2">
        <v>1210408</v>
      </c>
      <c r="B570" s="3">
        <v>32143.75</v>
      </c>
      <c r="C570" s="3">
        <v>63510</v>
      </c>
      <c r="D570" s="3">
        <v>32381.25</v>
      </c>
      <c r="E570" s="3">
        <v>46015.600000000006</v>
      </c>
      <c r="F570">
        <f t="shared" si="67"/>
        <v>1210408</v>
      </c>
      <c r="G570" s="3">
        <f t="shared" si="68"/>
        <v>32143.75</v>
      </c>
      <c r="H570" s="3">
        <f t="shared" si="69"/>
        <v>63510</v>
      </c>
      <c r="I570" s="3">
        <f t="shared" si="70"/>
        <v>32381.25</v>
      </c>
      <c r="J570" s="3">
        <f t="shared" si="71"/>
        <v>46015.600000000006</v>
      </c>
      <c r="K570" s="5">
        <f t="shared" si="72"/>
        <v>174050.6</v>
      </c>
      <c r="L570" s="5">
        <f t="shared" si="73"/>
        <v>174050.6</v>
      </c>
      <c r="M570" s="5">
        <f t="shared" si="74"/>
        <v>0</v>
      </c>
      <c r="N570" s="3"/>
    </row>
    <row r="571" spans="1:14" x14ac:dyDescent="0.25">
      <c r="A571" s="2">
        <v>1210409</v>
      </c>
      <c r="B571" s="3">
        <v>31318.75</v>
      </c>
      <c r="C571" s="3">
        <v>63080</v>
      </c>
      <c r="D571" s="3">
        <v>32687.5</v>
      </c>
      <c r="E571" s="3">
        <v>47265.600000000006</v>
      </c>
      <c r="F571">
        <f t="shared" si="67"/>
        <v>1210409</v>
      </c>
      <c r="G571" s="3">
        <f t="shared" si="68"/>
        <v>31318.75</v>
      </c>
      <c r="H571" s="3">
        <f t="shared" si="69"/>
        <v>63080</v>
      </c>
      <c r="I571" s="3">
        <f t="shared" si="70"/>
        <v>32687.5</v>
      </c>
      <c r="J571" s="3">
        <f t="shared" si="71"/>
        <v>47265.600000000006</v>
      </c>
      <c r="K571" s="5">
        <f t="shared" si="72"/>
        <v>174351.85</v>
      </c>
      <c r="L571" s="5">
        <f t="shared" si="73"/>
        <v>174351.85</v>
      </c>
      <c r="M571" s="5">
        <f t="shared" si="74"/>
        <v>0</v>
      </c>
      <c r="N571" s="3"/>
    </row>
    <row r="572" spans="1:14" x14ac:dyDescent="0.25">
      <c r="A572" s="2">
        <v>1210411</v>
      </c>
      <c r="B572" s="3">
        <v>31656.25</v>
      </c>
      <c r="C572" s="3">
        <v>62360</v>
      </c>
      <c r="D572" s="3">
        <v>32287.5</v>
      </c>
      <c r="E572" s="3">
        <v>45312.5</v>
      </c>
      <c r="F572">
        <f t="shared" si="67"/>
        <v>1210411</v>
      </c>
      <c r="G572" s="3">
        <f t="shared" si="68"/>
        <v>31656.25</v>
      </c>
      <c r="H572" s="3">
        <f t="shared" si="69"/>
        <v>62360</v>
      </c>
      <c r="I572" s="3">
        <f t="shared" si="70"/>
        <v>32287.5</v>
      </c>
      <c r="J572" s="3">
        <f t="shared" si="71"/>
        <v>45312.5</v>
      </c>
      <c r="K572" s="5">
        <f t="shared" si="72"/>
        <v>171616.25</v>
      </c>
      <c r="L572" s="5">
        <f t="shared" si="73"/>
        <v>174351.85</v>
      </c>
      <c r="M572" s="5">
        <f t="shared" si="74"/>
        <v>-2735.6000000000058</v>
      </c>
      <c r="N572" s="3"/>
    </row>
    <row r="573" spans="1:14" x14ac:dyDescent="0.25">
      <c r="A573" s="2">
        <v>1210412</v>
      </c>
      <c r="B573" s="3">
        <v>31443.75</v>
      </c>
      <c r="C573" s="3">
        <v>62680</v>
      </c>
      <c r="D573" s="3">
        <v>32062.5</v>
      </c>
      <c r="E573" s="3">
        <v>44843.75</v>
      </c>
      <c r="F573">
        <f t="shared" si="67"/>
        <v>1210412</v>
      </c>
      <c r="G573" s="3">
        <f t="shared" si="68"/>
        <v>31443.75</v>
      </c>
      <c r="H573" s="3">
        <f t="shared" si="69"/>
        <v>62680</v>
      </c>
      <c r="I573" s="3">
        <f t="shared" si="70"/>
        <v>32062.5</v>
      </c>
      <c r="J573" s="3">
        <f t="shared" si="71"/>
        <v>44843.75</v>
      </c>
      <c r="K573" s="5">
        <f t="shared" si="72"/>
        <v>171030</v>
      </c>
      <c r="L573" s="5">
        <f t="shared" si="73"/>
        <v>171616.25</v>
      </c>
      <c r="M573" s="5">
        <f t="shared" si="74"/>
        <v>-586.25</v>
      </c>
      <c r="N573" s="3"/>
    </row>
    <row r="574" spans="1:14" x14ac:dyDescent="0.25">
      <c r="A574" s="2">
        <v>1210413</v>
      </c>
      <c r="B574" s="3">
        <v>31718.75</v>
      </c>
      <c r="C574" s="3">
        <v>61300</v>
      </c>
      <c r="D574" s="3">
        <v>31637.5</v>
      </c>
      <c r="E574" s="3">
        <v>46250</v>
      </c>
      <c r="F574">
        <f t="shared" si="67"/>
        <v>1210413</v>
      </c>
      <c r="G574" s="3">
        <f t="shared" si="68"/>
        <v>31718.75</v>
      </c>
      <c r="H574" s="3">
        <f t="shared" si="69"/>
        <v>61300</v>
      </c>
      <c r="I574" s="3">
        <f t="shared" si="70"/>
        <v>31637.5</v>
      </c>
      <c r="J574" s="3">
        <f t="shared" si="71"/>
        <v>46250</v>
      </c>
      <c r="K574" s="5">
        <f t="shared" si="72"/>
        <v>170906.25</v>
      </c>
      <c r="L574" s="5">
        <f t="shared" si="73"/>
        <v>171030</v>
      </c>
      <c r="M574" s="5">
        <f t="shared" si="74"/>
        <v>-123.75</v>
      </c>
      <c r="N574" s="3"/>
    </row>
    <row r="575" spans="1:14" x14ac:dyDescent="0.25">
      <c r="A575" s="2">
        <v>1210414</v>
      </c>
      <c r="B575" s="3">
        <v>32150</v>
      </c>
      <c r="C575" s="3">
        <v>61510</v>
      </c>
      <c r="D575" s="3">
        <v>31418.75</v>
      </c>
      <c r="E575" s="3">
        <v>47265.600000000006</v>
      </c>
      <c r="F575">
        <f t="shared" si="67"/>
        <v>1210414</v>
      </c>
      <c r="G575" s="3">
        <f t="shared" si="68"/>
        <v>32150</v>
      </c>
      <c r="H575" s="3">
        <f t="shared" si="69"/>
        <v>61510</v>
      </c>
      <c r="I575" s="3">
        <f t="shared" si="70"/>
        <v>31418.75</v>
      </c>
      <c r="J575" s="3">
        <f t="shared" si="71"/>
        <v>47265.600000000006</v>
      </c>
      <c r="K575" s="5">
        <f t="shared" si="72"/>
        <v>172344.35</v>
      </c>
      <c r="L575" s="5">
        <f t="shared" si="73"/>
        <v>172344.35</v>
      </c>
      <c r="M575" s="5">
        <f t="shared" si="74"/>
        <v>0</v>
      </c>
      <c r="N575" s="3"/>
    </row>
    <row r="576" spans="1:14" x14ac:dyDescent="0.25">
      <c r="A576" s="2">
        <v>1210415</v>
      </c>
      <c r="B576" s="3">
        <v>31962.5</v>
      </c>
      <c r="C576" s="3">
        <v>60730</v>
      </c>
      <c r="D576" s="3">
        <v>31068.75</v>
      </c>
      <c r="E576" s="3">
        <v>45937.5</v>
      </c>
      <c r="F576">
        <f t="shared" si="67"/>
        <v>1210415</v>
      </c>
      <c r="G576" s="3">
        <f t="shared" si="68"/>
        <v>31962.5</v>
      </c>
      <c r="H576" s="3">
        <f t="shared" si="69"/>
        <v>60730</v>
      </c>
      <c r="I576" s="3">
        <f t="shared" si="70"/>
        <v>31068.75</v>
      </c>
      <c r="J576" s="3">
        <f t="shared" si="71"/>
        <v>45937.5</v>
      </c>
      <c r="K576" s="5">
        <f t="shared" si="72"/>
        <v>169698.75</v>
      </c>
      <c r="L576" s="5">
        <f t="shared" si="73"/>
        <v>172344.35</v>
      </c>
      <c r="M576" s="5">
        <f t="shared" si="74"/>
        <v>-2645.6000000000058</v>
      </c>
      <c r="N576" s="3"/>
    </row>
    <row r="577" spans="1:14" x14ac:dyDescent="0.25">
      <c r="A577" s="2">
        <v>1210416</v>
      </c>
      <c r="B577" s="3">
        <v>31637.5</v>
      </c>
      <c r="C577" s="3">
        <v>62320</v>
      </c>
      <c r="D577" s="3">
        <v>30912.5</v>
      </c>
      <c r="E577" s="3">
        <v>46406.25</v>
      </c>
      <c r="F577">
        <f t="shared" si="67"/>
        <v>1210416</v>
      </c>
      <c r="G577" s="3">
        <f t="shared" si="68"/>
        <v>31637.5</v>
      </c>
      <c r="H577" s="3">
        <f t="shared" si="69"/>
        <v>62320</v>
      </c>
      <c r="I577" s="3">
        <f t="shared" si="70"/>
        <v>30912.5</v>
      </c>
      <c r="J577" s="3">
        <f t="shared" si="71"/>
        <v>46406.25</v>
      </c>
      <c r="K577" s="5">
        <f t="shared" si="72"/>
        <v>171276.25</v>
      </c>
      <c r="L577" s="5">
        <f t="shared" si="73"/>
        <v>171276.25</v>
      </c>
      <c r="M577" s="5">
        <f t="shared" si="74"/>
        <v>0</v>
      </c>
      <c r="N577" s="3"/>
    </row>
    <row r="578" spans="1:14" x14ac:dyDescent="0.25">
      <c r="A578" s="2">
        <v>1210418</v>
      </c>
      <c r="B578" s="3">
        <v>31618.75</v>
      </c>
      <c r="C578" s="3">
        <v>63540</v>
      </c>
      <c r="D578" s="3">
        <v>30881.25</v>
      </c>
      <c r="E578" s="3">
        <v>45703.100000000006</v>
      </c>
      <c r="F578">
        <f t="shared" si="67"/>
        <v>1210418</v>
      </c>
      <c r="G578" s="3">
        <f t="shared" si="68"/>
        <v>31618.75</v>
      </c>
      <c r="H578" s="3">
        <f t="shared" si="69"/>
        <v>63540</v>
      </c>
      <c r="I578" s="3">
        <f t="shared" si="70"/>
        <v>30881.25</v>
      </c>
      <c r="J578" s="3">
        <f t="shared" si="71"/>
        <v>45703.100000000006</v>
      </c>
      <c r="K578" s="5">
        <f t="shared" si="72"/>
        <v>171743.1</v>
      </c>
      <c r="L578" s="5">
        <f t="shared" si="73"/>
        <v>171743.1</v>
      </c>
      <c r="M578" s="5">
        <f t="shared" si="74"/>
        <v>0</v>
      </c>
      <c r="N578" s="3"/>
    </row>
    <row r="579" spans="1:14" x14ac:dyDescent="0.25">
      <c r="A579" s="2">
        <v>1210419</v>
      </c>
      <c r="B579" s="3">
        <v>31681.25</v>
      </c>
      <c r="C579" s="3">
        <v>63720</v>
      </c>
      <c r="D579" s="3">
        <v>30843.75</v>
      </c>
      <c r="E579" s="3">
        <v>45000</v>
      </c>
      <c r="F579">
        <f t="shared" si="67"/>
        <v>1210419</v>
      </c>
      <c r="G579" s="3">
        <f t="shared" si="68"/>
        <v>31681.25</v>
      </c>
      <c r="H579" s="3">
        <f t="shared" si="69"/>
        <v>63720</v>
      </c>
      <c r="I579" s="3">
        <f t="shared" si="70"/>
        <v>30843.75</v>
      </c>
      <c r="J579" s="3">
        <f t="shared" si="71"/>
        <v>45000</v>
      </c>
      <c r="K579" s="5">
        <f t="shared" si="72"/>
        <v>171245</v>
      </c>
      <c r="L579" s="5">
        <f t="shared" si="73"/>
        <v>171743.1</v>
      </c>
      <c r="M579" s="5">
        <f t="shared" si="74"/>
        <v>-498.10000000000582</v>
      </c>
      <c r="N579" s="3"/>
    </row>
    <row r="580" spans="1:14" x14ac:dyDescent="0.25">
      <c r="A580" s="2">
        <v>1210420</v>
      </c>
      <c r="B580" s="3">
        <v>31487.5</v>
      </c>
      <c r="C580" s="3">
        <v>64360</v>
      </c>
      <c r="D580" s="3">
        <v>31375</v>
      </c>
      <c r="E580" s="3">
        <v>46328.100000000006</v>
      </c>
      <c r="F580">
        <f t="shared" si="67"/>
        <v>1210420</v>
      </c>
      <c r="G580" s="3">
        <f t="shared" si="68"/>
        <v>31487.5</v>
      </c>
      <c r="H580" s="3">
        <f t="shared" si="69"/>
        <v>64360</v>
      </c>
      <c r="I580" s="3">
        <f t="shared" si="70"/>
        <v>31375</v>
      </c>
      <c r="J580" s="3">
        <f t="shared" si="71"/>
        <v>46328.100000000006</v>
      </c>
      <c r="K580" s="5">
        <f t="shared" si="72"/>
        <v>173550.6</v>
      </c>
      <c r="L580" s="5">
        <f t="shared" si="73"/>
        <v>173550.6</v>
      </c>
      <c r="M580" s="5">
        <f t="shared" si="74"/>
        <v>0</v>
      </c>
      <c r="N580" s="3"/>
    </row>
    <row r="581" spans="1:14" x14ac:dyDescent="0.25">
      <c r="A581" s="2">
        <v>1210421</v>
      </c>
      <c r="B581" s="3">
        <v>32593.75</v>
      </c>
      <c r="C581" s="3">
        <v>64860</v>
      </c>
      <c r="D581" s="3">
        <v>31481.25</v>
      </c>
      <c r="E581" s="3">
        <v>46953.100000000006</v>
      </c>
      <c r="F581">
        <f t="shared" si="67"/>
        <v>1210421</v>
      </c>
      <c r="G581" s="3">
        <f t="shared" si="68"/>
        <v>32593.75</v>
      </c>
      <c r="H581" s="3">
        <f t="shared" si="69"/>
        <v>64860</v>
      </c>
      <c r="I581" s="3">
        <f t="shared" si="70"/>
        <v>31481.25</v>
      </c>
      <c r="J581" s="3">
        <f t="shared" si="71"/>
        <v>46953.100000000006</v>
      </c>
      <c r="K581" s="5">
        <f t="shared" si="72"/>
        <v>175888.1</v>
      </c>
      <c r="L581" s="5">
        <f t="shared" si="73"/>
        <v>175888.1</v>
      </c>
      <c r="M581" s="5">
        <f t="shared" si="74"/>
        <v>0</v>
      </c>
      <c r="N581" s="3"/>
    </row>
    <row r="582" spans="1:14" x14ac:dyDescent="0.25">
      <c r="A582" s="2">
        <v>1210422</v>
      </c>
      <c r="B582" s="3">
        <v>32700</v>
      </c>
      <c r="C582" s="3">
        <v>63310</v>
      </c>
      <c r="D582" s="3">
        <v>31575</v>
      </c>
      <c r="E582" s="3">
        <v>44453.100000000006</v>
      </c>
      <c r="F582">
        <f t="shared" si="67"/>
        <v>1210422</v>
      </c>
      <c r="G582" s="3">
        <f t="shared" si="68"/>
        <v>32700</v>
      </c>
      <c r="H582" s="3">
        <f t="shared" si="69"/>
        <v>63310</v>
      </c>
      <c r="I582" s="3">
        <f t="shared" si="70"/>
        <v>31575</v>
      </c>
      <c r="J582" s="3">
        <f t="shared" si="71"/>
        <v>44453.100000000006</v>
      </c>
      <c r="K582" s="5">
        <f t="shared" si="72"/>
        <v>172038.1</v>
      </c>
      <c r="L582" s="5">
        <f t="shared" si="73"/>
        <v>175888.1</v>
      </c>
      <c r="M582" s="5">
        <f t="shared" si="74"/>
        <v>-3850</v>
      </c>
      <c r="N582" s="3"/>
    </row>
    <row r="583" spans="1:14" x14ac:dyDescent="0.25">
      <c r="A583" s="2">
        <v>1210423</v>
      </c>
      <c r="B583" s="3">
        <v>32025</v>
      </c>
      <c r="C583" s="3">
        <v>64040</v>
      </c>
      <c r="D583" s="3">
        <v>31018.75</v>
      </c>
      <c r="E583" s="3">
        <v>45625</v>
      </c>
      <c r="F583">
        <f t="shared" si="67"/>
        <v>1210423</v>
      </c>
      <c r="G583" s="3">
        <f t="shared" si="68"/>
        <v>32025</v>
      </c>
      <c r="H583" s="3">
        <f t="shared" si="69"/>
        <v>64040</v>
      </c>
      <c r="I583" s="3">
        <f t="shared" si="70"/>
        <v>31018.75</v>
      </c>
      <c r="J583" s="3">
        <f t="shared" si="71"/>
        <v>45625</v>
      </c>
      <c r="K583" s="5">
        <f t="shared" si="72"/>
        <v>172708.75</v>
      </c>
      <c r="L583" s="5">
        <f t="shared" si="73"/>
        <v>172708.75</v>
      </c>
      <c r="M583" s="5">
        <f t="shared" si="74"/>
        <v>0</v>
      </c>
      <c r="N583" s="3"/>
    </row>
    <row r="584" spans="1:14" x14ac:dyDescent="0.25">
      <c r="A584" s="2">
        <v>1210425</v>
      </c>
      <c r="B584" s="3">
        <v>32362.5</v>
      </c>
      <c r="C584" s="3">
        <v>62330</v>
      </c>
      <c r="D584" s="3">
        <v>30831.25</v>
      </c>
      <c r="E584" s="3">
        <v>43984.399999999994</v>
      </c>
      <c r="F584">
        <f t="shared" si="67"/>
        <v>1210425</v>
      </c>
      <c r="G584" s="3">
        <f t="shared" si="68"/>
        <v>32362.5</v>
      </c>
      <c r="H584" s="3">
        <f t="shared" si="69"/>
        <v>62330</v>
      </c>
      <c r="I584" s="3">
        <f t="shared" si="70"/>
        <v>30831.25</v>
      </c>
      <c r="J584" s="3">
        <f t="shared" si="71"/>
        <v>43984.399999999994</v>
      </c>
      <c r="K584" s="5">
        <f t="shared" si="72"/>
        <v>169508.15</v>
      </c>
      <c r="L584" s="5">
        <f t="shared" si="73"/>
        <v>172708.75</v>
      </c>
      <c r="M584" s="5">
        <f t="shared" si="74"/>
        <v>-3200.6000000000058</v>
      </c>
      <c r="N584" s="3"/>
    </row>
    <row r="585" spans="1:14" x14ac:dyDescent="0.25">
      <c r="A585" s="2">
        <v>1210426</v>
      </c>
      <c r="B585" s="3">
        <v>32493.75</v>
      </c>
      <c r="C585" s="3">
        <v>62970</v>
      </c>
      <c r="D585" s="3">
        <v>30918.75</v>
      </c>
      <c r="E585" s="3">
        <v>44453.100000000006</v>
      </c>
      <c r="F585">
        <f t="shared" si="67"/>
        <v>1210426</v>
      </c>
      <c r="G585" s="3">
        <f t="shared" si="68"/>
        <v>32493.75</v>
      </c>
      <c r="H585" s="3">
        <f t="shared" si="69"/>
        <v>62970</v>
      </c>
      <c r="I585" s="3">
        <f t="shared" si="70"/>
        <v>30918.75</v>
      </c>
      <c r="J585" s="3">
        <f t="shared" si="71"/>
        <v>44453.100000000006</v>
      </c>
      <c r="K585" s="5">
        <f t="shared" si="72"/>
        <v>170835.6</v>
      </c>
      <c r="L585" s="5">
        <f t="shared" si="73"/>
        <v>170835.6</v>
      </c>
      <c r="M585" s="5">
        <f t="shared" si="74"/>
        <v>0</v>
      </c>
      <c r="N585" s="3"/>
    </row>
    <row r="586" spans="1:14" x14ac:dyDescent="0.25">
      <c r="A586" s="2">
        <v>1210427</v>
      </c>
      <c r="B586" s="3">
        <v>32612.5</v>
      </c>
      <c r="C586" s="3">
        <v>61820</v>
      </c>
      <c r="D586" s="3">
        <v>31206.25</v>
      </c>
      <c r="E586" s="3">
        <v>43125</v>
      </c>
      <c r="F586">
        <f t="shared" si="67"/>
        <v>1210427</v>
      </c>
      <c r="G586" s="3">
        <f t="shared" si="68"/>
        <v>32612.5</v>
      </c>
      <c r="H586" s="3">
        <f t="shared" si="69"/>
        <v>61820</v>
      </c>
      <c r="I586" s="3">
        <f t="shared" si="70"/>
        <v>31206.25</v>
      </c>
      <c r="J586" s="3">
        <f t="shared" si="71"/>
        <v>43125</v>
      </c>
      <c r="K586" s="5">
        <f t="shared" si="72"/>
        <v>168763.75</v>
      </c>
      <c r="L586" s="5">
        <f t="shared" si="73"/>
        <v>170835.6</v>
      </c>
      <c r="M586" s="5">
        <f t="shared" si="74"/>
        <v>-2071.8500000000058</v>
      </c>
      <c r="N586" s="3"/>
    </row>
    <row r="587" spans="1:14" x14ac:dyDescent="0.25">
      <c r="A587" s="2">
        <v>1210428</v>
      </c>
      <c r="B587" s="3">
        <v>31993.75</v>
      </c>
      <c r="C587" s="3">
        <v>60230</v>
      </c>
      <c r="D587" s="3">
        <v>31437.5</v>
      </c>
      <c r="E587" s="3">
        <v>43750</v>
      </c>
      <c r="F587">
        <f t="shared" si="67"/>
        <v>1210428</v>
      </c>
      <c r="G587" s="3">
        <f t="shared" si="68"/>
        <v>31993.75</v>
      </c>
      <c r="H587" s="3">
        <f t="shared" si="69"/>
        <v>60230</v>
      </c>
      <c r="I587" s="3">
        <f t="shared" si="70"/>
        <v>31437.5</v>
      </c>
      <c r="J587" s="3">
        <f t="shared" si="71"/>
        <v>43750</v>
      </c>
      <c r="K587" s="5">
        <f t="shared" si="72"/>
        <v>167411.25</v>
      </c>
      <c r="L587" s="5">
        <f t="shared" si="73"/>
        <v>168763.75</v>
      </c>
      <c r="M587" s="5">
        <f t="shared" si="74"/>
        <v>-1352.5</v>
      </c>
      <c r="N587" s="3"/>
    </row>
    <row r="588" spans="1:14" x14ac:dyDescent="0.25">
      <c r="A588" s="2">
        <v>1210429</v>
      </c>
      <c r="B588" s="3">
        <v>31575</v>
      </c>
      <c r="C588" s="3">
        <v>57800</v>
      </c>
      <c r="D588" s="3">
        <v>31706.25</v>
      </c>
      <c r="E588" s="3">
        <v>43281.25</v>
      </c>
      <c r="F588">
        <f t="shared" si="67"/>
        <v>1210429</v>
      </c>
      <c r="G588" s="3">
        <f t="shared" si="68"/>
        <v>31575</v>
      </c>
      <c r="H588" s="3">
        <f t="shared" si="69"/>
        <v>57800</v>
      </c>
      <c r="I588" s="3">
        <f t="shared" si="70"/>
        <v>31706.25</v>
      </c>
      <c r="J588" s="3">
        <f t="shared" si="71"/>
        <v>43281.25</v>
      </c>
      <c r="K588" s="5">
        <f t="shared" si="72"/>
        <v>164362.5</v>
      </c>
      <c r="L588" s="5">
        <f t="shared" si="73"/>
        <v>167411.25</v>
      </c>
      <c r="M588" s="5">
        <f t="shared" si="74"/>
        <v>-3048.75</v>
      </c>
      <c r="N588" s="3"/>
    </row>
    <row r="589" spans="1:14" x14ac:dyDescent="0.25">
      <c r="A589" s="2">
        <v>1210430</v>
      </c>
      <c r="B589" s="3">
        <v>31743.75</v>
      </c>
      <c r="C589" s="3">
        <v>59650</v>
      </c>
      <c r="D589" s="3">
        <v>30806.25</v>
      </c>
      <c r="E589" s="3">
        <v>44062.5</v>
      </c>
      <c r="F589">
        <f t="shared" si="67"/>
        <v>1210430</v>
      </c>
      <c r="G589" s="3">
        <f t="shared" si="68"/>
        <v>31743.75</v>
      </c>
      <c r="H589" s="3">
        <f t="shared" si="69"/>
        <v>59650</v>
      </c>
      <c r="I589" s="3">
        <f t="shared" si="70"/>
        <v>30806.25</v>
      </c>
      <c r="J589" s="3">
        <f t="shared" si="71"/>
        <v>44062.5</v>
      </c>
      <c r="K589" s="5">
        <f t="shared" si="72"/>
        <v>166262.5</v>
      </c>
      <c r="L589" s="5">
        <f t="shared" si="73"/>
        <v>166262.5</v>
      </c>
      <c r="M589" s="5">
        <f t="shared" si="74"/>
        <v>0</v>
      </c>
      <c r="N589" s="3"/>
    </row>
    <row r="590" spans="1:14" x14ac:dyDescent="0.25">
      <c r="A590" s="2">
        <v>1210502</v>
      </c>
      <c r="B590" s="3">
        <v>31700</v>
      </c>
      <c r="C590" s="3">
        <v>59370</v>
      </c>
      <c r="D590" s="3">
        <v>30681.25</v>
      </c>
      <c r="E590" s="3">
        <v>43828.100000000006</v>
      </c>
      <c r="F590">
        <f t="shared" si="67"/>
        <v>1210502</v>
      </c>
      <c r="G590" s="3">
        <f t="shared" si="68"/>
        <v>31700</v>
      </c>
      <c r="H590" s="3">
        <f t="shared" si="69"/>
        <v>59370</v>
      </c>
      <c r="I590" s="3">
        <f t="shared" si="70"/>
        <v>30681.25</v>
      </c>
      <c r="J590" s="3">
        <f t="shared" si="71"/>
        <v>43828.100000000006</v>
      </c>
      <c r="K590" s="5">
        <f t="shared" si="72"/>
        <v>165579.35</v>
      </c>
      <c r="L590" s="5">
        <f t="shared" si="73"/>
        <v>166262.5</v>
      </c>
      <c r="M590" s="5">
        <f t="shared" si="74"/>
        <v>-683.14999999999418</v>
      </c>
      <c r="N590" s="3"/>
    </row>
    <row r="591" spans="1:14" x14ac:dyDescent="0.25">
      <c r="A591" s="2">
        <v>1210503</v>
      </c>
      <c r="B591" s="3">
        <v>31681.25</v>
      </c>
      <c r="C591" s="3">
        <v>59370</v>
      </c>
      <c r="D591" s="3">
        <v>30962.5</v>
      </c>
      <c r="E591" s="3">
        <v>43750</v>
      </c>
      <c r="F591">
        <f t="shared" si="67"/>
        <v>1210503</v>
      </c>
      <c r="G591" s="3">
        <f t="shared" si="68"/>
        <v>31681.25</v>
      </c>
      <c r="H591" s="3">
        <f t="shared" si="69"/>
        <v>59370</v>
      </c>
      <c r="I591" s="3">
        <f t="shared" si="70"/>
        <v>30962.5</v>
      </c>
      <c r="J591" s="3">
        <f t="shared" si="71"/>
        <v>43750</v>
      </c>
      <c r="K591" s="5">
        <f t="shared" si="72"/>
        <v>165763.75</v>
      </c>
      <c r="L591" s="5">
        <f t="shared" si="73"/>
        <v>165763.75</v>
      </c>
      <c r="M591" s="5">
        <f t="shared" si="74"/>
        <v>0</v>
      </c>
      <c r="N591" s="3"/>
    </row>
    <row r="592" spans="1:14" x14ac:dyDescent="0.25">
      <c r="A592" s="2">
        <v>1210504</v>
      </c>
      <c r="B592" s="3">
        <v>31493.75</v>
      </c>
      <c r="C592" s="3">
        <v>60180</v>
      </c>
      <c r="D592" s="3">
        <v>30900</v>
      </c>
      <c r="E592" s="3">
        <v>45000</v>
      </c>
      <c r="F592">
        <f t="shared" si="67"/>
        <v>1210504</v>
      </c>
      <c r="G592" s="3">
        <f t="shared" si="68"/>
        <v>31493.75</v>
      </c>
      <c r="H592" s="3">
        <f t="shared" si="69"/>
        <v>60180</v>
      </c>
      <c r="I592" s="3">
        <f t="shared" si="70"/>
        <v>30900</v>
      </c>
      <c r="J592" s="3">
        <f t="shared" si="71"/>
        <v>45000</v>
      </c>
      <c r="K592" s="5">
        <f t="shared" si="72"/>
        <v>167573.75</v>
      </c>
      <c r="L592" s="5">
        <f t="shared" si="73"/>
        <v>167573.75</v>
      </c>
      <c r="M592" s="5">
        <f t="shared" si="74"/>
        <v>0</v>
      </c>
      <c r="N592" s="3"/>
    </row>
    <row r="593" spans="1:14" x14ac:dyDescent="0.25">
      <c r="A593" s="2">
        <v>1210505</v>
      </c>
      <c r="B593" s="3">
        <v>30762.5</v>
      </c>
      <c r="C593" s="3">
        <v>59680</v>
      </c>
      <c r="D593" s="3">
        <v>30850</v>
      </c>
      <c r="E593" s="3">
        <v>43515.600000000006</v>
      </c>
      <c r="F593">
        <f t="shared" si="67"/>
        <v>1210505</v>
      </c>
      <c r="G593" s="3">
        <f t="shared" si="68"/>
        <v>30762.5</v>
      </c>
      <c r="H593" s="3">
        <f t="shared" si="69"/>
        <v>59680</v>
      </c>
      <c r="I593" s="3">
        <f t="shared" si="70"/>
        <v>30850</v>
      </c>
      <c r="J593" s="3">
        <f t="shared" si="71"/>
        <v>43515.600000000006</v>
      </c>
      <c r="K593" s="5">
        <f t="shared" si="72"/>
        <v>164808.1</v>
      </c>
      <c r="L593" s="5">
        <f t="shared" si="73"/>
        <v>167573.75</v>
      </c>
      <c r="M593" s="5">
        <f t="shared" si="74"/>
        <v>-2765.6499999999942</v>
      </c>
      <c r="N593" s="3"/>
    </row>
    <row r="594" spans="1:14" x14ac:dyDescent="0.25">
      <c r="A594" s="2">
        <v>1210506</v>
      </c>
      <c r="B594" s="3">
        <v>30006.25</v>
      </c>
      <c r="C594" s="3">
        <v>58850</v>
      </c>
      <c r="D594" s="3">
        <v>30781.25</v>
      </c>
      <c r="E594" s="3">
        <v>42734.399999999994</v>
      </c>
      <c r="F594">
        <f t="shared" si="67"/>
        <v>1210506</v>
      </c>
      <c r="G594" s="3">
        <f t="shared" si="68"/>
        <v>30006.25</v>
      </c>
      <c r="H594" s="3">
        <f t="shared" si="69"/>
        <v>58850</v>
      </c>
      <c r="I594" s="3">
        <f t="shared" si="70"/>
        <v>30781.25</v>
      </c>
      <c r="J594" s="3">
        <f t="shared" si="71"/>
        <v>42734.399999999994</v>
      </c>
      <c r="K594" s="5">
        <f t="shared" si="72"/>
        <v>162371.9</v>
      </c>
      <c r="L594" s="5">
        <f t="shared" si="73"/>
        <v>164808.1</v>
      </c>
      <c r="M594" s="5">
        <f t="shared" si="74"/>
        <v>-2436.2000000000116</v>
      </c>
      <c r="N594" s="3"/>
    </row>
    <row r="595" spans="1:14" x14ac:dyDescent="0.25">
      <c r="A595" s="2">
        <v>1210507</v>
      </c>
      <c r="B595" s="3">
        <v>29918.75</v>
      </c>
      <c r="C595" s="3">
        <v>60770</v>
      </c>
      <c r="D595" s="3">
        <v>30475</v>
      </c>
      <c r="E595" s="3">
        <v>41093.75</v>
      </c>
      <c r="F595">
        <f t="shared" si="67"/>
        <v>1210507</v>
      </c>
      <c r="G595" s="3">
        <f t="shared" si="68"/>
        <v>29918.75</v>
      </c>
      <c r="H595" s="3">
        <f t="shared" si="69"/>
        <v>60770</v>
      </c>
      <c r="I595" s="3">
        <f t="shared" si="70"/>
        <v>30475</v>
      </c>
      <c r="J595" s="3">
        <f t="shared" si="71"/>
        <v>41093.75</v>
      </c>
      <c r="K595" s="5">
        <f t="shared" si="72"/>
        <v>162257.5</v>
      </c>
      <c r="L595" s="5">
        <f t="shared" si="73"/>
        <v>162371.9</v>
      </c>
      <c r="M595" s="5">
        <f t="shared" si="74"/>
        <v>-114.39999999999418</v>
      </c>
      <c r="N595" s="3"/>
    </row>
    <row r="596" spans="1:14" x14ac:dyDescent="0.25">
      <c r="A596" s="2">
        <v>1210509</v>
      </c>
      <c r="B596" s="3">
        <v>30637.5</v>
      </c>
      <c r="C596" s="3">
        <v>61800</v>
      </c>
      <c r="D596" s="3">
        <v>30793.75</v>
      </c>
      <c r="E596" s="3">
        <v>41562.5</v>
      </c>
      <c r="F596">
        <f t="shared" si="67"/>
        <v>1210509</v>
      </c>
      <c r="G596" s="3">
        <f t="shared" si="68"/>
        <v>30637.5</v>
      </c>
      <c r="H596" s="3">
        <f t="shared" si="69"/>
        <v>61800</v>
      </c>
      <c r="I596" s="3">
        <f t="shared" si="70"/>
        <v>30793.75</v>
      </c>
      <c r="J596" s="3">
        <f t="shared" si="71"/>
        <v>41562.5</v>
      </c>
      <c r="K596" s="5">
        <f t="shared" si="72"/>
        <v>164793.75</v>
      </c>
      <c r="L596" s="5">
        <f t="shared" si="73"/>
        <v>164793.75</v>
      </c>
      <c r="M596" s="5">
        <f t="shared" si="74"/>
        <v>0</v>
      </c>
      <c r="N596" s="3"/>
    </row>
    <row r="597" spans="1:14" x14ac:dyDescent="0.25">
      <c r="A597" s="2">
        <v>1210510</v>
      </c>
      <c r="B597" s="3">
        <v>30731.25</v>
      </c>
      <c r="C597" s="3">
        <v>61720</v>
      </c>
      <c r="D597" s="3">
        <v>30475</v>
      </c>
      <c r="E597" s="3">
        <v>41250</v>
      </c>
      <c r="F597">
        <f t="shared" si="67"/>
        <v>1210510</v>
      </c>
      <c r="G597" s="3">
        <f t="shared" si="68"/>
        <v>30731.25</v>
      </c>
      <c r="H597" s="3">
        <f t="shared" si="69"/>
        <v>61720</v>
      </c>
      <c r="I597" s="3">
        <f t="shared" si="70"/>
        <v>30475</v>
      </c>
      <c r="J597" s="3">
        <f t="shared" si="71"/>
        <v>41250</v>
      </c>
      <c r="K597" s="5">
        <f t="shared" si="72"/>
        <v>164176.25</v>
      </c>
      <c r="L597" s="5">
        <f t="shared" si="73"/>
        <v>164793.75</v>
      </c>
      <c r="M597" s="5">
        <f t="shared" si="74"/>
        <v>-617.5</v>
      </c>
      <c r="N597" s="3"/>
    </row>
    <row r="598" spans="1:14" x14ac:dyDescent="0.25">
      <c r="A598" s="2">
        <v>1210511</v>
      </c>
      <c r="B598" s="3">
        <v>32012.5</v>
      </c>
      <c r="C598" s="3">
        <v>62580</v>
      </c>
      <c r="D598" s="3">
        <v>30531.25</v>
      </c>
      <c r="E598" s="3">
        <v>41171.899999999994</v>
      </c>
      <c r="F598">
        <f t="shared" si="67"/>
        <v>1210511</v>
      </c>
      <c r="G598" s="3">
        <f t="shared" si="68"/>
        <v>32012.5</v>
      </c>
      <c r="H598" s="3">
        <f t="shared" si="69"/>
        <v>62580</v>
      </c>
      <c r="I598" s="3">
        <f t="shared" si="70"/>
        <v>30531.25</v>
      </c>
      <c r="J598" s="3">
        <f t="shared" si="71"/>
        <v>41171.899999999994</v>
      </c>
      <c r="K598" s="5">
        <f t="shared" si="72"/>
        <v>166295.65</v>
      </c>
      <c r="L598" s="5">
        <f t="shared" si="73"/>
        <v>166295.65</v>
      </c>
      <c r="M598" s="5">
        <f t="shared" si="74"/>
        <v>0</v>
      </c>
      <c r="N598" s="3"/>
    </row>
    <row r="599" spans="1:14" x14ac:dyDescent="0.25">
      <c r="A599" s="2">
        <v>1210512</v>
      </c>
      <c r="B599" s="3">
        <v>32350</v>
      </c>
      <c r="C599" s="3">
        <v>62630</v>
      </c>
      <c r="D599" s="3">
        <v>30481.25</v>
      </c>
      <c r="E599" s="3">
        <v>40312.5</v>
      </c>
      <c r="F599">
        <f t="shared" si="67"/>
        <v>1210512</v>
      </c>
      <c r="G599" s="3">
        <f t="shared" si="68"/>
        <v>32350</v>
      </c>
      <c r="H599" s="3">
        <f t="shared" si="69"/>
        <v>62630</v>
      </c>
      <c r="I599" s="3">
        <f t="shared" si="70"/>
        <v>30481.25</v>
      </c>
      <c r="J599" s="3">
        <f t="shared" si="71"/>
        <v>40312.5</v>
      </c>
      <c r="K599" s="5">
        <f t="shared" si="72"/>
        <v>165773.75</v>
      </c>
      <c r="L599" s="5">
        <f t="shared" si="73"/>
        <v>166295.65</v>
      </c>
      <c r="M599" s="5">
        <f t="shared" si="74"/>
        <v>-521.89999999999418</v>
      </c>
      <c r="N599" s="3"/>
    </row>
    <row r="600" spans="1:14" x14ac:dyDescent="0.25">
      <c r="A600" s="2">
        <v>1210513</v>
      </c>
      <c r="B600" s="3">
        <v>32931.25</v>
      </c>
      <c r="C600" s="3">
        <v>61630</v>
      </c>
      <c r="D600" s="3">
        <v>31400</v>
      </c>
      <c r="E600" s="3">
        <v>42578.100000000006</v>
      </c>
      <c r="F600">
        <f t="shared" si="67"/>
        <v>1210513</v>
      </c>
      <c r="G600" s="3">
        <f t="shared" si="68"/>
        <v>32931.25</v>
      </c>
      <c r="H600" s="3">
        <f t="shared" si="69"/>
        <v>61630</v>
      </c>
      <c r="I600" s="3">
        <f t="shared" si="70"/>
        <v>31400</v>
      </c>
      <c r="J600" s="3">
        <f t="shared" si="71"/>
        <v>42578.100000000006</v>
      </c>
      <c r="K600" s="5">
        <f t="shared" si="72"/>
        <v>168539.35</v>
      </c>
      <c r="L600" s="5">
        <f t="shared" si="73"/>
        <v>168539.35</v>
      </c>
      <c r="M600" s="5">
        <f t="shared" si="74"/>
        <v>0</v>
      </c>
      <c r="N600" s="3"/>
    </row>
    <row r="601" spans="1:14" x14ac:dyDescent="0.25">
      <c r="A601" s="2">
        <v>1210514</v>
      </c>
      <c r="B601" s="3">
        <v>32668.75</v>
      </c>
      <c r="C601" s="3">
        <v>61120</v>
      </c>
      <c r="D601" s="3">
        <v>31131.25</v>
      </c>
      <c r="E601" s="3">
        <v>42968.75</v>
      </c>
      <c r="F601">
        <f t="shared" ref="F601:F664" si="75">+A601</f>
        <v>1210514</v>
      </c>
      <c r="G601" s="3">
        <f t="shared" si="68"/>
        <v>32668.75</v>
      </c>
      <c r="H601" s="3">
        <f t="shared" si="69"/>
        <v>61120</v>
      </c>
      <c r="I601" s="3">
        <f t="shared" si="70"/>
        <v>31131.25</v>
      </c>
      <c r="J601" s="3">
        <f t="shared" si="71"/>
        <v>42968.75</v>
      </c>
      <c r="K601" s="5">
        <f t="shared" si="72"/>
        <v>167888.75</v>
      </c>
      <c r="L601" s="5">
        <f t="shared" si="73"/>
        <v>168539.35</v>
      </c>
      <c r="M601" s="5">
        <f t="shared" si="74"/>
        <v>-650.60000000000582</v>
      </c>
      <c r="N601" s="3"/>
    </row>
    <row r="602" spans="1:14" x14ac:dyDescent="0.25">
      <c r="A602" s="2">
        <v>1210516</v>
      </c>
      <c r="B602" s="3">
        <v>33862.5</v>
      </c>
      <c r="C602" s="3">
        <v>62050</v>
      </c>
      <c r="D602" s="3">
        <v>31200</v>
      </c>
      <c r="E602" s="3">
        <v>43515.600000000006</v>
      </c>
      <c r="F602">
        <f t="shared" si="75"/>
        <v>1210516</v>
      </c>
      <c r="G602" s="3">
        <f t="shared" ref="G602:G665" si="76">+IF(B602&lt;&gt;0,B602,B601)</f>
        <v>33862.5</v>
      </c>
      <c r="H602" s="3">
        <f t="shared" ref="H602:H665" si="77">+IF(C602&lt;&gt;0,C602,C601)</f>
        <v>62050</v>
      </c>
      <c r="I602" s="3">
        <f t="shared" ref="I602:I665" si="78">+IF(D602&lt;&gt;0,D602,D601)</f>
        <v>31200</v>
      </c>
      <c r="J602" s="3">
        <f t="shared" ref="J602:J665" si="79">+IF(E602&lt;&gt;0,E602,E601)</f>
        <v>43515.600000000006</v>
      </c>
      <c r="K602" s="5">
        <f t="shared" ref="K602:K665" si="80">+SUM(G602:J602)</f>
        <v>170628.1</v>
      </c>
      <c r="L602" s="5">
        <f t="shared" si="73"/>
        <v>170628.1</v>
      </c>
      <c r="M602" s="5">
        <f t="shared" si="74"/>
        <v>0</v>
      </c>
      <c r="N602" s="3"/>
    </row>
    <row r="603" spans="1:14" x14ac:dyDescent="0.25">
      <c r="A603" s="2">
        <v>1210517</v>
      </c>
      <c r="B603" s="3">
        <v>33606.25</v>
      </c>
      <c r="C603" s="3">
        <v>62570</v>
      </c>
      <c r="D603" s="3">
        <v>31187.5</v>
      </c>
      <c r="E603" s="3">
        <v>44140.600000000006</v>
      </c>
      <c r="F603">
        <f t="shared" si="75"/>
        <v>1210517</v>
      </c>
      <c r="G603" s="3">
        <f t="shared" si="76"/>
        <v>33606.25</v>
      </c>
      <c r="H603" s="3">
        <f t="shared" si="77"/>
        <v>62570</v>
      </c>
      <c r="I603" s="3">
        <f t="shared" si="78"/>
        <v>31187.5</v>
      </c>
      <c r="J603" s="3">
        <f t="shared" si="79"/>
        <v>44140.600000000006</v>
      </c>
      <c r="K603" s="5">
        <f t="shared" si="80"/>
        <v>171504.35</v>
      </c>
      <c r="L603" s="5">
        <f t="shared" ref="L603:L666" si="81">+IF(K603&gt;K602,K603,K602)</f>
        <v>171504.35</v>
      </c>
      <c r="M603" s="5">
        <f t="shared" ref="M603:M666" si="82">+K603-L603</f>
        <v>0</v>
      </c>
      <c r="N603" s="3"/>
    </row>
    <row r="604" spans="1:14" x14ac:dyDescent="0.25">
      <c r="A604" s="2">
        <v>1210518</v>
      </c>
      <c r="B604" s="3">
        <v>32706.25</v>
      </c>
      <c r="C604" s="3">
        <v>60360</v>
      </c>
      <c r="D604" s="3">
        <v>30987.5</v>
      </c>
      <c r="E604" s="3">
        <v>43750</v>
      </c>
      <c r="F604">
        <f t="shared" si="75"/>
        <v>1210518</v>
      </c>
      <c r="G604" s="3">
        <f t="shared" si="76"/>
        <v>32706.25</v>
      </c>
      <c r="H604" s="3">
        <f t="shared" si="77"/>
        <v>60360</v>
      </c>
      <c r="I604" s="3">
        <f t="shared" si="78"/>
        <v>30987.5</v>
      </c>
      <c r="J604" s="3">
        <f t="shared" si="79"/>
        <v>43750</v>
      </c>
      <c r="K604" s="5">
        <f t="shared" si="80"/>
        <v>167803.75</v>
      </c>
      <c r="L604" s="5">
        <f t="shared" si="81"/>
        <v>171504.35</v>
      </c>
      <c r="M604" s="5">
        <f t="shared" si="82"/>
        <v>-3700.6000000000058</v>
      </c>
      <c r="N604" s="3"/>
    </row>
    <row r="605" spans="1:14" x14ac:dyDescent="0.25">
      <c r="A605" s="2">
        <v>1210519</v>
      </c>
      <c r="B605" s="3">
        <v>34300</v>
      </c>
      <c r="C605" s="3">
        <v>59400</v>
      </c>
      <c r="D605" s="3">
        <v>30250</v>
      </c>
      <c r="E605" s="3">
        <v>42343.75</v>
      </c>
      <c r="F605">
        <f t="shared" si="75"/>
        <v>1210519</v>
      </c>
      <c r="G605" s="3">
        <f t="shared" si="76"/>
        <v>34300</v>
      </c>
      <c r="H605" s="3">
        <f t="shared" si="77"/>
        <v>59400</v>
      </c>
      <c r="I605" s="3">
        <f t="shared" si="78"/>
        <v>30250</v>
      </c>
      <c r="J605" s="3">
        <f t="shared" si="79"/>
        <v>42343.75</v>
      </c>
      <c r="K605" s="5">
        <f t="shared" si="80"/>
        <v>166293.75</v>
      </c>
      <c r="L605" s="5">
        <f t="shared" si="81"/>
        <v>167803.75</v>
      </c>
      <c r="M605" s="5">
        <f t="shared" si="82"/>
        <v>-1510</v>
      </c>
      <c r="N605" s="3"/>
    </row>
    <row r="606" spans="1:14" x14ac:dyDescent="0.25">
      <c r="A606" s="2">
        <v>1210520</v>
      </c>
      <c r="B606" s="3">
        <v>34481.25</v>
      </c>
      <c r="C606" s="3">
        <v>57770</v>
      </c>
      <c r="D606" s="3">
        <v>29800</v>
      </c>
      <c r="E606" s="3">
        <v>38437.5</v>
      </c>
      <c r="F606">
        <f t="shared" si="75"/>
        <v>1210520</v>
      </c>
      <c r="G606" s="3">
        <f t="shared" si="76"/>
        <v>34481.25</v>
      </c>
      <c r="H606" s="3">
        <f t="shared" si="77"/>
        <v>57770</v>
      </c>
      <c r="I606" s="3">
        <f t="shared" si="78"/>
        <v>29800</v>
      </c>
      <c r="J606" s="3">
        <f t="shared" si="79"/>
        <v>38437.5</v>
      </c>
      <c r="K606" s="5">
        <f t="shared" si="80"/>
        <v>160488.75</v>
      </c>
      <c r="L606" s="5">
        <f t="shared" si="81"/>
        <v>166293.75</v>
      </c>
      <c r="M606" s="5">
        <f t="shared" si="82"/>
        <v>-5805</v>
      </c>
      <c r="N606" s="3"/>
    </row>
    <row r="607" spans="1:14" x14ac:dyDescent="0.25">
      <c r="A607" s="2">
        <v>1210521</v>
      </c>
      <c r="B607" s="3">
        <v>35175</v>
      </c>
      <c r="C607" s="3">
        <v>57930</v>
      </c>
      <c r="D607" s="3">
        <v>29606.25</v>
      </c>
      <c r="E607" s="3">
        <v>40078.1</v>
      </c>
      <c r="F607">
        <f t="shared" si="75"/>
        <v>1210521</v>
      </c>
      <c r="G607" s="3">
        <f t="shared" si="76"/>
        <v>35175</v>
      </c>
      <c r="H607" s="3">
        <f t="shared" si="77"/>
        <v>57930</v>
      </c>
      <c r="I607" s="3">
        <f t="shared" si="78"/>
        <v>29606.25</v>
      </c>
      <c r="J607" s="3">
        <f t="shared" si="79"/>
        <v>40078.1</v>
      </c>
      <c r="K607" s="5">
        <f t="shared" si="80"/>
        <v>162789.35</v>
      </c>
      <c r="L607" s="5">
        <f t="shared" si="81"/>
        <v>162789.35</v>
      </c>
      <c r="M607" s="5">
        <f t="shared" si="82"/>
        <v>0</v>
      </c>
      <c r="N607" s="3"/>
    </row>
    <row r="608" spans="1:14" x14ac:dyDescent="0.25">
      <c r="A608" s="2">
        <v>1210523</v>
      </c>
      <c r="B608" s="3">
        <v>35331.25</v>
      </c>
      <c r="C608" s="3">
        <v>58060</v>
      </c>
      <c r="D608" s="3">
        <v>29687.5</v>
      </c>
      <c r="E608" s="3">
        <v>39218.75</v>
      </c>
      <c r="F608">
        <f t="shared" si="75"/>
        <v>1210523</v>
      </c>
      <c r="G608" s="3">
        <f t="shared" si="76"/>
        <v>35331.25</v>
      </c>
      <c r="H608" s="3">
        <f t="shared" si="77"/>
        <v>58060</v>
      </c>
      <c r="I608" s="3">
        <f t="shared" si="78"/>
        <v>29687.5</v>
      </c>
      <c r="J608" s="3">
        <f t="shared" si="79"/>
        <v>39218.75</v>
      </c>
      <c r="K608" s="5">
        <f t="shared" si="80"/>
        <v>162297.5</v>
      </c>
      <c r="L608" s="5">
        <f t="shared" si="81"/>
        <v>162789.35</v>
      </c>
      <c r="M608" s="5">
        <f t="shared" si="82"/>
        <v>-491.85000000000582</v>
      </c>
      <c r="N608" s="3"/>
    </row>
    <row r="609" spans="1:14" x14ac:dyDescent="0.25">
      <c r="A609" s="2">
        <v>1210524</v>
      </c>
      <c r="B609" s="3">
        <v>35018.75</v>
      </c>
      <c r="C609" s="3">
        <v>58280</v>
      </c>
      <c r="D609" s="3">
        <v>29581.25</v>
      </c>
      <c r="E609" s="3">
        <v>39218.75</v>
      </c>
      <c r="F609">
        <f t="shared" si="75"/>
        <v>1210524</v>
      </c>
      <c r="G609" s="3">
        <f t="shared" si="76"/>
        <v>35018.75</v>
      </c>
      <c r="H609" s="3">
        <f t="shared" si="77"/>
        <v>58280</v>
      </c>
      <c r="I609" s="3">
        <f t="shared" si="78"/>
        <v>29581.25</v>
      </c>
      <c r="J609" s="3">
        <f t="shared" si="79"/>
        <v>39218.75</v>
      </c>
      <c r="K609" s="5">
        <f t="shared" si="80"/>
        <v>162098.75</v>
      </c>
      <c r="L609" s="5">
        <f t="shared" si="81"/>
        <v>162297.5</v>
      </c>
      <c r="M609" s="5">
        <f t="shared" si="82"/>
        <v>-198.75</v>
      </c>
      <c r="N609" s="3"/>
    </row>
    <row r="610" spans="1:14" x14ac:dyDescent="0.25">
      <c r="A610" s="2">
        <v>1210525</v>
      </c>
      <c r="B610" s="3">
        <v>34850</v>
      </c>
      <c r="C610" s="3">
        <v>58170</v>
      </c>
      <c r="D610" s="3">
        <v>29406.25</v>
      </c>
      <c r="E610" s="3">
        <v>39140.6</v>
      </c>
      <c r="F610">
        <f t="shared" si="75"/>
        <v>1210525</v>
      </c>
      <c r="G610" s="3">
        <f t="shared" si="76"/>
        <v>34850</v>
      </c>
      <c r="H610" s="3">
        <f t="shared" si="77"/>
        <v>58170</v>
      </c>
      <c r="I610" s="3">
        <f t="shared" si="78"/>
        <v>29406.25</v>
      </c>
      <c r="J610" s="3">
        <f t="shared" si="79"/>
        <v>39140.6</v>
      </c>
      <c r="K610" s="5">
        <f t="shared" si="80"/>
        <v>161566.85</v>
      </c>
      <c r="L610" s="5">
        <f t="shared" si="81"/>
        <v>162098.75</v>
      </c>
      <c r="M610" s="5">
        <f t="shared" si="82"/>
        <v>-531.89999999999418</v>
      </c>
      <c r="N610" s="3"/>
    </row>
    <row r="611" spans="1:14" x14ac:dyDescent="0.25">
      <c r="A611" s="2">
        <v>1210526</v>
      </c>
      <c r="B611" s="3">
        <v>34643.75</v>
      </c>
      <c r="C611" s="3">
        <v>57730</v>
      </c>
      <c r="D611" s="3">
        <v>28962.5</v>
      </c>
      <c r="E611" s="3">
        <v>40390.6</v>
      </c>
      <c r="F611">
        <f t="shared" si="75"/>
        <v>1210526</v>
      </c>
      <c r="G611" s="3">
        <f t="shared" si="76"/>
        <v>34643.75</v>
      </c>
      <c r="H611" s="3">
        <f t="shared" si="77"/>
        <v>57730</v>
      </c>
      <c r="I611" s="3">
        <f t="shared" si="78"/>
        <v>28962.5</v>
      </c>
      <c r="J611" s="3">
        <f t="shared" si="79"/>
        <v>40390.6</v>
      </c>
      <c r="K611" s="5">
        <f t="shared" si="80"/>
        <v>161726.85</v>
      </c>
      <c r="L611" s="5">
        <f t="shared" si="81"/>
        <v>161726.85</v>
      </c>
      <c r="M611" s="5">
        <f t="shared" si="82"/>
        <v>0</v>
      </c>
      <c r="N611" s="3"/>
    </row>
    <row r="612" spans="1:14" x14ac:dyDescent="0.25">
      <c r="A612" s="2">
        <v>1210527</v>
      </c>
      <c r="B612" s="3">
        <v>34687.5</v>
      </c>
      <c r="C612" s="3">
        <v>56340</v>
      </c>
      <c r="D612" s="3">
        <v>29300</v>
      </c>
      <c r="E612" s="3">
        <v>40312.5</v>
      </c>
      <c r="F612">
        <f t="shared" si="75"/>
        <v>1210527</v>
      </c>
      <c r="G612" s="3">
        <f t="shared" si="76"/>
        <v>34687.5</v>
      </c>
      <c r="H612" s="3">
        <f t="shared" si="77"/>
        <v>56340</v>
      </c>
      <c r="I612" s="3">
        <f t="shared" si="78"/>
        <v>29300</v>
      </c>
      <c r="J612" s="3">
        <f t="shared" si="79"/>
        <v>40312.5</v>
      </c>
      <c r="K612" s="5">
        <f t="shared" si="80"/>
        <v>160640</v>
      </c>
      <c r="L612" s="5">
        <f t="shared" si="81"/>
        <v>161726.85</v>
      </c>
      <c r="M612" s="5">
        <f t="shared" si="82"/>
        <v>-1086.8500000000058</v>
      </c>
      <c r="N612" s="3"/>
    </row>
    <row r="613" spans="1:14" x14ac:dyDescent="0.25">
      <c r="A613" s="2">
        <v>1210528</v>
      </c>
      <c r="B613" s="3">
        <v>34781.25</v>
      </c>
      <c r="C613" s="3">
        <v>55940</v>
      </c>
      <c r="D613" s="3">
        <v>30087.5</v>
      </c>
      <c r="E613" s="3">
        <v>40781.25</v>
      </c>
      <c r="F613">
        <f t="shared" si="75"/>
        <v>1210528</v>
      </c>
      <c r="G613" s="3">
        <f t="shared" si="76"/>
        <v>34781.25</v>
      </c>
      <c r="H613" s="3">
        <f t="shared" si="77"/>
        <v>55940</v>
      </c>
      <c r="I613" s="3">
        <f t="shared" si="78"/>
        <v>30087.5</v>
      </c>
      <c r="J613" s="3">
        <f t="shared" si="79"/>
        <v>40781.25</v>
      </c>
      <c r="K613" s="5">
        <f t="shared" si="80"/>
        <v>161590</v>
      </c>
      <c r="L613" s="5">
        <f t="shared" si="81"/>
        <v>161590</v>
      </c>
      <c r="M613" s="5">
        <f t="shared" si="82"/>
        <v>0</v>
      </c>
      <c r="N613" s="3"/>
    </row>
    <row r="614" spans="1:14" x14ac:dyDescent="0.25">
      <c r="A614" s="2">
        <v>1210530</v>
      </c>
      <c r="B614" s="3">
        <v>34556.25</v>
      </c>
      <c r="C614" s="3">
        <v>53210</v>
      </c>
      <c r="D614" s="3">
        <v>29956.25</v>
      </c>
      <c r="E614" s="3">
        <v>40859.4</v>
      </c>
      <c r="F614">
        <f t="shared" si="75"/>
        <v>1210530</v>
      </c>
      <c r="G614" s="3">
        <f t="shared" si="76"/>
        <v>34556.25</v>
      </c>
      <c r="H614" s="3">
        <f t="shared" si="77"/>
        <v>53210</v>
      </c>
      <c r="I614" s="3">
        <f t="shared" si="78"/>
        <v>29956.25</v>
      </c>
      <c r="J614" s="3">
        <f t="shared" si="79"/>
        <v>40859.4</v>
      </c>
      <c r="K614" s="5">
        <f t="shared" si="80"/>
        <v>158581.9</v>
      </c>
      <c r="L614" s="5">
        <f t="shared" si="81"/>
        <v>161590</v>
      </c>
      <c r="M614" s="5">
        <f t="shared" si="82"/>
        <v>-3008.1000000000058</v>
      </c>
      <c r="N614" s="3"/>
    </row>
    <row r="615" spans="1:14" x14ac:dyDescent="0.25">
      <c r="A615" s="2">
        <v>1210531</v>
      </c>
      <c r="B615" s="3">
        <v>34631.25</v>
      </c>
      <c r="C615" s="3">
        <v>52740</v>
      </c>
      <c r="D615" s="3">
        <v>30168.75</v>
      </c>
      <c r="E615" s="3">
        <v>40546.9</v>
      </c>
      <c r="F615">
        <f t="shared" si="75"/>
        <v>1210531</v>
      </c>
      <c r="G615" s="3">
        <f t="shared" si="76"/>
        <v>34631.25</v>
      </c>
      <c r="H615" s="3">
        <f t="shared" si="77"/>
        <v>52740</v>
      </c>
      <c r="I615" s="3">
        <f t="shared" si="78"/>
        <v>30168.75</v>
      </c>
      <c r="J615" s="3">
        <f t="shared" si="79"/>
        <v>40546.9</v>
      </c>
      <c r="K615" s="5">
        <f t="shared" si="80"/>
        <v>158086.9</v>
      </c>
      <c r="L615" s="5">
        <f t="shared" si="81"/>
        <v>158581.9</v>
      </c>
      <c r="M615" s="5">
        <f t="shared" si="82"/>
        <v>-495</v>
      </c>
      <c r="N615" s="3"/>
    </row>
    <row r="616" spans="1:14" x14ac:dyDescent="0.25">
      <c r="A616" s="2">
        <v>1210601</v>
      </c>
      <c r="B616" s="3">
        <v>34637.5</v>
      </c>
      <c r="C616" s="3">
        <v>52990</v>
      </c>
      <c r="D616" s="3">
        <v>30331.25</v>
      </c>
      <c r="E616" s="3">
        <v>40390.6</v>
      </c>
      <c r="F616">
        <f t="shared" si="75"/>
        <v>1210601</v>
      </c>
      <c r="G616" s="3">
        <f t="shared" si="76"/>
        <v>34637.5</v>
      </c>
      <c r="H616" s="3">
        <f t="shared" si="77"/>
        <v>52990</v>
      </c>
      <c r="I616" s="3">
        <f t="shared" si="78"/>
        <v>30331.25</v>
      </c>
      <c r="J616" s="3">
        <f t="shared" si="79"/>
        <v>40390.6</v>
      </c>
      <c r="K616" s="5">
        <f t="shared" si="80"/>
        <v>158349.35</v>
      </c>
      <c r="L616" s="5">
        <f t="shared" si="81"/>
        <v>158349.35</v>
      </c>
      <c r="M616" s="5">
        <f t="shared" si="82"/>
        <v>0</v>
      </c>
      <c r="N616" s="3"/>
    </row>
    <row r="617" spans="1:14" x14ac:dyDescent="0.25">
      <c r="A617" s="2">
        <v>1210602</v>
      </c>
      <c r="B617" s="3">
        <v>34968.75</v>
      </c>
      <c r="C617" s="3">
        <v>54230</v>
      </c>
      <c r="D617" s="3">
        <v>29637.5</v>
      </c>
      <c r="E617" s="3">
        <v>38906.25</v>
      </c>
      <c r="F617">
        <f t="shared" si="75"/>
        <v>1210602</v>
      </c>
      <c r="G617" s="3">
        <f t="shared" si="76"/>
        <v>34968.75</v>
      </c>
      <c r="H617" s="3">
        <f t="shared" si="77"/>
        <v>54230</v>
      </c>
      <c r="I617" s="3">
        <f t="shared" si="78"/>
        <v>29637.5</v>
      </c>
      <c r="J617" s="3">
        <f t="shared" si="79"/>
        <v>38906.25</v>
      </c>
      <c r="K617" s="5">
        <f t="shared" si="80"/>
        <v>157742.5</v>
      </c>
      <c r="L617" s="5">
        <f t="shared" si="81"/>
        <v>158349.35</v>
      </c>
      <c r="M617" s="5">
        <f t="shared" si="82"/>
        <v>-606.85000000000582</v>
      </c>
      <c r="N617" s="3"/>
    </row>
    <row r="618" spans="1:14" x14ac:dyDescent="0.25">
      <c r="A618" s="2">
        <v>1210603</v>
      </c>
      <c r="B618" s="3">
        <v>34931.25</v>
      </c>
      <c r="C618" s="3">
        <v>54090</v>
      </c>
      <c r="D618" s="3">
        <v>29587.5</v>
      </c>
      <c r="E618" s="3">
        <v>38906.25</v>
      </c>
      <c r="F618">
        <f t="shared" si="75"/>
        <v>1210603</v>
      </c>
      <c r="G618" s="3">
        <f t="shared" si="76"/>
        <v>34931.25</v>
      </c>
      <c r="H618" s="3">
        <f t="shared" si="77"/>
        <v>54090</v>
      </c>
      <c r="I618" s="3">
        <f t="shared" si="78"/>
        <v>29587.5</v>
      </c>
      <c r="J618" s="3">
        <f t="shared" si="79"/>
        <v>38906.25</v>
      </c>
      <c r="K618" s="5">
        <f t="shared" si="80"/>
        <v>157515</v>
      </c>
      <c r="L618" s="5">
        <f t="shared" si="81"/>
        <v>157742.5</v>
      </c>
      <c r="M618" s="5">
        <f t="shared" si="82"/>
        <v>-227.5</v>
      </c>
      <c r="N618" s="3"/>
    </row>
    <row r="619" spans="1:14" x14ac:dyDescent="0.25">
      <c r="A619" s="2">
        <v>1210604</v>
      </c>
      <c r="B619" s="3">
        <v>34650</v>
      </c>
      <c r="C619" s="3">
        <v>54690</v>
      </c>
      <c r="D619" s="3">
        <v>29887.5</v>
      </c>
      <c r="E619" s="3">
        <v>39609.4</v>
      </c>
      <c r="F619">
        <f t="shared" si="75"/>
        <v>1210604</v>
      </c>
      <c r="G619" s="3">
        <f t="shared" si="76"/>
        <v>34650</v>
      </c>
      <c r="H619" s="3">
        <f t="shared" si="77"/>
        <v>54690</v>
      </c>
      <c r="I619" s="3">
        <f t="shared" si="78"/>
        <v>29887.5</v>
      </c>
      <c r="J619" s="3">
        <f t="shared" si="79"/>
        <v>39609.4</v>
      </c>
      <c r="K619" s="5">
        <f t="shared" si="80"/>
        <v>158836.9</v>
      </c>
      <c r="L619" s="5">
        <f t="shared" si="81"/>
        <v>158836.9</v>
      </c>
      <c r="M619" s="5">
        <f t="shared" si="82"/>
        <v>0</v>
      </c>
      <c r="N619" s="3"/>
    </row>
    <row r="620" spans="1:14" x14ac:dyDescent="0.25">
      <c r="A620" s="2">
        <v>1210606</v>
      </c>
      <c r="B620" s="3">
        <v>34918.75</v>
      </c>
      <c r="C620" s="3">
        <v>55620</v>
      </c>
      <c r="D620" s="3">
        <v>30250</v>
      </c>
      <c r="E620" s="3">
        <v>41484.399999999994</v>
      </c>
      <c r="F620">
        <f t="shared" si="75"/>
        <v>1210606</v>
      </c>
      <c r="G620" s="3">
        <f t="shared" si="76"/>
        <v>34918.75</v>
      </c>
      <c r="H620" s="3">
        <f t="shared" si="77"/>
        <v>55620</v>
      </c>
      <c r="I620" s="3">
        <f t="shared" si="78"/>
        <v>30250</v>
      </c>
      <c r="J620" s="3">
        <f t="shared" si="79"/>
        <v>41484.399999999994</v>
      </c>
      <c r="K620" s="5">
        <f t="shared" si="80"/>
        <v>162273.15</v>
      </c>
      <c r="L620" s="5">
        <f t="shared" si="81"/>
        <v>162273.15</v>
      </c>
      <c r="M620" s="5">
        <f t="shared" si="82"/>
        <v>0</v>
      </c>
      <c r="N620" s="3"/>
    </row>
    <row r="621" spans="1:14" x14ac:dyDescent="0.25">
      <c r="A621" s="2">
        <v>1210607</v>
      </c>
      <c r="B621" s="3">
        <v>34781.25</v>
      </c>
      <c r="C621" s="3">
        <v>55370</v>
      </c>
      <c r="D621" s="3">
        <v>30412.5</v>
      </c>
      <c r="E621" s="3">
        <v>41171.899999999994</v>
      </c>
      <c r="F621">
        <f t="shared" si="75"/>
        <v>1210607</v>
      </c>
      <c r="G621" s="3">
        <f t="shared" si="76"/>
        <v>34781.25</v>
      </c>
      <c r="H621" s="3">
        <f t="shared" si="77"/>
        <v>55370</v>
      </c>
      <c r="I621" s="3">
        <f t="shared" si="78"/>
        <v>30412.5</v>
      </c>
      <c r="J621" s="3">
        <f t="shared" si="79"/>
        <v>41171.899999999994</v>
      </c>
      <c r="K621" s="5">
        <f t="shared" si="80"/>
        <v>161735.65</v>
      </c>
      <c r="L621" s="5">
        <f t="shared" si="81"/>
        <v>162273.15</v>
      </c>
      <c r="M621" s="5">
        <f t="shared" si="82"/>
        <v>-537.5</v>
      </c>
      <c r="N621" s="3"/>
    </row>
    <row r="622" spans="1:14" x14ac:dyDescent="0.25">
      <c r="A622" s="2">
        <v>1210608</v>
      </c>
      <c r="B622" s="3">
        <v>34656.25</v>
      </c>
      <c r="C622" s="3">
        <v>55510</v>
      </c>
      <c r="D622" s="3">
        <v>30431.25</v>
      </c>
      <c r="E622" s="3">
        <v>40000</v>
      </c>
      <c r="F622">
        <f t="shared" si="75"/>
        <v>1210608</v>
      </c>
      <c r="G622" s="3">
        <f t="shared" si="76"/>
        <v>34656.25</v>
      </c>
      <c r="H622" s="3">
        <f t="shared" si="77"/>
        <v>55510</v>
      </c>
      <c r="I622" s="3">
        <f t="shared" si="78"/>
        <v>30431.25</v>
      </c>
      <c r="J622" s="3">
        <f t="shared" si="79"/>
        <v>40000</v>
      </c>
      <c r="K622" s="5">
        <f t="shared" si="80"/>
        <v>160597.5</v>
      </c>
      <c r="L622" s="5">
        <f t="shared" si="81"/>
        <v>161735.65</v>
      </c>
      <c r="M622" s="5">
        <f t="shared" si="82"/>
        <v>-1138.1499999999942</v>
      </c>
      <c r="N622" s="3"/>
    </row>
    <row r="623" spans="1:14" x14ac:dyDescent="0.25">
      <c r="A623" s="2">
        <v>1210609</v>
      </c>
      <c r="B623" s="3">
        <v>34325</v>
      </c>
      <c r="C623" s="3">
        <v>53950</v>
      </c>
      <c r="D623" s="3">
        <v>30356.25</v>
      </c>
      <c r="E623" s="3">
        <v>41171.899999999994</v>
      </c>
      <c r="F623">
        <f t="shared" si="75"/>
        <v>1210609</v>
      </c>
      <c r="G623" s="3">
        <f t="shared" si="76"/>
        <v>34325</v>
      </c>
      <c r="H623" s="3">
        <f t="shared" si="77"/>
        <v>53950</v>
      </c>
      <c r="I623" s="3">
        <f t="shared" si="78"/>
        <v>30356.25</v>
      </c>
      <c r="J623" s="3">
        <f t="shared" si="79"/>
        <v>41171.899999999994</v>
      </c>
      <c r="K623" s="5">
        <f t="shared" si="80"/>
        <v>159803.15</v>
      </c>
      <c r="L623" s="5">
        <f t="shared" si="81"/>
        <v>160597.5</v>
      </c>
      <c r="M623" s="5">
        <f t="shared" si="82"/>
        <v>-794.35000000000582</v>
      </c>
      <c r="N623" s="3"/>
    </row>
    <row r="624" spans="1:14" x14ac:dyDescent="0.25">
      <c r="A624" s="2">
        <v>1210610</v>
      </c>
      <c r="B624" s="3">
        <v>34206.25</v>
      </c>
      <c r="C624" s="3">
        <v>53990</v>
      </c>
      <c r="D624" s="3">
        <v>30400</v>
      </c>
      <c r="E624" s="3">
        <v>43203.100000000006</v>
      </c>
      <c r="F624">
        <f t="shared" si="75"/>
        <v>1210610</v>
      </c>
      <c r="G624" s="3">
        <f t="shared" si="76"/>
        <v>34206.25</v>
      </c>
      <c r="H624" s="3">
        <f t="shared" si="77"/>
        <v>53990</v>
      </c>
      <c r="I624" s="3">
        <f t="shared" si="78"/>
        <v>30400</v>
      </c>
      <c r="J624" s="3">
        <f t="shared" si="79"/>
        <v>43203.100000000006</v>
      </c>
      <c r="K624" s="5">
        <f t="shared" si="80"/>
        <v>161799.35</v>
      </c>
      <c r="L624" s="5">
        <f t="shared" si="81"/>
        <v>161799.35</v>
      </c>
      <c r="M624" s="5">
        <f t="shared" si="82"/>
        <v>0</v>
      </c>
      <c r="N624" s="3"/>
    </row>
    <row r="625" spans="1:14" x14ac:dyDescent="0.25">
      <c r="A625" s="2">
        <v>1210611</v>
      </c>
      <c r="B625" s="3">
        <v>34025</v>
      </c>
      <c r="C625" s="3">
        <v>53960</v>
      </c>
      <c r="D625" s="3">
        <v>29818.75</v>
      </c>
      <c r="E625" s="3">
        <v>42187.5</v>
      </c>
      <c r="F625">
        <f t="shared" si="75"/>
        <v>1210611</v>
      </c>
      <c r="G625" s="3">
        <f t="shared" si="76"/>
        <v>34025</v>
      </c>
      <c r="H625" s="3">
        <f t="shared" si="77"/>
        <v>53960</v>
      </c>
      <c r="I625" s="3">
        <f t="shared" si="78"/>
        <v>29818.75</v>
      </c>
      <c r="J625" s="3">
        <f t="shared" si="79"/>
        <v>42187.5</v>
      </c>
      <c r="K625" s="5">
        <f t="shared" si="80"/>
        <v>159991.25</v>
      </c>
      <c r="L625" s="5">
        <f t="shared" si="81"/>
        <v>161799.35</v>
      </c>
      <c r="M625" s="5">
        <f t="shared" si="82"/>
        <v>-1808.1000000000058</v>
      </c>
      <c r="N625" s="3"/>
    </row>
    <row r="626" spans="1:14" x14ac:dyDescent="0.25">
      <c r="A626" s="2">
        <v>1210613</v>
      </c>
      <c r="B626" s="3">
        <v>33581.25</v>
      </c>
      <c r="C626" s="3">
        <v>56200</v>
      </c>
      <c r="D626" s="3">
        <v>29793.75</v>
      </c>
      <c r="E626" s="3">
        <v>42578.100000000006</v>
      </c>
      <c r="F626">
        <f t="shared" si="75"/>
        <v>1210613</v>
      </c>
      <c r="G626" s="3">
        <f t="shared" si="76"/>
        <v>33581.25</v>
      </c>
      <c r="H626" s="3">
        <f t="shared" si="77"/>
        <v>56200</v>
      </c>
      <c r="I626" s="3">
        <f t="shared" si="78"/>
        <v>29793.75</v>
      </c>
      <c r="J626" s="3">
        <f t="shared" si="79"/>
        <v>42578.100000000006</v>
      </c>
      <c r="K626" s="5">
        <f t="shared" si="80"/>
        <v>162153.1</v>
      </c>
      <c r="L626" s="5">
        <f t="shared" si="81"/>
        <v>162153.1</v>
      </c>
      <c r="M626" s="5">
        <f t="shared" si="82"/>
        <v>0</v>
      </c>
      <c r="N626" s="3"/>
    </row>
    <row r="627" spans="1:14" x14ac:dyDescent="0.25">
      <c r="A627" s="2">
        <v>1210614</v>
      </c>
      <c r="B627" s="3">
        <v>33593.75</v>
      </c>
      <c r="C627" s="3">
        <v>57240</v>
      </c>
      <c r="D627" s="3">
        <v>29831.25</v>
      </c>
      <c r="E627" s="3">
        <v>42734.399999999994</v>
      </c>
      <c r="F627">
        <f t="shared" si="75"/>
        <v>1210614</v>
      </c>
      <c r="G627" s="3">
        <f t="shared" si="76"/>
        <v>33593.75</v>
      </c>
      <c r="H627" s="3">
        <f t="shared" si="77"/>
        <v>57240</v>
      </c>
      <c r="I627" s="3">
        <f t="shared" si="78"/>
        <v>29831.25</v>
      </c>
      <c r="J627" s="3">
        <f t="shared" si="79"/>
        <v>42734.399999999994</v>
      </c>
      <c r="K627" s="5">
        <f t="shared" si="80"/>
        <v>163399.4</v>
      </c>
      <c r="L627" s="5">
        <f t="shared" si="81"/>
        <v>163399.4</v>
      </c>
      <c r="M627" s="5">
        <f t="shared" si="82"/>
        <v>0</v>
      </c>
      <c r="N627" s="3"/>
    </row>
    <row r="628" spans="1:14" x14ac:dyDescent="0.25">
      <c r="A628" s="2">
        <v>1210615</v>
      </c>
      <c r="B628" s="3">
        <v>33268.75</v>
      </c>
      <c r="C628" s="3">
        <v>57300</v>
      </c>
      <c r="D628" s="3">
        <v>30168.75</v>
      </c>
      <c r="E628" s="3">
        <v>43906.25</v>
      </c>
      <c r="F628">
        <f t="shared" si="75"/>
        <v>1210615</v>
      </c>
      <c r="G628" s="3">
        <f t="shared" si="76"/>
        <v>33268.75</v>
      </c>
      <c r="H628" s="3">
        <f t="shared" si="77"/>
        <v>57300</v>
      </c>
      <c r="I628" s="3">
        <f t="shared" si="78"/>
        <v>30168.75</v>
      </c>
      <c r="J628" s="3">
        <f t="shared" si="79"/>
        <v>43906.25</v>
      </c>
      <c r="K628" s="5">
        <f t="shared" si="80"/>
        <v>164643.75</v>
      </c>
      <c r="L628" s="5">
        <f t="shared" si="81"/>
        <v>164643.75</v>
      </c>
      <c r="M628" s="5">
        <f t="shared" si="82"/>
        <v>0</v>
      </c>
      <c r="N628" s="3"/>
    </row>
    <row r="629" spans="1:14" x14ac:dyDescent="0.25">
      <c r="A629" s="2">
        <v>1210616</v>
      </c>
      <c r="B629" s="3">
        <v>33675</v>
      </c>
      <c r="C629" s="3">
        <v>57230</v>
      </c>
      <c r="D629" s="3">
        <v>30150</v>
      </c>
      <c r="E629" s="3">
        <v>43046.899999999994</v>
      </c>
      <c r="F629">
        <f t="shared" si="75"/>
        <v>1210616</v>
      </c>
      <c r="G629" s="3">
        <f t="shared" si="76"/>
        <v>33675</v>
      </c>
      <c r="H629" s="3">
        <f t="shared" si="77"/>
        <v>57230</v>
      </c>
      <c r="I629" s="3">
        <f t="shared" si="78"/>
        <v>30150</v>
      </c>
      <c r="J629" s="3">
        <f t="shared" si="79"/>
        <v>43046.899999999994</v>
      </c>
      <c r="K629" s="5">
        <f t="shared" si="80"/>
        <v>164101.9</v>
      </c>
      <c r="L629" s="5">
        <f t="shared" si="81"/>
        <v>164643.75</v>
      </c>
      <c r="M629" s="5">
        <f t="shared" si="82"/>
        <v>-541.85000000000582</v>
      </c>
      <c r="N629" s="3"/>
    </row>
    <row r="630" spans="1:14" x14ac:dyDescent="0.25">
      <c r="A630" s="2">
        <v>1210617</v>
      </c>
      <c r="B630" s="3">
        <v>34250</v>
      </c>
      <c r="C630" s="3">
        <v>60350</v>
      </c>
      <c r="D630" s="3">
        <v>30450</v>
      </c>
      <c r="E630" s="3">
        <v>37500</v>
      </c>
      <c r="F630">
        <f t="shared" si="75"/>
        <v>1210617</v>
      </c>
      <c r="G630" s="3">
        <f t="shared" si="76"/>
        <v>34250</v>
      </c>
      <c r="H630" s="3">
        <f t="shared" si="77"/>
        <v>60350</v>
      </c>
      <c r="I630" s="3">
        <f t="shared" si="78"/>
        <v>30450</v>
      </c>
      <c r="J630" s="3">
        <f t="shared" si="79"/>
        <v>37500</v>
      </c>
      <c r="K630" s="5">
        <f t="shared" si="80"/>
        <v>162550</v>
      </c>
      <c r="L630" s="5">
        <f t="shared" si="81"/>
        <v>164101.9</v>
      </c>
      <c r="M630" s="5">
        <f t="shared" si="82"/>
        <v>-1551.8999999999942</v>
      </c>
      <c r="N630" s="3"/>
    </row>
    <row r="631" spans="1:14" x14ac:dyDescent="0.25">
      <c r="A631" s="2">
        <v>1210618</v>
      </c>
      <c r="B631" s="3">
        <v>32887.5</v>
      </c>
      <c r="C631" s="3">
        <v>64110</v>
      </c>
      <c r="D631" s="3">
        <v>30656.25</v>
      </c>
      <c r="E631" s="3">
        <v>39062.5</v>
      </c>
      <c r="F631">
        <f t="shared" si="75"/>
        <v>1210618</v>
      </c>
      <c r="G631" s="3">
        <f t="shared" si="76"/>
        <v>32887.5</v>
      </c>
      <c r="H631" s="3">
        <f t="shared" si="77"/>
        <v>64110</v>
      </c>
      <c r="I631" s="3">
        <f t="shared" si="78"/>
        <v>30656.25</v>
      </c>
      <c r="J631" s="3">
        <f t="shared" si="79"/>
        <v>39062.5</v>
      </c>
      <c r="K631" s="5">
        <f t="shared" si="80"/>
        <v>166716.25</v>
      </c>
      <c r="L631" s="5">
        <f t="shared" si="81"/>
        <v>166716.25</v>
      </c>
      <c r="M631" s="5">
        <f t="shared" si="82"/>
        <v>0</v>
      </c>
      <c r="N631" s="3"/>
    </row>
    <row r="632" spans="1:14" x14ac:dyDescent="0.25">
      <c r="A632" s="2">
        <v>1210620</v>
      </c>
      <c r="B632" s="3">
        <v>34400</v>
      </c>
      <c r="C632" s="3">
        <v>64170</v>
      </c>
      <c r="D632" s="3">
        <v>30600</v>
      </c>
      <c r="E632" s="3">
        <v>36328.1</v>
      </c>
      <c r="F632">
        <f t="shared" si="75"/>
        <v>1210620</v>
      </c>
      <c r="G632" s="3">
        <f t="shared" si="76"/>
        <v>34400</v>
      </c>
      <c r="H632" s="3">
        <f t="shared" si="77"/>
        <v>64170</v>
      </c>
      <c r="I632" s="3">
        <f t="shared" si="78"/>
        <v>30600</v>
      </c>
      <c r="J632" s="3">
        <f t="shared" si="79"/>
        <v>36328.1</v>
      </c>
      <c r="K632" s="5">
        <f t="shared" si="80"/>
        <v>165498.1</v>
      </c>
      <c r="L632" s="5">
        <f t="shared" si="81"/>
        <v>166716.25</v>
      </c>
      <c r="M632" s="5">
        <f t="shared" si="82"/>
        <v>-1218.1499999999942</v>
      </c>
      <c r="N632" s="3"/>
    </row>
    <row r="633" spans="1:14" x14ac:dyDescent="0.25">
      <c r="A633" s="2">
        <v>1210621</v>
      </c>
      <c r="B633" s="3">
        <v>34812.5</v>
      </c>
      <c r="C633" s="3">
        <v>63600</v>
      </c>
      <c r="D633" s="3">
        <v>30493.75</v>
      </c>
      <c r="E633" s="3">
        <v>38593.75</v>
      </c>
      <c r="F633">
        <f t="shared" si="75"/>
        <v>1210621</v>
      </c>
      <c r="G633" s="3">
        <f t="shared" si="76"/>
        <v>34812.5</v>
      </c>
      <c r="H633" s="3">
        <f t="shared" si="77"/>
        <v>63600</v>
      </c>
      <c r="I633" s="3">
        <f t="shared" si="78"/>
        <v>30493.75</v>
      </c>
      <c r="J633" s="3">
        <f t="shared" si="79"/>
        <v>38593.75</v>
      </c>
      <c r="K633" s="5">
        <f t="shared" si="80"/>
        <v>167500</v>
      </c>
      <c r="L633" s="5">
        <f t="shared" si="81"/>
        <v>167500</v>
      </c>
      <c r="M633" s="5">
        <f t="shared" si="82"/>
        <v>0</v>
      </c>
      <c r="N633" s="3"/>
    </row>
    <row r="634" spans="1:14" x14ac:dyDescent="0.25">
      <c r="A634" s="2">
        <v>1210622</v>
      </c>
      <c r="B634" s="3">
        <v>34493.75</v>
      </c>
      <c r="C634" s="3">
        <v>63940</v>
      </c>
      <c r="D634" s="3">
        <v>30450</v>
      </c>
      <c r="E634" s="3">
        <v>37343.75</v>
      </c>
      <c r="F634">
        <f t="shared" si="75"/>
        <v>1210622</v>
      </c>
      <c r="G634" s="3">
        <f t="shared" si="76"/>
        <v>34493.75</v>
      </c>
      <c r="H634" s="3">
        <f t="shared" si="77"/>
        <v>63940</v>
      </c>
      <c r="I634" s="3">
        <f t="shared" si="78"/>
        <v>30450</v>
      </c>
      <c r="J634" s="3">
        <f t="shared" si="79"/>
        <v>37343.75</v>
      </c>
      <c r="K634" s="5">
        <f t="shared" si="80"/>
        <v>166227.5</v>
      </c>
      <c r="L634" s="5">
        <f t="shared" si="81"/>
        <v>167500</v>
      </c>
      <c r="M634" s="5">
        <f t="shared" si="82"/>
        <v>-1272.5</v>
      </c>
      <c r="N634" s="3"/>
    </row>
    <row r="635" spans="1:14" x14ac:dyDescent="0.25">
      <c r="A635" s="2">
        <v>1210623</v>
      </c>
      <c r="B635" s="3">
        <v>33931.25</v>
      </c>
      <c r="C635" s="3">
        <v>62210</v>
      </c>
      <c r="D635" s="3">
        <v>30800</v>
      </c>
      <c r="E635" s="3">
        <v>36875</v>
      </c>
      <c r="F635">
        <f t="shared" si="75"/>
        <v>1210623</v>
      </c>
      <c r="G635" s="3">
        <f t="shared" si="76"/>
        <v>33931.25</v>
      </c>
      <c r="H635" s="3">
        <f t="shared" si="77"/>
        <v>62210</v>
      </c>
      <c r="I635" s="3">
        <f t="shared" si="78"/>
        <v>30800</v>
      </c>
      <c r="J635" s="3">
        <f t="shared" si="79"/>
        <v>36875</v>
      </c>
      <c r="K635" s="5">
        <f t="shared" si="80"/>
        <v>163816.25</v>
      </c>
      <c r="L635" s="5">
        <f t="shared" si="81"/>
        <v>166227.5</v>
      </c>
      <c r="M635" s="5">
        <f t="shared" si="82"/>
        <v>-2411.25</v>
      </c>
      <c r="N635" s="3"/>
    </row>
    <row r="636" spans="1:14" x14ac:dyDescent="0.25">
      <c r="A636" s="2">
        <v>1210624</v>
      </c>
      <c r="B636" s="3">
        <v>33812.5</v>
      </c>
      <c r="C636" s="3">
        <v>61170</v>
      </c>
      <c r="D636" s="3">
        <v>30437.5</v>
      </c>
      <c r="E636" s="3">
        <v>36484.400000000001</v>
      </c>
      <c r="F636">
        <f t="shared" si="75"/>
        <v>1210624</v>
      </c>
      <c r="G636" s="3">
        <f t="shared" si="76"/>
        <v>33812.5</v>
      </c>
      <c r="H636" s="3">
        <f t="shared" si="77"/>
        <v>61170</v>
      </c>
      <c r="I636" s="3">
        <f t="shared" si="78"/>
        <v>30437.5</v>
      </c>
      <c r="J636" s="3">
        <f t="shared" si="79"/>
        <v>36484.400000000001</v>
      </c>
      <c r="K636" s="5">
        <f t="shared" si="80"/>
        <v>161904.4</v>
      </c>
      <c r="L636" s="5">
        <f t="shared" si="81"/>
        <v>163816.25</v>
      </c>
      <c r="M636" s="5">
        <f t="shared" si="82"/>
        <v>-1911.8500000000058</v>
      </c>
      <c r="N636" s="3"/>
    </row>
    <row r="637" spans="1:14" x14ac:dyDescent="0.25">
      <c r="A637" s="2">
        <v>1210625</v>
      </c>
      <c r="B637" s="3">
        <v>33868.75</v>
      </c>
      <c r="C637" s="3">
        <v>61350</v>
      </c>
      <c r="D637" s="3">
        <v>30050</v>
      </c>
      <c r="E637" s="3">
        <v>35468.75</v>
      </c>
      <c r="F637">
        <f t="shared" si="75"/>
        <v>1210625</v>
      </c>
      <c r="G637" s="3">
        <f t="shared" si="76"/>
        <v>33868.75</v>
      </c>
      <c r="H637" s="3">
        <f t="shared" si="77"/>
        <v>61350</v>
      </c>
      <c r="I637" s="3">
        <f t="shared" si="78"/>
        <v>30050</v>
      </c>
      <c r="J637" s="3">
        <f t="shared" si="79"/>
        <v>35468.75</v>
      </c>
      <c r="K637" s="5">
        <f t="shared" si="80"/>
        <v>160737.5</v>
      </c>
      <c r="L637" s="5">
        <f t="shared" si="81"/>
        <v>161904.4</v>
      </c>
      <c r="M637" s="5">
        <f t="shared" si="82"/>
        <v>-1166.8999999999942</v>
      </c>
      <c r="N637" s="3"/>
    </row>
    <row r="638" spans="1:14" x14ac:dyDescent="0.25">
      <c r="A638" s="2">
        <v>1210627</v>
      </c>
      <c r="B638" s="3">
        <v>34287.5</v>
      </c>
      <c r="C638" s="3">
        <v>61870</v>
      </c>
      <c r="D638" s="3">
        <v>29718.75</v>
      </c>
      <c r="E638" s="3">
        <v>35781.25</v>
      </c>
      <c r="F638">
        <f t="shared" si="75"/>
        <v>1210627</v>
      </c>
      <c r="G638" s="3">
        <f t="shared" si="76"/>
        <v>34287.5</v>
      </c>
      <c r="H638" s="3">
        <f t="shared" si="77"/>
        <v>61870</v>
      </c>
      <c r="I638" s="3">
        <f t="shared" si="78"/>
        <v>29718.75</v>
      </c>
      <c r="J638" s="3">
        <f t="shared" si="79"/>
        <v>35781.25</v>
      </c>
      <c r="K638" s="5">
        <f t="shared" si="80"/>
        <v>161657.5</v>
      </c>
      <c r="L638" s="5">
        <f t="shared" si="81"/>
        <v>161657.5</v>
      </c>
      <c r="M638" s="5">
        <f t="shared" si="82"/>
        <v>0</v>
      </c>
      <c r="N638" s="3"/>
    </row>
    <row r="639" spans="1:14" x14ac:dyDescent="0.25">
      <c r="A639" s="2">
        <v>1210628</v>
      </c>
      <c r="B639" s="3">
        <v>34187.5</v>
      </c>
      <c r="C639" s="3">
        <v>61500</v>
      </c>
      <c r="D639" s="3">
        <v>29625</v>
      </c>
      <c r="E639" s="3">
        <v>35859.4</v>
      </c>
      <c r="F639">
        <f t="shared" si="75"/>
        <v>1210628</v>
      </c>
      <c r="G639" s="3">
        <f t="shared" si="76"/>
        <v>34187.5</v>
      </c>
      <c r="H639" s="3">
        <f t="shared" si="77"/>
        <v>61500</v>
      </c>
      <c r="I639" s="3">
        <f t="shared" si="78"/>
        <v>29625</v>
      </c>
      <c r="J639" s="3">
        <f t="shared" si="79"/>
        <v>35859.4</v>
      </c>
      <c r="K639" s="5">
        <f t="shared" si="80"/>
        <v>161171.9</v>
      </c>
      <c r="L639" s="5">
        <f t="shared" si="81"/>
        <v>161657.5</v>
      </c>
      <c r="M639" s="5">
        <f t="shared" si="82"/>
        <v>-485.60000000000582</v>
      </c>
      <c r="N639" s="3"/>
    </row>
    <row r="640" spans="1:14" x14ac:dyDescent="0.25">
      <c r="A640" s="2">
        <v>1210629</v>
      </c>
      <c r="B640" s="3">
        <v>33762.5</v>
      </c>
      <c r="C640" s="3">
        <v>61630</v>
      </c>
      <c r="D640" s="3">
        <v>29437.5</v>
      </c>
      <c r="E640" s="3">
        <v>36093.75</v>
      </c>
      <c r="F640">
        <f t="shared" si="75"/>
        <v>1210629</v>
      </c>
      <c r="G640" s="3">
        <f t="shared" si="76"/>
        <v>33762.5</v>
      </c>
      <c r="H640" s="3">
        <f t="shared" si="77"/>
        <v>61630</v>
      </c>
      <c r="I640" s="3">
        <f t="shared" si="78"/>
        <v>29437.5</v>
      </c>
      <c r="J640" s="3">
        <f t="shared" si="79"/>
        <v>36093.75</v>
      </c>
      <c r="K640" s="5">
        <f t="shared" si="80"/>
        <v>160923.75</v>
      </c>
      <c r="L640" s="5">
        <f t="shared" si="81"/>
        <v>161171.9</v>
      </c>
      <c r="M640" s="5">
        <f t="shared" si="82"/>
        <v>-248.14999999999418</v>
      </c>
      <c r="N640" s="3"/>
    </row>
    <row r="641" spans="1:14" x14ac:dyDescent="0.25">
      <c r="A641" s="2">
        <v>1210630</v>
      </c>
      <c r="B641" s="3">
        <v>33387.5</v>
      </c>
      <c r="C641" s="3">
        <v>62720</v>
      </c>
      <c r="D641" s="3">
        <v>29518.75</v>
      </c>
      <c r="E641" s="3">
        <v>34375</v>
      </c>
      <c r="F641">
        <f t="shared" si="75"/>
        <v>1210630</v>
      </c>
      <c r="G641" s="3">
        <f t="shared" si="76"/>
        <v>33387.5</v>
      </c>
      <c r="H641" s="3">
        <f t="shared" si="77"/>
        <v>62720</v>
      </c>
      <c r="I641" s="3">
        <f t="shared" si="78"/>
        <v>29518.75</v>
      </c>
      <c r="J641" s="3">
        <f t="shared" si="79"/>
        <v>34375</v>
      </c>
      <c r="K641" s="5">
        <f t="shared" si="80"/>
        <v>160001.25</v>
      </c>
      <c r="L641" s="5">
        <f t="shared" si="81"/>
        <v>160923.75</v>
      </c>
      <c r="M641" s="5">
        <f t="shared" si="82"/>
        <v>-922.5</v>
      </c>
      <c r="N641" s="3"/>
    </row>
    <row r="642" spans="1:14" x14ac:dyDescent="0.25">
      <c r="A642" s="2">
        <v>1210701</v>
      </c>
      <c r="B642" s="3">
        <v>33318.75</v>
      </c>
      <c r="C642" s="3">
        <v>61060</v>
      </c>
      <c r="D642" s="3">
        <v>29968.75</v>
      </c>
      <c r="E642" s="3">
        <v>34609.4</v>
      </c>
      <c r="F642">
        <f t="shared" si="75"/>
        <v>1210701</v>
      </c>
      <c r="G642" s="3">
        <f t="shared" si="76"/>
        <v>33318.75</v>
      </c>
      <c r="H642" s="3">
        <f t="shared" si="77"/>
        <v>61060</v>
      </c>
      <c r="I642" s="3">
        <f t="shared" si="78"/>
        <v>29968.75</v>
      </c>
      <c r="J642" s="3">
        <f t="shared" si="79"/>
        <v>34609.4</v>
      </c>
      <c r="K642" s="5">
        <f t="shared" si="80"/>
        <v>158956.9</v>
      </c>
      <c r="L642" s="5">
        <f t="shared" si="81"/>
        <v>160001.25</v>
      </c>
      <c r="M642" s="5">
        <f t="shared" si="82"/>
        <v>-1044.3500000000058</v>
      </c>
      <c r="N642" s="3"/>
    </row>
    <row r="643" spans="1:14" x14ac:dyDescent="0.25">
      <c r="A643" s="2">
        <v>1210702</v>
      </c>
      <c r="B643" s="3">
        <v>33500</v>
      </c>
      <c r="C643" s="3">
        <v>60760</v>
      </c>
      <c r="D643" s="3">
        <v>30450</v>
      </c>
      <c r="E643" s="3">
        <v>32734.400000000001</v>
      </c>
      <c r="F643">
        <f t="shared" si="75"/>
        <v>1210702</v>
      </c>
      <c r="G643" s="3">
        <f t="shared" si="76"/>
        <v>33500</v>
      </c>
      <c r="H643" s="3">
        <f t="shared" si="77"/>
        <v>60760</v>
      </c>
      <c r="I643" s="3">
        <f t="shared" si="78"/>
        <v>30450</v>
      </c>
      <c r="J643" s="3">
        <f t="shared" si="79"/>
        <v>32734.400000000001</v>
      </c>
      <c r="K643" s="5">
        <f t="shared" si="80"/>
        <v>157444.4</v>
      </c>
      <c r="L643" s="5">
        <f t="shared" si="81"/>
        <v>158956.9</v>
      </c>
      <c r="M643" s="5">
        <f t="shared" si="82"/>
        <v>-1512.5</v>
      </c>
      <c r="N643" s="3"/>
    </row>
    <row r="644" spans="1:14" x14ac:dyDescent="0.25">
      <c r="A644" s="2">
        <v>1210704</v>
      </c>
      <c r="B644" s="3">
        <v>34137.5</v>
      </c>
      <c r="C644" s="3">
        <v>61850</v>
      </c>
      <c r="D644" s="3">
        <v>30525</v>
      </c>
      <c r="E644" s="3">
        <v>28750</v>
      </c>
      <c r="F644">
        <f t="shared" si="75"/>
        <v>1210704</v>
      </c>
      <c r="G644" s="3">
        <f t="shared" si="76"/>
        <v>34137.5</v>
      </c>
      <c r="H644" s="3">
        <f t="shared" si="77"/>
        <v>61850</v>
      </c>
      <c r="I644" s="3">
        <f t="shared" si="78"/>
        <v>30525</v>
      </c>
      <c r="J644" s="3">
        <f t="shared" si="79"/>
        <v>28750</v>
      </c>
      <c r="K644" s="5">
        <f t="shared" si="80"/>
        <v>155262.5</v>
      </c>
      <c r="L644" s="5">
        <f t="shared" si="81"/>
        <v>157444.4</v>
      </c>
      <c r="M644" s="5">
        <f t="shared" si="82"/>
        <v>-2181.8999999999942</v>
      </c>
      <c r="N644" s="3"/>
    </row>
    <row r="645" spans="1:14" x14ac:dyDescent="0.25">
      <c r="A645" s="2">
        <v>1210705</v>
      </c>
      <c r="B645" s="3">
        <v>34137.5</v>
      </c>
      <c r="C645" s="3">
        <v>61850</v>
      </c>
      <c r="D645" s="3">
        <v>30531.25</v>
      </c>
      <c r="E645" s="3">
        <v>28984.400000000001</v>
      </c>
      <c r="F645">
        <f t="shared" si="75"/>
        <v>1210705</v>
      </c>
      <c r="G645" s="3">
        <f t="shared" si="76"/>
        <v>34137.5</v>
      </c>
      <c r="H645" s="3">
        <f t="shared" si="77"/>
        <v>61850</v>
      </c>
      <c r="I645" s="3">
        <f t="shared" si="78"/>
        <v>30531.25</v>
      </c>
      <c r="J645" s="3">
        <f t="shared" si="79"/>
        <v>28984.400000000001</v>
      </c>
      <c r="K645" s="5">
        <f t="shared" si="80"/>
        <v>155503.15</v>
      </c>
      <c r="L645" s="5">
        <f t="shared" si="81"/>
        <v>155503.15</v>
      </c>
      <c r="M645" s="5">
        <f t="shared" si="82"/>
        <v>0</v>
      </c>
      <c r="N645" s="3"/>
    </row>
    <row r="646" spans="1:14" x14ac:dyDescent="0.25">
      <c r="A646" s="2">
        <v>1210706</v>
      </c>
      <c r="B646" s="3">
        <v>34087.5</v>
      </c>
      <c r="C646" s="3">
        <v>62270</v>
      </c>
      <c r="D646" s="3">
        <v>30831.25</v>
      </c>
      <c r="E646" s="3">
        <v>28906.25</v>
      </c>
      <c r="F646">
        <f t="shared" si="75"/>
        <v>1210706</v>
      </c>
      <c r="G646" s="3">
        <f t="shared" si="76"/>
        <v>34087.5</v>
      </c>
      <c r="H646" s="3">
        <f t="shared" si="77"/>
        <v>62270</v>
      </c>
      <c r="I646" s="3">
        <f t="shared" si="78"/>
        <v>30831.25</v>
      </c>
      <c r="J646" s="3">
        <f t="shared" si="79"/>
        <v>28906.25</v>
      </c>
      <c r="K646" s="5">
        <f t="shared" si="80"/>
        <v>156095</v>
      </c>
      <c r="L646" s="5">
        <f t="shared" si="81"/>
        <v>156095</v>
      </c>
      <c r="M646" s="5">
        <f t="shared" si="82"/>
        <v>0</v>
      </c>
      <c r="N646" s="3"/>
    </row>
    <row r="647" spans="1:14" x14ac:dyDescent="0.25">
      <c r="A647" s="2">
        <v>1210707</v>
      </c>
      <c r="B647" s="3">
        <v>33975</v>
      </c>
      <c r="C647" s="3">
        <v>63640</v>
      </c>
      <c r="D647" s="3">
        <v>31150</v>
      </c>
      <c r="E647" s="3">
        <v>30234.400000000001</v>
      </c>
      <c r="F647">
        <f t="shared" si="75"/>
        <v>1210707</v>
      </c>
      <c r="G647" s="3">
        <f t="shared" si="76"/>
        <v>33975</v>
      </c>
      <c r="H647" s="3">
        <f t="shared" si="77"/>
        <v>63640</v>
      </c>
      <c r="I647" s="3">
        <f t="shared" si="78"/>
        <v>31150</v>
      </c>
      <c r="J647" s="3">
        <f t="shared" si="79"/>
        <v>30234.400000000001</v>
      </c>
      <c r="K647" s="5">
        <f t="shared" si="80"/>
        <v>158999.4</v>
      </c>
      <c r="L647" s="5">
        <f t="shared" si="81"/>
        <v>158999.4</v>
      </c>
      <c r="M647" s="5">
        <f t="shared" si="82"/>
        <v>0</v>
      </c>
      <c r="N647" s="3"/>
    </row>
    <row r="648" spans="1:14" x14ac:dyDescent="0.25">
      <c r="A648" s="2">
        <v>1210708</v>
      </c>
      <c r="B648" s="3">
        <v>33518.75</v>
      </c>
      <c r="C648" s="3">
        <v>62680</v>
      </c>
      <c r="D648" s="3">
        <v>30706.25</v>
      </c>
      <c r="E648" s="3">
        <v>31640.6</v>
      </c>
      <c r="F648">
        <f t="shared" si="75"/>
        <v>1210708</v>
      </c>
      <c r="G648" s="3">
        <f t="shared" si="76"/>
        <v>33518.75</v>
      </c>
      <c r="H648" s="3">
        <f t="shared" si="77"/>
        <v>62680</v>
      </c>
      <c r="I648" s="3">
        <f t="shared" si="78"/>
        <v>30706.25</v>
      </c>
      <c r="J648" s="3">
        <f t="shared" si="79"/>
        <v>31640.6</v>
      </c>
      <c r="K648" s="5">
        <f t="shared" si="80"/>
        <v>158545.60000000001</v>
      </c>
      <c r="L648" s="5">
        <f t="shared" si="81"/>
        <v>158999.4</v>
      </c>
      <c r="M648" s="5">
        <f t="shared" si="82"/>
        <v>-453.79999999998836</v>
      </c>
      <c r="N648" s="3"/>
    </row>
    <row r="649" spans="1:14" x14ac:dyDescent="0.25">
      <c r="A649" s="2">
        <v>1210709</v>
      </c>
      <c r="B649" s="3">
        <v>32850</v>
      </c>
      <c r="C649" s="3">
        <v>63480</v>
      </c>
      <c r="D649" s="3">
        <v>31262.5</v>
      </c>
      <c r="E649" s="3">
        <v>31250</v>
      </c>
      <c r="F649">
        <f t="shared" si="75"/>
        <v>1210709</v>
      </c>
      <c r="G649" s="3">
        <f t="shared" si="76"/>
        <v>32850</v>
      </c>
      <c r="H649" s="3">
        <f t="shared" si="77"/>
        <v>63480</v>
      </c>
      <c r="I649" s="3">
        <f t="shared" si="78"/>
        <v>31262.5</v>
      </c>
      <c r="J649" s="3">
        <f t="shared" si="79"/>
        <v>31250</v>
      </c>
      <c r="K649" s="5">
        <f t="shared" si="80"/>
        <v>158842.5</v>
      </c>
      <c r="L649" s="5">
        <f t="shared" si="81"/>
        <v>158842.5</v>
      </c>
      <c r="M649" s="5">
        <f t="shared" si="82"/>
        <v>0</v>
      </c>
      <c r="N649" s="3"/>
    </row>
    <row r="650" spans="1:14" x14ac:dyDescent="0.25">
      <c r="A650" s="2">
        <v>1210711</v>
      </c>
      <c r="B650" s="3">
        <v>33362.5</v>
      </c>
      <c r="C650" s="3">
        <v>62950</v>
      </c>
      <c r="D650" s="3">
        <v>31156.25</v>
      </c>
      <c r="E650" s="3">
        <v>31171.9</v>
      </c>
      <c r="F650">
        <f t="shared" si="75"/>
        <v>1210711</v>
      </c>
      <c r="G650" s="3">
        <f t="shared" si="76"/>
        <v>33362.5</v>
      </c>
      <c r="H650" s="3">
        <f t="shared" si="77"/>
        <v>62950</v>
      </c>
      <c r="I650" s="3">
        <f t="shared" si="78"/>
        <v>31156.25</v>
      </c>
      <c r="J650" s="3">
        <f t="shared" si="79"/>
        <v>31171.9</v>
      </c>
      <c r="K650" s="5">
        <f t="shared" si="80"/>
        <v>158640.65</v>
      </c>
      <c r="L650" s="5">
        <f t="shared" si="81"/>
        <v>158842.5</v>
      </c>
      <c r="M650" s="5">
        <f t="shared" si="82"/>
        <v>-201.85000000000582</v>
      </c>
      <c r="N650" s="3"/>
    </row>
    <row r="651" spans="1:14" x14ac:dyDescent="0.25">
      <c r="A651" s="2">
        <v>1210712</v>
      </c>
      <c r="B651" s="3">
        <v>33150</v>
      </c>
      <c r="C651" s="3">
        <v>62950</v>
      </c>
      <c r="D651" s="3">
        <v>31137.5</v>
      </c>
      <c r="E651" s="3">
        <v>31093.75</v>
      </c>
      <c r="F651">
        <f t="shared" si="75"/>
        <v>1210712</v>
      </c>
      <c r="G651" s="3">
        <f t="shared" si="76"/>
        <v>33150</v>
      </c>
      <c r="H651" s="3">
        <f t="shared" si="77"/>
        <v>62950</v>
      </c>
      <c r="I651" s="3">
        <f t="shared" si="78"/>
        <v>31137.5</v>
      </c>
      <c r="J651" s="3">
        <f t="shared" si="79"/>
        <v>31093.75</v>
      </c>
      <c r="K651" s="5">
        <f t="shared" si="80"/>
        <v>158331.25</v>
      </c>
      <c r="L651" s="5">
        <f t="shared" si="81"/>
        <v>158640.65</v>
      </c>
      <c r="M651" s="5">
        <f t="shared" si="82"/>
        <v>-309.39999999999418</v>
      </c>
      <c r="N651" s="3"/>
    </row>
    <row r="652" spans="1:14" x14ac:dyDescent="0.25">
      <c r="A652" s="2">
        <v>1210713</v>
      </c>
      <c r="B652" s="3">
        <v>33650</v>
      </c>
      <c r="C652" s="3">
        <v>61850</v>
      </c>
      <c r="D652" s="3">
        <v>31393.75</v>
      </c>
      <c r="E652" s="3">
        <v>31640.6</v>
      </c>
      <c r="F652">
        <f t="shared" si="75"/>
        <v>1210713</v>
      </c>
      <c r="G652" s="3">
        <f t="shared" si="76"/>
        <v>33650</v>
      </c>
      <c r="H652" s="3">
        <f t="shared" si="77"/>
        <v>61850</v>
      </c>
      <c r="I652" s="3">
        <f t="shared" si="78"/>
        <v>31393.75</v>
      </c>
      <c r="J652" s="3">
        <f t="shared" si="79"/>
        <v>31640.6</v>
      </c>
      <c r="K652" s="5">
        <f t="shared" si="80"/>
        <v>158534.35</v>
      </c>
      <c r="L652" s="5">
        <f t="shared" si="81"/>
        <v>158534.35</v>
      </c>
      <c r="M652" s="5">
        <f t="shared" si="82"/>
        <v>0</v>
      </c>
      <c r="N652" s="3"/>
    </row>
    <row r="653" spans="1:14" x14ac:dyDescent="0.25">
      <c r="A653" s="2">
        <v>1210714</v>
      </c>
      <c r="B653" s="3">
        <v>33550</v>
      </c>
      <c r="C653" s="3">
        <v>60030</v>
      </c>
      <c r="D653" s="3">
        <v>31043.75</v>
      </c>
      <c r="E653" s="3">
        <v>31093.75</v>
      </c>
      <c r="F653">
        <f t="shared" si="75"/>
        <v>1210714</v>
      </c>
      <c r="G653" s="3">
        <f t="shared" si="76"/>
        <v>33550</v>
      </c>
      <c r="H653" s="3">
        <f t="shared" si="77"/>
        <v>60030</v>
      </c>
      <c r="I653" s="3">
        <f t="shared" si="78"/>
        <v>31043.75</v>
      </c>
      <c r="J653" s="3">
        <f t="shared" si="79"/>
        <v>31093.75</v>
      </c>
      <c r="K653" s="5">
        <f t="shared" si="80"/>
        <v>155717.5</v>
      </c>
      <c r="L653" s="5">
        <f t="shared" si="81"/>
        <v>158534.35</v>
      </c>
      <c r="M653" s="5">
        <f t="shared" si="82"/>
        <v>-2816.8500000000058</v>
      </c>
      <c r="N653" s="3"/>
    </row>
    <row r="654" spans="1:14" x14ac:dyDescent="0.25">
      <c r="A654" s="2">
        <v>1210715</v>
      </c>
      <c r="B654" s="3">
        <v>33550</v>
      </c>
      <c r="C654" s="3">
        <v>60870</v>
      </c>
      <c r="D654" s="3">
        <v>31568.75</v>
      </c>
      <c r="E654" s="3">
        <v>32656.25</v>
      </c>
      <c r="F654">
        <f t="shared" si="75"/>
        <v>1210715</v>
      </c>
      <c r="G654" s="3">
        <f t="shared" si="76"/>
        <v>33550</v>
      </c>
      <c r="H654" s="3">
        <f t="shared" si="77"/>
        <v>60870</v>
      </c>
      <c r="I654" s="3">
        <f t="shared" si="78"/>
        <v>31568.75</v>
      </c>
      <c r="J654" s="3">
        <f t="shared" si="79"/>
        <v>32656.25</v>
      </c>
      <c r="K654" s="5">
        <f t="shared" si="80"/>
        <v>158645</v>
      </c>
      <c r="L654" s="5">
        <f t="shared" si="81"/>
        <v>158645</v>
      </c>
      <c r="M654" s="5">
        <f t="shared" si="82"/>
        <v>0</v>
      </c>
      <c r="N654" s="3"/>
    </row>
    <row r="655" spans="1:14" x14ac:dyDescent="0.25">
      <c r="A655" s="2">
        <v>1210716</v>
      </c>
      <c r="B655" s="3">
        <v>33381.25</v>
      </c>
      <c r="C655" s="3">
        <v>61120</v>
      </c>
      <c r="D655" s="3">
        <v>31493.75</v>
      </c>
      <c r="E655" s="3">
        <v>31484.400000000001</v>
      </c>
      <c r="F655">
        <f t="shared" si="75"/>
        <v>1210716</v>
      </c>
      <c r="G655" s="3">
        <f t="shared" si="76"/>
        <v>33381.25</v>
      </c>
      <c r="H655" s="3">
        <f t="shared" si="77"/>
        <v>61120</v>
      </c>
      <c r="I655" s="3">
        <f t="shared" si="78"/>
        <v>31493.75</v>
      </c>
      <c r="J655" s="3">
        <f t="shared" si="79"/>
        <v>31484.400000000001</v>
      </c>
      <c r="K655" s="5">
        <f t="shared" si="80"/>
        <v>157479.4</v>
      </c>
      <c r="L655" s="5">
        <f t="shared" si="81"/>
        <v>158645</v>
      </c>
      <c r="M655" s="5">
        <f t="shared" si="82"/>
        <v>-1165.6000000000058</v>
      </c>
      <c r="N655" s="3"/>
    </row>
    <row r="656" spans="1:14" x14ac:dyDescent="0.25">
      <c r="A656" s="2">
        <v>1210718</v>
      </c>
      <c r="B656" s="3">
        <v>33993.75</v>
      </c>
      <c r="C656" s="3">
        <v>62690</v>
      </c>
      <c r="D656" s="3">
        <v>31468.75</v>
      </c>
      <c r="E656" s="3">
        <v>29921.9</v>
      </c>
      <c r="F656">
        <f t="shared" si="75"/>
        <v>1210718</v>
      </c>
      <c r="G656" s="3">
        <f t="shared" si="76"/>
        <v>33993.75</v>
      </c>
      <c r="H656" s="3">
        <f t="shared" si="77"/>
        <v>62690</v>
      </c>
      <c r="I656" s="3">
        <f t="shared" si="78"/>
        <v>31468.75</v>
      </c>
      <c r="J656" s="3">
        <f t="shared" si="79"/>
        <v>29921.9</v>
      </c>
      <c r="K656" s="5">
        <f t="shared" si="80"/>
        <v>158074.4</v>
      </c>
      <c r="L656" s="5">
        <f t="shared" si="81"/>
        <v>158074.4</v>
      </c>
      <c r="M656" s="5">
        <f t="shared" si="82"/>
        <v>0</v>
      </c>
      <c r="N656" s="3"/>
    </row>
    <row r="657" spans="1:14" x14ac:dyDescent="0.25">
      <c r="A657" s="2">
        <v>1210719</v>
      </c>
      <c r="B657" s="3">
        <v>33993.75</v>
      </c>
      <c r="C657" s="3">
        <v>62600</v>
      </c>
      <c r="D657" s="3">
        <v>31443.75</v>
      </c>
      <c r="E657" s="3">
        <v>29765.599999999999</v>
      </c>
      <c r="F657">
        <f t="shared" si="75"/>
        <v>1210719</v>
      </c>
      <c r="G657" s="3">
        <f t="shared" si="76"/>
        <v>33993.75</v>
      </c>
      <c r="H657" s="3">
        <f t="shared" si="77"/>
        <v>62600</v>
      </c>
      <c r="I657" s="3">
        <f t="shared" si="78"/>
        <v>31443.75</v>
      </c>
      <c r="J657" s="3">
        <f t="shared" si="79"/>
        <v>29765.599999999999</v>
      </c>
      <c r="K657" s="5">
        <f t="shared" si="80"/>
        <v>157803.1</v>
      </c>
      <c r="L657" s="5">
        <f t="shared" si="81"/>
        <v>158074.4</v>
      </c>
      <c r="M657" s="5">
        <f t="shared" si="82"/>
        <v>-271.29999999998836</v>
      </c>
      <c r="N657" s="3"/>
    </row>
    <row r="658" spans="1:14" x14ac:dyDescent="0.25">
      <c r="A658" s="2">
        <v>1210720</v>
      </c>
      <c r="B658" s="3">
        <v>33556.25</v>
      </c>
      <c r="C658" s="3">
        <v>62320</v>
      </c>
      <c r="D658" s="3">
        <v>31912.5</v>
      </c>
      <c r="E658" s="3">
        <v>30859.4</v>
      </c>
      <c r="F658">
        <f t="shared" si="75"/>
        <v>1210720</v>
      </c>
      <c r="G658" s="3">
        <f t="shared" si="76"/>
        <v>33556.25</v>
      </c>
      <c r="H658" s="3">
        <f t="shared" si="77"/>
        <v>62320</v>
      </c>
      <c r="I658" s="3">
        <f t="shared" si="78"/>
        <v>31912.5</v>
      </c>
      <c r="J658" s="3">
        <f t="shared" si="79"/>
        <v>30859.4</v>
      </c>
      <c r="K658" s="5">
        <f t="shared" si="80"/>
        <v>158648.15</v>
      </c>
      <c r="L658" s="5">
        <f t="shared" si="81"/>
        <v>158648.15</v>
      </c>
      <c r="M658" s="5">
        <f t="shared" si="82"/>
        <v>0</v>
      </c>
      <c r="N658" s="3"/>
    </row>
    <row r="659" spans="1:14" x14ac:dyDescent="0.25">
      <c r="A659" s="2">
        <v>1210721</v>
      </c>
      <c r="B659" s="3">
        <v>33425</v>
      </c>
      <c r="C659" s="3">
        <v>60710</v>
      </c>
      <c r="D659" s="3">
        <v>31750</v>
      </c>
      <c r="E659" s="3">
        <v>31328.1</v>
      </c>
      <c r="F659">
        <f t="shared" si="75"/>
        <v>1210721</v>
      </c>
      <c r="G659" s="3">
        <f t="shared" si="76"/>
        <v>33425</v>
      </c>
      <c r="H659" s="3">
        <f t="shared" si="77"/>
        <v>60710</v>
      </c>
      <c r="I659" s="3">
        <f t="shared" si="78"/>
        <v>31750</v>
      </c>
      <c r="J659" s="3">
        <f t="shared" si="79"/>
        <v>31328.1</v>
      </c>
      <c r="K659" s="5">
        <f t="shared" si="80"/>
        <v>157213.1</v>
      </c>
      <c r="L659" s="5">
        <f t="shared" si="81"/>
        <v>158648.15</v>
      </c>
      <c r="M659" s="5">
        <f t="shared" si="82"/>
        <v>-1435.0499999999884</v>
      </c>
      <c r="N659" s="3"/>
    </row>
    <row r="660" spans="1:14" x14ac:dyDescent="0.25">
      <c r="A660" s="2">
        <v>1210722</v>
      </c>
      <c r="B660" s="3">
        <v>34500</v>
      </c>
      <c r="C660" s="3">
        <v>61080</v>
      </c>
      <c r="D660" s="3">
        <v>32031.25</v>
      </c>
      <c r="E660" s="3">
        <v>30703.1</v>
      </c>
      <c r="F660">
        <f t="shared" si="75"/>
        <v>1210722</v>
      </c>
      <c r="G660" s="3">
        <f t="shared" si="76"/>
        <v>34500</v>
      </c>
      <c r="H660" s="3">
        <f t="shared" si="77"/>
        <v>61080</v>
      </c>
      <c r="I660" s="3">
        <f t="shared" si="78"/>
        <v>32031.25</v>
      </c>
      <c r="J660" s="3">
        <f t="shared" si="79"/>
        <v>30703.1</v>
      </c>
      <c r="K660" s="5">
        <f t="shared" si="80"/>
        <v>158314.35</v>
      </c>
      <c r="L660" s="5">
        <f t="shared" si="81"/>
        <v>158314.35</v>
      </c>
      <c r="M660" s="5">
        <f t="shared" si="82"/>
        <v>0</v>
      </c>
      <c r="N660" s="3"/>
    </row>
    <row r="661" spans="1:14" x14ac:dyDescent="0.25">
      <c r="A661" s="2">
        <v>1210723</v>
      </c>
      <c r="B661" s="3">
        <v>34075</v>
      </c>
      <c r="C661" s="3">
        <v>60460</v>
      </c>
      <c r="D661" s="3">
        <v>31831.25</v>
      </c>
      <c r="E661" s="3">
        <v>29609.4</v>
      </c>
      <c r="F661">
        <f t="shared" si="75"/>
        <v>1210723</v>
      </c>
      <c r="G661" s="3">
        <f t="shared" si="76"/>
        <v>34075</v>
      </c>
      <c r="H661" s="3">
        <f t="shared" si="77"/>
        <v>60460</v>
      </c>
      <c r="I661" s="3">
        <f t="shared" si="78"/>
        <v>31831.25</v>
      </c>
      <c r="J661" s="3">
        <f t="shared" si="79"/>
        <v>29609.4</v>
      </c>
      <c r="K661" s="5">
        <f t="shared" si="80"/>
        <v>155975.65</v>
      </c>
      <c r="L661" s="5">
        <f t="shared" si="81"/>
        <v>158314.35</v>
      </c>
      <c r="M661" s="5">
        <f t="shared" si="82"/>
        <v>-2338.7000000000116</v>
      </c>
      <c r="N661" s="3"/>
    </row>
    <row r="662" spans="1:14" x14ac:dyDescent="0.25">
      <c r="A662" s="2">
        <v>1210725</v>
      </c>
      <c r="B662" s="3">
        <v>34900</v>
      </c>
      <c r="C662" s="3">
        <v>60290</v>
      </c>
      <c r="D662" s="3">
        <v>31625</v>
      </c>
      <c r="E662" s="3">
        <v>28203.1</v>
      </c>
      <c r="F662">
        <f t="shared" si="75"/>
        <v>1210725</v>
      </c>
      <c r="G662" s="3">
        <f t="shared" si="76"/>
        <v>34900</v>
      </c>
      <c r="H662" s="3">
        <f t="shared" si="77"/>
        <v>60290</v>
      </c>
      <c r="I662" s="3">
        <f t="shared" si="78"/>
        <v>31625</v>
      </c>
      <c r="J662" s="3">
        <f t="shared" si="79"/>
        <v>28203.1</v>
      </c>
      <c r="K662" s="5">
        <f t="shared" si="80"/>
        <v>155018.1</v>
      </c>
      <c r="L662" s="5">
        <f t="shared" si="81"/>
        <v>155975.65</v>
      </c>
      <c r="M662" s="5">
        <f t="shared" si="82"/>
        <v>-957.54999999998836</v>
      </c>
      <c r="N662" s="3"/>
    </row>
    <row r="663" spans="1:14" x14ac:dyDescent="0.25">
      <c r="A663" s="2">
        <v>1210726</v>
      </c>
      <c r="B663" s="3">
        <v>34900</v>
      </c>
      <c r="C663" s="3">
        <v>59690</v>
      </c>
      <c r="D663" s="3">
        <v>31412.5</v>
      </c>
      <c r="E663" s="3">
        <v>27421.9</v>
      </c>
      <c r="F663">
        <f t="shared" si="75"/>
        <v>1210726</v>
      </c>
      <c r="G663" s="3">
        <f t="shared" si="76"/>
        <v>34900</v>
      </c>
      <c r="H663" s="3">
        <f t="shared" si="77"/>
        <v>59690</v>
      </c>
      <c r="I663" s="3">
        <f t="shared" si="78"/>
        <v>31412.5</v>
      </c>
      <c r="J663" s="3">
        <f t="shared" si="79"/>
        <v>27421.9</v>
      </c>
      <c r="K663" s="5">
        <f t="shared" si="80"/>
        <v>153424.4</v>
      </c>
      <c r="L663" s="5">
        <f t="shared" si="81"/>
        <v>155018.1</v>
      </c>
      <c r="M663" s="5">
        <f t="shared" si="82"/>
        <v>-1593.7000000000116</v>
      </c>
      <c r="N663" s="3"/>
    </row>
    <row r="664" spans="1:14" x14ac:dyDescent="0.25">
      <c r="A664" s="2">
        <v>1210727</v>
      </c>
      <c r="B664" s="3">
        <v>34918.75</v>
      </c>
      <c r="C664" s="3">
        <v>60180</v>
      </c>
      <c r="D664" s="3">
        <v>31287.5</v>
      </c>
      <c r="E664" s="3">
        <v>28203.1</v>
      </c>
      <c r="F664">
        <f t="shared" si="75"/>
        <v>1210727</v>
      </c>
      <c r="G664" s="3">
        <f t="shared" si="76"/>
        <v>34918.75</v>
      </c>
      <c r="H664" s="3">
        <f t="shared" si="77"/>
        <v>60180</v>
      </c>
      <c r="I664" s="3">
        <f t="shared" si="78"/>
        <v>31287.5</v>
      </c>
      <c r="J664" s="3">
        <f t="shared" si="79"/>
        <v>28203.1</v>
      </c>
      <c r="K664" s="5">
        <f t="shared" si="80"/>
        <v>154589.35</v>
      </c>
      <c r="L664" s="5">
        <f t="shared" si="81"/>
        <v>154589.35</v>
      </c>
      <c r="M664" s="5">
        <f t="shared" si="82"/>
        <v>0</v>
      </c>
      <c r="N664" s="3"/>
    </row>
    <row r="665" spans="1:14" x14ac:dyDescent="0.25">
      <c r="A665" s="2">
        <v>1210728</v>
      </c>
      <c r="B665" s="3">
        <v>34575</v>
      </c>
      <c r="C665" s="3">
        <v>60520</v>
      </c>
      <c r="D665" s="3">
        <v>31243.75</v>
      </c>
      <c r="E665" s="3">
        <v>26250</v>
      </c>
      <c r="F665">
        <f t="shared" ref="F665:F728" si="83">+A665</f>
        <v>1210728</v>
      </c>
      <c r="G665" s="3">
        <f t="shared" si="76"/>
        <v>34575</v>
      </c>
      <c r="H665" s="3">
        <f t="shared" si="77"/>
        <v>60520</v>
      </c>
      <c r="I665" s="3">
        <f t="shared" si="78"/>
        <v>31243.75</v>
      </c>
      <c r="J665" s="3">
        <f t="shared" si="79"/>
        <v>26250</v>
      </c>
      <c r="K665" s="5">
        <f t="shared" si="80"/>
        <v>152588.75</v>
      </c>
      <c r="L665" s="5">
        <f t="shared" si="81"/>
        <v>154589.35</v>
      </c>
      <c r="M665" s="5">
        <f t="shared" si="82"/>
        <v>-2000.6000000000058</v>
      </c>
      <c r="N665" s="3"/>
    </row>
    <row r="666" spans="1:14" x14ac:dyDescent="0.25">
      <c r="A666" s="2">
        <v>1210729</v>
      </c>
      <c r="B666" s="3">
        <v>33312.5</v>
      </c>
      <c r="C666" s="3">
        <v>58550</v>
      </c>
      <c r="D666" s="3">
        <v>30793.75</v>
      </c>
      <c r="E666" s="3">
        <v>24843.75</v>
      </c>
      <c r="F666">
        <f t="shared" si="83"/>
        <v>1210729</v>
      </c>
      <c r="G666" s="3">
        <f t="shared" ref="G666:G729" si="84">+IF(B666&lt;&gt;0,B666,B665)</f>
        <v>33312.5</v>
      </c>
      <c r="H666" s="3">
        <f t="shared" ref="H666:H729" si="85">+IF(C666&lt;&gt;0,C666,C665)</f>
        <v>58550</v>
      </c>
      <c r="I666" s="3">
        <f t="shared" ref="I666:I729" si="86">+IF(D666&lt;&gt;0,D666,D665)</f>
        <v>30793.75</v>
      </c>
      <c r="J666" s="3">
        <f t="shared" ref="J666:J729" si="87">+IF(E666&lt;&gt;0,E666,E665)</f>
        <v>24843.75</v>
      </c>
      <c r="K666" s="5">
        <f t="shared" ref="K666:K729" si="88">+SUM(G666:J666)</f>
        <v>147500</v>
      </c>
      <c r="L666" s="5">
        <f t="shared" si="81"/>
        <v>152588.75</v>
      </c>
      <c r="M666" s="5">
        <f t="shared" si="82"/>
        <v>-5088.75</v>
      </c>
      <c r="N666" s="3"/>
    </row>
    <row r="667" spans="1:14" x14ac:dyDescent="0.25">
      <c r="A667" s="2">
        <v>1210730</v>
      </c>
      <c r="B667" s="3">
        <v>33900</v>
      </c>
      <c r="C667" s="3">
        <v>58970</v>
      </c>
      <c r="D667" s="3">
        <v>30718.75</v>
      </c>
      <c r="E667" s="3">
        <v>25156.25</v>
      </c>
      <c r="F667">
        <f t="shared" si="83"/>
        <v>1210730</v>
      </c>
      <c r="G667" s="3">
        <f t="shared" si="84"/>
        <v>33900</v>
      </c>
      <c r="H667" s="3">
        <f t="shared" si="85"/>
        <v>58970</v>
      </c>
      <c r="I667" s="3">
        <f t="shared" si="86"/>
        <v>30718.75</v>
      </c>
      <c r="J667" s="3">
        <f t="shared" si="87"/>
        <v>25156.25</v>
      </c>
      <c r="K667" s="5">
        <f t="shared" si="88"/>
        <v>148745</v>
      </c>
      <c r="L667" s="5">
        <f t="shared" ref="L667:L730" si="89">+IF(K667&gt;K666,K667,K666)</f>
        <v>148745</v>
      </c>
      <c r="M667" s="5">
        <f t="shared" ref="M667:M730" si="90">+K667-L667</f>
        <v>0</v>
      </c>
      <c r="N667" s="3"/>
    </row>
    <row r="668" spans="1:14" x14ac:dyDescent="0.25">
      <c r="A668" s="2">
        <v>1210801</v>
      </c>
      <c r="B668" s="3">
        <v>34031.25</v>
      </c>
      <c r="C668" s="3">
        <v>60190</v>
      </c>
      <c r="D668" s="3">
        <v>30706.25</v>
      </c>
      <c r="E668" s="3">
        <v>24687.5</v>
      </c>
      <c r="F668">
        <f t="shared" si="83"/>
        <v>1210801</v>
      </c>
      <c r="G668" s="3">
        <f t="shared" si="84"/>
        <v>34031.25</v>
      </c>
      <c r="H668" s="3">
        <f t="shared" si="85"/>
        <v>60190</v>
      </c>
      <c r="I668" s="3">
        <f t="shared" si="86"/>
        <v>30706.25</v>
      </c>
      <c r="J668" s="3">
        <f t="shared" si="87"/>
        <v>24687.5</v>
      </c>
      <c r="K668" s="5">
        <f t="shared" si="88"/>
        <v>149615</v>
      </c>
      <c r="L668" s="5">
        <f t="shared" si="89"/>
        <v>149615</v>
      </c>
      <c r="M668" s="5">
        <f t="shared" si="90"/>
        <v>0</v>
      </c>
      <c r="N668" s="3"/>
    </row>
    <row r="669" spans="1:14" x14ac:dyDescent="0.25">
      <c r="A669" s="2">
        <v>1210802</v>
      </c>
      <c r="B669" s="3">
        <v>34175</v>
      </c>
      <c r="C669" s="3">
        <v>60420</v>
      </c>
      <c r="D669" s="3">
        <v>30693.75</v>
      </c>
      <c r="E669" s="3">
        <v>25078.1</v>
      </c>
      <c r="F669">
        <f t="shared" si="83"/>
        <v>1210802</v>
      </c>
      <c r="G669" s="3">
        <f t="shared" si="84"/>
        <v>34175</v>
      </c>
      <c r="H669" s="3">
        <f t="shared" si="85"/>
        <v>60420</v>
      </c>
      <c r="I669" s="3">
        <f t="shared" si="86"/>
        <v>30693.75</v>
      </c>
      <c r="J669" s="3">
        <f t="shared" si="87"/>
        <v>25078.1</v>
      </c>
      <c r="K669" s="5">
        <f t="shared" si="88"/>
        <v>150366.85</v>
      </c>
      <c r="L669" s="5">
        <f t="shared" si="89"/>
        <v>150366.85</v>
      </c>
      <c r="M669" s="5">
        <f t="shared" si="90"/>
        <v>0</v>
      </c>
      <c r="N669" s="3"/>
    </row>
    <row r="670" spans="1:14" x14ac:dyDescent="0.25">
      <c r="A670" s="2">
        <v>1210803</v>
      </c>
      <c r="B670" s="3">
        <v>34250</v>
      </c>
      <c r="C670" s="3">
        <v>60730</v>
      </c>
      <c r="D670" s="3">
        <v>30812.5</v>
      </c>
      <c r="E670" s="3">
        <v>26562.5</v>
      </c>
      <c r="F670">
        <f t="shared" si="83"/>
        <v>1210803</v>
      </c>
      <c r="G670" s="3">
        <f t="shared" si="84"/>
        <v>34250</v>
      </c>
      <c r="H670" s="3">
        <f t="shared" si="85"/>
        <v>60730</v>
      </c>
      <c r="I670" s="3">
        <f t="shared" si="86"/>
        <v>30812.5</v>
      </c>
      <c r="J670" s="3">
        <f t="shared" si="87"/>
        <v>26562.5</v>
      </c>
      <c r="K670" s="5">
        <f t="shared" si="88"/>
        <v>152355</v>
      </c>
      <c r="L670" s="5">
        <f t="shared" si="89"/>
        <v>152355</v>
      </c>
      <c r="M670" s="5">
        <f t="shared" si="90"/>
        <v>0</v>
      </c>
      <c r="N670" s="3"/>
    </row>
    <row r="671" spans="1:14" x14ac:dyDescent="0.25">
      <c r="A671" s="2">
        <v>1210804</v>
      </c>
      <c r="B671" s="3">
        <v>34387.5</v>
      </c>
      <c r="C671" s="3">
        <v>60190</v>
      </c>
      <c r="D671" s="3">
        <v>30918.75</v>
      </c>
      <c r="E671" s="3">
        <v>26718.75</v>
      </c>
      <c r="F671">
        <f t="shared" si="83"/>
        <v>1210804</v>
      </c>
      <c r="G671" s="3">
        <f t="shared" si="84"/>
        <v>34387.5</v>
      </c>
      <c r="H671" s="3">
        <f t="shared" si="85"/>
        <v>60190</v>
      </c>
      <c r="I671" s="3">
        <f t="shared" si="86"/>
        <v>30918.75</v>
      </c>
      <c r="J671" s="3">
        <f t="shared" si="87"/>
        <v>26718.75</v>
      </c>
      <c r="K671" s="5">
        <f t="shared" si="88"/>
        <v>152215</v>
      </c>
      <c r="L671" s="5">
        <f t="shared" si="89"/>
        <v>152355</v>
      </c>
      <c r="M671" s="5">
        <f t="shared" si="90"/>
        <v>-140</v>
      </c>
      <c r="N671" s="3"/>
    </row>
    <row r="672" spans="1:14" x14ac:dyDescent="0.25">
      <c r="A672" s="2">
        <v>1210805</v>
      </c>
      <c r="B672" s="3">
        <v>33931.25</v>
      </c>
      <c r="C672" s="3">
        <v>59490</v>
      </c>
      <c r="D672" s="3">
        <v>31212.5</v>
      </c>
      <c r="E672" s="3">
        <v>27421.9</v>
      </c>
      <c r="F672">
        <f t="shared" si="83"/>
        <v>1210805</v>
      </c>
      <c r="G672" s="3">
        <f t="shared" si="84"/>
        <v>33931.25</v>
      </c>
      <c r="H672" s="3">
        <f t="shared" si="85"/>
        <v>59490</v>
      </c>
      <c r="I672" s="3">
        <f t="shared" si="86"/>
        <v>31212.5</v>
      </c>
      <c r="J672" s="3">
        <f t="shared" si="87"/>
        <v>27421.9</v>
      </c>
      <c r="K672" s="5">
        <f t="shared" si="88"/>
        <v>152055.65</v>
      </c>
      <c r="L672" s="5">
        <f t="shared" si="89"/>
        <v>152215</v>
      </c>
      <c r="M672" s="5">
        <f t="shared" si="90"/>
        <v>-159.35000000000582</v>
      </c>
      <c r="N672" s="3"/>
    </row>
    <row r="673" spans="1:14" x14ac:dyDescent="0.25">
      <c r="A673" s="2">
        <v>1210806</v>
      </c>
      <c r="B673" s="3">
        <v>33868.75</v>
      </c>
      <c r="C673" s="3">
        <v>57180</v>
      </c>
      <c r="D673" s="3">
        <v>30806.25</v>
      </c>
      <c r="E673" s="3">
        <v>27578.1</v>
      </c>
      <c r="F673">
        <f t="shared" si="83"/>
        <v>1210806</v>
      </c>
      <c r="G673" s="3">
        <f t="shared" si="84"/>
        <v>33868.75</v>
      </c>
      <c r="H673" s="3">
        <f t="shared" si="85"/>
        <v>57180</v>
      </c>
      <c r="I673" s="3">
        <f t="shared" si="86"/>
        <v>30806.25</v>
      </c>
      <c r="J673" s="3">
        <f t="shared" si="87"/>
        <v>27578.1</v>
      </c>
      <c r="K673" s="5">
        <f t="shared" si="88"/>
        <v>149433.1</v>
      </c>
      <c r="L673" s="5">
        <f t="shared" si="89"/>
        <v>152055.65</v>
      </c>
      <c r="M673" s="5">
        <f t="shared" si="90"/>
        <v>-2622.5499999999884</v>
      </c>
      <c r="N673" s="3"/>
    </row>
    <row r="674" spans="1:14" x14ac:dyDescent="0.25">
      <c r="A674" s="2">
        <v>1210808</v>
      </c>
      <c r="B674" s="3">
        <v>34118.75</v>
      </c>
      <c r="C674" s="3">
        <v>64080</v>
      </c>
      <c r="D674" s="3">
        <v>31268.75</v>
      </c>
      <c r="E674" s="3">
        <v>29921.9</v>
      </c>
      <c r="F674">
        <f t="shared" si="83"/>
        <v>1210808</v>
      </c>
      <c r="G674" s="3">
        <f t="shared" si="84"/>
        <v>34118.75</v>
      </c>
      <c r="H674" s="3">
        <f t="shared" si="85"/>
        <v>64080</v>
      </c>
      <c r="I674" s="3">
        <f t="shared" si="86"/>
        <v>31268.75</v>
      </c>
      <c r="J674" s="3">
        <f t="shared" si="87"/>
        <v>29921.9</v>
      </c>
      <c r="K674" s="5">
        <f t="shared" si="88"/>
        <v>159389.4</v>
      </c>
      <c r="L674" s="5">
        <f t="shared" si="89"/>
        <v>159389.4</v>
      </c>
      <c r="M674" s="5">
        <f t="shared" si="90"/>
        <v>0</v>
      </c>
      <c r="N674" s="3"/>
    </row>
    <row r="675" spans="1:14" x14ac:dyDescent="0.25">
      <c r="A675" s="2">
        <v>1210809</v>
      </c>
      <c r="B675" s="3">
        <v>34118.75</v>
      </c>
      <c r="C675" s="3">
        <v>61220</v>
      </c>
      <c r="D675" s="3">
        <v>31212.5</v>
      </c>
      <c r="E675" s="3">
        <v>29687.5</v>
      </c>
      <c r="F675">
        <f t="shared" si="83"/>
        <v>1210809</v>
      </c>
      <c r="G675" s="3">
        <f t="shared" si="84"/>
        <v>34118.75</v>
      </c>
      <c r="H675" s="3">
        <f t="shared" si="85"/>
        <v>61220</v>
      </c>
      <c r="I675" s="3">
        <f t="shared" si="86"/>
        <v>31212.5</v>
      </c>
      <c r="J675" s="3">
        <f t="shared" si="87"/>
        <v>29687.5</v>
      </c>
      <c r="K675" s="5">
        <f t="shared" si="88"/>
        <v>156238.75</v>
      </c>
      <c r="L675" s="5">
        <f t="shared" si="89"/>
        <v>159389.4</v>
      </c>
      <c r="M675" s="5">
        <f t="shared" si="90"/>
        <v>-3150.6499999999942</v>
      </c>
      <c r="N675" s="3"/>
    </row>
    <row r="676" spans="1:14" x14ac:dyDescent="0.25">
      <c r="A676" s="2">
        <v>1210810</v>
      </c>
      <c r="B676" s="3">
        <v>34118.75</v>
      </c>
      <c r="C676" s="3">
        <v>61140</v>
      </c>
      <c r="D676" s="3">
        <v>31068.75</v>
      </c>
      <c r="E676" s="3">
        <v>27500</v>
      </c>
      <c r="F676">
        <f t="shared" si="83"/>
        <v>1210810</v>
      </c>
      <c r="G676" s="3">
        <f t="shared" si="84"/>
        <v>34118.75</v>
      </c>
      <c r="H676" s="3">
        <f t="shared" si="85"/>
        <v>61140</v>
      </c>
      <c r="I676" s="3">
        <f t="shared" si="86"/>
        <v>31068.75</v>
      </c>
      <c r="J676" s="3">
        <f t="shared" si="87"/>
        <v>27500</v>
      </c>
      <c r="K676" s="5">
        <f t="shared" si="88"/>
        <v>153827.5</v>
      </c>
      <c r="L676" s="5">
        <f t="shared" si="89"/>
        <v>156238.75</v>
      </c>
      <c r="M676" s="5">
        <f t="shared" si="90"/>
        <v>-2411.25</v>
      </c>
      <c r="N676" s="3"/>
    </row>
    <row r="677" spans="1:14" x14ac:dyDescent="0.25">
      <c r="A677" s="2">
        <v>1210811</v>
      </c>
      <c r="B677" s="3">
        <v>33918.75</v>
      </c>
      <c r="C677" s="3">
        <v>61040</v>
      </c>
      <c r="D677" s="3">
        <v>31425</v>
      </c>
      <c r="E677" s="3">
        <v>28906.25</v>
      </c>
      <c r="F677">
        <f t="shared" si="83"/>
        <v>1210811</v>
      </c>
      <c r="G677" s="3">
        <f t="shared" si="84"/>
        <v>33918.75</v>
      </c>
      <c r="H677" s="3">
        <f t="shared" si="85"/>
        <v>61040</v>
      </c>
      <c r="I677" s="3">
        <f t="shared" si="86"/>
        <v>31425</v>
      </c>
      <c r="J677" s="3">
        <f t="shared" si="87"/>
        <v>28906.25</v>
      </c>
      <c r="K677" s="5">
        <f t="shared" si="88"/>
        <v>155290</v>
      </c>
      <c r="L677" s="5">
        <f t="shared" si="89"/>
        <v>155290</v>
      </c>
      <c r="M677" s="5">
        <f t="shared" si="90"/>
        <v>0</v>
      </c>
      <c r="N677" s="3"/>
    </row>
    <row r="678" spans="1:14" x14ac:dyDescent="0.25">
      <c r="A678" s="2">
        <v>1210812</v>
      </c>
      <c r="B678" s="3">
        <v>34050</v>
      </c>
      <c r="C678" s="3">
        <v>62700</v>
      </c>
      <c r="D678" s="3">
        <v>31775</v>
      </c>
      <c r="E678" s="3">
        <v>29375</v>
      </c>
      <c r="F678">
        <f t="shared" si="83"/>
        <v>1210812</v>
      </c>
      <c r="G678" s="3">
        <f t="shared" si="84"/>
        <v>34050</v>
      </c>
      <c r="H678" s="3">
        <f t="shared" si="85"/>
        <v>62700</v>
      </c>
      <c r="I678" s="3">
        <f t="shared" si="86"/>
        <v>31775</v>
      </c>
      <c r="J678" s="3">
        <f t="shared" si="87"/>
        <v>29375</v>
      </c>
      <c r="K678" s="5">
        <f t="shared" si="88"/>
        <v>157900</v>
      </c>
      <c r="L678" s="5">
        <f t="shared" si="89"/>
        <v>157900</v>
      </c>
      <c r="M678" s="5">
        <f t="shared" si="90"/>
        <v>0</v>
      </c>
      <c r="N678" s="3"/>
    </row>
    <row r="679" spans="1:14" x14ac:dyDescent="0.25">
      <c r="A679" s="2">
        <v>1210813</v>
      </c>
      <c r="B679" s="3">
        <v>33993.75</v>
      </c>
      <c r="C679" s="3">
        <v>61890</v>
      </c>
      <c r="D679" s="3">
        <v>31406.25</v>
      </c>
      <c r="E679" s="3">
        <v>28984.400000000001</v>
      </c>
      <c r="F679">
        <f t="shared" si="83"/>
        <v>1210813</v>
      </c>
      <c r="G679" s="3">
        <f t="shared" si="84"/>
        <v>33993.75</v>
      </c>
      <c r="H679" s="3">
        <f t="shared" si="85"/>
        <v>61890</v>
      </c>
      <c r="I679" s="3">
        <f t="shared" si="86"/>
        <v>31406.25</v>
      </c>
      <c r="J679" s="3">
        <f t="shared" si="87"/>
        <v>28984.400000000001</v>
      </c>
      <c r="K679" s="5">
        <f t="shared" si="88"/>
        <v>156274.4</v>
      </c>
      <c r="L679" s="5">
        <f t="shared" si="89"/>
        <v>157900</v>
      </c>
      <c r="M679" s="5">
        <f t="shared" si="90"/>
        <v>-1625.6000000000058</v>
      </c>
      <c r="N679" s="3"/>
    </row>
    <row r="680" spans="1:14" x14ac:dyDescent="0.25">
      <c r="A680" s="2">
        <v>1210815</v>
      </c>
      <c r="B680" s="3">
        <v>34125</v>
      </c>
      <c r="C680" s="3">
        <v>63270</v>
      </c>
      <c r="D680" s="3">
        <v>31812.5</v>
      </c>
      <c r="E680" s="3">
        <v>30156.25</v>
      </c>
      <c r="F680">
        <f t="shared" si="83"/>
        <v>1210815</v>
      </c>
      <c r="G680" s="3">
        <f t="shared" si="84"/>
        <v>34125</v>
      </c>
      <c r="H680" s="3">
        <f t="shared" si="85"/>
        <v>63270</v>
      </c>
      <c r="I680" s="3">
        <f t="shared" si="86"/>
        <v>31812.5</v>
      </c>
      <c r="J680" s="3">
        <f t="shared" si="87"/>
        <v>30156.25</v>
      </c>
      <c r="K680" s="5">
        <f t="shared" si="88"/>
        <v>159363.75</v>
      </c>
      <c r="L680" s="5">
        <f t="shared" si="89"/>
        <v>159363.75</v>
      </c>
      <c r="M680" s="5">
        <f t="shared" si="90"/>
        <v>0</v>
      </c>
      <c r="N680" s="3"/>
    </row>
    <row r="681" spans="1:14" x14ac:dyDescent="0.25">
      <c r="A681" s="2">
        <v>1210816</v>
      </c>
      <c r="B681" s="3">
        <v>34125</v>
      </c>
      <c r="C681" s="3">
        <v>63020</v>
      </c>
      <c r="D681" s="3">
        <v>32050</v>
      </c>
      <c r="E681" s="3">
        <v>31250</v>
      </c>
      <c r="F681">
        <f t="shared" si="83"/>
        <v>1210816</v>
      </c>
      <c r="G681" s="3">
        <f t="shared" si="84"/>
        <v>34125</v>
      </c>
      <c r="H681" s="3">
        <f t="shared" si="85"/>
        <v>63020</v>
      </c>
      <c r="I681" s="3">
        <f t="shared" si="86"/>
        <v>32050</v>
      </c>
      <c r="J681" s="3">
        <f t="shared" si="87"/>
        <v>31250</v>
      </c>
      <c r="K681" s="5">
        <f t="shared" si="88"/>
        <v>160445</v>
      </c>
      <c r="L681" s="5">
        <f t="shared" si="89"/>
        <v>160445</v>
      </c>
      <c r="M681" s="5">
        <f t="shared" si="90"/>
        <v>0</v>
      </c>
      <c r="N681" s="3"/>
    </row>
    <row r="682" spans="1:14" x14ac:dyDescent="0.25">
      <c r="A682" s="2">
        <v>1210817</v>
      </c>
      <c r="B682" s="3">
        <v>33781.25</v>
      </c>
      <c r="C682" s="3">
        <v>62310</v>
      </c>
      <c r="D682" s="3">
        <v>32143.75</v>
      </c>
      <c r="E682" s="3">
        <v>31406.25</v>
      </c>
      <c r="F682">
        <f t="shared" si="83"/>
        <v>1210817</v>
      </c>
      <c r="G682" s="3">
        <f t="shared" si="84"/>
        <v>33781.25</v>
      </c>
      <c r="H682" s="3">
        <f t="shared" si="85"/>
        <v>62310</v>
      </c>
      <c r="I682" s="3">
        <f t="shared" si="86"/>
        <v>32143.75</v>
      </c>
      <c r="J682" s="3">
        <f t="shared" si="87"/>
        <v>31406.25</v>
      </c>
      <c r="K682" s="5">
        <f t="shared" si="88"/>
        <v>159641.25</v>
      </c>
      <c r="L682" s="5">
        <f t="shared" si="89"/>
        <v>160445</v>
      </c>
      <c r="M682" s="5">
        <f t="shared" si="90"/>
        <v>-803.75</v>
      </c>
      <c r="N682" s="3"/>
    </row>
    <row r="683" spans="1:14" x14ac:dyDescent="0.25">
      <c r="A683" s="2">
        <v>1210818</v>
      </c>
      <c r="B683" s="3">
        <v>32800</v>
      </c>
      <c r="C683" s="3">
        <v>62700</v>
      </c>
      <c r="D683" s="3">
        <v>32250</v>
      </c>
      <c r="E683" s="3">
        <v>31015.599999999999</v>
      </c>
      <c r="F683">
        <f t="shared" si="83"/>
        <v>1210818</v>
      </c>
      <c r="G683" s="3">
        <f t="shared" si="84"/>
        <v>32800</v>
      </c>
      <c r="H683" s="3">
        <f t="shared" si="85"/>
        <v>62700</v>
      </c>
      <c r="I683" s="3">
        <f t="shared" si="86"/>
        <v>32250</v>
      </c>
      <c r="J683" s="3">
        <f t="shared" si="87"/>
        <v>31015.599999999999</v>
      </c>
      <c r="K683" s="5">
        <f t="shared" si="88"/>
        <v>158765.6</v>
      </c>
      <c r="L683" s="5">
        <f t="shared" si="89"/>
        <v>159641.25</v>
      </c>
      <c r="M683" s="5">
        <f t="shared" si="90"/>
        <v>-875.64999999999418</v>
      </c>
      <c r="N683" s="3"/>
    </row>
    <row r="684" spans="1:14" x14ac:dyDescent="0.25">
      <c r="A684" s="2">
        <v>1210819</v>
      </c>
      <c r="B684" s="3">
        <v>33293.75</v>
      </c>
      <c r="C684" s="3">
        <v>63510</v>
      </c>
      <c r="D684" s="3">
        <v>32831.25</v>
      </c>
      <c r="E684" s="3">
        <v>30625</v>
      </c>
      <c r="F684">
        <f t="shared" si="83"/>
        <v>1210819</v>
      </c>
      <c r="G684" s="3">
        <f t="shared" si="84"/>
        <v>33293.75</v>
      </c>
      <c r="H684" s="3">
        <f t="shared" si="85"/>
        <v>63510</v>
      </c>
      <c r="I684" s="3">
        <f t="shared" si="86"/>
        <v>32831.25</v>
      </c>
      <c r="J684" s="3">
        <f t="shared" si="87"/>
        <v>30625</v>
      </c>
      <c r="K684" s="5">
        <f t="shared" si="88"/>
        <v>160260</v>
      </c>
      <c r="L684" s="5">
        <f t="shared" si="89"/>
        <v>160260</v>
      </c>
      <c r="M684" s="5">
        <f t="shared" si="90"/>
        <v>0</v>
      </c>
      <c r="N684" s="3"/>
    </row>
    <row r="685" spans="1:14" x14ac:dyDescent="0.25">
      <c r="A685" s="2">
        <v>1210820</v>
      </c>
      <c r="B685" s="3">
        <v>33168.75</v>
      </c>
      <c r="C685" s="3">
        <v>63450</v>
      </c>
      <c r="D685" s="3">
        <v>32387.5</v>
      </c>
      <c r="E685" s="3">
        <v>30078.1</v>
      </c>
      <c r="F685">
        <f t="shared" si="83"/>
        <v>1210820</v>
      </c>
      <c r="G685" s="3">
        <f t="shared" si="84"/>
        <v>33168.75</v>
      </c>
      <c r="H685" s="3">
        <f t="shared" si="85"/>
        <v>63450</v>
      </c>
      <c r="I685" s="3">
        <f t="shared" si="86"/>
        <v>32387.5</v>
      </c>
      <c r="J685" s="3">
        <f t="shared" si="87"/>
        <v>30078.1</v>
      </c>
      <c r="K685" s="5">
        <f t="shared" si="88"/>
        <v>159084.35</v>
      </c>
      <c r="L685" s="5">
        <f t="shared" si="89"/>
        <v>160260</v>
      </c>
      <c r="M685" s="5">
        <f t="shared" si="90"/>
        <v>-1175.6499999999942</v>
      </c>
      <c r="N685" s="3"/>
    </row>
    <row r="686" spans="1:14" x14ac:dyDescent="0.25">
      <c r="A686" s="2">
        <v>1210822</v>
      </c>
      <c r="B686" s="3">
        <v>34275</v>
      </c>
      <c r="C686" s="3">
        <v>63570</v>
      </c>
      <c r="D686" s="3">
        <v>32487.5</v>
      </c>
      <c r="E686" s="3">
        <v>31093.75</v>
      </c>
      <c r="F686">
        <f t="shared" si="83"/>
        <v>1210822</v>
      </c>
      <c r="G686" s="3">
        <f t="shared" si="84"/>
        <v>34275</v>
      </c>
      <c r="H686" s="3">
        <f t="shared" si="85"/>
        <v>63570</v>
      </c>
      <c r="I686" s="3">
        <f t="shared" si="86"/>
        <v>32487.5</v>
      </c>
      <c r="J686" s="3">
        <f t="shared" si="87"/>
        <v>31093.75</v>
      </c>
      <c r="K686" s="5">
        <f t="shared" si="88"/>
        <v>161426.25</v>
      </c>
      <c r="L686" s="5">
        <f t="shared" si="89"/>
        <v>161426.25</v>
      </c>
      <c r="M686" s="5">
        <f t="shared" si="90"/>
        <v>0</v>
      </c>
      <c r="N686" s="3"/>
    </row>
    <row r="687" spans="1:14" x14ac:dyDescent="0.25">
      <c r="A687" s="2">
        <v>1210823</v>
      </c>
      <c r="B687" s="3">
        <v>34618.75</v>
      </c>
      <c r="C687" s="3">
        <v>62690</v>
      </c>
      <c r="D687" s="3">
        <v>32512.5</v>
      </c>
      <c r="E687" s="3">
        <v>31562.5</v>
      </c>
      <c r="F687">
        <f t="shared" si="83"/>
        <v>1210823</v>
      </c>
      <c r="G687" s="3">
        <f t="shared" si="84"/>
        <v>34618.75</v>
      </c>
      <c r="H687" s="3">
        <f t="shared" si="85"/>
        <v>62690</v>
      </c>
      <c r="I687" s="3">
        <f t="shared" si="86"/>
        <v>32512.5</v>
      </c>
      <c r="J687" s="3">
        <f t="shared" si="87"/>
        <v>31562.5</v>
      </c>
      <c r="K687" s="5">
        <f t="shared" si="88"/>
        <v>161383.75</v>
      </c>
      <c r="L687" s="5">
        <f t="shared" si="89"/>
        <v>161426.25</v>
      </c>
      <c r="M687" s="5">
        <f t="shared" si="90"/>
        <v>-42.5</v>
      </c>
      <c r="N687" s="3"/>
    </row>
    <row r="688" spans="1:14" x14ac:dyDescent="0.25">
      <c r="A688" s="2">
        <v>1210824</v>
      </c>
      <c r="B688" s="3">
        <v>35356.25</v>
      </c>
      <c r="C688" s="3">
        <v>63830</v>
      </c>
      <c r="D688" s="3">
        <v>32562.5</v>
      </c>
      <c r="E688" s="3">
        <v>30937.5</v>
      </c>
      <c r="F688">
        <f t="shared" si="83"/>
        <v>1210824</v>
      </c>
      <c r="G688" s="3">
        <f t="shared" si="84"/>
        <v>35356.25</v>
      </c>
      <c r="H688" s="3">
        <f t="shared" si="85"/>
        <v>63830</v>
      </c>
      <c r="I688" s="3">
        <f t="shared" si="86"/>
        <v>32562.5</v>
      </c>
      <c r="J688" s="3">
        <f t="shared" si="87"/>
        <v>30937.5</v>
      </c>
      <c r="K688" s="5">
        <f t="shared" si="88"/>
        <v>162686.25</v>
      </c>
      <c r="L688" s="5">
        <f t="shared" si="89"/>
        <v>162686.25</v>
      </c>
      <c r="M688" s="5">
        <f t="shared" si="90"/>
        <v>0</v>
      </c>
      <c r="N688" s="3"/>
    </row>
    <row r="689" spans="1:14" x14ac:dyDescent="0.25">
      <c r="A689" s="2">
        <v>1210825</v>
      </c>
      <c r="B689" s="3">
        <v>35356.25</v>
      </c>
      <c r="C689" s="3">
        <v>62920</v>
      </c>
      <c r="D689" s="3">
        <v>32581.25</v>
      </c>
      <c r="E689" s="3">
        <v>30859.4</v>
      </c>
      <c r="F689">
        <f t="shared" si="83"/>
        <v>1210825</v>
      </c>
      <c r="G689" s="3">
        <f t="shared" si="84"/>
        <v>35356.25</v>
      </c>
      <c r="H689" s="3">
        <f t="shared" si="85"/>
        <v>62920</v>
      </c>
      <c r="I689" s="3">
        <f t="shared" si="86"/>
        <v>32581.25</v>
      </c>
      <c r="J689" s="3">
        <f t="shared" si="87"/>
        <v>30859.4</v>
      </c>
      <c r="K689" s="5">
        <f t="shared" si="88"/>
        <v>161716.9</v>
      </c>
      <c r="L689" s="5">
        <f t="shared" si="89"/>
        <v>162686.25</v>
      </c>
      <c r="M689" s="5">
        <f t="shared" si="90"/>
        <v>-969.35000000000582</v>
      </c>
      <c r="N689" s="3"/>
    </row>
    <row r="690" spans="1:14" x14ac:dyDescent="0.25">
      <c r="A690" s="2">
        <v>1210826</v>
      </c>
      <c r="B690" s="3">
        <v>35331.25</v>
      </c>
      <c r="C690" s="3">
        <v>61810</v>
      </c>
      <c r="D690" s="3">
        <v>32625</v>
      </c>
      <c r="E690" s="3">
        <v>32421.9</v>
      </c>
      <c r="F690">
        <f t="shared" si="83"/>
        <v>1210826</v>
      </c>
      <c r="G690" s="3">
        <f t="shared" si="84"/>
        <v>35331.25</v>
      </c>
      <c r="H690" s="3">
        <f t="shared" si="85"/>
        <v>61810</v>
      </c>
      <c r="I690" s="3">
        <f t="shared" si="86"/>
        <v>32625</v>
      </c>
      <c r="J690" s="3">
        <f t="shared" si="87"/>
        <v>32421.9</v>
      </c>
      <c r="K690" s="5">
        <f t="shared" si="88"/>
        <v>162188.15</v>
      </c>
      <c r="L690" s="5">
        <f t="shared" si="89"/>
        <v>162188.15</v>
      </c>
      <c r="M690" s="5">
        <f t="shared" si="90"/>
        <v>0</v>
      </c>
      <c r="N690" s="3"/>
    </row>
    <row r="691" spans="1:14" x14ac:dyDescent="0.25">
      <c r="A691" s="2">
        <v>1210827</v>
      </c>
      <c r="B691" s="3">
        <v>35281.25</v>
      </c>
      <c r="C691" s="3">
        <v>59290</v>
      </c>
      <c r="D691" s="3">
        <v>32431.25</v>
      </c>
      <c r="E691" s="3">
        <v>32890.6</v>
      </c>
      <c r="F691">
        <f t="shared" si="83"/>
        <v>1210827</v>
      </c>
      <c r="G691" s="3">
        <f t="shared" si="84"/>
        <v>35281.25</v>
      </c>
      <c r="H691" s="3">
        <f t="shared" si="85"/>
        <v>59290</v>
      </c>
      <c r="I691" s="3">
        <f t="shared" si="86"/>
        <v>32431.25</v>
      </c>
      <c r="J691" s="3">
        <f t="shared" si="87"/>
        <v>32890.6</v>
      </c>
      <c r="K691" s="5">
        <f t="shared" si="88"/>
        <v>159893.1</v>
      </c>
      <c r="L691" s="5">
        <f t="shared" si="89"/>
        <v>162188.15</v>
      </c>
      <c r="M691" s="5">
        <f t="shared" si="90"/>
        <v>-2295.0499999999884</v>
      </c>
      <c r="N691" s="3"/>
    </row>
    <row r="692" spans="1:14" x14ac:dyDescent="0.25">
      <c r="A692" s="2">
        <v>1210829</v>
      </c>
      <c r="B692" s="3">
        <v>35662.5</v>
      </c>
      <c r="C692" s="3">
        <v>59860</v>
      </c>
      <c r="D692" s="3">
        <v>32137.5</v>
      </c>
      <c r="E692" s="3">
        <v>32656.25</v>
      </c>
      <c r="F692">
        <f t="shared" si="83"/>
        <v>1210829</v>
      </c>
      <c r="G692" s="3">
        <f t="shared" si="84"/>
        <v>35662.5</v>
      </c>
      <c r="H692" s="3">
        <f t="shared" si="85"/>
        <v>59860</v>
      </c>
      <c r="I692" s="3">
        <f t="shared" si="86"/>
        <v>32137.5</v>
      </c>
      <c r="J692" s="3">
        <f t="shared" si="87"/>
        <v>32656.25</v>
      </c>
      <c r="K692" s="5">
        <f t="shared" si="88"/>
        <v>160316.25</v>
      </c>
      <c r="L692" s="5">
        <f t="shared" si="89"/>
        <v>160316.25</v>
      </c>
      <c r="M692" s="5">
        <f t="shared" si="90"/>
        <v>0</v>
      </c>
      <c r="N692" s="3"/>
    </row>
    <row r="693" spans="1:14" x14ac:dyDescent="0.25">
      <c r="A693" s="2">
        <v>1210830</v>
      </c>
      <c r="B693" s="3">
        <v>35668.75</v>
      </c>
      <c r="C693" s="3">
        <v>59860</v>
      </c>
      <c r="D693" s="3">
        <v>32250</v>
      </c>
      <c r="E693" s="3">
        <v>32734.400000000001</v>
      </c>
      <c r="F693">
        <f t="shared" si="83"/>
        <v>1210830</v>
      </c>
      <c r="G693" s="3">
        <f t="shared" si="84"/>
        <v>35668.75</v>
      </c>
      <c r="H693" s="3">
        <f t="shared" si="85"/>
        <v>59860</v>
      </c>
      <c r="I693" s="3">
        <f t="shared" si="86"/>
        <v>32250</v>
      </c>
      <c r="J693" s="3">
        <f t="shared" si="87"/>
        <v>32734.400000000001</v>
      </c>
      <c r="K693" s="5">
        <f t="shared" si="88"/>
        <v>160513.15</v>
      </c>
      <c r="L693" s="5">
        <f t="shared" si="89"/>
        <v>160513.15</v>
      </c>
      <c r="M693" s="5">
        <f t="shared" si="90"/>
        <v>0</v>
      </c>
      <c r="N693" s="3"/>
    </row>
    <row r="694" spans="1:14" x14ac:dyDescent="0.25">
      <c r="A694" s="2">
        <v>1210831</v>
      </c>
      <c r="B694" s="3">
        <v>36400</v>
      </c>
      <c r="C694" s="3">
        <v>59860</v>
      </c>
      <c r="D694" s="3">
        <v>32162.5</v>
      </c>
      <c r="E694" s="3">
        <v>32812.5</v>
      </c>
      <c r="F694">
        <f t="shared" si="83"/>
        <v>1210831</v>
      </c>
      <c r="G694" s="3">
        <f t="shared" si="84"/>
        <v>36400</v>
      </c>
      <c r="H694" s="3">
        <f t="shared" si="85"/>
        <v>59860</v>
      </c>
      <c r="I694" s="3">
        <f t="shared" si="86"/>
        <v>32162.5</v>
      </c>
      <c r="J694" s="3">
        <f t="shared" si="87"/>
        <v>32812.5</v>
      </c>
      <c r="K694" s="5">
        <f t="shared" si="88"/>
        <v>161235</v>
      </c>
      <c r="L694" s="5">
        <f t="shared" si="89"/>
        <v>161235</v>
      </c>
      <c r="M694" s="5">
        <f t="shared" si="90"/>
        <v>0</v>
      </c>
      <c r="N694" s="3"/>
    </row>
    <row r="695" spans="1:14" x14ac:dyDescent="0.25">
      <c r="A695" s="2">
        <v>1210901</v>
      </c>
      <c r="B695" s="3">
        <v>36018.75</v>
      </c>
      <c r="C695" s="3">
        <v>59530</v>
      </c>
      <c r="D695" s="3">
        <v>32131.25</v>
      </c>
      <c r="E695" s="3">
        <v>32890.6</v>
      </c>
      <c r="F695">
        <f t="shared" si="83"/>
        <v>1210901</v>
      </c>
      <c r="G695" s="3">
        <f t="shared" si="84"/>
        <v>36018.75</v>
      </c>
      <c r="H695" s="3">
        <f t="shared" si="85"/>
        <v>59530</v>
      </c>
      <c r="I695" s="3">
        <f t="shared" si="86"/>
        <v>32131.25</v>
      </c>
      <c r="J695" s="3">
        <f t="shared" si="87"/>
        <v>32890.6</v>
      </c>
      <c r="K695" s="5">
        <f t="shared" si="88"/>
        <v>160570.6</v>
      </c>
      <c r="L695" s="5">
        <f t="shared" si="89"/>
        <v>161235</v>
      </c>
      <c r="M695" s="5">
        <f t="shared" si="90"/>
        <v>-664.39999999999418</v>
      </c>
      <c r="N695" s="3"/>
    </row>
    <row r="696" spans="1:14" x14ac:dyDescent="0.25">
      <c r="A696" s="2">
        <v>1210902</v>
      </c>
      <c r="B696" s="3">
        <v>36018.75</v>
      </c>
      <c r="C696" s="3">
        <v>59130</v>
      </c>
      <c r="D696" s="3">
        <v>32281.25</v>
      </c>
      <c r="E696" s="3">
        <v>32343.75</v>
      </c>
      <c r="F696">
        <f t="shared" si="83"/>
        <v>1210902</v>
      </c>
      <c r="G696" s="3">
        <f t="shared" si="84"/>
        <v>36018.75</v>
      </c>
      <c r="H696" s="3">
        <f t="shared" si="85"/>
        <v>59130</v>
      </c>
      <c r="I696" s="3">
        <f t="shared" si="86"/>
        <v>32281.25</v>
      </c>
      <c r="J696" s="3">
        <f t="shared" si="87"/>
        <v>32343.75</v>
      </c>
      <c r="K696" s="5">
        <f t="shared" si="88"/>
        <v>159773.75</v>
      </c>
      <c r="L696" s="5">
        <f t="shared" si="89"/>
        <v>160570.6</v>
      </c>
      <c r="M696" s="5">
        <f t="shared" si="90"/>
        <v>-796.85000000000582</v>
      </c>
      <c r="N696" s="3"/>
    </row>
    <row r="697" spans="1:14" x14ac:dyDescent="0.25">
      <c r="A697" s="2">
        <v>1210903</v>
      </c>
      <c r="B697" s="3">
        <v>36018.75</v>
      </c>
      <c r="C697" s="3">
        <v>58900</v>
      </c>
      <c r="D697" s="3">
        <v>32012.5</v>
      </c>
      <c r="E697" s="3">
        <v>32656.25</v>
      </c>
      <c r="F697">
        <f t="shared" si="83"/>
        <v>1210903</v>
      </c>
      <c r="G697" s="3">
        <f t="shared" si="84"/>
        <v>36018.75</v>
      </c>
      <c r="H697" s="3">
        <f t="shared" si="85"/>
        <v>58900</v>
      </c>
      <c r="I697" s="3">
        <f t="shared" si="86"/>
        <v>32012.5</v>
      </c>
      <c r="J697" s="3">
        <f t="shared" si="87"/>
        <v>32656.25</v>
      </c>
      <c r="K697" s="5">
        <f t="shared" si="88"/>
        <v>159587.5</v>
      </c>
      <c r="L697" s="5">
        <f t="shared" si="89"/>
        <v>159773.75</v>
      </c>
      <c r="M697" s="5">
        <f t="shared" si="90"/>
        <v>-186.25</v>
      </c>
      <c r="N697" s="3"/>
    </row>
    <row r="698" spans="1:14" x14ac:dyDescent="0.25">
      <c r="A698" s="2">
        <v>1210905</v>
      </c>
      <c r="B698" s="3">
        <v>36018.75</v>
      </c>
      <c r="C698" s="3">
        <v>60070</v>
      </c>
      <c r="D698" s="3">
        <v>32287.5</v>
      </c>
      <c r="E698" s="3">
        <v>30546.9</v>
      </c>
      <c r="F698">
        <f t="shared" si="83"/>
        <v>1210905</v>
      </c>
      <c r="G698" s="3">
        <f t="shared" si="84"/>
        <v>36018.75</v>
      </c>
      <c r="H698" s="3">
        <f t="shared" si="85"/>
        <v>60070</v>
      </c>
      <c r="I698" s="3">
        <f t="shared" si="86"/>
        <v>32287.5</v>
      </c>
      <c r="J698" s="3">
        <f t="shared" si="87"/>
        <v>30546.9</v>
      </c>
      <c r="K698" s="5">
        <f t="shared" si="88"/>
        <v>158923.15</v>
      </c>
      <c r="L698" s="5">
        <f t="shared" si="89"/>
        <v>159587.5</v>
      </c>
      <c r="M698" s="5">
        <f t="shared" si="90"/>
        <v>-664.35000000000582</v>
      </c>
      <c r="N698" s="3"/>
    </row>
    <row r="699" spans="1:14" x14ac:dyDescent="0.25">
      <c r="A699" s="2">
        <v>1210906</v>
      </c>
      <c r="B699" s="3">
        <v>36018.75</v>
      </c>
      <c r="C699" s="3">
        <v>59800</v>
      </c>
      <c r="D699" s="3">
        <v>32250</v>
      </c>
      <c r="E699" s="3">
        <v>30468.75</v>
      </c>
      <c r="F699">
        <f t="shared" si="83"/>
        <v>1210906</v>
      </c>
      <c r="G699" s="3">
        <f t="shared" si="84"/>
        <v>36018.75</v>
      </c>
      <c r="H699" s="3">
        <f t="shared" si="85"/>
        <v>59800</v>
      </c>
      <c r="I699" s="3">
        <f t="shared" si="86"/>
        <v>32250</v>
      </c>
      <c r="J699" s="3">
        <f t="shared" si="87"/>
        <v>30468.75</v>
      </c>
      <c r="K699" s="5">
        <f t="shared" si="88"/>
        <v>158537.5</v>
      </c>
      <c r="L699" s="5">
        <f t="shared" si="89"/>
        <v>158923.15</v>
      </c>
      <c r="M699" s="5">
        <f t="shared" si="90"/>
        <v>-385.64999999999418</v>
      </c>
      <c r="N699" s="3"/>
    </row>
    <row r="700" spans="1:14" x14ac:dyDescent="0.25">
      <c r="A700" s="2">
        <v>1210907</v>
      </c>
      <c r="B700" s="3">
        <v>35781.25</v>
      </c>
      <c r="C700" s="3">
        <v>59970</v>
      </c>
      <c r="D700" s="3">
        <v>32243.75</v>
      </c>
      <c r="E700" s="3">
        <v>31093.75</v>
      </c>
      <c r="F700">
        <f t="shared" si="83"/>
        <v>1210907</v>
      </c>
      <c r="G700" s="3">
        <f t="shared" si="84"/>
        <v>35781.25</v>
      </c>
      <c r="H700" s="3">
        <f t="shared" si="85"/>
        <v>59970</v>
      </c>
      <c r="I700" s="3">
        <f t="shared" si="86"/>
        <v>32243.75</v>
      </c>
      <c r="J700" s="3">
        <f t="shared" si="87"/>
        <v>31093.75</v>
      </c>
      <c r="K700" s="5">
        <f t="shared" si="88"/>
        <v>159088.75</v>
      </c>
      <c r="L700" s="5">
        <f t="shared" si="89"/>
        <v>159088.75</v>
      </c>
      <c r="M700" s="5">
        <f t="shared" si="90"/>
        <v>0</v>
      </c>
      <c r="N700" s="3"/>
    </row>
    <row r="701" spans="1:14" x14ac:dyDescent="0.25">
      <c r="A701" s="2">
        <v>1210908</v>
      </c>
      <c r="B701" s="3">
        <v>35162.5</v>
      </c>
      <c r="C701" s="3">
        <v>61320</v>
      </c>
      <c r="D701" s="3">
        <v>32362.5</v>
      </c>
      <c r="E701" s="3">
        <v>31953.1</v>
      </c>
      <c r="F701">
        <f t="shared" si="83"/>
        <v>1210908</v>
      </c>
      <c r="G701" s="3">
        <f t="shared" si="84"/>
        <v>35162.5</v>
      </c>
      <c r="H701" s="3">
        <f t="shared" si="85"/>
        <v>61320</v>
      </c>
      <c r="I701" s="3">
        <f t="shared" si="86"/>
        <v>32362.5</v>
      </c>
      <c r="J701" s="3">
        <f t="shared" si="87"/>
        <v>31953.1</v>
      </c>
      <c r="K701" s="5">
        <f t="shared" si="88"/>
        <v>160798.1</v>
      </c>
      <c r="L701" s="5">
        <f t="shared" si="89"/>
        <v>160798.1</v>
      </c>
      <c r="M701" s="5">
        <f t="shared" si="90"/>
        <v>0</v>
      </c>
      <c r="N701" s="3"/>
    </row>
    <row r="702" spans="1:14" x14ac:dyDescent="0.25">
      <c r="A702" s="2">
        <v>1210909</v>
      </c>
      <c r="B702" s="3">
        <v>35756.25</v>
      </c>
      <c r="C702" s="3">
        <v>59990</v>
      </c>
      <c r="D702" s="3">
        <v>32175</v>
      </c>
      <c r="E702" s="3">
        <v>31562.5</v>
      </c>
      <c r="F702">
        <f t="shared" si="83"/>
        <v>1210909</v>
      </c>
      <c r="G702" s="3">
        <f t="shared" si="84"/>
        <v>35756.25</v>
      </c>
      <c r="H702" s="3">
        <f t="shared" si="85"/>
        <v>59990</v>
      </c>
      <c r="I702" s="3">
        <f t="shared" si="86"/>
        <v>32175</v>
      </c>
      <c r="J702" s="3">
        <f t="shared" si="87"/>
        <v>31562.5</v>
      </c>
      <c r="K702" s="5">
        <f t="shared" si="88"/>
        <v>159483.75</v>
      </c>
      <c r="L702" s="5">
        <f t="shared" si="89"/>
        <v>160798.1</v>
      </c>
      <c r="M702" s="5">
        <f t="shared" si="90"/>
        <v>-1314.3500000000058</v>
      </c>
      <c r="N702" s="3"/>
    </row>
    <row r="703" spans="1:14" x14ac:dyDescent="0.25">
      <c r="A703" s="2">
        <v>1210910</v>
      </c>
      <c r="B703" s="3">
        <v>34575</v>
      </c>
      <c r="C703" s="3">
        <v>60170</v>
      </c>
      <c r="D703" s="3">
        <v>32462.5</v>
      </c>
      <c r="E703" s="3">
        <v>30468.75</v>
      </c>
      <c r="F703">
        <f t="shared" si="83"/>
        <v>1210910</v>
      </c>
      <c r="G703" s="3">
        <f t="shared" si="84"/>
        <v>34575</v>
      </c>
      <c r="H703" s="3">
        <f t="shared" si="85"/>
        <v>60170</v>
      </c>
      <c r="I703" s="3">
        <f t="shared" si="86"/>
        <v>32462.5</v>
      </c>
      <c r="J703" s="3">
        <f t="shared" si="87"/>
        <v>30468.75</v>
      </c>
      <c r="K703" s="5">
        <f t="shared" si="88"/>
        <v>157676.25</v>
      </c>
      <c r="L703" s="5">
        <f t="shared" si="89"/>
        <v>159483.75</v>
      </c>
      <c r="M703" s="5">
        <f t="shared" si="90"/>
        <v>-1807.5</v>
      </c>
      <c r="N703" s="3"/>
    </row>
    <row r="704" spans="1:14" x14ac:dyDescent="0.25">
      <c r="A704" s="2">
        <v>1210912</v>
      </c>
      <c r="B704" s="3">
        <v>35062.5</v>
      </c>
      <c r="C704" s="3">
        <v>60670</v>
      </c>
      <c r="D704" s="3">
        <v>32475</v>
      </c>
      <c r="E704" s="3">
        <v>30156.25</v>
      </c>
      <c r="F704">
        <f t="shared" si="83"/>
        <v>1210912</v>
      </c>
      <c r="G704" s="3">
        <f t="shared" si="84"/>
        <v>35062.5</v>
      </c>
      <c r="H704" s="3">
        <f t="shared" si="85"/>
        <v>60670</v>
      </c>
      <c r="I704" s="3">
        <f t="shared" si="86"/>
        <v>32475</v>
      </c>
      <c r="J704" s="3">
        <f t="shared" si="87"/>
        <v>30156.25</v>
      </c>
      <c r="K704" s="5">
        <f t="shared" si="88"/>
        <v>158363.75</v>
      </c>
      <c r="L704" s="5">
        <f t="shared" si="89"/>
        <v>158363.75</v>
      </c>
      <c r="M704" s="5">
        <f t="shared" si="90"/>
        <v>0</v>
      </c>
      <c r="N704" s="3"/>
    </row>
    <row r="705" spans="1:14" x14ac:dyDescent="0.25">
      <c r="A705" s="2">
        <v>1210913</v>
      </c>
      <c r="B705" s="3">
        <v>35218.75</v>
      </c>
      <c r="C705" s="3">
        <v>60280</v>
      </c>
      <c r="D705" s="3">
        <v>32337.5</v>
      </c>
      <c r="E705" s="3">
        <v>30078.1</v>
      </c>
      <c r="F705">
        <f t="shared" si="83"/>
        <v>1210913</v>
      </c>
      <c r="G705" s="3">
        <f t="shared" si="84"/>
        <v>35218.75</v>
      </c>
      <c r="H705" s="3">
        <f t="shared" si="85"/>
        <v>60280</v>
      </c>
      <c r="I705" s="3">
        <f t="shared" si="86"/>
        <v>32337.5</v>
      </c>
      <c r="J705" s="3">
        <f t="shared" si="87"/>
        <v>30078.1</v>
      </c>
      <c r="K705" s="5">
        <f t="shared" si="88"/>
        <v>157914.35</v>
      </c>
      <c r="L705" s="5">
        <f t="shared" si="89"/>
        <v>158363.75</v>
      </c>
      <c r="M705" s="5">
        <f t="shared" si="90"/>
        <v>-449.39999999999418</v>
      </c>
      <c r="N705" s="3"/>
    </row>
    <row r="706" spans="1:14" x14ac:dyDescent="0.25">
      <c r="A706" s="2">
        <v>1210914</v>
      </c>
      <c r="B706" s="3">
        <v>34868.75</v>
      </c>
      <c r="C706" s="3">
        <v>60090</v>
      </c>
      <c r="D706" s="3">
        <v>32437.5</v>
      </c>
      <c r="E706" s="3">
        <v>29453.1</v>
      </c>
      <c r="F706">
        <f t="shared" si="83"/>
        <v>1210914</v>
      </c>
      <c r="G706" s="3">
        <f t="shared" si="84"/>
        <v>34868.75</v>
      </c>
      <c r="H706" s="3">
        <f t="shared" si="85"/>
        <v>60090</v>
      </c>
      <c r="I706" s="3">
        <f t="shared" si="86"/>
        <v>32437.5</v>
      </c>
      <c r="J706" s="3">
        <f t="shared" si="87"/>
        <v>29453.1</v>
      </c>
      <c r="K706" s="5">
        <f t="shared" si="88"/>
        <v>156849.35</v>
      </c>
      <c r="L706" s="5">
        <f t="shared" si="89"/>
        <v>157914.35</v>
      </c>
      <c r="M706" s="5">
        <f t="shared" si="90"/>
        <v>-1065</v>
      </c>
      <c r="N706" s="3"/>
    </row>
    <row r="707" spans="1:14" x14ac:dyDescent="0.25">
      <c r="A707" s="2">
        <v>1210915</v>
      </c>
      <c r="B707" s="3">
        <v>35456.25</v>
      </c>
      <c r="C707" s="3">
        <v>60480</v>
      </c>
      <c r="D707" s="3">
        <v>32506.25</v>
      </c>
      <c r="E707" s="3">
        <v>29375</v>
      </c>
      <c r="F707">
        <f t="shared" si="83"/>
        <v>1210915</v>
      </c>
      <c r="G707" s="3">
        <f t="shared" si="84"/>
        <v>35456.25</v>
      </c>
      <c r="H707" s="3">
        <f t="shared" si="85"/>
        <v>60480</v>
      </c>
      <c r="I707" s="3">
        <f t="shared" si="86"/>
        <v>32506.25</v>
      </c>
      <c r="J707" s="3">
        <f t="shared" si="87"/>
        <v>29375</v>
      </c>
      <c r="K707" s="5">
        <f t="shared" si="88"/>
        <v>157817.5</v>
      </c>
      <c r="L707" s="5">
        <f t="shared" si="89"/>
        <v>157817.5</v>
      </c>
      <c r="M707" s="5">
        <f t="shared" si="90"/>
        <v>0</v>
      </c>
      <c r="N707" s="3"/>
    </row>
    <row r="708" spans="1:14" x14ac:dyDescent="0.25">
      <c r="A708" s="2">
        <v>1210916</v>
      </c>
      <c r="B708" s="3">
        <v>35862.5</v>
      </c>
      <c r="C708" s="3">
        <v>59920</v>
      </c>
      <c r="D708" s="3">
        <v>32856.25</v>
      </c>
      <c r="E708" s="3">
        <v>29218.75</v>
      </c>
      <c r="F708">
        <f t="shared" si="83"/>
        <v>1210916</v>
      </c>
      <c r="G708" s="3">
        <f t="shared" si="84"/>
        <v>35862.5</v>
      </c>
      <c r="H708" s="3">
        <f t="shared" si="85"/>
        <v>59920</v>
      </c>
      <c r="I708" s="3">
        <f t="shared" si="86"/>
        <v>32856.25</v>
      </c>
      <c r="J708" s="3">
        <f t="shared" si="87"/>
        <v>29218.75</v>
      </c>
      <c r="K708" s="5">
        <f t="shared" si="88"/>
        <v>157857.5</v>
      </c>
      <c r="L708" s="5">
        <f t="shared" si="89"/>
        <v>157857.5</v>
      </c>
      <c r="M708" s="5">
        <f t="shared" si="90"/>
        <v>0</v>
      </c>
      <c r="N708" s="3"/>
    </row>
    <row r="709" spans="1:14" x14ac:dyDescent="0.25">
      <c r="A709" s="2">
        <v>1210917</v>
      </c>
      <c r="B709" s="3">
        <v>35000</v>
      </c>
      <c r="C709" s="3">
        <v>63830</v>
      </c>
      <c r="D709" s="3">
        <v>33118.75</v>
      </c>
      <c r="E709" s="3">
        <v>30937.5</v>
      </c>
      <c r="F709">
        <f t="shared" si="83"/>
        <v>1210917</v>
      </c>
      <c r="G709" s="3">
        <f t="shared" si="84"/>
        <v>35000</v>
      </c>
      <c r="H709" s="3">
        <f t="shared" si="85"/>
        <v>63830</v>
      </c>
      <c r="I709" s="3">
        <f t="shared" si="86"/>
        <v>33118.75</v>
      </c>
      <c r="J709" s="3">
        <f t="shared" si="87"/>
        <v>30937.5</v>
      </c>
      <c r="K709" s="5">
        <f t="shared" si="88"/>
        <v>162886.25</v>
      </c>
      <c r="L709" s="5">
        <f t="shared" si="89"/>
        <v>162886.25</v>
      </c>
      <c r="M709" s="5">
        <f t="shared" si="90"/>
        <v>0</v>
      </c>
      <c r="N709" s="3"/>
    </row>
    <row r="710" spans="1:14" x14ac:dyDescent="0.25">
      <c r="A710" s="2">
        <v>1210919</v>
      </c>
      <c r="B710" s="3">
        <v>36368.75</v>
      </c>
      <c r="C710" s="3">
        <v>62840</v>
      </c>
      <c r="D710" s="3">
        <v>33256.25</v>
      </c>
      <c r="E710" s="3">
        <v>32265.599999999999</v>
      </c>
      <c r="F710">
        <f t="shared" si="83"/>
        <v>1210919</v>
      </c>
      <c r="G710" s="3">
        <f t="shared" si="84"/>
        <v>36368.75</v>
      </c>
      <c r="H710" s="3">
        <f t="shared" si="85"/>
        <v>62840</v>
      </c>
      <c r="I710" s="3">
        <f t="shared" si="86"/>
        <v>33256.25</v>
      </c>
      <c r="J710" s="3">
        <f t="shared" si="87"/>
        <v>32265.599999999999</v>
      </c>
      <c r="K710" s="5">
        <f t="shared" si="88"/>
        <v>164730.6</v>
      </c>
      <c r="L710" s="5">
        <f t="shared" si="89"/>
        <v>164730.6</v>
      </c>
      <c r="M710" s="5">
        <f t="shared" si="90"/>
        <v>0</v>
      </c>
      <c r="N710" s="3"/>
    </row>
    <row r="711" spans="1:14" x14ac:dyDescent="0.25">
      <c r="A711" s="2">
        <v>1210920</v>
      </c>
      <c r="B711" s="3">
        <v>36987.5</v>
      </c>
      <c r="C711" s="3">
        <v>63600</v>
      </c>
      <c r="D711" s="3">
        <v>33212.5</v>
      </c>
      <c r="E711" s="3">
        <v>31953.1</v>
      </c>
      <c r="F711">
        <f t="shared" si="83"/>
        <v>1210920</v>
      </c>
      <c r="G711" s="3">
        <f t="shared" si="84"/>
        <v>36987.5</v>
      </c>
      <c r="H711" s="3">
        <f t="shared" si="85"/>
        <v>63600</v>
      </c>
      <c r="I711" s="3">
        <f t="shared" si="86"/>
        <v>33212.5</v>
      </c>
      <c r="J711" s="3">
        <f t="shared" si="87"/>
        <v>31953.1</v>
      </c>
      <c r="K711" s="5">
        <f t="shared" si="88"/>
        <v>165753.1</v>
      </c>
      <c r="L711" s="5">
        <f t="shared" si="89"/>
        <v>165753.1</v>
      </c>
      <c r="M711" s="5">
        <f t="shared" si="90"/>
        <v>0</v>
      </c>
      <c r="N711" s="3"/>
    </row>
    <row r="712" spans="1:14" x14ac:dyDescent="0.25">
      <c r="A712" s="2">
        <v>1210921</v>
      </c>
      <c r="B712" s="3">
        <v>37387.5</v>
      </c>
      <c r="C712" s="3">
        <v>63370</v>
      </c>
      <c r="D712" s="3">
        <v>32675</v>
      </c>
      <c r="E712" s="3">
        <v>31015.599999999999</v>
      </c>
      <c r="F712">
        <f t="shared" si="83"/>
        <v>1210921</v>
      </c>
      <c r="G712" s="3">
        <f t="shared" si="84"/>
        <v>37387.5</v>
      </c>
      <c r="H712" s="3">
        <f t="shared" si="85"/>
        <v>63370</v>
      </c>
      <c r="I712" s="3">
        <f t="shared" si="86"/>
        <v>32675</v>
      </c>
      <c r="J712" s="3">
        <f t="shared" si="87"/>
        <v>31015.599999999999</v>
      </c>
      <c r="K712" s="5">
        <f t="shared" si="88"/>
        <v>164448.1</v>
      </c>
      <c r="L712" s="5">
        <f t="shared" si="89"/>
        <v>165753.1</v>
      </c>
      <c r="M712" s="5">
        <f t="shared" si="90"/>
        <v>-1305</v>
      </c>
      <c r="N712" s="3"/>
    </row>
    <row r="713" spans="1:14" x14ac:dyDescent="0.25">
      <c r="A713" s="2">
        <v>1210922</v>
      </c>
      <c r="B713" s="3">
        <v>38143.75</v>
      </c>
      <c r="C713" s="3">
        <v>64930</v>
      </c>
      <c r="D713" s="3">
        <v>32731.25</v>
      </c>
      <c r="E713" s="3">
        <v>31171.9</v>
      </c>
      <c r="F713">
        <f t="shared" si="83"/>
        <v>1210922</v>
      </c>
      <c r="G713" s="3">
        <f t="shared" si="84"/>
        <v>38143.75</v>
      </c>
      <c r="H713" s="3">
        <f t="shared" si="85"/>
        <v>64930</v>
      </c>
      <c r="I713" s="3">
        <f t="shared" si="86"/>
        <v>32731.25</v>
      </c>
      <c r="J713" s="3">
        <f t="shared" si="87"/>
        <v>31171.9</v>
      </c>
      <c r="K713" s="5">
        <f t="shared" si="88"/>
        <v>166976.9</v>
      </c>
      <c r="L713" s="5">
        <f t="shared" si="89"/>
        <v>166976.9</v>
      </c>
      <c r="M713" s="5">
        <f t="shared" si="90"/>
        <v>0</v>
      </c>
      <c r="N713" s="3"/>
    </row>
    <row r="714" spans="1:14" x14ac:dyDescent="0.25">
      <c r="A714" s="2">
        <v>1210923</v>
      </c>
      <c r="B714" s="3">
        <v>38668.75</v>
      </c>
      <c r="C714" s="3">
        <v>65970</v>
      </c>
      <c r="D714" s="3">
        <v>32856.25</v>
      </c>
      <c r="E714" s="3">
        <v>30468.75</v>
      </c>
      <c r="F714">
        <f t="shared" si="83"/>
        <v>1210923</v>
      </c>
      <c r="G714" s="3">
        <f t="shared" si="84"/>
        <v>38668.75</v>
      </c>
      <c r="H714" s="3">
        <f t="shared" si="85"/>
        <v>65970</v>
      </c>
      <c r="I714" s="3">
        <f t="shared" si="86"/>
        <v>32856.25</v>
      </c>
      <c r="J714" s="3">
        <f t="shared" si="87"/>
        <v>30468.75</v>
      </c>
      <c r="K714" s="5">
        <f t="shared" si="88"/>
        <v>167963.75</v>
      </c>
      <c r="L714" s="5">
        <f t="shared" si="89"/>
        <v>167963.75</v>
      </c>
      <c r="M714" s="5">
        <f t="shared" si="90"/>
        <v>0</v>
      </c>
      <c r="N714" s="3"/>
    </row>
    <row r="715" spans="1:14" x14ac:dyDescent="0.25">
      <c r="A715" s="2">
        <v>1210924</v>
      </c>
      <c r="B715" s="3">
        <v>39750</v>
      </c>
      <c r="C715" s="3">
        <v>64140</v>
      </c>
      <c r="D715" s="3">
        <v>33500</v>
      </c>
      <c r="E715" s="3">
        <v>32265.599999999999</v>
      </c>
      <c r="F715">
        <f t="shared" si="83"/>
        <v>1210924</v>
      </c>
      <c r="G715" s="3">
        <f t="shared" si="84"/>
        <v>39750</v>
      </c>
      <c r="H715" s="3">
        <f t="shared" si="85"/>
        <v>64140</v>
      </c>
      <c r="I715" s="3">
        <f t="shared" si="86"/>
        <v>33500</v>
      </c>
      <c r="J715" s="3">
        <f t="shared" si="87"/>
        <v>32265.599999999999</v>
      </c>
      <c r="K715" s="5">
        <f t="shared" si="88"/>
        <v>169655.6</v>
      </c>
      <c r="L715" s="5">
        <f t="shared" si="89"/>
        <v>169655.6</v>
      </c>
      <c r="M715" s="5">
        <f t="shared" si="90"/>
        <v>0</v>
      </c>
      <c r="N715" s="3"/>
    </row>
    <row r="716" spans="1:14" x14ac:dyDescent="0.25">
      <c r="A716" s="2">
        <v>1210926</v>
      </c>
      <c r="B716" s="3">
        <v>39812.5</v>
      </c>
      <c r="C716" s="3">
        <v>63530</v>
      </c>
      <c r="D716" s="3">
        <v>33875</v>
      </c>
      <c r="E716" s="3">
        <v>32968.75</v>
      </c>
      <c r="F716">
        <f t="shared" si="83"/>
        <v>1210926</v>
      </c>
      <c r="G716" s="3">
        <f t="shared" si="84"/>
        <v>39812.5</v>
      </c>
      <c r="H716" s="3">
        <f t="shared" si="85"/>
        <v>63530</v>
      </c>
      <c r="I716" s="3">
        <f t="shared" si="86"/>
        <v>33875</v>
      </c>
      <c r="J716" s="3">
        <f t="shared" si="87"/>
        <v>32968.75</v>
      </c>
      <c r="K716" s="5">
        <f t="shared" si="88"/>
        <v>170186.25</v>
      </c>
      <c r="L716" s="5">
        <f t="shared" si="89"/>
        <v>170186.25</v>
      </c>
      <c r="M716" s="5">
        <f t="shared" si="90"/>
        <v>0</v>
      </c>
      <c r="N716" s="3"/>
    </row>
    <row r="717" spans="1:14" x14ac:dyDescent="0.25">
      <c r="A717" s="2">
        <v>1210927</v>
      </c>
      <c r="B717" s="3">
        <v>40062.5</v>
      </c>
      <c r="C717" s="3">
        <v>62510</v>
      </c>
      <c r="D717" s="3">
        <v>33625</v>
      </c>
      <c r="E717" s="3">
        <v>32343.75</v>
      </c>
      <c r="F717">
        <f t="shared" si="83"/>
        <v>1210927</v>
      </c>
      <c r="G717" s="3">
        <f t="shared" si="84"/>
        <v>40062.5</v>
      </c>
      <c r="H717" s="3">
        <f t="shared" si="85"/>
        <v>62510</v>
      </c>
      <c r="I717" s="3">
        <f t="shared" si="86"/>
        <v>33625</v>
      </c>
      <c r="J717" s="3">
        <f t="shared" si="87"/>
        <v>32343.75</v>
      </c>
      <c r="K717" s="5">
        <f t="shared" si="88"/>
        <v>168541.25</v>
      </c>
      <c r="L717" s="5">
        <f t="shared" si="89"/>
        <v>170186.25</v>
      </c>
      <c r="M717" s="5">
        <f t="shared" si="90"/>
        <v>-1645</v>
      </c>
      <c r="N717" s="3"/>
    </row>
    <row r="718" spans="1:14" x14ac:dyDescent="0.25">
      <c r="A718" s="2">
        <v>1210928</v>
      </c>
      <c r="B718" s="3">
        <v>39350</v>
      </c>
      <c r="C718" s="3">
        <v>62810</v>
      </c>
      <c r="D718" s="3">
        <v>34243.75</v>
      </c>
      <c r="E718" s="3">
        <v>35078.1</v>
      </c>
      <c r="F718">
        <f t="shared" si="83"/>
        <v>1210928</v>
      </c>
      <c r="G718" s="3">
        <f t="shared" si="84"/>
        <v>39350</v>
      </c>
      <c r="H718" s="3">
        <f t="shared" si="85"/>
        <v>62810</v>
      </c>
      <c r="I718" s="3">
        <f t="shared" si="86"/>
        <v>34243.75</v>
      </c>
      <c r="J718" s="3">
        <f t="shared" si="87"/>
        <v>35078.1</v>
      </c>
      <c r="K718" s="5">
        <f t="shared" si="88"/>
        <v>171481.85</v>
      </c>
      <c r="L718" s="5">
        <f t="shared" si="89"/>
        <v>171481.85</v>
      </c>
      <c r="M718" s="5">
        <f t="shared" si="90"/>
        <v>0</v>
      </c>
      <c r="N718" s="3"/>
    </row>
    <row r="719" spans="1:14" x14ac:dyDescent="0.25">
      <c r="A719" s="2">
        <v>1210929</v>
      </c>
      <c r="B719" s="3">
        <v>39525</v>
      </c>
      <c r="C719" s="3">
        <v>62270</v>
      </c>
      <c r="D719" s="3">
        <v>34587.5</v>
      </c>
      <c r="E719" s="3">
        <v>35468.75</v>
      </c>
      <c r="F719">
        <f t="shared" si="83"/>
        <v>1210929</v>
      </c>
      <c r="G719" s="3">
        <f t="shared" si="84"/>
        <v>39525</v>
      </c>
      <c r="H719" s="3">
        <f t="shared" si="85"/>
        <v>62270</v>
      </c>
      <c r="I719" s="3">
        <f t="shared" si="86"/>
        <v>34587.5</v>
      </c>
      <c r="J719" s="3">
        <f t="shared" si="87"/>
        <v>35468.75</v>
      </c>
      <c r="K719" s="5">
        <f t="shared" si="88"/>
        <v>171851.25</v>
      </c>
      <c r="L719" s="5">
        <f t="shared" si="89"/>
        <v>171851.25</v>
      </c>
      <c r="M719" s="5">
        <f t="shared" si="90"/>
        <v>0</v>
      </c>
      <c r="N719" s="3"/>
    </row>
    <row r="720" spans="1:14" x14ac:dyDescent="0.25">
      <c r="A720" s="2">
        <v>1210930</v>
      </c>
      <c r="B720" s="3">
        <v>39018.75</v>
      </c>
      <c r="C720" s="3">
        <v>61090</v>
      </c>
      <c r="D720" s="3">
        <v>35025</v>
      </c>
      <c r="E720" s="3">
        <v>34921.9</v>
      </c>
      <c r="F720">
        <f t="shared" si="83"/>
        <v>1210930</v>
      </c>
      <c r="G720" s="3">
        <f t="shared" si="84"/>
        <v>39018.75</v>
      </c>
      <c r="H720" s="3">
        <f t="shared" si="85"/>
        <v>61090</v>
      </c>
      <c r="I720" s="3">
        <f t="shared" si="86"/>
        <v>35025</v>
      </c>
      <c r="J720" s="3">
        <f t="shared" si="87"/>
        <v>34921.9</v>
      </c>
      <c r="K720" s="5">
        <f t="shared" si="88"/>
        <v>170055.65</v>
      </c>
      <c r="L720" s="5">
        <f t="shared" si="89"/>
        <v>171851.25</v>
      </c>
      <c r="M720" s="5">
        <f t="shared" si="90"/>
        <v>-1795.6000000000058</v>
      </c>
      <c r="N720" s="3"/>
    </row>
    <row r="721" spans="1:14" x14ac:dyDescent="0.25">
      <c r="A721" s="2">
        <v>1211001</v>
      </c>
      <c r="B721" s="3">
        <v>40162.5</v>
      </c>
      <c r="C721" s="3">
        <v>61770</v>
      </c>
      <c r="D721" s="3">
        <v>35550</v>
      </c>
      <c r="E721" s="3">
        <v>34531.25</v>
      </c>
      <c r="F721">
        <f t="shared" si="83"/>
        <v>1211001</v>
      </c>
      <c r="G721" s="3">
        <f t="shared" si="84"/>
        <v>40162.5</v>
      </c>
      <c r="H721" s="3">
        <f t="shared" si="85"/>
        <v>61770</v>
      </c>
      <c r="I721" s="3">
        <f t="shared" si="86"/>
        <v>35550</v>
      </c>
      <c r="J721" s="3">
        <f t="shared" si="87"/>
        <v>34531.25</v>
      </c>
      <c r="K721" s="5">
        <f t="shared" si="88"/>
        <v>172013.75</v>
      </c>
      <c r="L721" s="5">
        <f t="shared" si="89"/>
        <v>172013.75</v>
      </c>
      <c r="M721" s="5">
        <f t="shared" si="90"/>
        <v>0</v>
      </c>
      <c r="N721" s="3"/>
    </row>
    <row r="722" spans="1:14" x14ac:dyDescent="0.25">
      <c r="A722" s="2">
        <v>1211003</v>
      </c>
      <c r="B722" s="3">
        <v>41150</v>
      </c>
      <c r="C722" s="3">
        <v>61430</v>
      </c>
      <c r="D722" s="3">
        <v>35731.25</v>
      </c>
      <c r="E722" s="3">
        <v>35390.6</v>
      </c>
      <c r="F722">
        <f t="shared" si="83"/>
        <v>1211003</v>
      </c>
      <c r="G722" s="3">
        <f t="shared" si="84"/>
        <v>41150</v>
      </c>
      <c r="H722" s="3">
        <f t="shared" si="85"/>
        <v>61430</v>
      </c>
      <c r="I722" s="3">
        <f t="shared" si="86"/>
        <v>35731.25</v>
      </c>
      <c r="J722" s="3">
        <f t="shared" si="87"/>
        <v>35390.6</v>
      </c>
      <c r="K722" s="5">
        <f t="shared" si="88"/>
        <v>173701.85</v>
      </c>
      <c r="L722" s="5">
        <f t="shared" si="89"/>
        <v>173701.85</v>
      </c>
      <c r="M722" s="5">
        <f t="shared" si="90"/>
        <v>0</v>
      </c>
      <c r="N722" s="3"/>
    </row>
    <row r="723" spans="1:14" x14ac:dyDescent="0.25">
      <c r="A723" s="2">
        <v>1211004</v>
      </c>
      <c r="B723" s="3">
        <v>40681.25</v>
      </c>
      <c r="C723" s="3">
        <v>60860</v>
      </c>
      <c r="D723" s="3">
        <v>35681.25</v>
      </c>
      <c r="E723" s="3">
        <v>35078.1</v>
      </c>
      <c r="F723">
        <f t="shared" si="83"/>
        <v>1211004</v>
      </c>
      <c r="G723" s="3">
        <f t="shared" si="84"/>
        <v>40681.25</v>
      </c>
      <c r="H723" s="3">
        <f t="shared" si="85"/>
        <v>60860</v>
      </c>
      <c r="I723" s="3">
        <f t="shared" si="86"/>
        <v>35681.25</v>
      </c>
      <c r="J723" s="3">
        <f t="shared" si="87"/>
        <v>35078.1</v>
      </c>
      <c r="K723" s="5">
        <f t="shared" si="88"/>
        <v>172300.6</v>
      </c>
      <c r="L723" s="5">
        <f t="shared" si="89"/>
        <v>173701.85</v>
      </c>
      <c r="M723" s="5">
        <f t="shared" si="90"/>
        <v>-1401.25</v>
      </c>
      <c r="N723" s="3"/>
    </row>
    <row r="724" spans="1:14" x14ac:dyDescent="0.25">
      <c r="A724" s="2">
        <v>1211005</v>
      </c>
      <c r="B724" s="3">
        <v>40500</v>
      </c>
      <c r="C724" s="3">
        <v>59440</v>
      </c>
      <c r="D724" s="3">
        <v>35531.25</v>
      </c>
      <c r="E724" s="3">
        <v>34062.5</v>
      </c>
      <c r="F724">
        <f t="shared" si="83"/>
        <v>1211005</v>
      </c>
      <c r="G724" s="3">
        <f t="shared" si="84"/>
        <v>40500</v>
      </c>
      <c r="H724" s="3">
        <f t="shared" si="85"/>
        <v>59440</v>
      </c>
      <c r="I724" s="3">
        <f t="shared" si="86"/>
        <v>35531.25</v>
      </c>
      <c r="J724" s="3">
        <f t="shared" si="87"/>
        <v>34062.5</v>
      </c>
      <c r="K724" s="5">
        <f t="shared" si="88"/>
        <v>169533.75</v>
      </c>
      <c r="L724" s="5">
        <f t="shared" si="89"/>
        <v>172300.6</v>
      </c>
      <c r="M724" s="5">
        <f t="shared" si="90"/>
        <v>-2766.8500000000058</v>
      </c>
      <c r="N724" s="3"/>
    </row>
    <row r="725" spans="1:14" x14ac:dyDescent="0.25">
      <c r="A725" s="2">
        <v>1211006</v>
      </c>
      <c r="B725" s="3">
        <v>39637.5</v>
      </c>
      <c r="C725" s="3">
        <v>59580</v>
      </c>
      <c r="D725" s="3">
        <v>35968.75</v>
      </c>
      <c r="E725" s="3">
        <v>36406.25</v>
      </c>
      <c r="F725">
        <f t="shared" si="83"/>
        <v>1211006</v>
      </c>
      <c r="G725" s="3">
        <f t="shared" si="84"/>
        <v>39637.5</v>
      </c>
      <c r="H725" s="3">
        <f t="shared" si="85"/>
        <v>59580</v>
      </c>
      <c r="I725" s="3">
        <f t="shared" si="86"/>
        <v>35968.75</v>
      </c>
      <c r="J725" s="3">
        <f t="shared" si="87"/>
        <v>36406.25</v>
      </c>
      <c r="K725" s="5">
        <f t="shared" si="88"/>
        <v>171592.5</v>
      </c>
      <c r="L725" s="5">
        <f t="shared" si="89"/>
        <v>171592.5</v>
      </c>
      <c r="M725" s="5">
        <f t="shared" si="90"/>
        <v>0</v>
      </c>
      <c r="N725" s="3"/>
    </row>
    <row r="726" spans="1:14" x14ac:dyDescent="0.25">
      <c r="A726" s="2">
        <v>1211007</v>
      </c>
      <c r="B726" s="3">
        <v>40943.75</v>
      </c>
      <c r="C726" s="3">
        <v>59870</v>
      </c>
      <c r="D726" s="3">
        <v>35518.75</v>
      </c>
      <c r="E726" s="3">
        <v>34765.599999999999</v>
      </c>
      <c r="F726">
        <f t="shared" si="83"/>
        <v>1211007</v>
      </c>
      <c r="G726" s="3">
        <f t="shared" si="84"/>
        <v>40943.75</v>
      </c>
      <c r="H726" s="3">
        <f t="shared" si="85"/>
        <v>59870</v>
      </c>
      <c r="I726" s="3">
        <f t="shared" si="86"/>
        <v>35518.75</v>
      </c>
      <c r="J726" s="3">
        <f t="shared" si="87"/>
        <v>34765.599999999999</v>
      </c>
      <c r="K726" s="5">
        <f t="shared" si="88"/>
        <v>171098.1</v>
      </c>
      <c r="L726" s="5">
        <f t="shared" si="89"/>
        <v>171592.5</v>
      </c>
      <c r="M726" s="5">
        <f t="shared" si="90"/>
        <v>-494.39999999999418</v>
      </c>
      <c r="N726" s="3"/>
    </row>
    <row r="727" spans="1:14" x14ac:dyDescent="0.25">
      <c r="A727" s="2">
        <v>1211008</v>
      </c>
      <c r="B727" s="3">
        <v>41525</v>
      </c>
      <c r="C727" s="3">
        <v>59100</v>
      </c>
      <c r="D727" s="3">
        <v>35812.5</v>
      </c>
      <c r="E727" s="3">
        <v>35781.25</v>
      </c>
      <c r="F727">
        <f t="shared" si="83"/>
        <v>1211008</v>
      </c>
      <c r="G727" s="3">
        <f t="shared" si="84"/>
        <v>41525</v>
      </c>
      <c r="H727" s="3">
        <f t="shared" si="85"/>
        <v>59100</v>
      </c>
      <c r="I727" s="3">
        <f t="shared" si="86"/>
        <v>35812.5</v>
      </c>
      <c r="J727" s="3">
        <f t="shared" si="87"/>
        <v>35781.25</v>
      </c>
      <c r="K727" s="5">
        <f t="shared" si="88"/>
        <v>172218.75</v>
      </c>
      <c r="L727" s="5">
        <f t="shared" si="89"/>
        <v>172218.75</v>
      </c>
      <c r="M727" s="5">
        <f t="shared" si="90"/>
        <v>0</v>
      </c>
      <c r="N727" s="3"/>
    </row>
    <row r="728" spans="1:14" x14ac:dyDescent="0.25">
      <c r="A728" s="2">
        <v>1211010</v>
      </c>
      <c r="B728" s="3">
        <v>41856.25</v>
      </c>
      <c r="C728" s="3">
        <v>58430</v>
      </c>
      <c r="D728" s="3">
        <v>35725</v>
      </c>
      <c r="E728" s="3">
        <v>35156.25</v>
      </c>
      <c r="F728">
        <f t="shared" si="83"/>
        <v>1211010</v>
      </c>
      <c r="G728" s="3">
        <f t="shared" si="84"/>
        <v>41856.25</v>
      </c>
      <c r="H728" s="3">
        <f t="shared" si="85"/>
        <v>58430</v>
      </c>
      <c r="I728" s="3">
        <f t="shared" si="86"/>
        <v>35725</v>
      </c>
      <c r="J728" s="3">
        <f t="shared" si="87"/>
        <v>35156.25</v>
      </c>
      <c r="K728" s="5">
        <f t="shared" si="88"/>
        <v>171167.5</v>
      </c>
      <c r="L728" s="5">
        <f t="shared" si="89"/>
        <v>172218.75</v>
      </c>
      <c r="M728" s="5">
        <f t="shared" si="90"/>
        <v>-1051.25</v>
      </c>
      <c r="N728" s="3"/>
    </row>
    <row r="729" spans="1:14" x14ac:dyDescent="0.25">
      <c r="A729" s="2">
        <v>1211011</v>
      </c>
      <c r="B729" s="3">
        <v>41675</v>
      </c>
      <c r="C729" s="3">
        <v>58450</v>
      </c>
      <c r="D729" s="3">
        <v>36131.25</v>
      </c>
      <c r="E729" s="3">
        <v>35859.4</v>
      </c>
      <c r="F729">
        <f t="shared" ref="F729:F792" si="91">+A729</f>
        <v>1211011</v>
      </c>
      <c r="G729" s="3">
        <f t="shared" si="84"/>
        <v>41675</v>
      </c>
      <c r="H729" s="3">
        <f t="shared" si="85"/>
        <v>58450</v>
      </c>
      <c r="I729" s="3">
        <f t="shared" si="86"/>
        <v>36131.25</v>
      </c>
      <c r="J729" s="3">
        <f t="shared" si="87"/>
        <v>35859.4</v>
      </c>
      <c r="K729" s="5">
        <f t="shared" si="88"/>
        <v>172115.65</v>
      </c>
      <c r="L729" s="5">
        <f t="shared" si="89"/>
        <v>172115.65</v>
      </c>
      <c r="M729" s="5">
        <f t="shared" si="90"/>
        <v>0</v>
      </c>
      <c r="N729" s="3"/>
    </row>
    <row r="730" spans="1:14" x14ac:dyDescent="0.25">
      <c r="A730" s="2">
        <v>1211012</v>
      </c>
      <c r="B730" s="3">
        <v>39475</v>
      </c>
      <c r="C730" s="3">
        <v>57730</v>
      </c>
      <c r="D730" s="3">
        <v>36781.25</v>
      </c>
      <c r="E730" s="3">
        <v>35000</v>
      </c>
      <c r="F730">
        <f t="shared" si="91"/>
        <v>1211012</v>
      </c>
      <c r="G730" s="3">
        <f t="shared" ref="G730:G793" si="92">+IF(B730&lt;&gt;0,B730,B729)</f>
        <v>39475</v>
      </c>
      <c r="H730" s="3">
        <f t="shared" ref="H730:H793" si="93">+IF(C730&lt;&gt;0,C730,C729)</f>
        <v>57730</v>
      </c>
      <c r="I730" s="3">
        <f t="shared" ref="I730:I793" si="94">+IF(D730&lt;&gt;0,D730,D729)</f>
        <v>36781.25</v>
      </c>
      <c r="J730" s="3">
        <f t="shared" ref="J730:J793" si="95">+IF(E730&lt;&gt;0,E730,E729)</f>
        <v>35000</v>
      </c>
      <c r="K730" s="5">
        <f t="shared" ref="K730:K793" si="96">+SUM(G730:J730)</f>
        <v>168986.25</v>
      </c>
      <c r="L730" s="5">
        <f t="shared" si="89"/>
        <v>172115.65</v>
      </c>
      <c r="M730" s="5">
        <f t="shared" si="90"/>
        <v>-3129.3999999999942</v>
      </c>
      <c r="N730" s="3"/>
    </row>
    <row r="731" spans="1:14" x14ac:dyDescent="0.25">
      <c r="A731" s="2">
        <v>1211013</v>
      </c>
      <c r="B731" s="3">
        <v>39425</v>
      </c>
      <c r="C731" s="3">
        <v>56150</v>
      </c>
      <c r="D731" s="3">
        <v>36906.25</v>
      </c>
      <c r="E731" s="3">
        <v>34140.6</v>
      </c>
      <c r="F731">
        <f t="shared" si="91"/>
        <v>1211013</v>
      </c>
      <c r="G731" s="3">
        <f t="shared" si="92"/>
        <v>39425</v>
      </c>
      <c r="H731" s="3">
        <f t="shared" si="93"/>
        <v>56150</v>
      </c>
      <c r="I731" s="3">
        <f t="shared" si="94"/>
        <v>36906.25</v>
      </c>
      <c r="J731" s="3">
        <f t="shared" si="95"/>
        <v>34140.6</v>
      </c>
      <c r="K731" s="5">
        <f t="shared" si="96"/>
        <v>166621.85</v>
      </c>
      <c r="L731" s="5">
        <f t="shared" ref="L731:L794" si="97">+IF(K731&gt;K730,K731,K730)</f>
        <v>168986.25</v>
      </c>
      <c r="M731" s="5">
        <f t="shared" ref="M731:M794" si="98">+K731-L731</f>
        <v>-2364.3999999999942</v>
      </c>
      <c r="N731" s="3"/>
    </row>
    <row r="732" spans="1:14" x14ac:dyDescent="0.25">
      <c r="A732" s="2">
        <v>1211014</v>
      </c>
      <c r="B732" s="3">
        <v>38500</v>
      </c>
      <c r="C732" s="3">
        <v>52250</v>
      </c>
      <c r="D732" s="3">
        <v>36856.25</v>
      </c>
      <c r="E732" s="3">
        <v>32812.5</v>
      </c>
      <c r="F732">
        <f t="shared" si="91"/>
        <v>1211014</v>
      </c>
      <c r="G732" s="3">
        <f t="shared" si="92"/>
        <v>38500</v>
      </c>
      <c r="H732" s="3">
        <f t="shared" si="93"/>
        <v>52250</v>
      </c>
      <c r="I732" s="3">
        <f t="shared" si="94"/>
        <v>36856.25</v>
      </c>
      <c r="J732" s="3">
        <f t="shared" si="95"/>
        <v>32812.5</v>
      </c>
      <c r="K732" s="5">
        <f t="shared" si="96"/>
        <v>160418.75</v>
      </c>
      <c r="L732" s="5">
        <f t="shared" si="97"/>
        <v>166621.85</v>
      </c>
      <c r="M732" s="5">
        <f t="shared" si="98"/>
        <v>-6203.1000000000058</v>
      </c>
      <c r="N732" s="3"/>
    </row>
    <row r="733" spans="1:14" x14ac:dyDescent="0.25">
      <c r="A733" s="2">
        <v>1211015</v>
      </c>
      <c r="B733" s="3">
        <v>39987.5</v>
      </c>
      <c r="C733" s="3">
        <v>51590</v>
      </c>
      <c r="D733" s="3">
        <v>37375</v>
      </c>
      <c r="E733" s="3">
        <v>33671.9</v>
      </c>
      <c r="F733">
        <f t="shared" si="91"/>
        <v>1211015</v>
      </c>
      <c r="G733" s="3">
        <f t="shared" si="92"/>
        <v>39987.5</v>
      </c>
      <c r="H733" s="3">
        <f t="shared" si="93"/>
        <v>51590</v>
      </c>
      <c r="I733" s="3">
        <f t="shared" si="94"/>
        <v>37375</v>
      </c>
      <c r="J733" s="3">
        <f t="shared" si="95"/>
        <v>33671.9</v>
      </c>
      <c r="K733" s="5">
        <f t="shared" si="96"/>
        <v>162624.4</v>
      </c>
      <c r="L733" s="5">
        <f t="shared" si="97"/>
        <v>162624.4</v>
      </c>
      <c r="M733" s="5">
        <f t="shared" si="98"/>
        <v>0</v>
      </c>
      <c r="N733" s="3"/>
    </row>
    <row r="734" spans="1:14" x14ac:dyDescent="0.25">
      <c r="A734" s="2">
        <v>1211017</v>
      </c>
      <c r="B734" s="3">
        <v>40031.25</v>
      </c>
      <c r="C734" s="3">
        <v>52330</v>
      </c>
      <c r="D734" s="3">
        <v>37131.25</v>
      </c>
      <c r="E734" s="3">
        <v>35000</v>
      </c>
      <c r="F734">
        <f t="shared" si="91"/>
        <v>1211017</v>
      </c>
      <c r="G734" s="3">
        <f t="shared" si="92"/>
        <v>40031.25</v>
      </c>
      <c r="H734" s="3">
        <f t="shared" si="93"/>
        <v>52330</v>
      </c>
      <c r="I734" s="3">
        <f t="shared" si="94"/>
        <v>37131.25</v>
      </c>
      <c r="J734" s="3">
        <f t="shared" si="95"/>
        <v>35000</v>
      </c>
      <c r="K734" s="5">
        <f t="shared" si="96"/>
        <v>164492.5</v>
      </c>
      <c r="L734" s="5">
        <f t="shared" si="97"/>
        <v>164492.5</v>
      </c>
      <c r="M734" s="5">
        <f t="shared" si="98"/>
        <v>0</v>
      </c>
      <c r="N734" s="3"/>
    </row>
    <row r="735" spans="1:14" x14ac:dyDescent="0.25">
      <c r="A735" s="2">
        <v>1211018</v>
      </c>
      <c r="B735" s="3">
        <v>39968.75</v>
      </c>
      <c r="C735" s="3">
        <v>52440</v>
      </c>
      <c r="D735" s="3">
        <v>36993.75</v>
      </c>
      <c r="E735" s="3">
        <v>35390.6</v>
      </c>
      <c r="F735">
        <f t="shared" si="91"/>
        <v>1211018</v>
      </c>
      <c r="G735" s="3">
        <f t="shared" si="92"/>
        <v>39968.75</v>
      </c>
      <c r="H735" s="3">
        <f t="shared" si="93"/>
        <v>52440</v>
      </c>
      <c r="I735" s="3">
        <f t="shared" si="94"/>
        <v>36993.75</v>
      </c>
      <c r="J735" s="3">
        <f t="shared" si="95"/>
        <v>35390.6</v>
      </c>
      <c r="K735" s="5">
        <f t="shared" si="96"/>
        <v>164793.1</v>
      </c>
      <c r="L735" s="5">
        <f t="shared" si="97"/>
        <v>164793.1</v>
      </c>
      <c r="M735" s="5">
        <f t="shared" si="98"/>
        <v>0</v>
      </c>
      <c r="N735" s="3"/>
    </row>
    <row r="736" spans="1:14" x14ac:dyDescent="0.25">
      <c r="A736" s="2">
        <v>1211019</v>
      </c>
      <c r="B736" s="3">
        <v>40500</v>
      </c>
      <c r="C736" s="3">
        <v>51700</v>
      </c>
      <c r="D736" s="3">
        <v>36931.25</v>
      </c>
      <c r="E736" s="3">
        <v>35000</v>
      </c>
      <c r="F736">
        <f t="shared" si="91"/>
        <v>1211019</v>
      </c>
      <c r="G736" s="3">
        <f t="shared" si="92"/>
        <v>40500</v>
      </c>
      <c r="H736" s="3">
        <f t="shared" si="93"/>
        <v>51700</v>
      </c>
      <c r="I736" s="3">
        <f t="shared" si="94"/>
        <v>36931.25</v>
      </c>
      <c r="J736" s="3">
        <f t="shared" si="95"/>
        <v>35000</v>
      </c>
      <c r="K736" s="5">
        <f t="shared" si="96"/>
        <v>164131.25</v>
      </c>
      <c r="L736" s="5">
        <f t="shared" si="97"/>
        <v>164793.1</v>
      </c>
      <c r="M736" s="5">
        <f t="shared" si="98"/>
        <v>-661.85000000000582</v>
      </c>
      <c r="N736" s="3"/>
    </row>
    <row r="737" spans="1:14" x14ac:dyDescent="0.25">
      <c r="A737" s="2">
        <v>1211020</v>
      </c>
      <c r="B737" s="3">
        <v>41287.5</v>
      </c>
      <c r="C737" s="3">
        <v>49940</v>
      </c>
      <c r="D737" s="3">
        <v>37275</v>
      </c>
      <c r="E737" s="3">
        <v>36484.400000000001</v>
      </c>
      <c r="F737">
        <f t="shared" si="91"/>
        <v>1211020</v>
      </c>
      <c r="G737" s="3">
        <f t="shared" si="92"/>
        <v>41287.5</v>
      </c>
      <c r="H737" s="3">
        <f t="shared" si="93"/>
        <v>49940</v>
      </c>
      <c r="I737" s="3">
        <f t="shared" si="94"/>
        <v>37275</v>
      </c>
      <c r="J737" s="3">
        <f t="shared" si="95"/>
        <v>36484.400000000001</v>
      </c>
      <c r="K737" s="5">
        <f t="shared" si="96"/>
        <v>164986.9</v>
      </c>
      <c r="L737" s="5">
        <f t="shared" si="97"/>
        <v>164986.9</v>
      </c>
      <c r="M737" s="5">
        <f t="shared" si="98"/>
        <v>0</v>
      </c>
      <c r="N737" s="3"/>
    </row>
    <row r="738" spans="1:14" x14ac:dyDescent="0.25">
      <c r="A738" s="2">
        <v>1211021</v>
      </c>
      <c r="B738" s="3">
        <v>41787.5</v>
      </c>
      <c r="C738" s="3">
        <v>51210</v>
      </c>
      <c r="D738" s="3">
        <v>37237.5</v>
      </c>
      <c r="E738" s="3">
        <v>34687.5</v>
      </c>
      <c r="F738">
        <f t="shared" si="91"/>
        <v>1211021</v>
      </c>
      <c r="G738" s="3">
        <f t="shared" si="92"/>
        <v>41787.5</v>
      </c>
      <c r="H738" s="3">
        <f t="shared" si="93"/>
        <v>51210</v>
      </c>
      <c r="I738" s="3">
        <f t="shared" si="94"/>
        <v>37237.5</v>
      </c>
      <c r="J738" s="3">
        <f t="shared" si="95"/>
        <v>34687.5</v>
      </c>
      <c r="K738" s="5">
        <f t="shared" si="96"/>
        <v>164922.5</v>
      </c>
      <c r="L738" s="5">
        <f t="shared" si="97"/>
        <v>164986.9</v>
      </c>
      <c r="M738" s="5">
        <f t="shared" si="98"/>
        <v>-64.399999999994179</v>
      </c>
      <c r="N738" s="3"/>
    </row>
    <row r="739" spans="1:14" x14ac:dyDescent="0.25">
      <c r="A739" s="2">
        <v>1211022</v>
      </c>
      <c r="B739" s="3">
        <v>42012.5</v>
      </c>
      <c r="C739" s="3">
        <v>49940</v>
      </c>
      <c r="D739" s="3">
        <v>36762.5</v>
      </c>
      <c r="E739" s="3">
        <v>35234.400000000001</v>
      </c>
      <c r="F739">
        <f t="shared" si="91"/>
        <v>1211022</v>
      </c>
      <c r="G739" s="3">
        <f t="shared" si="92"/>
        <v>42012.5</v>
      </c>
      <c r="H739" s="3">
        <f t="shared" si="93"/>
        <v>49940</v>
      </c>
      <c r="I739" s="3">
        <f t="shared" si="94"/>
        <v>36762.5</v>
      </c>
      <c r="J739" s="3">
        <f t="shared" si="95"/>
        <v>35234.400000000001</v>
      </c>
      <c r="K739" s="5">
        <f t="shared" si="96"/>
        <v>163949.4</v>
      </c>
      <c r="L739" s="5">
        <f t="shared" si="97"/>
        <v>164922.5</v>
      </c>
      <c r="M739" s="5">
        <f t="shared" si="98"/>
        <v>-973.10000000000582</v>
      </c>
      <c r="N739" s="3"/>
    </row>
    <row r="740" spans="1:14" x14ac:dyDescent="0.25">
      <c r="A740" s="2">
        <v>1211024</v>
      </c>
      <c r="B740" s="3">
        <v>41993.75</v>
      </c>
      <c r="C740" s="3">
        <v>49110</v>
      </c>
      <c r="D740" s="3">
        <v>36675</v>
      </c>
      <c r="E740" s="3">
        <v>35625</v>
      </c>
      <c r="F740">
        <f t="shared" si="91"/>
        <v>1211024</v>
      </c>
      <c r="G740" s="3">
        <f t="shared" si="92"/>
        <v>41993.75</v>
      </c>
      <c r="H740" s="3">
        <f t="shared" si="93"/>
        <v>49110</v>
      </c>
      <c r="I740" s="3">
        <f t="shared" si="94"/>
        <v>36675</v>
      </c>
      <c r="J740" s="3">
        <f t="shared" si="95"/>
        <v>35625</v>
      </c>
      <c r="K740" s="5">
        <f t="shared" si="96"/>
        <v>163403.75</v>
      </c>
      <c r="L740" s="5">
        <f t="shared" si="97"/>
        <v>163949.4</v>
      </c>
      <c r="M740" s="5">
        <f t="shared" si="98"/>
        <v>-545.64999999999418</v>
      </c>
      <c r="N740" s="3"/>
    </row>
    <row r="741" spans="1:14" x14ac:dyDescent="0.25">
      <c r="A741" s="2">
        <v>1211025</v>
      </c>
      <c r="B741" s="3">
        <v>41693.75</v>
      </c>
      <c r="C741" s="3">
        <v>49570</v>
      </c>
      <c r="D741" s="3">
        <v>36575</v>
      </c>
      <c r="E741" s="3">
        <v>35625</v>
      </c>
      <c r="F741">
        <f t="shared" si="91"/>
        <v>1211025</v>
      </c>
      <c r="G741" s="3">
        <f t="shared" si="92"/>
        <v>41693.75</v>
      </c>
      <c r="H741" s="3">
        <f t="shared" si="93"/>
        <v>49570</v>
      </c>
      <c r="I741" s="3">
        <f t="shared" si="94"/>
        <v>36575</v>
      </c>
      <c r="J741" s="3">
        <f t="shared" si="95"/>
        <v>35625</v>
      </c>
      <c r="K741" s="5">
        <f t="shared" si="96"/>
        <v>163463.75</v>
      </c>
      <c r="L741" s="5">
        <f t="shared" si="97"/>
        <v>163463.75</v>
      </c>
      <c r="M741" s="5">
        <f t="shared" si="98"/>
        <v>0</v>
      </c>
      <c r="N741" s="3"/>
    </row>
    <row r="742" spans="1:14" x14ac:dyDescent="0.25">
      <c r="A742" s="2">
        <v>1211026</v>
      </c>
      <c r="B742" s="3">
        <v>42031.25</v>
      </c>
      <c r="C742" s="3">
        <v>49920</v>
      </c>
      <c r="D742" s="3">
        <v>36700</v>
      </c>
      <c r="E742" s="3">
        <v>33593.75</v>
      </c>
      <c r="F742">
        <f t="shared" si="91"/>
        <v>1211026</v>
      </c>
      <c r="G742" s="3">
        <f t="shared" si="92"/>
        <v>42031.25</v>
      </c>
      <c r="H742" s="3">
        <f t="shared" si="93"/>
        <v>49920</v>
      </c>
      <c r="I742" s="3">
        <f t="shared" si="94"/>
        <v>36700</v>
      </c>
      <c r="J742" s="3">
        <f t="shared" si="95"/>
        <v>33593.75</v>
      </c>
      <c r="K742" s="5">
        <f t="shared" si="96"/>
        <v>162245</v>
      </c>
      <c r="L742" s="5">
        <f t="shared" si="97"/>
        <v>163463.75</v>
      </c>
      <c r="M742" s="5">
        <f t="shared" si="98"/>
        <v>-1218.75</v>
      </c>
      <c r="N742" s="3"/>
    </row>
    <row r="743" spans="1:14" x14ac:dyDescent="0.25">
      <c r="A743" s="2">
        <v>1211027</v>
      </c>
      <c r="B743" s="3">
        <v>41887.5</v>
      </c>
      <c r="C743" s="3">
        <v>50720</v>
      </c>
      <c r="D743" s="3">
        <v>36756.25</v>
      </c>
      <c r="E743" s="3">
        <v>33046.9</v>
      </c>
      <c r="F743">
        <f t="shared" si="91"/>
        <v>1211027</v>
      </c>
      <c r="G743" s="3">
        <f t="shared" si="92"/>
        <v>41887.5</v>
      </c>
      <c r="H743" s="3">
        <f t="shared" si="93"/>
        <v>50720</v>
      </c>
      <c r="I743" s="3">
        <f t="shared" si="94"/>
        <v>36756.25</v>
      </c>
      <c r="J743" s="3">
        <f t="shared" si="95"/>
        <v>33046.9</v>
      </c>
      <c r="K743" s="5">
        <f t="shared" si="96"/>
        <v>162410.65</v>
      </c>
      <c r="L743" s="5">
        <f t="shared" si="97"/>
        <v>162410.65</v>
      </c>
      <c r="M743" s="5">
        <f t="shared" si="98"/>
        <v>0</v>
      </c>
      <c r="N743" s="3"/>
    </row>
    <row r="744" spans="1:14" x14ac:dyDescent="0.25">
      <c r="A744" s="2">
        <v>1211028</v>
      </c>
      <c r="B744" s="3">
        <v>41075</v>
      </c>
      <c r="C744" s="3">
        <v>51670</v>
      </c>
      <c r="D744" s="3">
        <v>36281.25</v>
      </c>
      <c r="E744" s="3">
        <v>32109.4</v>
      </c>
      <c r="F744">
        <f t="shared" si="91"/>
        <v>1211028</v>
      </c>
      <c r="G744" s="3">
        <f t="shared" si="92"/>
        <v>41075</v>
      </c>
      <c r="H744" s="3">
        <f t="shared" si="93"/>
        <v>51670</v>
      </c>
      <c r="I744" s="3">
        <f t="shared" si="94"/>
        <v>36281.25</v>
      </c>
      <c r="J744" s="3">
        <f t="shared" si="95"/>
        <v>32109.4</v>
      </c>
      <c r="K744" s="5">
        <f t="shared" si="96"/>
        <v>161135.65</v>
      </c>
      <c r="L744" s="5">
        <f t="shared" si="97"/>
        <v>162410.65</v>
      </c>
      <c r="M744" s="5">
        <f t="shared" si="98"/>
        <v>-1275</v>
      </c>
      <c r="N744" s="3"/>
    </row>
    <row r="745" spans="1:14" x14ac:dyDescent="0.25">
      <c r="A745" s="2">
        <v>1211029</v>
      </c>
      <c r="B745" s="3">
        <v>41506.25</v>
      </c>
      <c r="C745" s="3">
        <v>49960</v>
      </c>
      <c r="D745" s="3">
        <v>36212.5</v>
      </c>
      <c r="E745" s="3">
        <v>32734.400000000001</v>
      </c>
      <c r="F745">
        <f t="shared" si="91"/>
        <v>1211029</v>
      </c>
      <c r="G745" s="3">
        <f t="shared" si="92"/>
        <v>41506.25</v>
      </c>
      <c r="H745" s="3">
        <f t="shared" si="93"/>
        <v>49960</v>
      </c>
      <c r="I745" s="3">
        <f t="shared" si="94"/>
        <v>36212.5</v>
      </c>
      <c r="J745" s="3">
        <f t="shared" si="95"/>
        <v>32734.400000000001</v>
      </c>
      <c r="K745" s="5">
        <f t="shared" si="96"/>
        <v>160413.15</v>
      </c>
      <c r="L745" s="5">
        <f t="shared" si="97"/>
        <v>161135.65</v>
      </c>
      <c r="M745" s="5">
        <f t="shared" si="98"/>
        <v>-722.5</v>
      </c>
      <c r="N745" s="3"/>
    </row>
    <row r="746" spans="1:14" x14ac:dyDescent="0.25">
      <c r="A746" s="2">
        <v>1211031</v>
      </c>
      <c r="B746" s="3">
        <v>42443.75</v>
      </c>
      <c r="C746" s="3">
        <v>49490</v>
      </c>
      <c r="D746" s="3">
        <v>36431.25</v>
      </c>
      <c r="E746" s="3">
        <v>32734.400000000001</v>
      </c>
      <c r="F746">
        <f t="shared" si="91"/>
        <v>1211031</v>
      </c>
      <c r="G746" s="3">
        <f t="shared" si="92"/>
        <v>42443.75</v>
      </c>
      <c r="H746" s="3">
        <f t="shared" si="93"/>
        <v>49490</v>
      </c>
      <c r="I746" s="3">
        <f t="shared" si="94"/>
        <v>36431.25</v>
      </c>
      <c r="J746" s="3">
        <f t="shared" si="95"/>
        <v>32734.400000000001</v>
      </c>
      <c r="K746" s="5">
        <f t="shared" si="96"/>
        <v>161099.4</v>
      </c>
      <c r="L746" s="5">
        <f t="shared" si="97"/>
        <v>161099.4</v>
      </c>
      <c r="M746" s="5">
        <f t="shared" si="98"/>
        <v>0</v>
      </c>
      <c r="N746" s="3"/>
    </row>
    <row r="747" spans="1:14" x14ac:dyDescent="0.25">
      <c r="A747" s="2">
        <v>1211101</v>
      </c>
      <c r="B747" s="3">
        <v>42412.5</v>
      </c>
      <c r="C747" s="3">
        <v>49130</v>
      </c>
      <c r="D747" s="3">
        <v>36531.25</v>
      </c>
      <c r="E747" s="3">
        <v>32656.25</v>
      </c>
      <c r="F747">
        <f t="shared" si="91"/>
        <v>1211101</v>
      </c>
      <c r="G747" s="3">
        <f t="shared" si="92"/>
        <v>42412.5</v>
      </c>
      <c r="H747" s="3">
        <f t="shared" si="93"/>
        <v>49130</v>
      </c>
      <c r="I747" s="3">
        <f t="shared" si="94"/>
        <v>36531.25</v>
      </c>
      <c r="J747" s="3">
        <f t="shared" si="95"/>
        <v>32656.25</v>
      </c>
      <c r="K747" s="5">
        <f t="shared" si="96"/>
        <v>160730</v>
      </c>
      <c r="L747" s="5">
        <f t="shared" si="97"/>
        <v>161099.4</v>
      </c>
      <c r="M747" s="5">
        <f t="shared" si="98"/>
        <v>-369.39999999999418</v>
      </c>
      <c r="N747" s="3"/>
    </row>
    <row r="748" spans="1:14" x14ac:dyDescent="0.25">
      <c r="A748" s="2">
        <v>1211102</v>
      </c>
      <c r="B748" s="3">
        <v>42175</v>
      </c>
      <c r="C748" s="3">
        <v>49170</v>
      </c>
      <c r="D748" s="3">
        <v>36931.25</v>
      </c>
      <c r="E748" s="3">
        <v>31171.9</v>
      </c>
      <c r="F748">
        <f t="shared" si="91"/>
        <v>1211102</v>
      </c>
      <c r="G748" s="3">
        <f t="shared" si="92"/>
        <v>42175</v>
      </c>
      <c r="H748" s="3">
        <f t="shared" si="93"/>
        <v>49170</v>
      </c>
      <c r="I748" s="3">
        <f t="shared" si="94"/>
        <v>36931.25</v>
      </c>
      <c r="J748" s="3">
        <f t="shared" si="95"/>
        <v>31171.9</v>
      </c>
      <c r="K748" s="5">
        <f t="shared" si="96"/>
        <v>159448.15</v>
      </c>
      <c r="L748" s="5">
        <f t="shared" si="97"/>
        <v>160730</v>
      </c>
      <c r="M748" s="5">
        <f t="shared" si="98"/>
        <v>-1281.8500000000058</v>
      </c>
      <c r="N748" s="3"/>
    </row>
    <row r="749" spans="1:14" x14ac:dyDescent="0.25">
      <c r="A749" s="2">
        <v>1211103</v>
      </c>
      <c r="B749" s="3">
        <v>41675</v>
      </c>
      <c r="C749" s="3">
        <v>49670</v>
      </c>
      <c r="D749" s="3">
        <v>36956.25</v>
      </c>
      <c r="E749" s="3">
        <v>31093.75</v>
      </c>
      <c r="F749">
        <f t="shared" si="91"/>
        <v>1211103</v>
      </c>
      <c r="G749" s="3">
        <f t="shared" si="92"/>
        <v>41675</v>
      </c>
      <c r="H749" s="3">
        <f t="shared" si="93"/>
        <v>49670</v>
      </c>
      <c r="I749" s="3">
        <f t="shared" si="94"/>
        <v>36956.25</v>
      </c>
      <c r="J749" s="3">
        <f t="shared" si="95"/>
        <v>31093.75</v>
      </c>
      <c r="K749" s="5">
        <f t="shared" si="96"/>
        <v>159395</v>
      </c>
      <c r="L749" s="5">
        <f t="shared" si="97"/>
        <v>159448.15</v>
      </c>
      <c r="M749" s="5">
        <f t="shared" si="98"/>
        <v>-53.149999999994179</v>
      </c>
      <c r="N749" s="3"/>
    </row>
    <row r="750" spans="1:14" x14ac:dyDescent="0.25">
      <c r="A750" s="2">
        <v>1211104</v>
      </c>
      <c r="B750" s="3">
        <v>41968.75</v>
      </c>
      <c r="C750" s="3">
        <v>49340</v>
      </c>
      <c r="D750" s="3">
        <v>36787.5</v>
      </c>
      <c r="E750" s="3">
        <v>31875</v>
      </c>
      <c r="F750">
        <f t="shared" si="91"/>
        <v>1211104</v>
      </c>
      <c r="G750" s="3">
        <f t="shared" si="92"/>
        <v>41968.75</v>
      </c>
      <c r="H750" s="3">
        <f t="shared" si="93"/>
        <v>49340</v>
      </c>
      <c r="I750" s="3">
        <f t="shared" si="94"/>
        <v>36787.5</v>
      </c>
      <c r="J750" s="3">
        <f t="shared" si="95"/>
        <v>31875</v>
      </c>
      <c r="K750" s="5">
        <f t="shared" si="96"/>
        <v>159971.25</v>
      </c>
      <c r="L750" s="5">
        <f t="shared" si="97"/>
        <v>159971.25</v>
      </c>
      <c r="M750" s="5">
        <f t="shared" si="98"/>
        <v>0</v>
      </c>
      <c r="N750" s="3"/>
    </row>
    <row r="751" spans="1:14" x14ac:dyDescent="0.25">
      <c r="A751" s="2">
        <v>1211105</v>
      </c>
      <c r="B751" s="3">
        <v>42487.5</v>
      </c>
      <c r="C751" s="3">
        <v>50550</v>
      </c>
      <c r="D751" s="3">
        <v>36756.25</v>
      </c>
      <c r="E751" s="3">
        <v>32187.5</v>
      </c>
      <c r="F751">
        <f t="shared" si="91"/>
        <v>1211105</v>
      </c>
      <c r="G751" s="3">
        <f t="shared" si="92"/>
        <v>42487.5</v>
      </c>
      <c r="H751" s="3">
        <f t="shared" si="93"/>
        <v>50550</v>
      </c>
      <c r="I751" s="3">
        <f t="shared" si="94"/>
        <v>36756.25</v>
      </c>
      <c r="J751" s="3">
        <f t="shared" si="95"/>
        <v>32187.5</v>
      </c>
      <c r="K751" s="5">
        <f t="shared" si="96"/>
        <v>161981.25</v>
      </c>
      <c r="L751" s="5">
        <f t="shared" si="97"/>
        <v>161981.25</v>
      </c>
      <c r="M751" s="5">
        <f t="shared" si="98"/>
        <v>0</v>
      </c>
      <c r="N751" s="3"/>
    </row>
    <row r="752" spans="1:14" x14ac:dyDescent="0.25">
      <c r="A752" s="2">
        <v>1211107</v>
      </c>
      <c r="B752" s="3">
        <v>41868.75</v>
      </c>
      <c r="C752" s="3">
        <v>48350</v>
      </c>
      <c r="D752" s="3">
        <v>36506.25</v>
      </c>
      <c r="E752" s="3">
        <v>32187.5</v>
      </c>
      <c r="F752">
        <f t="shared" si="91"/>
        <v>1211107</v>
      </c>
      <c r="G752" s="3">
        <f t="shared" si="92"/>
        <v>41868.75</v>
      </c>
      <c r="H752" s="3">
        <f t="shared" si="93"/>
        <v>48350</v>
      </c>
      <c r="I752" s="3">
        <f t="shared" si="94"/>
        <v>36506.25</v>
      </c>
      <c r="J752" s="3">
        <f t="shared" si="95"/>
        <v>32187.5</v>
      </c>
      <c r="K752" s="5">
        <f t="shared" si="96"/>
        <v>158912.5</v>
      </c>
      <c r="L752" s="5">
        <f t="shared" si="97"/>
        <v>161981.25</v>
      </c>
      <c r="M752" s="5">
        <f t="shared" si="98"/>
        <v>-3068.75</v>
      </c>
      <c r="N752" s="3"/>
    </row>
    <row r="753" spans="1:14" x14ac:dyDescent="0.25">
      <c r="A753" s="2">
        <v>1211108</v>
      </c>
      <c r="B753" s="3">
        <v>41850</v>
      </c>
      <c r="C753" s="3">
        <v>47930</v>
      </c>
      <c r="D753" s="3">
        <v>36406.25</v>
      </c>
      <c r="E753" s="3">
        <v>31718.75</v>
      </c>
      <c r="F753">
        <f t="shared" si="91"/>
        <v>1211108</v>
      </c>
      <c r="G753" s="3">
        <f t="shared" si="92"/>
        <v>41850</v>
      </c>
      <c r="H753" s="3">
        <f t="shared" si="93"/>
        <v>47930</v>
      </c>
      <c r="I753" s="3">
        <f t="shared" si="94"/>
        <v>36406.25</v>
      </c>
      <c r="J753" s="3">
        <f t="shared" si="95"/>
        <v>31718.75</v>
      </c>
      <c r="K753" s="5">
        <f t="shared" si="96"/>
        <v>157905</v>
      </c>
      <c r="L753" s="5">
        <f t="shared" si="97"/>
        <v>158912.5</v>
      </c>
      <c r="M753" s="5">
        <f t="shared" si="98"/>
        <v>-1007.5</v>
      </c>
      <c r="N753" s="3"/>
    </row>
    <row r="754" spans="1:14" x14ac:dyDescent="0.25">
      <c r="A754" s="2">
        <v>1211109</v>
      </c>
      <c r="B754" s="3">
        <v>42043.75</v>
      </c>
      <c r="C754" s="3">
        <v>48090</v>
      </c>
      <c r="D754" s="3">
        <v>37187.5</v>
      </c>
      <c r="E754" s="3">
        <v>30468.75</v>
      </c>
      <c r="F754">
        <f t="shared" si="91"/>
        <v>1211109</v>
      </c>
      <c r="G754" s="3">
        <f t="shared" si="92"/>
        <v>42043.75</v>
      </c>
      <c r="H754" s="3">
        <f t="shared" si="93"/>
        <v>48090</v>
      </c>
      <c r="I754" s="3">
        <f t="shared" si="94"/>
        <v>37187.5</v>
      </c>
      <c r="J754" s="3">
        <f t="shared" si="95"/>
        <v>30468.75</v>
      </c>
      <c r="K754" s="5">
        <f t="shared" si="96"/>
        <v>157790</v>
      </c>
      <c r="L754" s="5">
        <f t="shared" si="97"/>
        <v>157905</v>
      </c>
      <c r="M754" s="5">
        <f t="shared" si="98"/>
        <v>-115</v>
      </c>
      <c r="N754" s="3"/>
    </row>
    <row r="755" spans="1:14" x14ac:dyDescent="0.25">
      <c r="A755" s="2">
        <v>1211110</v>
      </c>
      <c r="B755" s="3">
        <v>42181.25</v>
      </c>
      <c r="C755" s="3">
        <v>48330</v>
      </c>
      <c r="D755" s="3">
        <v>36306.25</v>
      </c>
      <c r="E755" s="3">
        <v>29921.9</v>
      </c>
      <c r="F755">
        <f t="shared" si="91"/>
        <v>1211110</v>
      </c>
      <c r="G755" s="3">
        <f t="shared" si="92"/>
        <v>42181.25</v>
      </c>
      <c r="H755" s="3">
        <f t="shared" si="93"/>
        <v>48330</v>
      </c>
      <c r="I755" s="3">
        <f t="shared" si="94"/>
        <v>36306.25</v>
      </c>
      <c r="J755" s="3">
        <f t="shared" si="95"/>
        <v>29921.9</v>
      </c>
      <c r="K755" s="5">
        <f t="shared" si="96"/>
        <v>156739.4</v>
      </c>
      <c r="L755" s="5">
        <f t="shared" si="97"/>
        <v>157790</v>
      </c>
      <c r="M755" s="5">
        <f t="shared" si="98"/>
        <v>-1050.6000000000058</v>
      </c>
      <c r="N755" s="3"/>
    </row>
    <row r="756" spans="1:14" x14ac:dyDescent="0.25">
      <c r="A756" s="2">
        <v>1211111</v>
      </c>
      <c r="B756" s="3">
        <v>42212.5</v>
      </c>
      <c r="C756" s="3">
        <v>49900</v>
      </c>
      <c r="D756" s="3">
        <v>36612.5</v>
      </c>
      <c r="E756" s="3">
        <v>32500</v>
      </c>
      <c r="F756">
        <f t="shared" si="91"/>
        <v>1211111</v>
      </c>
      <c r="G756" s="3">
        <f t="shared" si="92"/>
        <v>42212.5</v>
      </c>
      <c r="H756" s="3">
        <f t="shared" si="93"/>
        <v>49900</v>
      </c>
      <c r="I756" s="3">
        <f t="shared" si="94"/>
        <v>36612.5</v>
      </c>
      <c r="J756" s="3">
        <f t="shared" si="95"/>
        <v>32500</v>
      </c>
      <c r="K756" s="5">
        <f t="shared" si="96"/>
        <v>161225</v>
      </c>
      <c r="L756" s="5">
        <f t="shared" si="97"/>
        <v>161225</v>
      </c>
      <c r="M756" s="5">
        <f t="shared" si="98"/>
        <v>0</v>
      </c>
      <c r="N756" s="3"/>
    </row>
    <row r="757" spans="1:14" x14ac:dyDescent="0.25">
      <c r="A757" s="2">
        <v>1211112</v>
      </c>
      <c r="B757" s="3">
        <v>42200</v>
      </c>
      <c r="C757" s="3">
        <v>50940</v>
      </c>
      <c r="D757" s="3">
        <v>36481.25</v>
      </c>
      <c r="E757" s="3">
        <v>33203.1</v>
      </c>
      <c r="F757">
        <f t="shared" si="91"/>
        <v>1211112</v>
      </c>
      <c r="G757" s="3">
        <f t="shared" si="92"/>
        <v>42200</v>
      </c>
      <c r="H757" s="3">
        <f t="shared" si="93"/>
        <v>50940</v>
      </c>
      <c r="I757" s="3">
        <f t="shared" si="94"/>
        <v>36481.25</v>
      </c>
      <c r="J757" s="3">
        <f t="shared" si="95"/>
        <v>33203.1</v>
      </c>
      <c r="K757" s="5">
        <f t="shared" si="96"/>
        <v>162824.35</v>
      </c>
      <c r="L757" s="5">
        <f t="shared" si="97"/>
        <v>162824.35</v>
      </c>
      <c r="M757" s="5">
        <f t="shared" si="98"/>
        <v>0</v>
      </c>
      <c r="N757" s="3"/>
    </row>
    <row r="758" spans="1:14" x14ac:dyDescent="0.25">
      <c r="A758" s="2">
        <v>1211114</v>
      </c>
      <c r="B758" s="3">
        <v>42850</v>
      </c>
      <c r="C758" s="3">
        <v>49570</v>
      </c>
      <c r="D758" s="3">
        <v>36187.5</v>
      </c>
      <c r="E758" s="3">
        <v>33125</v>
      </c>
      <c r="F758">
        <f t="shared" si="91"/>
        <v>1211114</v>
      </c>
      <c r="G758" s="3">
        <f t="shared" si="92"/>
        <v>42850</v>
      </c>
      <c r="H758" s="3">
        <f t="shared" si="93"/>
        <v>49570</v>
      </c>
      <c r="I758" s="3">
        <f t="shared" si="94"/>
        <v>36187.5</v>
      </c>
      <c r="J758" s="3">
        <f t="shared" si="95"/>
        <v>33125</v>
      </c>
      <c r="K758" s="5">
        <f t="shared" si="96"/>
        <v>161732.5</v>
      </c>
      <c r="L758" s="5">
        <f t="shared" si="97"/>
        <v>162824.35</v>
      </c>
      <c r="M758" s="5">
        <f t="shared" si="98"/>
        <v>-1091.8500000000058</v>
      </c>
      <c r="N758" s="3"/>
    </row>
    <row r="759" spans="1:14" x14ac:dyDescent="0.25">
      <c r="A759" s="2">
        <v>1211115</v>
      </c>
      <c r="B759" s="3">
        <v>42762.5</v>
      </c>
      <c r="C759" s="3">
        <v>50250</v>
      </c>
      <c r="D759" s="3">
        <v>36350</v>
      </c>
      <c r="E759" s="3">
        <v>33984.400000000001</v>
      </c>
      <c r="F759">
        <f t="shared" si="91"/>
        <v>1211115</v>
      </c>
      <c r="G759" s="3">
        <f t="shared" si="92"/>
        <v>42762.5</v>
      </c>
      <c r="H759" s="3">
        <f t="shared" si="93"/>
        <v>50250</v>
      </c>
      <c r="I759" s="3">
        <f t="shared" si="94"/>
        <v>36350</v>
      </c>
      <c r="J759" s="3">
        <f t="shared" si="95"/>
        <v>33984.400000000001</v>
      </c>
      <c r="K759" s="5">
        <f t="shared" si="96"/>
        <v>163346.9</v>
      </c>
      <c r="L759" s="5">
        <f t="shared" si="97"/>
        <v>163346.9</v>
      </c>
      <c r="M759" s="5">
        <f t="shared" si="98"/>
        <v>0</v>
      </c>
      <c r="N759" s="3"/>
    </row>
    <row r="760" spans="1:14" x14ac:dyDescent="0.25">
      <c r="A760" s="2">
        <v>1211116</v>
      </c>
      <c r="B760" s="3">
        <v>42668.75</v>
      </c>
      <c r="C760" s="3">
        <v>49990</v>
      </c>
      <c r="D760" s="3">
        <v>36306.25</v>
      </c>
      <c r="E760" s="3">
        <v>33750</v>
      </c>
      <c r="F760">
        <f t="shared" si="91"/>
        <v>1211116</v>
      </c>
      <c r="G760" s="3">
        <f t="shared" si="92"/>
        <v>42668.75</v>
      </c>
      <c r="H760" s="3">
        <f t="shared" si="93"/>
        <v>49990</v>
      </c>
      <c r="I760" s="3">
        <f t="shared" si="94"/>
        <v>36306.25</v>
      </c>
      <c r="J760" s="3">
        <f t="shared" si="95"/>
        <v>33750</v>
      </c>
      <c r="K760" s="5">
        <f t="shared" si="96"/>
        <v>162715</v>
      </c>
      <c r="L760" s="5">
        <f t="shared" si="97"/>
        <v>163346.9</v>
      </c>
      <c r="M760" s="5">
        <f t="shared" si="98"/>
        <v>-631.89999999999418</v>
      </c>
      <c r="N760" s="3"/>
    </row>
    <row r="761" spans="1:14" x14ac:dyDescent="0.25">
      <c r="A761" s="2">
        <v>1211117</v>
      </c>
      <c r="B761" s="3">
        <v>42187.5</v>
      </c>
      <c r="C761" s="3">
        <v>48780</v>
      </c>
      <c r="D761" s="3">
        <v>37031.25</v>
      </c>
      <c r="E761" s="3">
        <v>35312.5</v>
      </c>
      <c r="F761">
        <f t="shared" si="91"/>
        <v>1211117</v>
      </c>
      <c r="G761" s="3">
        <f t="shared" si="92"/>
        <v>42187.5</v>
      </c>
      <c r="H761" s="3">
        <f t="shared" si="93"/>
        <v>48780</v>
      </c>
      <c r="I761" s="3">
        <f t="shared" si="94"/>
        <v>37031.25</v>
      </c>
      <c r="J761" s="3">
        <f t="shared" si="95"/>
        <v>35312.5</v>
      </c>
      <c r="K761" s="5">
        <f t="shared" si="96"/>
        <v>163311.25</v>
      </c>
      <c r="L761" s="5">
        <f t="shared" si="97"/>
        <v>163311.25</v>
      </c>
      <c r="M761" s="5">
        <f t="shared" si="98"/>
        <v>0</v>
      </c>
      <c r="N761" s="3"/>
    </row>
    <row r="762" spans="1:14" x14ac:dyDescent="0.25">
      <c r="A762" s="2">
        <v>1211118</v>
      </c>
      <c r="B762" s="3">
        <v>42237.5</v>
      </c>
      <c r="C762" s="3">
        <v>49990</v>
      </c>
      <c r="D762" s="3">
        <v>37343.75</v>
      </c>
      <c r="E762" s="3">
        <v>36328.1</v>
      </c>
      <c r="F762">
        <f t="shared" si="91"/>
        <v>1211118</v>
      </c>
      <c r="G762" s="3">
        <f t="shared" si="92"/>
        <v>42237.5</v>
      </c>
      <c r="H762" s="3">
        <f t="shared" si="93"/>
        <v>49990</v>
      </c>
      <c r="I762" s="3">
        <f t="shared" si="94"/>
        <v>37343.75</v>
      </c>
      <c r="J762" s="3">
        <f t="shared" si="95"/>
        <v>36328.1</v>
      </c>
      <c r="K762" s="5">
        <f t="shared" si="96"/>
        <v>165899.35</v>
      </c>
      <c r="L762" s="5">
        <f t="shared" si="97"/>
        <v>165899.35</v>
      </c>
      <c r="M762" s="5">
        <f t="shared" si="98"/>
        <v>0</v>
      </c>
      <c r="N762" s="3"/>
    </row>
    <row r="763" spans="1:14" x14ac:dyDescent="0.25">
      <c r="A763" s="2">
        <v>1211119</v>
      </c>
      <c r="B763" s="3">
        <v>42168.75</v>
      </c>
      <c r="C763" s="3">
        <v>49980</v>
      </c>
      <c r="D763" s="3">
        <v>37412.5</v>
      </c>
      <c r="E763" s="3">
        <v>34062.5</v>
      </c>
      <c r="F763">
        <f t="shared" si="91"/>
        <v>1211119</v>
      </c>
      <c r="G763" s="3">
        <f t="shared" si="92"/>
        <v>42168.75</v>
      </c>
      <c r="H763" s="3">
        <f t="shared" si="93"/>
        <v>49980</v>
      </c>
      <c r="I763" s="3">
        <f t="shared" si="94"/>
        <v>37412.5</v>
      </c>
      <c r="J763" s="3">
        <f t="shared" si="95"/>
        <v>34062.5</v>
      </c>
      <c r="K763" s="5">
        <f t="shared" si="96"/>
        <v>163623.75</v>
      </c>
      <c r="L763" s="5">
        <f t="shared" si="97"/>
        <v>165899.35</v>
      </c>
      <c r="M763" s="5">
        <f t="shared" si="98"/>
        <v>-2275.6000000000058</v>
      </c>
      <c r="N763" s="3"/>
    </row>
    <row r="764" spans="1:14" x14ac:dyDescent="0.25">
      <c r="A764" s="2">
        <v>1211121</v>
      </c>
      <c r="B764" s="3">
        <v>41725</v>
      </c>
      <c r="C764" s="3">
        <v>47920</v>
      </c>
      <c r="D764" s="3">
        <v>36575</v>
      </c>
      <c r="E764" s="3">
        <v>34609.4</v>
      </c>
      <c r="F764">
        <f t="shared" si="91"/>
        <v>1211121</v>
      </c>
      <c r="G764" s="3">
        <f t="shared" si="92"/>
        <v>41725</v>
      </c>
      <c r="H764" s="3">
        <f t="shared" si="93"/>
        <v>47920</v>
      </c>
      <c r="I764" s="3">
        <f t="shared" si="94"/>
        <v>36575</v>
      </c>
      <c r="J764" s="3">
        <f t="shared" si="95"/>
        <v>34609.4</v>
      </c>
      <c r="K764" s="5">
        <f t="shared" si="96"/>
        <v>160829.4</v>
      </c>
      <c r="L764" s="5">
        <f t="shared" si="97"/>
        <v>163623.75</v>
      </c>
      <c r="M764" s="5">
        <f t="shared" si="98"/>
        <v>-2794.3500000000058</v>
      </c>
      <c r="N764" s="3"/>
    </row>
    <row r="765" spans="1:14" x14ac:dyDescent="0.25">
      <c r="A765" s="2">
        <v>1211122</v>
      </c>
      <c r="B765" s="3">
        <v>41725</v>
      </c>
      <c r="C765" s="3">
        <v>48190</v>
      </c>
      <c r="D765" s="3">
        <v>36581.25</v>
      </c>
      <c r="E765" s="3">
        <v>34921.9</v>
      </c>
      <c r="F765">
        <f t="shared" si="91"/>
        <v>1211122</v>
      </c>
      <c r="G765" s="3">
        <f t="shared" si="92"/>
        <v>41725</v>
      </c>
      <c r="H765" s="3">
        <f t="shared" si="93"/>
        <v>48190</v>
      </c>
      <c r="I765" s="3">
        <f t="shared" si="94"/>
        <v>36581.25</v>
      </c>
      <c r="J765" s="3">
        <f t="shared" si="95"/>
        <v>34921.9</v>
      </c>
      <c r="K765" s="5">
        <f t="shared" si="96"/>
        <v>161418.15</v>
      </c>
      <c r="L765" s="5">
        <f t="shared" si="97"/>
        <v>161418.15</v>
      </c>
      <c r="M765" s="5">
        <f t="shared" si="98"/>
        <v>0</v>
      </c>
      <c r="N765" s="3"/>
    </row>
    <row r="766" spans="1:14" x14ac:dyDescent="0.25">
      <c r="A766" s="2">
        <v>1211123</v>
      </c>
      <c r="B766" s="3">
        <v>41693.75</v>
      </c>
      <c r="C766" s="3">
        <v>50800</v>
      </c>
      <c r="D766" s="3">
        <v>37293.75</v>
      </c>
      <c r="E766" s="3">
        <v>36171.9</v>
      </c>
      <c r="F766">
        <f t="shared" si="91"/>
        <v>1211123</v>
      </c>
      <c r="G766" s="3">
        <f t="shared" si="92"/>
        <v>41693.75</v>
      </c>
      <c r="H766" s="3">
        <f t="shared" si="93"/>
        <v>50800</v>
      </c>
      <c r="I766" s="3">
        <f t="shared" si="94"/>
        <v>37293.75</v>
      </c>
      <c r="J766" s="3">
        <f t="shared" si="95"/>
        <v>36171.9</v>
      </c>
      <c r="K766" s="5">
        <f t="shared" si="96"/>
        <v>165959.4</v>
      </c>
      <c r="L766" s="5">
        <f t="shared" si="97"/>
        <v>165959.4</v>
      </c>
      <c r="M766" s="5">
        <f t="shared" si="98"/>
        <v>0</v>
      </c>
      <c r="N766" s="3"/>
    </row>
    <row r="767" spans="1:14" x14ac:dyDescent="0.25">
      <c r="A767" s="2">
        <v>1211124</v>
      </c>
      <c r="B767" s="3">
        <v>41200</v>
      </c>
      <c r="C767" s="3">
        <v>52210</v>
      </c>
      <c r="D767" s="3">
        <v>37112.5</v>
      </c>
      <c r="E767" s="3">
        <v>35078.1</v>
      </c>
      <c r="F767">
        <f t="shared" si="91"/>
        <v>1211124</v>
      </c>
      <c r="G767" s="3">
        <f t="shared" si="92"/>
        <v>41200</v>
      </c>
      <c r="H767" s="3">
        <f t="shared" si="93"/>
        <v>52210</v>
      </c>
      <c r="I767" s="3">
        <f t="shared" si="94"/>
        <v>37112.5</v>
      </c>
      <c r="J767" s="3">
        <f t="shared" si="95"/>
        <v>35078.1</v>
      </c>
      <c r="K767" s="5">
        <f t="shared" si="96"/>
        <v>165600.6</v>
      </c>
      <c r="L767" s="5">
        <f t="shared" si="97"/>
        <v>165959.4</v>
      </c>
      <c r="M767" s="5">
        <f t="shared" si="98"/>
        <v>-358.79999999998836</v>
      </c>
      <c r="N767" s="3"/>
    </row>
    <row r="768" spans="1:14" x14ac:dyDescent="0.25">
      <c r="A768" s="2">
        <v>1211125</v>
      </c>
      <c r="B768" s="3">
        <v>41675</v>
      </c>
      <c r="C768" s="3">
        <v>53140</v>
      </c>
      <c r="D768" s="3">
        <v>37550</v>
      </c>
      <c r="E768" s="3">
        <v>36562.5</v>
      </c>
      <c r="F768">
        <f t="shared" si="91"/>
        <v>1211125</v>
      </c>
      <c r="G768" s="3">
        <f t="shared" si="92"/>
        <v>41675</v>
      </c>
      <c r="H768" s="3">
        <f t="shared" si="93"/>
        <v>53140</v>
      </c>
      <c r="I768" s="3">
        <f t="shared" si="94"/>
        <v>37550</v>
      </c>
      <c r="J768" s="3">
        <f t="shared" si="95"/>
        <v>36562.5</v>
      </c>
      <c r="K768" s="5">
        <f t="shared" si="96"/>
        <v>168927.5</v>
      </c>
      <c r="L768" s="5">
        <f t="shared" si="97"/>
        <v>168927.5</v>
      </c>
      <c r="M768" s="5">
        <f t="shared" si="98"/>
        <v>0</v>
      </c>
      <c r="N768" s="3"/>
    </row>
    <row r="769" spans="1:14" x14ac:dyDescent="0.25">
      <c r="A769" s="2">
        <v>1211126</v>
      </c>
      <c r="B769" s="3">
        <v>42481.25</v>
      </c>
      <c r="C769" s="3">
        <v>52530</v>
      </c>
      <c r="D769" s="3">
        <v>37937.5</v>
      </c>
      <c r="E769" s="3">
        <v>40468.75</v>
      </c>
      <c r="F769">
        <f t="shared" si="91"/>
        <v>1211126</v>
      </c>
      <c r="G769" s="3">
        <f t="shared" si="92"/>
        <v>42481.25</v>
      </c>
      <c r="H769" s="3">
        <f t="shared" si="93"/>
        <v>52530</v>
      </c>
      <c r="I769" s="3">
        <f t="shared" si="94"/>
        <v>37937.5</v>
      </c>
      <c r="J769" s="3">
        <f t="shared" si="95"/>
        <v>40468.75</v>
      </c>
      <c r="K769" s="5">
        <f t="shared" si="96"/>
        <v>173417.5</v>
      </c>
      <c r="L769" s="5">
        <f t="shared" si="97"/>
        <v>173417.5</v>
      </c>
      <c r="M769" s="5">
        <f t="shared" si="98"/>
        <v>0</v>
      </c>
      <c r="N769" s="3"/>
    </row>
    <row r="770" spans="1:14" x14ac:dyDescent="0.25">
      <c r="A770" s="2">
        <v>1211128</v>
      </c>
      <c r="B770" s="3">
        <v>43200</v>
      </c>
      <c r="C770" s="3">
        <v>49890</v>
      </c>
      <c r="D770" s="3">
        <v>38831.25</v>
      </c>
      <c r="E770" s="3">
        <v>41406.25</v>
      </c>
      <c r="F770">
        <f t="shared" si="91"/>
        <v>1211128</v>
      </c>
      <c r="G770" s="3">
        <f t="shared" si="92"/>
        <v>43200</v>
      </c>
      <c r="H770" s="3">
        <f t="shared" si="93"/>
        <v>49890</v>
      </c>
      <c r="I770" s="3">
        <f t="shared" si="94"/>
        <v>38831.25</v>
      </c>
      <c r="J770" s="3">
        <f t="shared" si="95"/>
        <v>41406.25</v>
      </c>
      <c r="K770" s="5">
        <f t="shared" si="96"/>
        <v>173327.5</v>
      </c>
      <c r="L770" s="5">
        <f t="shared" si="97"/>
        <v>173417.5</v>
      </c>
      <c r="M770" s="5">
        <f t="shared" si="98"/>
        <v>-90</v>
      </c>
      <c r="N770" s="3"/>
    </row>
    <row r="771" spans="1:14" x14ac:dyDescent="0.25">
      <c r="A771" s="2">
        <v>1211129</v>
      </c>
      <c r="B771" s="3">
        <v>42893.75</v>
      </c>
      <c r="C771" s="3">
        <v>49600</v>
      </c>
      <c r="D771" s="3">
        <v>39256.25</v>
      </c>
      <c r="E771" s="3">
        <v>41406.25</v>
      </c>
      <c r="F771">
        <f t="shared" si="91"/>
        <v>1211129</v>
      </c>
      <c r="G771" s="3">
        <f t="shared" si="92"/>
        <v>42893.75</v>
      </c>
      <c r="H771" s="3">
        <f t="shared" si="93"/>
        <v>49600</v>
      </c>
      <c r="I771" s="3">
        <f t="shared" si="94"/>
        <v>39256.25</v>
      </c>
      <c r="J771" s="3">
        <f t="shared" si="95"/>
        <v>41406.25</v>
      </c>
      <c r="K771" s="5">
        <f t="shared" si="96"/>
        <v>173156.25</v>
      </c>
      <c r="L771" s="5">
        <f t="shared" si="97"/>
        <v>173327.5</v>
      </c>
      <c r="M771" s="5">
        <f t="shared" si="98"/>
        <v>-171.25</v>
      </c>
      <c r="N771" s="3"/>
    </row>
    <row r="772" spans="1:14" x14ac:dyDescent="0.25">
      <c r="A772" s="2">
        <v>1211130</v>
      </c>
      <c r="B772" s="3">
        <v>41862.5</v>
      </c>
      <c r="C772" s="3">
        <v>49660</v>
      </c>
      <c r="D772" s="3">
        <v>38662.5</v>
      </c>
      <c r="E772" s="3">
        <v>45390.600000000006</v>
      </c>
      <c r="F772">
        <f t="shared" si="91"/>
        <v>1211130</v>
      </c>
      <c r="G772" s="3">
        <f t="shared" si="92"/>
        <v>41862.5</v>
      </c>
      <c r="H772" s="3">
        <f t="shared" si="93"/>
        <v>49660</v>
      </c>
      <c r="I772" s="3">
        <f t="shared" si="94"/>
        <v>38662.5</v>
      </c>
      <c r="J772" s="3">
        <f t="shared" si="95"/>
        <v>45390.600000000006</v>
      </c>
      <c r="K772" s="5">
        <f t="shared" si="96"/>
        <v>175575.6</v>
      </c>
      <c r="L772" s="5">
        <f t="shared" si="97"/>
        <v>175575.6</v>
      </c>
      <c r="M772" s="5">
        <f t="shared" si="98"/>
        <v>0</v>
      </c>
      <c r="N772" s="3"/>
    </row>
    <row r="773" spans="1:14" x14ac:dyDescent="0.25">
      <c r="A773" s="2">
        <v>1211201</v>
      </c>
      <c r="B773" s="3">
        <v>40650</v>
      </c>
      <c r="C773" s="3">
        <v>47180</v>
      </c>
      <c r="D773" s="3">
        <v>38806.25</v>
      </c>
      <c r="E773" s="3">
        <v>41328.100000000006</v>
      </c>
      <c r="F773">
        <f t="shared" si="91"/>
        <v>1211201</v>
      </c>
      <c r="G773" s="3">
        <f t="shared" si="92"/>
        <v>40650</v>
      </c>
      <c r="H773" s="3">
        <f t="shared" si="93"/>
        <v>47180</v>
      </c>
      <c r="I773" s="3">
        <f t="shared" si="94"/>
        <v>38806.25</v>
      </c>
      <c r="J773" s="3">
        <f t="shared" si="95"/>
        <v>41328.100000000006</v>
      </c>
      <c r="K773" s="5">
        <f t="shared" si="96"/>
        <v>167964.35</v>
      </c>
      <c r="L773" s="5">
        <f t="shared" si="97"/>
        <v>175575.6</v>
      </c>
      <c r="M773" s="5">
        <f t="shared" si="98"/>
        <v>-7611.25</v>
      </c>
      <c r="N773" s="3"/>
    </row>
    <row r="774" spans="1:14" x14ac:dyDescent="0.25">
      <c r="A774" s="2">
        <v>1211202</v>
      </c>
      <c r="B774" s="3">
        <v>40443.75</v>
      </c>
      <c r="C774" s="3">
        <v>47850</v>
      </c>
      <c r="D774" s="3">
        <v>38825</v>
      </c>
      <c r="E774" s="3">
        <v>41328.100000000006</v>
      </c>
      <c r="F774">
        <f t="shared" si="91"/>
        <v>1211202</v>
      </c>
      <c r="G774" s="3">
        <f t="shared" si="92"/>
        <v>40443.75</v>
      </c>
      <c r="H774" s="3">
        <f t="shared" si="93"/>
        <v>47850</v>
      </c>
      <c r="I774" s="3">
        <f t="shared" si="94"/>
        <v>38825</v>
      </c>
      <c r="J774" s="3">
        <f t="shared" si="95"/>
        <v>41328.100000000006</v>
      </c>
      <c r="K774" s="5">
        <f t="shared" si="96"/>
        <v>168446.85</v>
      </c>
      <c r="L774" s="5">
        <f t="shared" si="97"/>
        <v>168446.85</v>
      </c>
      <c r="M774" s="5">
        <f t="shared" si="98"/>
        <v>0</v>
      </c>
      <c r="N774" s="3"/>
    </row>
    <row r="775" spans="1:14" x14ac:dyDescent="0.25">
      <c r="A775" s="2">
        <v>1211203</v>
      </c>
      <c r="B775" s="3">
        <v>40231.25</v>
      </c>
      <c r="C775" s="3">
        <v>46870</v>
      </c>
      <c r="D775" s="3">
        <v>38731.25</v>
      </c>
      <c r="E775" s="3">
        <v>39765.599999999999</v>
      </c>
      <c r="F775">
        <f t="shared" si="91"/>
        <v>1211203</v>
      </c>
      <c r="G775" s="3">
        <f t="shared" si="92"/>
        <v>40231.25</v>
      </c>
      <c r="H775" s="3">
        <f t="shared" si="93"/>
        <v>46870</v>
      </c>
      <c r="I775" s="3">
        <f t="shared" si="94"/>
        <v>38731.25</v>
      </c>
      <c r="J775" s="3">
        <f t="shared" si="95"/>
        <v>39765.599999999999</v>
      </c>
      <c r="K775" s="5">
        <f t="shared" si="96"/>
        <v>165598.1</v>
      </c>
      <c r="L775" s="5">
        <f t="shared" si="97"/>
        <v>168446.85</v>
      </c>
      <c r="M775" s="5">
        <f t="shared" si="98"/>
        <v>-2848.75</v>
      </c>
      <c r="N775" s="3"/>
    </row>
    <row r="776" spans="1:14" x14ac:dyDescent="0.25">
      <c r="A776" s="2">
        <v>1211205</v>
      </c>
      <c r="B776" s="3">
        <v>39568.75</v>
      </c>
      <c r="C776" s="3">
        <v>42940</v>
      </c>
      <c r="D776" s="3">
        <v>38356.25</v>
      </c>
      <c r="E776" s="3">
        <v>35625</v>
      </c>
      <c r="F776">
        <f t="shared" si="91"/>
        <v>1211205</v>
      </c>
      <c r="G776" s="3">
        <f t="shared" si="92"/>
        <v>39568.75</v>
      </c>
      <c r="H776" s="3">
        <f t="shared" si="93"/>
        <v>42940</v>
      </c>
      <c r="I776" s="3">
        <f t="shared" si="94"/>
        <v>38356.25</v>
      </c>
      <c r="J776" s="3">
        <f t="shared" si="95"/>
        <v>35625</v>
      </c>
      <c r="K776" s="5">
        <f t="shared" si="96"/>
        <v>156490</v>
      </c>
      <c r="L776" s="5">
        <f t="shared" si="97"/>
        <v>165598.1</v>
      </c>
      <c r="M776" s="5">
        <f t="shared" si="98"/>
        <v>-9108.1000000000058</v>
      </c>
      <c r="N776" s="3"/>
    </row>
    <row r="777" spans="1:14" x14ac:dyDescent="0.25">
      <c r="A777" s="2">
        <v>1211206</v>
      </c>
      <c r="B777" s="3">
        <v>39412.5</v>
      </c>
      <c r="C777" s="3">
        <v>43110</v>
      </c>
      <c r="D777" s="3">
        <v>38356.25</v>
      </c>
      <c r="E777" s="3">
        <v>35234.400000000001</v>
      </c>
      <c r="F777">
        <f t="shared" si="91"/>
        <v>1211206</v>
      </c>
      <c r="G777" s="3">
        <f t="shared" si="92"/>
        <v>39412.5</v>
      </c>
      <c r="H777" s="3">
        <f t="shared" si="93"/>
        <v>43110</v>
      </c>
      <c r="I777" s="3">
        <f t="shared" si="94"/>
        <v>38356.25</v>
      </c>
      <c r="J777" s="3">
        <f t="shared" si="95"/>
        <v>35234.400000000001</v>
      </c>
      <c r="K777" s="5">
        <f t="shared" si="96"/>
        <v>156113.15</v>
      </c>
      <c r="L777" s="5">
        <f t="shared" si="97"/>
        <v>156490</v>
      </c>
      <c r="M777" s="5">
        <f t="shared" si="98"/>
        <v>-376.85000000000582</v>
      </c>
      <c r="N777" s="3"/>
    </row>
    <row r="778" spans="1:14" x14ac:dyDescent="0.25">
      <c r="A778" s="2">
        <v>1211207</v>
      </c>
      <c r="B778" s="3">
        <v>40381.25</v>
      </c>
      <c r="C778" s="3">
        <v>43470</v>
      </c>
      <c r="D778" s="3">
        <v>38381.25</v>
      </c>
      <c r="E778" s="3">
        <v>34375</v>
      </c>
      <c r="F778">
        <f t="shared" si="91"/>
        <v>1211207</v>
      </c>
      <c r="G778" s="3">
        <f t="shared" si="92"/>
        <v>40381.25</v>
      </c>
      <c r="H778" s="3">
        <f t="shared" si="93"/>
        <v>43470</v>
      </c>
      <c r="I778" s="3">
        <f t="shared" si="94"/>
        <v>38381.25</v>
      </c>
      <c r="J778" s="3">
        <f t="shared" si="95"/>
        <v>34375</v>
      </c>
      <c r="K778" s="5">
        <f t="shared" si="96"/>
        <v>156607.5</v>
      </c>
      <c r="L778" s="5">
        <f t="shared" si="97"/>
        <v>156607.5</v>
      </c>
      <c r="M778" s="5">
        <f t="shared" si="98"/>
        <v>0</v>
      </c>
      <c r="N778" s="3"/>
    </row>
    <row r="779" spans="1:14" x14ac:dyDescent="0.25">
      <c r="A779" s="2">
        <v>1211208</v>
      </c>
      <c r="B779" s="3">
        <v>42487.5</v>
      </c>
      <c r="C779" s="3">
        <v>41400</v>
      </c>
      <c r="D779" s="3">
        <v>37750</v>
      </c>
      <c r="E779" s="3">
        <v>34843.75</v>
      </c>
      <c r="F779">
        <f t="shared" si="91"/>
        <v>1211208</v>
      </c>
      <c r="G779" s="3">
        <f t="shared" si="92"/>
        <v>42487.5</v>
      </c>
      <c r="H779" s="3">
        <f t="shared" si="93"/>
        <v>41400</v>
      </c>
      <c r="I779" s="3">
        <f t="shared" si="94"/>
        <v>37750</v>
      </c>
      <c r="J779" s="3">
        <f t="shared" si="95"/>
        <v>34843.75</v>
      </c>
      <c r="K779" s="5">
        <f t="shared" si="96"/>
        <v>156481.25</v>
      </c>
      <c r="L779" s="5">
        <f t="shared" si="97"/>
        <v>156607.5</v>
      </c>
      <c r="M779" s="5">
        <f t="shared" si="98"/>
        <v>-126.25</v>
      </c>
      <c r="N779" s="3"/>
    </row>
    <row r="780" spans="1:14" x14ac:dyDescent="0.25">
      <c r="A780" s="2">
        <v>1211209</v>
      </c>
      <c r="B780" s="3">
        <v>41581.25</v>
      </c>
      <c r="C780" s="3">
        <v>40480</v>
      </c>
      <c r="D780" s="3">
        <v>37300</v>
      </c>
      <c r="E780" s="3">
        <v>36093.75</v>
      </c>
      <c r="F780">
        <f t="shared" si="91"/>
        <v>1211209</v>
      </c>
      <c r="G780" s="3">
        <f t="shared" si="92"/>
        <v>41581.25</v>
      </c>
      <c r="H780" s="3">
        <f t="shared" si="93"/>
        <v>40480</v>
      </c>
      <c r="I780" s="3">
        <f t="shared" si="94"/>
        <v>37300</v>
      </c>
      <c r="J780" s="3">
        <f t="shared" si="95"/>
        <v>36093.75</v>
      </c>
      <c r="K780" s="5">
        <f t="shared" si="96"/>
        <v>155455</v>
      </c>
      <c r="L780" s="5">
        <f t="shared" si="97"/>
        <v>156481.25</v>
      </c>
      <c r="M780" s="5">
        <f t="shared" si="98"/>
        <v>-1026.25</v>
      </c>
      <c r="N780" s="3"/>
    </row>
    <row r="781" spans="1:14" x14ac:dyDescent="0.25">
      <c r="A781" s="2">
        <v>1211210</v>
      </c>
      <c r="B781" s="3">
        <v>42093.75</v>
      </c>
      <c r="C781" s="3">
        <v>41280</v>
      </c>
      <c r="D781" s="3">
        <v>36462.5</v>
      </c>
      <c r="E781" s="3">
        <v>34843.75</v>
      </c>
      <c r="F781">
        <f t="shared" si="91"/>
        <v>1211210</v>
      </c>
      <c r="G781" s="3">
        <f t="shared" si="92"/>
        <v>42093.75</v>
      </c>
      <c r="H781" s="3">
        <f t="shared" si="93"/>
        <v>41280</v>
      </c>
      <c r="I781" s="3">
        <f t="shared" si="94"/>
        <v>36462.5</v>
      </c>
      <c r="J781" s="3">
        <f t="shared" si="95"/>
        <v>34843.75</v>
      </c>
      <c r="K781" s="5">
        <f t="shared" si="96"/>
        <v>154680</v>
      </c>
      <c r="L781" s="5">
        <f t="shared" si="97"/>
        <v>155455</v>
      </c>
      <c r="M781" s="5">
        <f t="shared" si="98"/>
        <v>-775</v>
      </c>
      <c r="N781" s="3"/>
    </row>
    <row r="782" spans="1:14" x14ac:dyDescent="0.25">
      <c r="A782" s="2">
        <v>1211212</v>
      </c>
      <c r="B782" s="3">
        <v>40975</v>
      </c>
      <c r="C782" s="3">
        <v>41490</v>
      </c>
      <c r="D782" s="3">
        <v>36418.75</v>
      </c>
      <c r="E782" s="3">
        <v>35156.25</v>
      </c>
      <c r="F782">
        <f t="shared" si="91"/>
        <v>1211212</v>
      </c>
      <c r="G782" s="3">
        <f t="shared" si="92"/>
        <v>40975</v>
      </c>
      <c r="H782" s="3">
        <f t="shared" si="93"/>
        <v>41490</v>
      </c>
      <c r="I782" s="3">
        <f t="shared" si="94"/>
        <v>36418.75</v>
      </c>
      <c r="J782" s="3">
        <f t="shared" si="95"/>
        <v>35156.25</v>
      </c>
      <c r="K782" s="5">
        <f t="shared" si="96"/>
        <v>154040</v>
      </c>
      <c r="L782" s="5">
        <f t="shared" si="97"/>
        <v>154680</v>
      </c>
      <c r="M782" s="5">
        <f t="shared" si="98"/>
        <v>-640</v>
      </c>
      <c r="N782" s="3"/>
    </row>
    <row r="783" spans="1:14" x14ac:dyDescent="0.25">
      <c r="A783" s="2">
        <v>1211213</v>
      </c>
      <c r="B783" s="3">
        <v>40975</v>
      </c>
      <c r="C783" s="3">
        <v>41790</v>
      </c>
      <c r="D783" s="3">
        <v>36431.25</v>
      </c>
      <c r="E783" s="3">
        <v>35078.1</v>
      </c>
      <c r="F783">
        <f t="shared" si="91"/>
        <v>1211213</v>
      </c>
      <c r="G783" s="3">
        <f t="shared" si="92"/>
        <v>40975</v>
      </c>
      <c r="H783" s="3">
        <f t="shared" si="93"/>
        <v>41790</v>
      </c>
      <c r="I783" s="3">
        <f t="shared" si="94"/>
        <v>36431.25</v>
      </c>
      <c r="J783" s="3">
        <f t="shared" si="95"/>
        <v>35078.1</v>
      </c>
      <c r="K783" s="5">
        <f t="shared" si="96"/>
        <v>154274.35</v>
      </c>
      <c r="L783" s="5">
        <f t="shared" si="97"/>
        <v>154274.35</v>
      </c>
      <c r="M783" s="5">
        <f t="shared" si="98"/>
        <v>0</v>
      </c>
      <c r="N783" s="3"/>
    </row>
    <row r="784" spans="1:14" x14ac:dyDescent="0.25">
      <c r="A784" s="2">
        <v>1211214</v>
      </c>
      <c r="B784" s="3">
        <v>41331.25</v>
      </c>
      <c r="C784" s="3">
        <v>41200</v>
      </c>
      <c r="D784" s="3">
        <v>36350</v>
      </c>
      <c r="E784" s="3">
        <v>37500</v>
      </c>
      <c r="F784">
        <f t="shared" si="91"/>
        <v>1211214</v>
      </c>
      <c r="G784" s="3">
        <f t="shared" si="92"/>
        <v>41331.25</v>
      </c>
      <c r="H784" s="3">
        <f t="shared" si="93"/>
        <v>41200</v>
      </c>
      <c r="I784" s="3">
        <f t="shared" si="94"/>
        <v>36350</v>
      </c>
      <c r="J784" s="3">
        <f t="shared" si="95"/>
        <v>37500</v>
      </c>
      <c r="K784" s="5">
        <f t="shared" si="96"/>
        <v>156381.25</v>
      </c>
      <c r="L784" s="5">
        <f t="shared" si="97"/>
        <v>156381.25</v>
      </c>
      <c r="M784" s="5">
        <f t="shared" si="98"/>
        <v>0</v>
      </c>
      <c r="N784" s="3"/>
    </row>
    <row r="785" spans="1:14" x14ac:dyDescent="0.25">
      <c r="A785" s="2">
        <v>1211215</v>
      </c>
      <c r="B785" s="3">
        <v>42106.25</v>
      </c>
      <c r="C785" s="3">
        <v>42170</v>
      </c>
      <c r="D785" s="3">
        <v>36156.25</v>
      </c>
      <c r="E785" s="3">
        <v>36640.6</v>
      </c>
      <c r="F785">
        <f t="shared" si="91"/>
        <v>1211215</v>
      </c>
      <c r="G785" s="3">
        <f t="shared" si="92"/>
        <v>42106.25</v>
      </c>
      <c r="H785" s="3">
        <f t="shared" si="93"/>
        <v>42170</v>
      </c>
      <c r="I785" s="3">
        <f t="shared" si="94"/>
        <v>36156.25</v>
      </c>
      <c r="J785" s="3">
        <f t="shared" si="95"/>
        <v>36640.6</v>
      </c>
      <c r="K785" s="5">
        <f t="shared" si="96"/>
        <v>157073.1</v>
      </c>
      <c r="L785" s="5">
        <f t="shared" si="97"/>
        <v>157073.1</v>
      </c>
      <c r="M785" s="5">
        <f t="shared" si="98"/>
        <v>0</v>
      </c>
      <c r="N785" s="3"/>
    </row>
    <row r="786" spans="1:14" x14ac:dyDescent="0.25">
      <c r="A786" s="2">
        <v>1211216</v>
      </c>
      <c r="B786" s="3">
        <v>43631.25</v>
      </c>
      <c r="C786" s="3">
        <v>43190</v>
      </c>
      <c r="D786" s="3">
        <v>36568.75</v>
      </c>
      <c r="E786" s="3">
        <v>37187.5</v>
      </c>
      <c r="F786">
        <f t="shared" si="91"/>
        <v>1211216</v>
      </c>
      <c r="G786" s="3">
        <f t="shared" si="92"/>
        <v>43631.25</v>
      </c>
      <c r="H786" s="3">
        <f t="shared" si="93"/>
        <v>43190</v>
      </c>
      <c r="I786" s="3">
        <f t="shared" si="94"/>
        <v>36568.75</v>
      </c>
      <c r="J786" s="3">
        <f t="shared" si="95"/>
        <v>37187.5</v>
      </c>
      <c r="K786" s="5">
        <f t="shared" si="96"/>
        <v>160577.5</v>
      </c>
      <c r="L786" s="5">
        <f t="shared" si="97"/>
        <v>160577.5</v>
      </c>
      <c r="M786" s="5">
        <f t="shared" si="98"/>
        <v>0</v>
      </c>
      <c r="N786" s="3"/>
    </row>
    <row r="787" spans="1:14" x14ac:dyDescent="0.25">
      <c r="A787" s="2">
        <v>1211217</v>
      </c>
      <c r="B787" s="3">
        <v>44568.75</v>
      </c>
      <c r="C787" s="3">
        <v>43910</v>
      </c>
      <c r="D787" s="3">
        <v>36937.5</v>
      </c>
      <c r="E787" s="3">
        <v>36718.75</v>
      </c>
      <c r="F787">
        <f t="shared" si="91"/>
        <v>1211217</v>
      </c>
      <c r="G787" s="3">
        <f t="shared" si="92"/>
        <v>44568.75</v>
      </c>
      <c r="H787" s="3">
        <f t="shared" si="93"/>
        <v>43910</v>
      </c>
      <c r="I787" s="3">
        <f t="shared" si="94"/>
        <v>36937.5</v>
      </c>
      <c r="J787" s="3">
        <f t="shared" si="95"/>
        <v>36718.75</v>
      </c>
      <c r="K787" s="5">
        <f t="shared" si="96"/>
        <v>162135</v>
      </c>
      <c r="L787" s="5">
        <f t="shared" si="97"/>
        <v>162135</v>
      </c>
      <c r="M787" s="5">
        <f t="shared" si="98"/>
        <v>0</v>
      </c>
      <c r="N787" s="3"/>
    </row>
    <row r="788" spans="1:14" x14ac:dyDescent="0.25">
      <c r="A788" s="2">
        <v>1211219</v>
      </c>
      <c r="B788" s="3">
        <v>45306.25</v>
      </c>
      <c r="C788" s="3">
        <v>42880</v>
      </c>
      <c r="D788" s="3">
        <v>36650</v>
      </c>
      <c r="E788" s="3">
        <v>38203.1</v>
      </c>
      <c r="F788">
        <f t="shared" si="91"/>
        <v>1211219</v>
      </c>
      <c r="G788" s="3">
        <f t="shared" si="92"/>
        <v>45306.25</v>
      </c>
      <c r="H788" s="3">
        <f t="shared" si="93"/>
        <v>42880</v>
      </c>
      <c r="I788" s="3">
        <f t="shared" si="94"/>
        <v>36650</v>
      </c>
      <c r="J788" s="3">
        <f t="shared" si="95"/>
        <v>38203.1</v>
      </c>
      <c r="K788" s="5">
        <f t="shared" si="96"/>
        <v>163039.35</v>
      </c>
      <c r="L788" s="5">
        <f t="shared" si="97"/>
        <v>163039.35</v>
      </c>
      <c r="M788" s="5">
        <f t="shared" si="98"/>
        <v>0</v>
      </c>
      <c r="N788" s="3"/>
    </row>
    <row r="789" spans="1:14" x14ac:dyDescent="0.25">
      <c r="A789" s="2">
        <v>1211220</v>
      </c>
      <c r="B789" s="3">
        <v>45306.25</v>
      </c>
      <c r="C789" s="3">
        <v>42990</v>
      </c>
      <c r="D789" s="3">
        <v>36593.75</v>
      </c>
      <c r="E789" s="3">
        <v>38750</v>
      </c>
      <c r="F789">
        <f t="shared" si="91"/>
        <v>1211220</v>
      </c>
      <c r="G789" s="3">
        <f t="shared" si="92"/>
        <v>45306.25</v>
      </c>
      <c r="H789" s="3">
        <f t="shared" si="93"/>
        <v>42990</v>
      </c>
      <c r="I789" s="3">
        <f t="shared" si="94"/>
        <v>36593.75</v>
      </c>
      <c r="J789" s="3">
        <f t="shared" si="95"/>
        <v>38750</v>
      </c>
      <c r="K789" s="5">
        <f t="shared" si="96"/>
        <v>163640</v>
      </c>
      <c r="L789" s="5">
        <f t="shared" si="97"/>
        <v>163640</v>
      </c>
      <c r="M789" s="5">
        <f t="shared" si="98"/>
        <v>0</v>
      </c>
      <c r="N789" s="3"/>
    </row>
    <row r="790" spans="1:14" x14ac:dyDescent="0.25">
      <c r="A790" s="2">
        <v>1211221</v>
      </c>
      <c r="B790" s="3">
        <v>43581.25</v>
      </c>
      <c r="C790" s="3">
        <v>43140</v>
      </c>
      <c r="D790" s="3">
        <v>36231.25</v>
      </c>
      <c r="E790" s="3">
        <v>38906.25</v>
      </c>
      <c r="F790">
        <f t="shared" si="91"/>
        <v>1211221</v>
      </c>
      <c r="G790" s="3">
        <f t="shared" si="92"/>
        <v>43581.25</v>
      </c>
      <c r="H790" s="3">
        <f t="shared" si="93"/>
        <v>43140</v>
      </c>
      <c r="I790" s="3">
        <f t="shared" si="94"/>
        <v>36231.25</v>
      </c>
      <c r="J790" s="3">
        <f t="shared" si="95"/>
        <v>38906.25</v>
      </c>
      <c r="K790" s="5">
        <f t="shared" si="96"/>
        <v>161858.75</v>
      </c>
      <c r="L790" s="5">
        <f t="shared" si="97"/>
        <v>163640</v>
      </c>
      <c r="M790" s="5">
        <f t="shared" si="98"/>
        <v>-1781.25</v>
      </c>
      <c r="N790" s="3"/>
    </row>
    <row r="791" spans="1:14" x14ac:dyDescent="0.25">
      <c r="A791" s="2">
        <v>1211222</v>
      </c>
      <c r="B791" s="3">
        <v>44056.25</v>
      </c>
      <c r="C791" s="3">
        <v>41550</v>
      </c>
      <c r="D791" s="3">
        <v>36612.5</v>
      </c>
      <c r="E791" s="3">
        <v>40390.6</v>
      </c>
      <c r="F791">
        <f t="shared" si="91"/>
        <v>1211222</v>
      </c>
      <c r="G791" s="3">
        <f t="shared" si="92"/>
        <v>44056.25</v>
      </c>
      <c r="H791" s="3">
        <f t="shared" si="93"/>
        <v>41550</v>
      </c>
      <c r="I791" s="3">
        <f t="shared" si="94"/>
        <v>36612.5</v>
      </c>
      <c r="J791" s="3">
        <f t="shared" si="95"/>
        <v>40390.6</v>
      </c>
      <c r="K791" s="5">
        <f t="shared" si="96"/>
        <v>162609.35</v>
      </c>
      <c r="L791" s="5">
        <f t="shared" si="97"/>
        <v>162609.35</v>
      </c>
      <c r="M791" s="5">
        <f t="shared" si="98"/>
        <v>0</v>
      </c>
      <c r="N791" s="3"/>
    </row>
    <row r="792" spans="1:14" x14ac:dyDescent="0.25">
      <c r="A792" s="2">
        <v>1211223</v>
      </c>
      <c r="B792" s="3">
        <v>45387.5</v>
      </c>
      <c r="C792" s="3">
        <v>42120</v>
      </c>
      <c r="D792" s="3">
        <v>36250</v>
      </c>
      <c r="E792" s="3">
        <v>40390.6</v>
      </c>
      <c r="F792">
        <f t="shared" si="91"/>
        <v>1211223</v>
      </c>
      <c r="G792" s="3">
        <f t="shared" si="92"/>
        <v>45387.5</v>
      </c>
      <c r="H792" s="3">
        <f t="shared" si="93"/>
        <v>42120</v>
      </c>
      <c r="I792" s="3">
        <f t="shared" si="94"/>
        <v>36250</v>
      </c>
      <c r="J792" s="3">
        <f t="shared" si="95"/>
        <v>40390.6</v>
      </c>
      <c r="K792" s="5">
        <f t="shared" si="96"/>
        <v>164148.1</v>
      </c>
      <c r="L792" s="5">
        <f t="shared" si="97"/>
        <v>164148.1</v>
      </c>
      <c r="M792" s="5">
        <f t="shared" si="98"/>
        <v>0</v>
      </c>
      <c r="N792" s="3"/>
    </row>
    <row r="793" spans="1:14" x14ac:dyDescent="0.25">
      <c r="A793" s="2">
        <v>1211226</v>
      </c>
      <c r="B793" s="3">
        <v>46325</v>
      </c>
      <c r="C793" s="3">
        <v>41640</v>
      </c>
      <c r="D793" s="3">
        <v>35912.5</v>
      </c>
      <c r="E793" s="3">
        <v>41250</v>
      </c>
      <c r="F793">
        <f t="shared" ref="F793:F856" si="99">+A793</f>
        <v>1211226</v>
      </c>
      <c r="G793" s="3">
        <f t="shared" si="92"/>
        <v>46325</v>
      </c>
      <c r="H793" s="3">
        <f t="shared" si="93"/>
        <v>41640</v>
      </c>
      <c r="I793" s="3">
        <f t="shared" si="94"/>
        <v>35912.5</v>
      </c>
      <c r="J793" s="3">
        <f t="shared" si="95"/>
        <v>41250</v>
      </c>
      <c r="K793" s="5">
        <f t="shared" si="96"/>
        <v>165127.5</v>
      </c>
      <c r="L793" s="5">
        <f t="shared" si="97"/>
        <v>165127.5</v>
      </c>
      <c r="M793" s="5">
        <f t="shared" si="98"/>
        <v>0</v>
      </c>
      <c r="N793" s="3"/>
    </row>
    <row r="794" spans="1:14" x14ac:dyDescent="0.25">
      <c r="A794" s="2">
        <v>1211227</v>
      </c>
      <c r="B794" s="3">
        <v>46325</v>
      </c>
      <c r="C794" s="3">
        <v>41840</v>
      </c>
      <c r="D794" s="3">
        <v>36006.25</v>
      </c>
      <c r="E794" s="3">
        <v>41250</v>
      </c>
      <c r="F794">
        <f t="shared" si="99"/>
        <v>1211227</v>
      </c>
      <c r="G794" s="3">
        <f t="shared" ref="G794:G857" si="100">+IF(B794&lt;&gt;0,B794,B793)</f>
        <v>46325</v>
      </c>
      <c r="H794" s="3">
        <f t="shared" ref="H794:H857" si="101">+IF(C794&lt;&gt;0,C794,C793)</f>
        <v>41840</v>
      </c>
      <c r="I794" s="3">
        <f t="shared" ref="I794:I857" si="102">+IF(D794&lt;&gt;0,D794,D793)</f>
        <v>36006.25</v>
      </c>
      <c r="J794" s="3">
        <f t="shared" ref="J794:J857" si="103">+IF(E794&lt;&gt;0,E794,E793)</f>
        <v>41250</v>
      </c>
      <c r="K794" s="5">
        <f t="shared" ref="K794:K857" si="104">+SUM(G794:J794)</f>
        <v>165421.25</v>
      </c>
      <c r="L794" s="5">
        <f t="shared" si="97"/>
        <v>165421.25</v>
      </c>
      <c r="M794" s="5">
        <f t="shared" si="98"/>
        <v>0</v>
      </c>
      <c r="N794" s="3"/>
    </row>
    <row r="795" spans="1:14" x14ac:dyDescent="0.25">
      <c r="A795" s="2">
        <v>1211228</v>
      </c>
      <c r="B795" s="3">
        <v>47187.5</v>
      </c>
      <c r="C795" s="3">
        <v>41030</v>
      </c>
      <c r="D795" s="3">
        <v>36425</v>
      </c>
      <c r="E795" s="3">
        <v>41093.75</v>
      </c>
      <c r="F795">
        <f t="shared" si="99"/>
        <v>1211228</v>
      </c>
      <c r="G795" s="3">
        <f t="shared" si="100"/>
        <v>47187.5</v>
      </c>
      <c r="H795" s="3">
        <f t="shared" si="101"/>
        <v>41030</v>
      </c>
      <c r="I795" s="3">
        <f t="shared" si="102"/>
        <v>36425</v>
      </c>
      <c r="J795" s="3">
        <f t="shared" si="103"/>
        <v>41093.75</v>
      </c>
      <c r="K795" s="5">
        <f t="shared" si="104"/>
        <v>165736.25</v>
      </c>
      <c r="L795" s="5">
        <f t="shared" ref="L795:L858" si="105">+IF(K795&gt;K794,K795,K794)</f>
        <v>165736.25</v>
      </c>
      <c r="M795" s="5">
        <f t="shared" ref="M795:M858" si="106">+K795-L795</f>
        <v>0</v>
      </c>
      <c r="N795" s="3"/>
    </row>
    <row r="796" spans="1:14" x14ac:dyDescent="0.25">
      <c r="A796" s="2">
        <v>1211229</v>
      </c>
      <c r="B796" s="3">
        <v>47131.25</v>
      </c>
      <c r="C796" s="3">
        <v>39230</v>
      </c>
      <c r="D796" s="3">
        <v>36200</v>
      </c>
      <c r="E796" s="3">
        <v>40703.1</v>
      </c>
      <c r="F796">
        <f t="shared" si="99"/>
        <v>1211229</v>
      </c>
      <c r="G796" s="3">
        <f t="shared" si="100"/>
        <v>47131.25</v>
      </c>
      <c r="H796" s="3">
        <f t="shared" si="101"/>
        <v>39230</v>
      </c>
      <c r="I796" s="3">
        <f t="shared" si="102"/>
        <v>36200</v>
      </c>
      <c r="J796" s="3">
        <f t="shared" si="103"/>
        <v>40703.1</v>
      </c>
      <c r="K796" s="5">
        <f t="shared" si="104"/>
        <v>163264.35</v>
      </c>
      <c r="L796" s="5">
        <f t="shared" si="105"/>
        <v>165736.25</v>
      </c>
      <c r="M796" s="5">
        <f t="shared" si="106"/>
        <v>-2471.8999999999942</v>
      </c>
      <c r="N796" s="3"/>
    </row>
    <row r="797" spans="1:14" x14ac:dyDescent="0.25">
      <c r="A797" s="2">
        <v>1211230</v>
      </c>
      <c r="B797" s="3">
        <v>47231.25</v>
      </c>
      <c r="C797" s="3">
        <v>38980</v>
      </c>
      <c r="D797" s="3">
        <v>36037.5</v>
      </c>
      <c r="E797" s="3">
        <v>41328.100000000006</v>
      </c>
      <c r="F797">
        <f t="shared" si="99"/>
        <v>1211230</v>
      </c>
      <c r="G797" s="3">
        <f t="shared" si="100"/>
        <v>47231.25</v>
      </c>
      <c r="H797" s="3">
        <f t="shared" si="101"/>
        <v>38980</v>
      </c>
      <c r="I797" s="3">
        <f t="shared" si="102"/>
        <v>36037.5</v>
      </c>
      <c r="J797" s="3">
        <f t="shared" si="103"/>
        <v>41328.100000000006</v>
      </c>
      <c r="K797" s="5">
        <f t="shared" si="104"/>
        <v>163576.85</v>
      </c>
      <c r="L797" s="5">
        <f t="shared" si="105"/>
        <v>163576.85</v>
      </c>
      <c r="M797" s="5">
        <f t="shared" si="106"/>
        <v>0</v>
      </c>
      <c r="N797" s="3"/>
    </row>
    <row r="798" spans="1:14" x14ac:dyDescent="0.25">
      <c r="A798" s="2">
        <v>1211231</v>
      </c>
      <c r="B798" s="3">
        <v>46418.75</v>
      </c>
      <c r="C798" s="3">
        <v>40230</v>
      </c>
      <c r="D798" s="3">
        <v>35837.5</v>
      </c>
      <c r="E798" s="3">
        <v>40703.1</v>
      </c>
      <c r="F798">
        <f t="shared" si="99"/>
        <v>1211231</v>
      </c>
      <c r="G798" s="3">
        <f t="shared" si="100"/>
        <v>46418.75</v>
      </c>
      <c r="H798" s="3">
        <f t="shared" si="101"/>
        <v>40230</v>
      </c>
      <c r="I798" s="3">
        <f t="shared" si="102"/>
        <v>35837.5</v>
      </c>
      <c r="J798" s="3">
        <f t="shared" si="103"/>
        <v>40703.1</v>
      </c>
      <c r="K798" s="5">
        <f t="shared" si="104"/>
        <v>163189.35</v>
      </c>
      <c r="L798" s="5">
        <f t="shared" si="105"/>
        <v>163576.85</v>
      </c>
      <c r="M798" s="5">
        <f t="shared" si="106"/>
        <v>-387.5</v>
      </c>
      <c r="N798" s="3"/>
    </row>
    <row r="799" spans="1:14" x14ac:dyDescent="0.25">
      <c r="A799" s="2">
        <v>1220102</v>
      </c>
      <c r="B799" s="3">
        <v>46331.25</v>
      </c>
      <c r="C799" s="3">
        <v>41140</v>
      </c>
      <c r="D799" s="3">
        <v>35762.5</v>
      </c>
      <c r="E799" s="3">
        <v>39453.1</v>
      </c>
      <c r="F799">
        <f t="shared" si="99"/>
        <v>1220102</v>
      </c>
      <c r="G799" s="3">
        <f t="shared" si="100"/>
        <v>46331.25</v>
      </c>
      <c r="H799" s="3">
        <f t="shared" si="101"/>
        <v>41140</v>
      </c>
      <c r="I799" s="3">
        <f t="shared" si="102"/>
        <v>35762.5</v>
      </c>
      <c r="J799" s="3">
        <f t="shared" si="103"/>
        <v>39453.1</v>
      </c>
      <c r="K799" s="5">
        <f t="shared" si="104"/>
        <v>162686.85</v>
      </c>
      <c r="L799" s="5">
        <f t="shared" si="105"/>
        <v>163189.35</v>
      </c>
      <c r="M799" s="5">
        <f t="shared" si="106"/>
        <v>-502.5</v>
      </c>
      <c r="N799" s="3"/>
    </row>
    <row r="800" spans="1:14" x14ac:dyDescent="0.25">
      <c r="A800" s="2">
        <v>1220103</v>
      </c>
      <c r="B800" s="3">
        <v>46331.25</v>
      </c>
      <c r="C800" s="3">
        <v>40800</v>
      </c>
      <c r="D800" s="3">
        <v>35925</v>
      </c>
      <c r="E800" s="3">
        <v>38984.400000000001</v>
      </c>
      <c r="F800">
        <f t="shared" si="99"/>
        <v>1220103</v>
      </c>
      <c r="G800" s="3">
        <f t="shared" si="100"/>
        <v>46331.25</v>
      </c>
      <c r="H800" s="3">
        <f t="shared" si="101"/>
        <v>40800</v>
      </c>
      <c r="I800" s="3">
        <f t="shared" si="102"/>
        <v>35925</v>
      </c>
      <c r="J800" s="3">
        <f t="shared" si="103"/>
        <v>38984.400000000001</v>
      </c>
      <c r="K800" s="5">
        <f t="shared" si="104"/>
        <v>162040.65</v>
      </c>
      <c r="L800" s="5">
        <f t="shared" si="105"/>
        <v>162686.85</v>
      </c>
      <c r="M800" s="5">
        <f t="shared" si="106"/>
        <v>-646.20000000001164</v>
      </c>
      <c r="N800" s="3"/>
    </row>
    <row r="801" spans="1:14" x14ac:dyDescent="0.25">
      <c r="A801" s="2">
        <v>1220104</v>
      </c>
      <c r="B801" s="3">
        <v>46331.25</v>
      </c>
      <c r="C801" s="3">
        <v>42210</v>
      </c>
      <c r="D801" s="3">
        <v>35743.75</v>
      </c>
      <c r="E801" s="3">
        <v>41093.75</v>
      </c>
      <c r="F801">
        <f t="shared" si="99"/>
        <v>1220104</v>
      </c>
      <c r="G801" s="3">
        <f t="shared" si="100"/>
        <v>46331.25</v>
      </c>
      <c r="H801" s="3">
        <f t="shared" si="101"/>
        <v>42210</v>
      </c>
      <c r="I801" s="3">
        <f t="shared" si="102"/>
        <v>35743.75</v>
      </c>
      <c r="J801" s="3">
        <f t="shared" si="103"/>
        <v>41093.75</v>
      </c>
      <c r="K801" s="5">
        <f t="shared" si="104"/>
        <v>165378.75</v>
      </c>
      <c r="L801" s="5">
        <f t="shared" si="105"/>
        <v>165378.75</v>
      </c>
      <c r="M801" s="5">
        <f t="shared" si="106"/>
        <v>0</v>
      </c>
      <c r="N801" s="3"/>
    </row>
    <row r="802" spans="1:14" x14ac:dyDescent="0.25">
      <c r="A802" s="2">
        <v>1220105</v>
      </c>
      <c r="B802" s="3">
        <v>46793.75</v>
      </c>
      <c r="C802" s="3">
        <v>40010</v>
      </c>
      <c r="D802" s="3">
        <v>35981.25</v>
      </c>
      <c r="E802" s="3">
        <v>41484.399999999994</v>
      </c>
      <c r="F802">
        <f t="shared" si="99"/>
        <v>1220105</v>
      </c>
      <c r="G802" s="3">
        <f t="shared" si="100"/>
        <v>46793.75</v>
      </c>
      <c r="H802" s="3">
        <f t="shared" si="101"/>
        <v>40010</v>
      </c>
      <c r="I802" s="3">
        <f t="shared" si="102"/>
        <v>35981.25</v>
      </c>
      <c r="J802" s="3">
        <f t="shared" si="103"/>
        <v>41484.399999999994</v>
      </c>
      <c r="K802" s="5">
        <f t="shared" si="104"/>
        <v>164269.4</v>
      </c>
      <c r="L802" s="5">
        <f t="shared" si="105"/>
        <v>165378.75</v>
      </c>
      <c r="M802" s="5">
        <f t="shared" si="106"/>
        <v>-1109.3500000000058</v>
      </c>
      <c r="N802" s="3"/>
    </row>
    <row r="803" spans="1:14" x14ac:dyDescent="0.25">
      <c r="A803" s="2">
        <v>1220106</v>
      </c>
      <c r="B803" s="3">
        <v>48068.75</v>
      </c>
      <c r="C803" s="3">
        <v>38380</v>
      </c>
      <c r="D803" s="3">
        <v>35850</v>
      </c>
      <c r="E803" s="3">
        <v>45312.5</v>
      </c>
      <c r="F803">
        <f t="shared" si="99"/>
        <v>1220106</v>
      </c>
      <c r="G803" s="3">
        <f t="shared" si="100"/>
        <v>48068.75</v>
      </c>
      <c r="H803" s="3">
        <f t="shared" si="101"/>
        <v>38380</v>
      </c>
      <c r="I803" s="3">
        <f t="shared" si="102"/>
        <v>35850</v>
      </c>
      <c r="J803" s="3">
        <f t="shared" si="103"/>
        <v>45312.5</v>
      </c>
      <c r="K803" s="5">
        <f t="shared" si="104"/>
        <v>167611.25</v>
      </c>
      <c r="L803" s="5">
        <f t="shared" si="105"/>
        <v>167611.25</v>
      </c>
      <c r="M803" s="5">
        <f t="shared" si="106"/>
        <v>0</v>
      </c>
      <c r="N803" s="3"/>
    </row>
    <row r="804" spans="1:14" x14ac:dyDescent="0.25">
      <c r="A804" s="2">
        <v>1220107</v>
      </c>
      <c r="B804" s="3">
        <v>46812.5</v>
      </c>
      <c r="C804" s="3">
        <v>37450</v>
      </c>
      <c r="D804" s="3">
        <v>35406.25</v>
      </c>
      <c r="E804" s="3">
        <v>45468.75</v>
      </c>
      <c r="F804">
        <f t="shared" si="99"/>
        <v>1220107</v>
      </c>
      <c r="G804" s="3">
        <f t="shared" si="100"/>
        <v>46812.5</v>
      </c>
      <c r="H804" s="3">
        <f t="shared" si="101"/>
        <v>37450</v>
      </c>
      <c r="I804" s="3">
        <f t="shared" si="102"/>
        <v>35406.25</v>
      </c>
      <c r="J804" s="3">
        <f t="shared" si="103"/>
        <v>45468.75</v>
      </c>
      <c r="K804" s="5">
        <f t="shared" si="104"/>
        <v>165137.5</v>
      </c>
      <c r="L804" s="5">
        <f t="shared" si="105"/>
        <v>167611.25</v>
      </c>
      <c r="M804" s="5">
        <f t="shared" si="106"/>
        <v>-2473.75</v>
      </c>
      <c r="N804" s="3"/>
    </row>
    <row r="805" spans="1:14" x14ac:dyDescent="0.25">
      <c r="A805" s="2">
        <v>1220109</v>
      </c>
      <c r="B805" s="3">
        <v>46400</v>
      </c>
      <c r="C805" s="3">
        <v>36030</v>
      </c>
      <c r="D805" s="3">
        <v>35393.75</v>
      </c>
      <c r="E805" s="3">
        <v>47500</v>
      </c>
      <c r="F805">
        <f t="shared" si="99"/>
        <v>1220109</v>
      </c>
      <c r="G805" s="3">
        <f t="shared" si="100"/>
        <v>46400</v>
      </c>
      <c r="H805" s="3">
        <f t="shared" si="101"/>
        <v>36030</v>
      </c>
      <c r="I805" s="3">
        <f t="shared" si="102"/>
        <v>35393.75</v>
      </c>
      <c r="J805" s="3">
        <f t="shared" si="103"/>
        <v>47500</v>
      </c>
      <c r="K805" s="5">
        <f t="shared" si="104"/>
        <v>165323.75</v>
      </c>
      <c r="L805" s="5">
        <f t="shared" si="105"/>
        <v>165323.75</v>
      </c>
      <c r="M805" s="5">
        <f t="shared" si="106"/>
        <v>0</v>
      </c>
      <c r="N805" s="3"/>
    </row>
    <row r="806" spans="1:14" x14ac:dyDescent="0.25">
      <c r="A806" s="2">
        <v>1220110</v>
      </c>
      <c r="B806" s="3">
        <v>46043.75</v>
      </c>
      <c r="C806" s="3">
        <v>36360</v>
      </c>
      <c r="D806" s="3">
        <v>35218.75</v>
      </c>
      <c r="E806" s="3">
        <v>48281.25</v>
      </c>
      <c r="F806">
        <f t="shared" si="99"/>
        <v>1220110</v>
      </c>
      <c r="G806" s="3">
        <f t="shared" si="100"/>
        <v>46043.75</v>
      </c>
      <c r="H806" s="3">
        <f t="shared" si="101"/>
        <v>36360</v>
      </c>
      <c r="I806" s="3">
        <f t="shared" si="102"/>
        <v>35218.75</v>
      </c>
      <c r="J806" s="3">
        <f t="shared" si="103"/>
        <v>48281.25</v>
      </c>
      <c r="K806" s="5">
        <f t="shared" si="104"/>
        <v>165903.75</v>
      </c>
      <c r="L806" s="5">
        <f t="shared" si="105"/>
        <v>165903.75</v>
      </c>
      <c r="M806" s="5">
        <f t="shared" si="106"/>
        <v>0</v>
      </c>
      <c r="N806" s="3"/>
    </row>
    <row r="807" spans="1:14" x14ac:dyDescent="0.25">
      <c r="A807" s="2">
        <v>1220111</v>
      </c>
      <c r="B807" s="3">
        <v>46206.25</v>
      </c>
      <c r="C807" s="3">
        <v>36940</v>
      </c>
      <c r="D807" s="3">
        <v>35725</v>
      </c>
      <c r="E807" s="3">
        <v>43828.100000000006</v>
      </c>
      <c r="F807">
        <f t="shared" si="99"/>
        <v>1220111</v>
      </c>
      <c r="G807" s="3">
        <f t="shared" si="100"/>
        <v>46206.25</v>
      </c>
      <c r="H807" s="3">
        <f t="shared" si="101"/>
        <v>36940</v>
      </c>
      <c r="I807" s="3">
        <f t="shared" si="102"/>
        <v>35725</v>
      </c>
      <c r="J807" s="3">
        <f t="shared" si="103"/>
        <v>43828.100000000006</v>
      </c>
      <c r="K807" s="5">
        <f t="shared" si="104"/>
        <v>162699.35</v>
      </c>
      <c r="L807" s="5">
        <f t="shared" si="105"/>
        <v>165903.75</v>
      </c>
      <c r="M807" s="5">
        <f t="shared" si="106"/>
        <v>-3204.3999999999942</v>
      </c>
      <c r="N807" s="3"/>
    </row>
    <row r="808" spans="1:14" x14ac:dyDescent="0.25">
      <c r="A808" s="2">
        <v>1220112</v>
      </c>
      <c r="B808" s="3">
        <v>46206.25</v>
      </c>
      <c r="C808" s="3">
        <v>35410</v>
      </c>
      <c r="D808" s="3">
        <v>35406.25</v>
      </c>
      <c r="E808" s="3">
        <v>42343.75</v>
      </c>
      <c r="F808">
        <f t="shared" si="99"/>
        <v>1220112</v>
      </c>
      <c r="G808" s="3">
        <f t="shared" si="100"/>
        <v>46206.25</v>
      </c>
      <c r="H808" s="3">
        <f t="shared" si="101"/>
        <v>35410</v>
      </c>
      <c r="I808" s="3">
        <f t="shared" si="102"/>
        <v>35406.25</v>
      </c>
      <c r="J808" s="3">
        <f t="shared" si="103"/>
        <v>42343.75</v>
      </c>
      <c r="K808" s="5">
        <f t="shared" si="104"/>
        <v>159366.25</v>
      </c>
      <c r="L808" s="5">
        <f t="shared" si="105"/>
        <v>162699.35</v>
      </c>
      <c r="M808" s="5">
        <f t="shared" si="106"/>
        <v>-3333.1000000000058</v>
      </c>
      <c r="N808" s="3"/>
    </row>
    <row r="809" spans="1:14" x14ac:dyDescent="0.25">
      <c r="A809" s="2">
        <v>1220113</v>
      </c>
      <c r="B809" s="3">
        <v>46225</v>
      </c>
      <c r="C809" s="3">
        <v>35950</v>
      </c>
      <c r="D809" s="3">
        <v>36043.75</v>
      </c>
      <c r="E809" s="3">
        <v>41875</v>
      </c>
      <c r="F809">
        <f t="shared" si="99"/>
        <v>1220113</v>
      </c>
      <c r="G809" s="3">
        <f t="shared" si="100"/>
        <v>46225</v>
      </c>
      <c r="H809" s="3">
        <f t="shared" si="101"/>
        <v>35950</v>
      </c>
      <c r="I809" s="3">
        <f t="shared" si="102"/>
        <v>36043.75</v>
      </c>
      <c r="J809" s="3">
        <f t="shared" si="103"/>
        <v>41875</v>
      </c>
      <c r="K809" s="5">
        <f t="shared" si="104"/>
        <v>160093.75</v>
      </c>
      <c r="L809" s="5">
        <f t="shared" si="105"/>
        <v>160093.75</v>
      </c>
      <c r="M809" s="5">
        <f t="shared" si="106"/>
        <v>0</v>
      </c>
      <c r="N809" s="3"/>
    </row>
    <row r="810" spans="1:14" x14ac:dyDescent="0.25">
      <c r="A810" s="2">
        <v>1220114</v>
      </c>
      <c r="B810" s="3">
        <v>47368.75</v>
      </c>
      <c r="C810" s="3">
        <v>34810</v>
      </c>
      <c r="D810" s="3">
        <v>36843.75</v>
      </c>
      <c r="E810" s="3">
        <v>42656.25</v>
      </c>
      <c r="F810">
        <f t="shared" si="99"/>
        <v>1220114</v>
      </c>
      <c r="G810" s="3">
        <f t="shared" si="100"/>
        <v>47368.75</v>
      </c>
      <c r="H810" s="3">
        <f t="shared" si="101"/>
        <v>34810</v>
      </c>
      <c r="I810" s="3">
        <f t="shared" si="102"/>
        <v>36843.75</v>
      </c>
      <c r="J810" s="3">
        <f t="shared" si="103"/>
        <v>42656.25</v>
      </c>
      <c r="K810" s="5">
        <f t="shared" si="104"/>
        <v>161678.75</v>
      </c>
      <c r="L810" s="5">
        <f t="shared" si="105"/>
        <v>161678.75</v>
      </c>
      <c r="M810" s="5">
        <f t="shared" si="106"/>
        <v>0</v>
      </c>
      <c r="N810" s="3"/>
    </row>
    <row r="811" spans="1:14" x14ac:dyDescent="0.25">
      <c r="A811" s="2">
        <v>1220116</v>
      </c>
      <c r="B811" s="3">
        <v>46643.75</v>
      </c>
      <c r="C811" s="3">
        <v>35810</v>
      </c>
      <c r="D811" s="3">
        <v>36893.75</v>
      </c>
      <c r="E811" s="3">
        <v>44296.899999999994</v>
      </c>
      <c r="F811">
        <f t="shared" si="99"/>
        <v>1220116</v>
      </c>
      <c r="G811" s="3">
        <f t="shared" si="100"/>
        <v>46643.75</v>
      </c>
      <c r="H811" s="3">
        <f t="shared" si="101"/>
        <v>35810</v>
      </c>
      <c r="I811" s="3">
        <f t="shared" si="102"/>
        <v>36893.75</v>
      </c>
      <c r="J811" s="3">
        <f t="shared" si="103"/>
        <v>44296.899999999994</v>
      </c>
      <c r="K811" s="5">
        <f t="shared" si="104"/>
        <v>163644.4</v>
      </c>
      <c r="L811" s="5">
        <f t="shared" si="105"/>
        <v>163644.4</v>
      </c>
      <c r="M811" s="5">
        <f t="shared" si="106"/>
        <v>0</v>
      </c>
      <c r="N811" s="3"/>
    </row>
    <row r="812" spans="1:14" x14ac:dyDescent="0.25">
      <c r="A812" s="2">
        <v>1220117</v>
      </c>
      <c r="B812" s="3">
        <v>46987.5</v>
      </c>
      <c r="C812" s="3">
        <v>35490</v>
      </c>
      <c r="D812" s="3">
        <v>37075</v>
      </c>
      <c r="E812" s="3">
        <v>44531.25</v>
      </c>
      <c r="F812">
        <f t="shared" si="99"/>
        <v>1220117</v>
      </c>
      <c r="G812" s="3">
        <f t="shared" si="100"/>
        <v>46987.5</v>
      </c>
      <c r="H812" s="3">
        <f t="shared" si="101"/>
        <v>35490</v>
      </c>
      <c r="I812" s="3">
        <f t="shared" si="102"/>
        <v>37075</v>
      </c>
      <c r="J812" s="3">
        <f t="shared" si="103"/>
        <v>44531.25</v>
      </c>
      <c r="K812" s="5">
        <f t="shared" si="104"/>
        <v>164083.75</v>
      </c>
      <c r="L812" s="5">
        <f t="shared" si="105"/>
        <v>164083.75</v>
      </c>
      <c r="M812" s="5">
        <f t="shared" si="106"/>
        <v>0</v>
      </c>
      <c r="N812" s="3"/>
    </row>
    <row r="813" spans="1:14" x14ac:dyDescent="0.25">
      <c r="A813" s="2">
        <v>1220118</v>
      </c>
      <c r="B813" s="3">
        <v>46531.25</v>
      </c>
      <c r="C813" s="3">
        <v>35460</v>
      </c>
      <c r="D813" s="3">
        <v>37381.25</v>
      </c>
      <c r="E813" s="3">
        <v>45546.899999999994</v>
      </c>
      <c r="F813">
        <f t="shared" si="99"/>
        <v>1220118</v>
      </c>
      <c r="G813" s="3">
        <f t="shared" si="100"/>
        <v>46531.25</v>
      </c>
      <c r="H813" s="3">
        <f t="shared" si="101"/>
        <v>35460</v>
      </c>
      <c r="I813" s="3">
        <f t="shared" si="102"/>
        <v>37381.25</v>
      </c>
      <c r="J813" s="3">
        <f t="shared" si="103"/>
        <v>45546.899999999994</v>
      </c>
      <c r="K813" s="5">
        <f t="shared" si="104"/>
        <v>164919.4</v>
      </c>
      <c r="L813" s="5">
        <f t="shared" si="105"/>
        <v>164919.4</v>
      </c>
      <c r="M813" s="5">
        <f t="shared" si="106"/>
        <v>0</v>
      </c>
      <c r="N813" s="3"/>
    </row>
    <row r="814" spans="1:14" x14ac:dyDescent="0.25">
      <c r="A814" s="2">
        <v>1220119</v>
      </c>
      <c r="B814" s="3">
        <v>47412.5</v>
      </c>
      <c r="C814" s="3">
        <v>35430</v>
      </c>
      <c r="D814" s="3">
        <v>37331.25</v>
      </c>
      <c r="E814" s="3">
        <v>47421.899999999994</v>
      </c>
      <c r="F814">
        <f t="shared" si="99"/>
        <v>1220119</v>
      </c>
      <c r="G814" s="3">
        <f t="shared" si="100"/>
        <v>47412.5</v>
      </c>
      <c r="H814" s="3">
        <f t="shared" si="101"/>
        <v>35430</v>
      </c>
      <c r="I814" s="3">
        <f t="shared" si="102"/>
        <v>37331.25</v>
      </c>
      <c r="J814" s="3">
        <f t="shared" si="103"/>
        <v>47421.899999999994</v>
      </c>
      <c r="K814" s="5">
        <f t="shared" si="104"/>
        <v>167595.65</v>
      </c>
      <c r="L814" s="5">
        <f t="shared" si="105"/>
        <v>167595.65</v>
      </c>
      <c r="M814" s="5">
        <f t="shared" si="106"/>
        <v>0</v>
      </c>
      <c r="N814" s="3"/>
    </row>
    <row r="815" spans="1:14" x14ac:dyDescent="0.25">
      <c r="A815" s="2">
        <v>1220120</v>
      </c>
      <c r="B815" s="3">
        <v>46293.75</v>
      </c>
      <c r="C815" s="3">
        <v>37390</v>
      </c>
      <c r="D815" s="3">
        <v>36981.25</v>
      </c>
      <c r="E815" s="3">
        <v>47109.399999999994</v>
      </c>
      <c r="F815">
        <f t="shared" si="99"/>
        <v>1220120</v>
      </c>
      <c r="G815" s="3">
        <f t="shared" si="100"/>
        <v>46293.75</v>
      </c>
      <c r="H815" s="3">
        <f t="shared" si="101"/>
        <v>37390</v>
      </c>
      <c r="I815" s="3">
        <f t="shared" si="102"/>
        <v>36981.25</v>
      </c>
      <c r="J815" s="3">
        <f t="shared" si="103"/>
        <v>47109.399999999994</v>
      </c>
      <c r="K815" s="5">
        <f t="shared" si="104"/>
        <v>167774.4</v>
      </c>
      <c r="L815" s="5">
        <f t="shared" si="105"/>
        <v>167774.4</v>
      </c>
      <c r="M815" s="5">
        <f t="shared" si="106"/>
        <v>0</v>
      </c>
      <c r="N815" s="3"/>
    </row>
    <row r="816" spans="1:14" x14ac:dyDescent="0.25">
      <c r="A816" s="2">
        <v>1220121</v>
      </c>
      <c r="B816" s="3">
        <v>43212.5</v>
      </c>
      <c r="C816" s="3">
        <v>36740</v>
      </c>
      <c r="D816" s="3">
        <v>37018.75</v>
      </c>
      <c r="E816" s="3">
        <v>51015.600000000006</v>
      </c>
      <c r="F816">
        <f t="shared" si="99"/>
        <v>1220121</v>
      </c>
      <c r="G816" s="3">
        <f t="shared" si="100"/>
        <v>43212.5</v>
      </c>
      <c r="H816" s="3">
        <f t="shared" si="101"/>
        <v>36740</v>
      </c>
      <c r="I816" s="3">
        <f t="shared" si="102"/>
        <v>37018.75</v>
      </c>
      <c r="J816" s="3">
        <f t="shared" si="103"/>
        <v>51015.600000000006</v>
      </c>
      <c r="K816" s="5">
        <f t="shared" si="104"/>
        <v>167986.85</v>
      </c>
      <c r="L816" s="5">
        <f t="shared" si="105"/>
        <v>167986.85</v>
      </c>
      <c r="M816" s="5">
        <f t="shared" si="106"/>
        <v>0</v>
      </c>
      <c r="N816" s="3"/>
    </row>
    <row r="817" spans="1:14" x14ac:dyDescent="0.25">
      <c r="A817" s="2">
        <v>1220123</v>
      </c>
      <c r="B817" s="3">
        <v>40618.75</v>
      </c>
      <c r="C817" s="3">
        <v>36660</v>
      </c>
      <c r="D817" s="3">
        <v>37093.75</v>
      </c>
      <c r="E817" s="3">
        <v>47578.100000000006</v>
      </c>
      <c r="F817">
        <f t="shared" si="99"/>
        <v>1220123</v>
      </c>
      <c r="G817" s="3">
        <f t="shared" si="100"/>
        <v>40618.75</v>
      </c>
      <c r="H817" s="3">
        <f t="shared" si="101"/>
        <v>36660</v>
      </c>
      <c r="I817" s="3">
        <f t="shared" si="102"/>
        <v>37093.75</v>
      </c>
      <c r="J817" s="3">
        <f t="shared" si="103"/>
        <v>47578.100000000006</v>
      </c>
      <c r="K817" s="5">
        <f t="shared" si="104"/>
        <v>161950.6</v>
      </c>
      <c r="L817" s="5">
        <f t="shared" si="105"/>
        <v>167986.85</v>
      </c>
      <c r="M817" s="5">
        <f t="shared" si="106"/>
        <v>-6036.25</v>
      </c>
      <c r="N817" s="3"/>
    </row>
    <row r="818" spans="1:14" x14ac:dyDescent="0.25">
      <c r="A818" s="2">
        <v>1220124</v>
      </c>
      <c r="B818" s="3">
        <v>40450</v>
      </c>
      <c r="C818" s="3">
        <v>36660</v>
      </c>
      <c r="D818" s="3">
        <v>37087.5</v>
      </c>
      <c r="E818" s="3">
        <v>47421.899999999994</v>
      </c>
      <c r="F818">
        <f t="shared" si="99"/>
        <v>1220124</v>
      </c>
      <c r="G818" s="3">
        <f t="shared" si="100"/>
        <v>40450</v>
      </c>
      <c r="H818" s="3">
        <f t="shared" si="101"/>
        <v>36660</v>
      </c>
      <c r="I818" s="3">
        <f t="shared" si="102"/>
        <v>37087.5</v>
      </c>
      <c r="J818" s="3">
        <f t="shared" si="103"/>
        <v>47421.899999999994</v>
      </c>
      <c r="K818" s="5">
        <f t="shared" si="104"/>
        <v>161619.4</v>
      </c>
      <c r="L818" s="5">
        <f t="shared" si="105"/>
        <v>161950.6</v>
      </c>
      <c r="M818" s="5">
        <f t="shared" si="106"/>
        <v>-331.20000000001164</v>
      </c>
      <c r="N818" s="3"/>
    </row>
    <row r="819" spans="1:14" x14ac:dyDescent="0.25">
      <c r="A819" s="2">
        <v>1220125</v>
      </c>
      <c r="B819" s="3">
        <v>41306.25</v>
      </c>
      <c r="C819" s="3">
        <v>35340</v>
      </c>
      <c r="D819" s="3">
        <v>37050</v>
      </c>
      <c r="E819" s="3">
        <v>48125</v>
      </c>
      <c r="F819">
        <f t="shared" si="99"/>
        <v>1220125</v>
      </c>
      <c r="G819" s="3">
        <f t="shared" si="100"/>
        <v>41306.25</v>
      </c>
      <c r="H819" s="3">
        <f t="shared" si="101"/>
        <v>35340</v>
      </c>
      <c r="I819" s="3">
        <f t="shared" si="102"/>
        <v>37050</v>
      </c>
      <c r="J819" s="3">
        <f t="shared" si="103"/>
        <v>48125</v>
      </c>
      <c r="K819" s="5">
        <f t="shared" si="104"/>
        <v>161821.25</v>
      </c>
      <c r="L819" s="5">
        <f t="shared" si="105"/>
        <v>161821.25</v>
      </c>
      <c r="M819" s="5">
        <f t="shared" si="106"/>
        <v>0</v>
      </c>
      <c r="N819" s="3"/>
    </row>
    <row r="820" spans="1:14" x14ac:dyDescent="0.25">
      <c r="A820" s="2">
        <v>1220126</v>
      </c>
      <c r="B820" s="3">
        <v>40125</v>
      </c>
      <c r="C820" s="3">
        <v>34060</v>
      </c>
      <c r="D820" s="3">
        <v>36981.25</v>
      </c>
      <c r="E820" s="3">
        <v>47968.75</v>
      </c>
      <c r="F820">
        <f t="shared" si="99"/>
        <v>1220126</v>
      </c>
      <c r="G820" s="3">
        <f t="shared" si="100"/>
        <v>40125</v>
      </c>
      <c r="H820" s="3">
        <f t="shared" si="101"/>
        <v>34060</v>
      </c>
      <c r="I820" s="3">
        <f t="shared" si="102"/>
        <v>36981.25</v>
      </c>
      <c r="J820" s="3">
        <f t="shared" si="103"/>
        <v>47968.75</v>
      </c>
      <c r="K820" s="5">
        <f t="shared" si="104"/>
        <v>159135</v>
      </c>
      <c r="L820" s="5">
        <f t="shared" si="105"/>
        <v>161821.25</v>
      </c>
      <c r="M820" s="5">
        <f t="shared" si="106"/>
        <v>-2686.25</v>
      </c>
      <c r="N820" s="3"/>
    </row>
    <row r="821" spans="1:14" x14ac:dyDescent="0.25">
      <c r="A821" s="2">
        <v>1220127</v>
      </c>
      <c r="B821" s="3">
        <v>39643.75</v>
      </c>
      <c r="C821" s="3">
        <v>37020</v>
      </c>
      <c r="D821" s="3">
        <v>37056.25</v>
      </c>
      <c r="E821" s="3">
        <v>42031.25</v>
      </c>
      <c r="F821">
        <f t="shared" si="99"/>
        <v>1220127</v>
      </c>
      <c r="G821" s="3">
        <f t="shared" si="100"/>
        <v>39643.75</v>
      </c>
      <c r="H821" s="3">
        <f t="shared" si="101"/>
        <v>37020</v>
      </c>
      <c r="I821" s="3">
        <f t="shared" si="102"/>
        <v>37056.25</v>
      </c>
      <c r="J821" s="3">
        <f t="shared" si="103"/>
        <v>42031.25</v>
      </c>
      <c r="K821" s="5">
        <f t="shared" si="104"/>
        <v>155751.25</v>
      </c>
      <c r="L821" s="5">
        <f t="shared" si="105"/>
        <v>159135</v>
      </c>
      <c r="M821" s="5">
        <f t="shared" si="106"/>
        <v>-3383.75</v>
      </c>
      <c r="N821" s="3"/>
    </row>
    <row r="822" spans="1:14" x14ac:dyDescent="0.25">
      <c r="A822" s="2">
        <v>1220128</v>
      </c>
      <c r="B822" s="3">
        <v>37850</v>
      </c>
      <c r="C822" s="3">
        <v>38800</v>
      </c>
      <c r="D822" s="3">
        <v>37781.25</v>
      </c>
      <c r="E822" s="3">
        <v>42812.5</v>
      </c>
      <c r="F822">
        <f t="shared" si="99"/>
        <v>1220128</v>
      </c>
      <c r="G822" s="3">
        <f t="shared" si="100"/>
        <v>37850</v>
      </c>
      <c r="H822" s="3">
        <f t="shared" si="101"/>
        <v>38800</v>
      </c>
      <c r="I822" s="3">
        <f t="shared" si="102"/>
        <v>37781.25</v>
      </c>
      <c r="J822" s="3">
        <f t="shared" si="103"/>
        <v>42812.5</v>
      </c>
      <c r="K822" s="5">
        <f t="shared" si="104"/>
        <v>157243.75</v>
      </c>
      <c r="L822" s="5">
        <f t="shared" si="105"/>
        <v>157243.75</v>
      </c>
      <c r="M822" s="5">
        <f t="shared" si="106"/>
        <v>0</v>
      </c>
      <c r="N822" s="3"/>
    </row>
    <row r="823" spans="1:14" x14ac:dyDescent="0.25">
      <c r="A823" s="2">
        <v>1220130</v>
      </c>
      <c r="B823" s="3">
        <v>39493.75</v>
      </c>
      <c r="C823" s="3">
        <v>40010</v>
      </c>
      <c r="D823" s="3">
        <v>37968.75</v>
      </c>
      <c r="E823" s="3">
        <v>41171.899999999994</v>
      </c>
      <c r="F823">
        <f t="shared" si="99"/>
        <v>1220130</v>
      </c>
      <c r="G823" s="3">
        <f t="shared" si="100"/>
        <v>39493.75</v>
      </c>
      <c r="H823" s="3">
        <f t="shared" si="101"/>
        <v>40010</v>
      </c>
      <c r="I823" s="3">
        <f t="shared" si="102"/>
        <v>37968.75</v>
      </c>
      <c r="J823" s="3">
        <f t="shared" si="103"/>
        <v>41171.899999999994</v>
      </c>
      <c r="K823" s="5">
        <f t="shared" si="104"/>
        <v>158644.4</v>
      </c>
      <c r="L823" s="5">
        <f t="shared" si="105"/>
        <v>158644.4</v>
      </c>
      <c r="M823" s="5">
        <f t="shared" si="106"/>
        <v>0</v>
      </c>
      <c r="N823" s="3"/>
    </row>
    <row r="824" spans="1:14" x14ac:dyDescent="0.25">
      <c r="A824" s="2">
        <v>1220131</v>
      </c>
      <c r="B824" s="3">
        <v>40050</v>
      </c>
      <c r="C824" s="3">
        <v>40010</v>
      </c>
      <c r="D824" s="3">
        <v>37806.25</v>
      </c>
      <c r="E824" s="3">
        <v>41171.899999999994</v>
      </c>
      <c r="F824">
        <f t="shared" si="99"/>
        <v>1220131</v>
      </c>
      <c r="G824" s="3">
        <f t="shared" si="100"/>
        <v>40050</v>
      </c>
      <c r="H824" s="3">
        <f t="shared" si="101"/>
        <v>40010</v>
      </c>
      <c r="I824" s="3">
        <f t="shared" si="102"/>
        <v>37806.25</v>
      </c>
      <c r="J824" s="3">
        <f t="shared" si="103"/>
        <v>41171.899999999994</v>
      </c>
      <c r="K824" s="5">
        <f t="shared" si="104"/>
        <v>159038.15</v>
      </c>
      <c r="L824" s="5">
        <f t="shared" si="105"/>
        <v>159038.15</v>
      </c>
      <c r="M824" s="5">
        <f t="shared" si="106"/>
        <v>0</v>
      </c>
      <c r="N824" s="3"/>
    </row>
    <row r="825" spans="1:14" x14ac:dyDescent="0.25">
      <c r="A825" s="2">
        <v>1220201</v>
      </c>
      <c r="B825" s="3">
        <v>41543.75</v>
      </c>
      <c r="C825" s="3">
        <v>40710</v>
      </c>
      <c r="D825" s="3">
        <v>38212.5</v>
      </c>
      <c r="E825" s="3">
        <v>39375</v>
      </c>
      <c r="F825">
        <f t="shared" si="99"/>
        <v>1220201</v>
      </c>
      <c r="G825" s="3">
        <f t="shared" si="100"/>
        <v>41543.75</v>
      </c>
      <c r="H825" s="3">
        <f t="shared" si="101"/>
        <v>40710</v>
      </c>
      <c r="I825" s="3">
        <f t="shared" si="102"/>
        <v>38212.5</v>
      </c>
      <c r="J825" s="3">
        <f t="shared" si="103"/>
        <v>39375</v>
      </c>
      <c r="K825" s="5">
        <f t="shared" si="104"/>
        <v>159841.25</v>
      </c>
      <c r="L825" s="5">
        <f t="shared" si="105"/>
        <v>159841.25</v>
      </c>
      <c r="M825" s="5">
        <f t="shared" si="106"/>
        <v>0</v>
      </c>
      <c r="N825" s="3"/>
    </row>
    <row r="826" spans="1:14" x14ac:dyDescent="0.25">
      <c r="A826" s="2">
        <v>1220202</v>
      </c>
      <c r="B826" s="3">
        <v>41593.75</v>
      </c>
      <c r="C826" s="3">
        <v>40510</v>
      </c>
      <c r="D826" s="3">
        <v>38443.75</v>
      </c>
      <c r="E826" s="3">
        <v>36406.25</v>
      </c>
      <c r="F826">
        <f t="shared" si="99"/>
        <v>1220202</v>
      </c>
      <c r="G826" s="3">
        <f t="shared" si="100"/>
        <v>41593.75</v>
      </c>
      <c r="H826" s="3">
        <f t="shared" si="101"/>
        <v>40510</v>
      </c>
      <c r="I826" s="3">
        <f t="shared" si="102"/>
        <v>38443.75</v>
      </c>
      <c r="J826" s="3">
        <f t="shared" si="103"/>
        <v>36406.25</v>
      </c>
      <c r="K826" s="5">
        <f t="shared" si="104"/>
        <v>156953.75</v>
      </c>
      <c r="L826" s="5">
        <f t="shared" si="105"/>
        <v>159841.25</v>
      </c>
      <c r="M826" s="5">
        <f t="shared" si="106"/>
        <v>-2887.5</v>
      </c>
      <c r="N826" s="3"/>
    </row>
    <row r="827" spans="1:14" x14ac:dyDescent="0.25">
      <c r="A827" s="2">
        <v>1220203</v>
      </c>
      <c r="B827" s="3">
        <v>39193.75</v>
      </c>
      <c r="C827" s="3">
        <v>41400</v>
      </c>
      <c r="D827" s="3">
        <v>38656.25</v>
      </c>
      <c r="E827" s="3">
        <v>33671.9</v>
      </c>
      <c r="F827">
        <f t="shared" si="99"/>
        <v>1220203</v>
      </c>
      <c r="G827" s="3">
        <f t="shared" si="100"/>
        <v>39193.75</v>
      </c>
      <c r="H827" s="3">
        <f t="shared" si="101"/>
        <v>41400</v>
      </c>
      <c r="I827" s="3">
        <f t="shared" si="102"/>
        <v>38656.25</v>
      </c>
      <c r="J827" s="3">
        <f t="shared" si="103"/>
        <v>33671.9</v>
      </c>
      <c r="K827" s="5">
        <f t="shared" si="104"/>
        <v>152921.9</v>
      </c>
      <c r="L827" s="5">
        <f t="shared" si="105"/>
        <v>156953.75</v>
      </c>
      <c r="M827" s="5">
        <f t="shared" si="106"/>
        <v>-4031.8500000000058</v>
      </c>
      <c r="N827" s="3"/>
    </row>
    <row r="828" spans="1:14" x14ac:dyDescent="0.25">
      <c r="A828" s="2">
        <v>1220204</v>
      </c>
      <c r="B828" s="3">
        <v>37918.75</v>
      </c>
      <c r="C828" s="3">
        <v>40580</v>
      </c>
      <c r="D828" s="3">
        <v>38418.75</v>
      </c>
      <c r="E828" s="3">
        <v>36093.75</v>
      </c>
      <c r="F828">
        <f t="shared" si="99"/>
        <v>1220204</v>
      </c>
      <c r="G828" s="3">
        <f t="shared" si="100"/>
        <v>37918.75</v>
      </c>
      <c r="H828" s="3">
        <f t="shared" si="101"/>
        <v>40580</v>
      </c>
      <c r="I828" s="3">
        <f t="shared" si="102"/>
        <v>38418.75</v>
      </c>
      <c r="J828" s="3">
        <f t="shared" si="103"/>
        <v>36093.75</v>
      </c>
      <c r="K828" s="5">
        <f t="shared" si="104"/>
        <v>153011.25</v>
      </c>
      <c r="L828" s="5">
        <f t="shared" si="105"/>
        <v>153011.25</v>
      </c>
      <c r="M828" s="5">
        <f t="shared" si="106"/>
        <v>0</v>
      </c>
      <c r="N828" s="3"/>
    </row>
    <row r="829" spans="1:14" x14ac:dyDescent="0.25">
      <c r="A829" s="2">
        <v>1220206</v>
      </c>
      <c r="B829" s="3">
        <v>38287.5</v>
      </c>
      <c r="C829" s="3">
        <v>39310</v>
      </c>
      <c r="D829" s="3">
        <v>38112.5</v>
      </c>
      <c r="E829" s="3">
        <v>36250</v>
      </c>
      <c r="F829">
        <f t="shared" si="99"/>
        <v>1220206</v>
      </c>
      <c r="G829" s="3">
        <f t="shared" si="100"/>
        <v>38287.5</v>
      </c>
      <c r="H829" s="3">
        <f t="shared" si="101"/>
        <v>39310</v>
      </c>
      <c r="I829" s="3">
        <f t="shared" si="102"/>
        <v>38112.5</v>
      </c>
      <c r="J829" s="3">
        <f t="shared" si="103"/>
        <v>36250</v>
      </c>
      <c r="K829" s="5">
        <f t="shared" si="104"/>
        <v>151960</v>
      </c>
      <c r="L829" s="5">
        <f t="shared" si="105"/>
        <v>153011.25</v>
      </c>
      <c r="M829" s="5">
        <f t="shared" si="106"/>
        <v>-1051.25</v>
      </c>
      <c r="N829" s="3"/>
    </row>
    <row r="830" spans="1:14" x14ac:dyDescent="0.25">
      <c r="A830" s="2">
        <v>1220207</v>
      </c>
      <c r="B830" s="3">
        <v>38287.5</v>
      </c>
      <c r="C830" s="3">
        <v>39250</v>
      </c>
      <c r="D830" s="3">
        <v>38237.5</v>
      </c>
      <c r="E830" s="3">
        <v>35859.4</v>
      </c>
      <c r="F830">
        <f t="shared" si="99"/>
        <v>1220207</v>
      </c>
      <c r="G830" s="3">
        <f t="shared" si="100"/>
        <v>38287.5</v>
      </c>
      <c r="H830" s="3">
        <f t="shared" si="101"/>
        <v>39250</v>
      </c>
      <c r="I830" s="3">
        <f t="shared" si="102"/>
        <v>38237.5</v>
      </c>
      <c r="J830" s="3">
        <f t="shared" si="103"/>
        <v>35859.4</v>
      </c>
      <c r="K830" s="5">
        <f t="shared" si="104"/>
        <v>151634.4</v>
      </c>
      <c r="L830" s="5">
        <f t="shared" si="105"/>
        <v>151960</v>
      </c>
      <c r="M830" s="5">
        <f t="shared" si="106"/>
        <v>-325.60000000000582</v>
      </c>
      <c r="N830" s="3"/>
    </row>
    <row r="831" spans="1:14" x14ac:dyDescent="0.25">
      <c r="A831" s="2">
        <v>1220208</v>
      </c>
      <c r="B831" s="3">
        <v>35618.75</v>
      </c>
      <c r="C831" s="3">
        <v>39590</v>
      </c>
      <c r="D831" s="3">
        <v>37693.75</v>
      </c>
      <c r="E831" s="3">
        <v>37656.25</v>
      </c>
      <c r="F831">
        <f t="shared" si="99"/>
        <v>1220208</v>
      </c>
      <c r="G831" s="3">
        <f t="shared" si="100"/>
        <v>35618.75</v>
      </c>
      <c r="H831" s="3">
        <f t="shared" si="101"/>
        <v>39590</v>
      </c>
      <c r="I831" s="3">
        <f t="shared" si="102"/>
        <v>37693.75</v>
      </c>
      <c r="J831" s="3">
        <f t="shared" si="103"/>
        <v>37656.25</v>
      </c>
      <c r="K831" s="5">
        <f t="shared" si="104"/>
        <v>150558.75</v>
      </c>
      <c r="L831" s="5">
        <f t="shared" si="105"/>
        <v>151634.4</v>
      </c>
      <c r="M831" s="5">
        <f t="shared" si="106"/>
        <v>-1075.6499999999942</v>
      </c>
      <c r="N831" s="3"/>
    </row>
    <row r="832" spans="1:14" x14ac:dyDescent="0.25">
      <c r="A832" s="2">
        <v>1220209</v>
      </c>
      <c r="B832" s="3">
        <v>35431.25</v>
      </c>
      <c r="C832" s="3">
        <v>39900</v>
      </c>
      <c r="D832" s="3">
        <v>37712.5</v>
      </c>
      <c r="E832" s="3">
        <v>37265.599999999999</v>
      </c>
      <c r="F832">
        <f t="shared" si="99"/>
        <v>1220209</v>
      </c>
      <c r="G832" s="3">
        <f t="shared" si="100"/>
        <v>35431.25</v>
      </c>
      <c r="H832" s="3">
        <f t="shared" si="101"/>
        <v>39900</v>
      </c>
      <c r="I832" s="3">
        <f t="shared" si="102"/>
        <v>37712.5</v>
      </c>
      <c r="J832" s="3">
        <f t="shared" si="103"/>
        <v>37265.599999999999</v>
      </c>
      <c r="K832" s="5">
        <f t="shared" si="104"/>
        <v>150309.35</v>
      </c>
      <c r="L832" s="5">
        <f t="shared" si="105"/>
        <v>150558.75</v>
      </c>
      <c r="M832" s="5">
        <f t="shared" si="106"/>
        <v>-249.39999999999418</v>
      </c>
      <c r="N832" s="3"/>
    </row>
    <row r="833" spans="1:14" x14ac:dyDescent="0.25">
      <c r="A833" s="2">
        <v>1220210</v>
      </c>
      <c r="B833" s="3">
        <v>36437.5</v>
      </c>
      <c r="C833" s="3">
        <v>40010</v>
      </c>
      <c r="D833" s="3">
        <v>37837.5</v>
      </c>
      <c r="E833" s="3">
        <v>37187.5</v>
      </c>
      <c r="F833">
        <f t="shared" si="99"/>
        <v>1220210</v>
      </c>
      <c r="G833" s="3">
        <f t="shared" si="100"/>
        <v>36437.5</v>
      </c>
      <c r="H833" s="3">
        <f t="shared" si="101"/>
        <v>40010</v>
      </c>
      <c r="I833" s="3">
        <f t="shared" si="102"/>
        <v>37837.5</v>
      </c>
      <c r="J833" s="3">
        <f t="shared" si="103"/>
        <v>37187.5</v>
      </c>
      <c r="K833" s="5">
        <f t="shared" si="104"/>
        <v>151472.5</v>
      </c>
      <c r="L833" s="5">
        <f t="shared" si="105"/>
        <v>151472.5</v>
      </c>
      <c r="M833" s="5">
        <f t="shared" si="106"/>
        <v>0</v>
      </c>
      <c r="N833" s="3"/>
    </row>
    <row r="834" spans="1:14" x14ac:dyDescent="0.25">
      <c r="A834" s="2">
        <v>1220211</v>
      </c>
      <c r="B834" s="3">
        <v>36293.75</v>
      </c>
      <c r="C834" s="3">
        <v>40250</v>
      </c>
      <c r="D834" s="3">
        <v>38268.75</v>
      </c>
      <c r="E834" s="3">
        <v>40390.6</v>
      </c>
      <c r="F834">
        <f t="shared" si="99"/>
        <v>1220211</v>
      </c>
      <c r="G834" s="3">
        <f t="shared" si="100"/>
        <v>36293.75</v>
      </c>
      <c r="H834" s="3">
        <f t="shared" si="101"/>
        <v>40250</v>
      </c>
      <c r="I834" s="3">
        <f t="shared" si="102"/>
        <v>38268.75</v>
      </c>
      <c r="J834" s="3">
        <f t="shared" si="103"/>
        <v>40390.6</v>
      </c>
      <c r="K834" s="5">
        <f t="shared" si="104"/>
        <v>155203.1</v>
      </c>
      <c r="L834" s="5">
        <f t="shared" si="105"/>
        <v>155203.1</v>
      </c>
      <c r="M834" s="5">
        <f t="shared" si="106"/>
        <v>0</v>
      </c>
      <c r="N834" s="3"/>
    </row>
    <row r="835" spans="1:14" x14ac:dyDescent="0.25">
      <c r="A835" s="2">
        <v>1220213</v>
      </c>
      <c r="B835" s="3">
        <v>37425</v>
      </c>
      <c r="C835" s="3">
        <v>43090</v>
      </c>
      <c r="D835" s="3">
        <v>38350</v>
      </c>
      <c r="E835" s="3">
        <v>32421.9</v>
      </c>
      <c r="F835">
        <f t="shared" si="99"/>
        <v>1220213</v>
      </c>
      <c r="G835" s="3">
        <f t="shared" si="100"/>
        <v>37425</v>
      </c>
      <c r="H835" s="3">
        <f t="shared" si="101"/>
        <v>43090</v>
      </c>
      <c r="I835" s="3">
        <f t="shared" si="102"/>
        <v>38350</v>
      </c>
      <c r="J835" s="3">
        <f t="shared" si="103"/>
        <v>32421.9</v>
      </c>
      <c r="K835" s="5">
        <f t="shared" si="104"/>
        <v>151286.9</v>
      </c>
      <c r="L835" s="5">
        <f t="shared" si="105"/>
        <v>155203.1</v>
      </c>
      <c r="M835" s="5">
        <f t="shared" si="106"/>
        <v>-3916.2000000000116</v>
      </c>
      <c r="N835" s="3"/>
    </row>
    <row r="836" spans="1:14" x14ac:dyDescent="0.25">
      <c r="A836" s="2">
        <v>1220214</v>
      </c>
      <c r="B836" s="3">
        <v>37425</v>
      </c>
      <c r="C836" s="3">
        <v>42270</v>
      </c>
      <c r="D836" s="3">
        <v>38493.75</v>
      </c>
      <c r="E836" s="3">
        <v>32031.25</v>
      </c>
      <c r="F836">
        <f t="shared" si="99"/>
        <v>1220214</v>
      </c>
      <c r="G836" s="3">
        <f t="shared" si="100"/>
        <v>37425</v>
      </c>
      <c r="H836" s="3">
        <f t="shared" si="101"/>
        <v>42270</v>
      </c>
      <c r="I836" s="3">
        <f t="shared" si="102"/>
        <v>38493.75</v>
      </c>
      <c r="J836" s="3">
        <f t="shared" si="103"/>
        <v>32031.25</v>
      </c>
      <c r="K836" s="5">
        <f t="shared" si="104"/>
        <v>150220</v>
      </c>
      <c r="L836" s="5">
        <f t="shared" si="105"/>
        <v>151286.9</v>
      </c>
      <c r="M836" s="5">
        <f t="shared" si="106"/>
        <v>-1066.8999999999942</v>
      </c>
      <c r="N836" s="3"/>
    </row>
    <row r="837" spans="1:14" x14ac:dyDescent="0.25">
      <c r="A837" s="2">
        <v>1220215</v>
      </c>
      <c r="B837" s="3">
        <v>37425</v>
      </c>
      <c r="C837" s="3">
        <v>44720</v>
      </c>
      <c r="D837" s="3">
        <v>38456.25</v>
      </c>
      <c r="E837" s="3">
        <v>33359.4</v>
      </c>
      <c r="F837">
        <f t="shared" si="99"/>
        <v>1220215</v>
      </c>
      <c r="G837" s="3">
        <f t="shared" si="100"/>
        <v>37425</v>
      </c>
      <c r="H837" s="3">
        <f t="shared" si="101"/>
        <v>44720</v>
      </c>
      <c r="I837" s="3">
        <f t="shared" si="102"/>
        <v>38456.25</v>
      </c>
      <c r="J837" s="3">
        <f t="shared" si="103"/>
        <v>33359.4</v>
      </c>
      <c r="K837" s="5">
        <f t="shared" si="104"/>
        <v>153960.65</v>
      </c>
      <c r="L837" s="5">
        <f t="shared" si="105"/>
        <v>153960.65</v>
      </c>
      <c r="M837" s="5">
        <f t="shared" si="106"/>
        <v>0</v>
      </c>
      <c r="N837" s="3"/>
    </row>
    <row r="838" spans="1:14" x14ac:dyDescent="0.25">
      <c r="A838" s="2">
        <v>1220216</v>
      </c>
      <c r="B838" s="3">
        <v>37425</v>
      </c>
      <c r="C838" s="3">
        <v>43020</v>
      </c>
      <c r="D838" s="3">
        <v>38806.25</v>
      </c>
      <c r="E838" s="3">
        <v>35078.1</v>
      </c>
      <c r="F838">
        <f t="shared" si="99"/>
        <v>1220216</v>
      </c>
      <c r="G838" s="3">
        <f t="shared" si="100"/>
        <v>37425</v>
      </c>
      <c r="H838" s="3">
        <f t="shared" si="101"/>
        <v>43020</v>
      </c>
      <c r="I838" s="3">
        <f t="shared" si="102"/>
        <v>38806.25</v>
      </c>
      <c r="J838" s="3">
        <f t="shared" si="103"/>
        <v>35078.1</v>
      </c>
      <c r="K838" s="5">
        <f t="shared" si="104"/>
        <v>154329.35</v>
      </c>
      <c r="L838" s="5">
        <f t="shared" si="105"/>
        <v>154329.35</v>
      </c>
      <c r="M838" s="5">
        <f t="shared" si="106"/>
        <v>0</v>
      </c>
      <c r="N838" s="3"/>
    </row>
    <row r="839" spans="1:14" x14ac:dyDescent="0.25">
      <c r="A839" s="2">
        <v>1220217</v>
      </c>
      <c r="B839" s="3">
        <v>36850</v>
      </c>
      <c r="C839" s="3">
        <v>43100</v>
      </c>
      <c r="D839" s="3">
        <v>39075</v>
      </c>
      <c r="E839" s="3">
        <v>35937.5</v>
      </c>
      <c r="F839">
        <f t="shared" si="99"/>
        <v>1220217</v>
      </c>
      <c r="G839" s="3">
        <f t="shared" si="100"/>
        <v>36850</v>
      </c>
      <c r="H839" s="3">
        <f t="shared" si="101"/>
        <v>43100</v>
      </c>
      <c r="I839" s="3">
        <f t="shared" si="102"/>
        <v>39075</v>
      </c>
      <c r="J839" s="3">
        <f t="shared" si="103"/>
        <v>35937.5</v>
      </c>
      <c r="K839" s="5">
        <f t="shared" si="104"/>
        <v>154962.5</v>
      </c>
      <c r="L839" s="5">
        <f t="shared" si="105"/>
        <v>154962.5</v>
      </c>
      <c r="M839" s="5">
        <f t="shared" si="106"/>
        <v>0</v>
      </c>
      <c r="N839" s="3"/>
    </row>
    <row r="840" spans="1:14" x14ac:dyDescent="0.25">
      <c r="A840" s="2">
        <v>1220218</v>
      </c>
      <c r="B840" s="3">
        <v>37906.25</v>
      </c>
      <c r="C840" s="3">
        <v>45030</v>
      </c>
      <c r="D840" s="3">
        <v>39093.75</v>
      </c>
      <c r="E840" s="3">
        <v>36484.400000000001</v>
      </c>
      <c r="F840">
        <f t="shared" si="99"/>
        <v>1220218</v>
      </c>
      <c r="G840" s="3">
        <f t="shared" si="100"/>
        <v>37906.25</v>
      </c>
      <c r="H840" s="3">
        <f t="shared" si="101"/>
        <v>45030</v>
      </c>
      <c r="I840" s="3">
        <f t="shared" si="102"/>
        <v>39093.75</v>
      </c>
      <c r="J840" s="3">
        <f t="shared" si="103"/>
        <v>36484.400000000001</v>
      </c>
      <c r="K840" s="5">
        <f t="shared" si="104"/>
        <v>158514.4</v>
      </c>
      <c r="L840" s="5">
        <f t="shared" si="105"/>
        <v>158514.4</v>
      </c>
      <c r="M840" s="5">
        <f t="shared" si="106"/>
        <v>0</v>
      </c>
      <c r="N840" s="3"/>
    </row>
    <row r="841" spans="1:14" x14ac:dyDescent="0.25">
      <c r="A841" s="2">
        <v>1220220</v>
      </c>
      <c r="B841" s="3">
        <v>38700</v>
      </c>
      <c r="C841" s="3">
        <v>45330</v>
      </c>
      <c r="D841" s="3">
        <v>39325</v>
      </c>
      <c r="E841" s="3">
        <v>38828.1</v>
      </c>
      <c r="F841">
        <f t="shared" si="99"/>
        <v>1220220</v>
      </c>
      <c r="G841" s="3">
        <f t="shared" si="100"/>
        <v>38700</v>
      </c>
      <c r="H841" s="3">
        <f t="shared" si="101"/>
        <v>45330</v>
      </c>
      <c r="I841" s="3">
        <f t="shared" si="102"/>
        <v>39325</v>
      </c>
      <c r="J841" s="3">
        <f t="shared" si="103"/>
        <v>38828.1</v>
      </c>
      <c r="K841" s="5">
        <f t="shared" si="104"/>
        <v>162183.1</v>
      </c>
      <c r="L841" s="5">
        <f t="shared" si="105"/>
        <v>162183.1</v>
      </c>
      <c r="M841" s="5">
        <f t="shared" si="106"/>
        <v>0</v>
      </c>
      <c r="N841" s="3"/>
    </row>
    <row r="842" spans="1:14" x14ac:dyDescent="0.25">
      <c r="A842" s="2">
        <v>1220221</v>
      </c>
      <c r="B842" s="3">
        <v>38700</v>
      </c>
      <c r="C842" s="3">
        <v>44000</v>
      </c>
      <c r="D842" s="3">
        <v>39318.75</v>
      </c>
      <c r="E842" s="3">
        <v>37734.400000000001</v>
      </c>
      <c r="F842">
        <f t="shared" si="99"/>
        <v>1220221</v>
      </c>
      <c r="G842" s="3">
        <f t="shared" si="100"/>
        <v>38700</v>
      </c>
      <c r="H842" s="3">
        <f t="shared" si="101"/>
        <v>44000</v>
      </c>
      <c r="I842" s="3">
        <f t="shared" si="102"/>
        <v>39318.75</v>
      </c>
      <c r="J842" s="3">
        <f t="shared" si="103"/>
        <v>37734.400000000001</v>
      </c>
      <c r="K842" s="5">
        <f t="shared" si="104"/>
        <v>159753.15</v>
      </c>
      <c r="L842" s="5">
        <f t="shared" si="105"/>
        <v>162183.1</v>
      </c>
      <c r="M842" s="5">
        <f t="shared" si="106"/>
        <v>-2429.9500000000116</v>
      </c>
      <c r="N842" s="3"/>
    </row>
    <row r="843" spans="1:14" x14ac:dyDescent="0.25">
      <c r="A843" s="2">
        <v>1220222</v>
      </c>
      <c r="B843" s="3">
        <v>39181.25</v>
      </c>
      <c r="C843" s="3">
        <v>44330</v>
      </c>
      <c r="D843" s="3">
        <v>39550</v>
      </c>
      <c r="E843" s="3">
        <v>40390.6</v>
      </c>
      <c r="F843">
        <f t="shared" si="99"/>
        <v>1220222</v>
      </c>
      <c r="G843" s="3">
        <f t="shared" si="100"/>
        <v>39181.25</v>
      </c>
      <c r="H843" s="3">
        <f t="shared" si="101"/>
        <v>44330</v>
      </c>
      <c r="I843" s="3">
        <f t="shared" si="102"/>
        <v>39550</v>
      </c>
      <c r="J843" s="3">
        <f t="shared" si="103"/>
        <v>40390.6</v>
      </c>
      <c r="K843" s="5">
        <f t="shared" si="104"/>
        <v>163451.85</v>
      </c>
      <c r="L843" s="5">
        <f t="shared" si="105"/>
        <v>163451.85</v>
      </c>
      <c r="M843" s="5">
        <f t="shared" si="106"/>
        <v>0</v>
      </c>
      <c r="N843" s="3"/>
    </row>
    <row r="844" spans="1:14" x14ac:dyDescent="0.25">
      <c r="A844" s="2">
        <v>1220223</v>
      </c>
      <c r="B844" s="3">
        <v>36393.75</v>
      </c>
      <c r="C844" s="3">
        <v>44140</v>
      </c>
      <c r="D844" s="3">
        <v>39150</v>
      </c>
      <c r="E844" s="3">
        <v>36093.75</v>
      </c>
      <c r="F844">
        <f t="shared" si="99"/>
        <v>1220223</v>
      </c>
      <c r="G844" s="3">
        <f t="shared" si="100"/>
        <v>36393.75</v>
      </c>
      <c r="H844" s="3">
        <f t="shared" si="101"/>
        <v>44140</v>
      </c>
      <c r="I844" s="3">
        <f t="shared" si="102"/>
        <v>39150</v>
      </c>
      <c r="J844" s="3">
        <f t="shared" si="103"/>
        <v>36093.75</v>
      </c>
      <c r="K844" s="5">
        <f t="shared" si="104"/>
        <v>155777.5</v>
      </c>
      <c r="L844" s="5">
        <f t="shared" si="105"/>
        <v>163451.85</v>
      </c>
      <c r="M844" s="5">
        <f t="shared" si="106"/>
        <v>-7674.3500000000058</v>
      </c>
      <c r="N844" s="3"/>
    </row>
    <row r="845" spans="1:14" x14ac:dyDescent="0.25">
      <c r="A845" s="2">
        <v>1220224</v>
      </c>
      <c r="B845" s="3">
        <v>40550</v>
      </c>
      <c r="C845" s="3">
        <v>47930</v>
      </c>
      <c r="D845" s="3">
        <v>39187.5</v>
      </c>
      <c r="E845" s="3">
        <v>32812.5</v>
      </c>
      <c r="F845">
        <f t="shared" si="99"/>
        <v>1220224</v>
      </c>
      <c r="G845" s="3">
        <f t="shared" si="100"/>
        <v>40550</v>
      </c>
      <c r="H845" s="3">
        <f t="shared" si="101"/>
        <v>47930</v>
      </c>
      <c r="I845" s="3">
        <f t="shared" si="102"/>
        <v>39187.5</v>
      </c>
      <c r="J845" s="3">
        <f t="shared" si="103"/>
        <v>32812.5</v>
      </c>
      <c r="K845" s="5">
        <f t="shared" si="104"/>
        <v>160480</v>
      </c>
      <c r="L845" s="5">
        <f t="shared" si="105"/>
        <v>160480</v>
      </c>
      <c r="M845" s="5">
        <f t="shared" si="106"/>
        <v>0</v>
      </c>
      <c r="N845" s="3"/>
    </row>
    <row r="846" spans="1:14" x14ac:dyDescent="0.25">
      <c r="A846" s="2">
        <v>1220225</v>
      </c>
      <c r="B846" s="3">
        <v>41062.5</v>
      </c>
      <c r="C846" s="3">
        <v>47770</v>
      </c>
      <c r="D846" s="3">
        <v>39275</v>
      </c>
      <c r="E846" s="3">
        <v>36484.400000000001</v>
      </c>
      <c r="F846">
        <f t="shared" si="99"/>
        <v>1220225</v>
      </c>
      <c r="G846" s="3">
        <f t="shared" si="100"/>
        <v>41062.5</v>
      </c>
      <c r="H846" s="3">
        <f t="shared" si="101"/>
        <v>47770</v>
      </c>
      <c r="I846" s="3">
        <f t="shared" si="102"/>
        <v>39275</v>
      </c>
      <c r="J846" s="3">
        <f t="shared" si="103"/>
        <v>36484.400000000001</v>
      </c>
      <c r="K846" s="5">
        <f t="shared" si="104"/>
        <v>164591.9</v>
      </c>
      <c r="L846" s="5">
        <f t="shared" si="105"/>
        <v>164591.9</v>
      </c>
      <c r="M846" s="5">
        <f t="shared" si="106"/>
        <v>0</v>
      </c>
      <c r="N846" s="3"/>
    </row>
    <row r="847" spans="1:14" x14ac:dyDescent="0.25">
      <c r="A847" s="2">
        <v>1220227</v>
      </c>
      <c r="B847" s="3">
        <v>41756.25</v>
      </c>
      <c r="C847" s="3">
        <v>47580</v>
      </c>
      <c r="D847" s="3">
        <v>39650</v>
      </c>
      <c r="E847" s="3">
        <v>33593.75</v>
      </c>
      <c r="F847">
        <f t="shared" si="99"/>
        <v>1220227</v>
      </c>
      <c r="G847" s="3">
        <f t="shared" si="100"/>
        <v>41756.25</v>
      </c>
      <c r="H847" s="3">
        <f t="shared" si="101"/>
        <v>47580</v>
      </c>
      <c r="I847" s="3">
        <f t="shared" si="102"/>
        <v>39650</v>
      </c>
      <c r="J847" s="3">
        <f t="shared" si="103"/>
        <v>33593.75</v>
      </c>
      <c r="K847" s="5">
        <f t="shared" si="104"/>
        <v>162580</v>
      </c>
      <c r="L847" s="5">
        <f t="shared" si="105"/>
        <v>164591.9</v>
      </c>
      <c r="M847" s="5">
        <f t="shared" si="106"/>
        <v>-2011.8999999999942</v>
      </c>
      <c r="N847" s="3"/>
    </row>
    <row r="848" spans="1:14" x14ac:dyDescent="0.25">
      <c r="A848" s="2">
        <v>1220228</v>
      </c>
      <c r="B848" s="3">
        <v>41793.75</v>
      </c>
      <c r="C848" s="3">
        <v>47470</v>
      </c>
      <c r="D848" s="3">
        <v>39600</v>
      </c>
      <c r="E848" s="3">
        <v>33593.75</v>
      </c>
      <c r="F848">
        <f t="shared" si="99"/>
        <v>1220228</v>
      </c>
      <c r="G848" s="3">
        <f t="shared" si="100"/>
        <v>41793.75</v>
      </c>
      <c r="H848" s="3">
        <f t="shared" si="101"/>
        <v>47470</v>
      </c>
      <c r="I848" s="3">
        <f t="shared" si="102"/>
        <v>39600</v>
      </c>
      <c r="J848" s="3">
        <f t="shared" si="103"/>
        <v>33593.75</v>
      </c>
      <c r="K848" s="5">
        <f t="shared" si="104"/>
        <v>162457.5</v>
      </c>
      <c r="L848" s="5">
        <f t="shared" si="105"/>
        <v>162580</v>
      </c>
      <c r="M848" s="5">
        <f t="shared" si="106"/>
        <v>-122.5</v>
      </c>
      <c r="N848" s="3"/>
    </row>
    <row r="849" spans="1:14" x14ac:dyDescent="0.25">
      <c r="A849" s="2">
        <v>1220301</v>
      </c>
      <c r="B849" s="3">
        <v>42937.5</v>
      </c>
      <c r="C849" s="3">
        <v>47320</v>
      </c>
      <c r="D849" s="3">
        <v>39881.25</v>
      </c>
      <c r="E849" s="3">
        <v>34140.6</v>
      </c>
      <c r="F849">
        <f t="shared" si="99"/>
        <v>1220301</v>
      </c>
      <c r="G849" s="3">
        <f t="shared" si="100"/>
        <v>42937.5</v>
      </c>
      <c r="H849" s="3">
        <f t="shared" si="101"/>
        <v>47320</v>
      </c>
      <c r="I849" s="3">
        <f t="shared" si="102"/>
        <v>39881.25</v>
      </c>
      <c r="J849" s="3">
        <f t="shared" si="103"/>
        <v>34140.6</v>
      </c>
      <c r="K849" s="5">
        <f t="shared" si="104"/>
        <v>164279.35</v>
      </c>
      <c r="L849" s="5">
        <f t="shared" si="105"/>
        <v>164279.35</v>
      </c>
      <c r="M849" s="5">
        <f t="shared" si="106"/>
        <v>0</v>
      </c>
      <c r="N849" s="3"/>
    </row>
    <row r="850" spans="1:14" x14ac:dyDescent="0.25">
      <c r="A850" s="2">
        <v>1220302</v>
      </c>
      <c r="B850" s="3">
        <v>43025</v>
      </c>
      <c r="C850" s="3">
        <v>48490</v>
      </c>
      <c r="D850" s="3">
        <v>39856.25</v>
      </c>
      <c r="E850" s="3">
        <v>40781.25</v>
      </c>
      <c r="F850">
        <f t="shared" si="99"/>
        <v>1220302</v>
      </c>
      <c r="G850" s="3">
        <f t="shared" si="100"/>
        <v>43025</v>
      </c>
      <c r="H850" s="3">
        <f t="shared" si="101"/>
        <v>48490</v>
      </c>
      <c r="I850" s="3">
        <f t="shared" si="102"/>
        <v>39856.25</v>
      </c>
      <c r="J850" s="3">
        <f t="shared" si="103"/>
        <v>40781.25</v>
      </c>
      <c r="K850" s="5">
        <f t="shared" si="104"/>
        <v>172152.5</v>
      </c>
      <c r="L850" s="5">
        <f t="shared" si="105"/>
        <v>172152.5</v>
      </c>
      <c r="M850" s="5">
        <f t="shared" si="106"/>
        <v>0</v>
      </c>
      <c r="N850" s="3"/>
    </row>
    <row r="851" spans="1:14" x14ac:dyDescent="0.25">
      <c r="A851" s="2">
        <v>1220303</v>
      </c>
      <c r="B851" s="3">
        <v>43125</v>
      </c>
      <c r="C851" s="3">
        <v>49350</v>
      </c>
      <c r="D851" s="3">
        <v>40425</v>
      </c>
      <c r="E851" s="3">
        <v>42109.399999999994</v>
      </c>
      <c r="F851">
        <f t="shared" si="99"/>
        <v>1220303</v>
      </c>
      <c r="G851" s="3">
        <f t="shared" si="100"/>
        <v>43125</v>
      </c>
      <c r="H851" s="3">
        <f t="shared" si="101"/>
        <v>49350</v>
      </c>
      <c r="I851" s="3">
        <f t="shared" si="102"/>
        <v>40425</v>
      </c>
      <c r="J851" s="3">
        <f t="shared" si="103"/>
        <v>42109.399999999994</v>
      </c>
      <c r="K851" s="5">
        <f t="shared" si="104"/>
        <v>175009.4</v>
      </c>
      <c r="L851" s="5">
        <f t="shared" si="105"/>
        <v>175009.4</v>
      </c>
      <c r="M851" s="5">
        <f t="shared" si="106"/>
        <v>0</v>
      </c>
      <c r="N851" s="3"/>
    </row>
    <row r="852" spans="1:14" x14ac:dyDescent="0.25">
      <c r="A852" s="2">
        <v>1220304</v>
      </c>
      <c r="B852" s="3">
        <v>43387.5</v>
      </c>
      <c r="C852" s="3">
        <v>48610</v>
      </c>
      <c r="D852" s="3">
        <v>40618.75</v>
      </c>
      <c r="E852" s="3">
        <v>43046.899999999994</v>
      </c>
      <c r="F852">
        <f t="shared" si="99"/>
        <v>1220304</v>
      </c>
      <c r="G852" s="3">
        <f t="shared" si="100"/>
        <v>43387.5</v>
      </c>
      <c r="H852" s="3">
        <f t="shared" si="101"/>
        <v>48610</v>
      </c>
      <c r="I852" s="3">
        <f t="shared" si="102"/>
        <v>40618.75</v>
      </c>
      <c r="J852" s="3">
        <f t="shared" si="103"/>
        <v>43046.899999999994</v>
      </c>
      <c r="K852" s="5">
        <f t="shared" si="104"/>
        <v>175663.15</v>
      </c>
      <c r="L852" s="5">
        <f t="shared" si="105"/>
        <v>175663.15</v>
      </c>
      <c r="M852" s="5">
        <f t="shared" si="106"/>
        <v>0</v>
      </c>
      <c r="N852" s="3"/>
    </row>
    <row r="853" spans="1:14" x14ac:dyDescent="0.25">
      <c r="A853" s="2">
        <v>1220306</v>
      </c>
      <c r="B853" s="3">
        <v>45075</v>
      </c>
      <c r="C853" s="3">
        <v>53660</v>
      </c>
      <c r="D853" s="3">
        <v>40768.75</v>
      </c>
      <c r="E853" s="3">
        <v>47968.75</v>
      </c>
      <c r="F853">
        <f t="shared" si="99"/>
        <v>1220306</v>
      </c>
      <c r="G853" s="3">
        <f t="shared" si="100"/>
        <v>45075</v>
      </c>
      <c r="H853" s="3">
        <f t="shared" si="101"/>
        <v>53660</v>
      </c>
      <c r="I853" s="3">
        <f t="shared" si="102"/>
        <v>40768.75</v>
      </c>
      <c r="J853" s="3">
        <f t="shared" si="103"/>
        <v>47968.75</v>
      </c>
      <c r="K853" s="5">
        <f t="shared" si="104"/>
        <v>187472.5</v>
      </c>
      <c r="L853" s="5">
        <f t="shared" si="105"/>
        <v>187472.5</v>
      </c>
      <c r="M853" s="5">
        <f t="shared" si="106"/>
        <v>0</v>
      </c>
      <c r="N853" s="3"/>
    </row>
    <row r="854" spans="1:14" x14ac:dyDescent="0.25">
      <c r="A854" s="2">
        <v>1220307</v>
      </c>
      <c r="B854" s="3">
        <v>45025</v>
      </c>
      <c r="C854" s="3">
        <v>53880</v>
      </c>
      <c r="D854" s="3">
        <v>40762.5</v>
      </c>
      <c r="E854" s="3">
        <v>46875</v>
      </c>
      <c r="F854">
        <f t="shared" si="99"/>
        <v>1220307</v>
      </c>
      <c r="G854" s="3">
        <f t="shared" si="100"/>
        <v>45025</v>
      </c>
      <c r="H854" s="3">
        <f t="shared" si="101"/>
        <v>53880</v>
      </c>
      <c r="I854" s="3">
        <f t="shared" si="102"/>
        <v>40762.5</v>
      </c>
      <c r="J854" s="3">
        <f t="shared" si="103"/>
        <v>46875</v>
      </c>
      <c r="K854" s="5">
        <f t="shared" si="104"/>
        <v>186542.5</v>
      </c>
      <c r="L854" s="5">
        <f t="shared" si="105"/>
        <v>187472.5</v>
      </c>
      <c r="M854" s="5">
        <f t="shared" si="106"/>
        <v>-930</v>
      </c>
      <c r="N854" s="3"/>
    </row>
    <row r="855" spans="1:14" x14ac:dyDescent="0.25">
      <c r="A855" s="2">
        <v>1220308</v>
      </c>
      <c r="B855" s="3">
        <v>47568.75</v>
      </c>
      <c r="C855" s="3">
        <v>51230</v>
      </c>
      <c r="D855" s="3">
        <v>40943.75</v>
      </c>
      <c r="E855" s="3">
        <v>47500</v>
      </c>
      <c r="F855">
        <f t="shared" si="99"/>
        <v>1220308</v>
      </c>
      <c r="G855" s="3">
        <f t="shared" si="100"/>
        <v>47568.75</v>
      </c>
      <c r="H855" s="3">
        <f t="shared" si="101"/>
        <v>51230</v>
      </c>
      <c r="I855" s="3">
        <f t="shared" si="102"/>
        <v>40943.75</v>
      </c>
      <c r="J855" s="3">
        <f t="shared" si="103"/>
        <v>47500</v>
      </c>
      <c r="K855" s="5">
        <f t="shared" si="104"/>
        <v>187242.5</v>
      </c>
      <c r="L855" s="5">
        <f t="shared" si="105"/>
        <v>187242.5</v>
      </c>
      <c r="M855" s="5">
        <f t="shared" si="106"/>
        <v>0</v>
      </c>
      <c r="N855" s="3"/>
    </row>
    <row r="856" spans="1:14" x14ac:dyDescent="0.25">
      <c r="A856" s="2">
        <v>1220309</v>
      </c>
      <c r="B856" s="3">
        <v>44575</v>
      </c>
      <c r="C856" s="3">
        <v>46180</v>
      </c>
      <c r="D856" s="3">
        <v>41218.75</v>
      </c>
      <c r="E856" s="3">
        <v>50000</v>
      </c>
      <c r="F856">
        <f t="shared" si="99"/>
        <v>1220309</v>
      </c>
      <c r="G856" s="3">
        <f t="shared" si="100"/>
        <v>44575</v>
      </c>
      <c r="H856" s="3">
        <f t="shared" si="101"/>
        <v>46180</v>
      </c>
      <c r="I856" s="3">
        <f t="shared" si="102"/>
        <v>41218.75</v>
      </c>
      <c r="J856" s="3">
        <f t="shared" si="103"/>
        <v>50000</v>
      </c>
      <c r="K856" s="5">
        <f t="shared" si="104"/>
        <v>181973.75</v>
      </c>
      <c r="L856" s="5">
        <f t="shared" si="105"/>
        <v>187242.5</v>
      </c>
      <c r="M856" s="5">
        <f t="shared" si="106"/>
        <v>-5268.75</v>
      </c>
      <c r="N856" s="3"/>
    </row>
    <row r="857" spans="1:14" x14ac:dyDescent="0.25">
      <c r="A857" s="2">
        <v>1220310</v>
      </c>
      <c r="B857" s="3">
        <v>46900</v>
      </c>
      <c r="C857" s="3">
        <v>52430</v>
      </c>
      <c r="D857" s="3">
        <v>41118.75</v>
      </c>
      <c r="E857" s="3">
        <v>53593.75</v>
      </c>
      <c r="F857">
        <f t="shared" ref="F857:F920" si="107">+A857</f>
        <v>1220310</v>
      </c>
      <c r="G857" s="3">
        <f t="shared" si="100"/>
        <v>46900</v>
      </c>
      <c r="H857" s="3">
        <f t="shared" si="101"/>
        <v>52430</v>
      </c>
      <c r="I857" s="3">
        <f t="shared" si="102"/>
        <v>41118.75</v>
      </c>
      <c r="J857" s="3">
        <f t="shared" si="103"/>
        <v>53593.75</v>
      </c>
      <c r="K857" s="5">
        <f t="shared" si="104"/>
        <v>194042.5</v>
      </c>
      <c r="L857" s="5">
        <f t="shared" si="105"/>
        <v>194042.5</v>
      </c>
      <c r="M857" s="5">
        <f t="shared" si="106"/>
        <v>0</v>
      </c>
      <c r="N857" s="3"/>
    </row>
    <row r="858" spans="1:14" x14ac:dyDescent="0.25">
      <c r="A858" s="2">
        <v>1220311</v>
      </c>
      <c r="B858" s="3">
        <v>44737.5</v>
      </c>
      <c r="C858" s="3">
        <v>51110</v>
      </c>
      <c r="D858" s="3">
        <v>41681.25</v>
      </c>
      <c r="E858" s="3">
        <v>55390.600000000006</v>
      </c>
      <c r="F858">
        <f t="shared" si="107"/>
        <v>1220311</v>
      </c>
      <c r="G858" s="3">
        <f t="shared" ref="G858:G921" si="108">+IF(B858&lt;&gt;0,B858,B857)</f>
        <v>44737.5</v>
      </c>
      <c r="H858" s="3">
        <f t="shared" ref="H858:H921" si="109">+IF(C858&lt;&gt;0,C858,C857)</f>
        <v>51110</v>
      </c>
      <c r="I858" s="3">
        <f t="shared" ref="I858:I921" si="110">+IF(D858&lt;&gt;0,D858,D857)</f>
        <v>41681.25</v>
      </c>
      <c r="J858" s="3">
        <f t="shared" ref="J858:J921" si="111">+IF(E858&lt;&gt;0,E858,E857)</f>
        <v>55390.600000000006</v>
      </c>
      <c r="K858" s="5">
        <f t="shared" ref="K858:K921" si="112">+SUM(G858:J858)</f>
        <v>192919.35</v>
      </c>
      <c r="L858" s="5">
        <f t="shared" si="105"/>
        <v>194042.5</v>
      </c>
      <c r="M858" s="5">
        <f t="shared" si="106"/>
        <v>-1123.1499999999942</v>
      </c>
      <c r="N858" s="3"/>
    </row>
    <row r="859" spans="1:14" x14ac:dyDescent="0.25">
      <c r="A859" s="2">
        <v>1220313</v>
      </c>
      <c r="B859" s="3">
        <v>45068.75</v>
      </c>
      <c r="C859" s="3">
        <v>50620</v>
      </c>
      <c r="D859" s="3">
        <v>42437.5</v>
      </c>
      <c r="E859" s="3">
        <v>57734.399999999994</v>
      </c>
      <c r="F859">
        <f t="shared" si="107"/>
        <v>1220313</v>
      </c>
      <c r="G859" s="3">
        <f t="shared" si="108"/>
        <v>45068.75</v>
      </c>
      <c r="H859" s="3">
        <f t="shared" si="109"/>
        <v>50620</v>
      </c>
      <c r="I859" s="3">
        <f t="shared" si="110"/>
        <v>42437.5</v>
      </c>
      <c r="J859" s="3">
        <f t="shared" si="111"/>
        <v>57734.399999999994</v>
      </c>
      <c r="K859" s="5">
        <f t="shared" si="112"/>
        <v>195860.65</v>
      </c>
      <c r="L859" s="5">
        <f t="shared" ref="L859:L922" si="113">+IF(K859&gt;K858,K859,K858)</f>
        <v>195860.65</v>
      </c>
      <c r="M859" s="5">
        <f t="shared" ref="M859:M922" si="114">+K859-L859</f>
        <v>0</v>
      </c>
      <c r="N859" s="3"/>
    </row>
    <row r="860" spans="1:14" x14ac:dyDescent="0.25">
      <c r="A860" s="2">
        <v>1220314</v>
      </c>
      <c r="B860" s="3">
        <v>45093.75</v>
      </c>
      <c r="C860" s="3">
        <v>51040</v>
      </c>
      <c r="D860" s="3">
        <v>42550</v>
      </c>
      <c r="E860" s="3">
        <v>58906.25</v>
      </c>
      <c r="F860">
        <f t="shared" si="107"/>
        <v>1220314</v>
      </c>
      <c r="G860" s="3">
        <f t="shared" si="108"/>
        <v>45093.75</v>
      </c>
      <c r="H860" s="3">
        <f t="shared" si="109"/>
        <v>51040</v>
      </c>
      <c r="I860" s="3">
        <f t="shared" si="110"/>
        <v>42550</v>
      </c>
      <c r="J860" s="3">
        <f t="shared" si="111"/>
        <v>58906.25</v>
      </c>
      <c r="K860" s="5">
        <f t="shared" si="112"/>
        <v>197590</v>
      </c>
      <c r="L860" s="5">
        <f t="shared" si="113"/>
        <v>197590</v>
      </c>
      <c r="M860" s="5">
        <f t="shared" si="114"/>
        <v>0</v>
      </c>
      <c r="N860" s="3"/>
    </row>
    <row r="861" spans="1:14" x14ac:dyDescent="0.25">
      <c r="A861" s="2">
        <v>1220315</v>
      </c>
      <c r="B861" s="3">
        <v>46362.5</v>
      </c>
      <c r="C861" s="3">
        <v>54580</v>
      </c>
      <c r="D861" s="3">
        <v>43212.5</v>
      </c>
      <c r="E861" s="3">
        <v>61250</v>
      </c>
      <c r="F861">
        <f t="shared" si="107"/>
        <v>1220315</v>
      </c>
      <c r="G861" s="3">
        <f t="shared" si="108"/>
        <v>46362.5</v>
      </c>
      <c r="H861" s="3">
        <f t="shared" si="109"/>
        <v>54580</v>
      </c>
      <c r="I861" s="3">
        <f t="shared" si="110"/>
        <v>43212.5</v>
      </c>
      <c r="J861" s="3">
        <f t="shared" si="111"/>
        <v>61250</v>
      </c>
      <c r="K861" s="5">
        <f t="shared" si="112"/>
        <v>205405</v>
      </c>
      <c r="L861" s="5">
        <f t="shared" si="113"/>
        <v>205405</v>
      </c>
      <c r="M861" s="5">
        <f t="shared" si="114"/>
        <v>0</v>
      </c>
      <c r="N861" s="3"/>
    </row>
    <row r="862" spans="1:14" x14ac:dyDescent="0.25">
      <c r="A862" s="2">
        <v>1220316</v>
      </c>
      <c r="B862" s="3">
        <v>47431.25</v>
      </c>
      <c r="C862" s="3">
        <v>56560</v>
      </c>
      <c r="D862" s="3">
        <v>43087.5</v>
      </c>
      <c r="E862" s="3">
        <v>58828.100000000006</v>
      </c>
      <c r="F862">
        <f t="shared" si="107"/>
        <v>1220316</v>
      </c>
      <c r="G862" s="3">
        <f t="shared" si="108"/>
        <v>47431.25</v>
      </c>
      <c r="H862" s="3">
        <f t="shared" si="109"/>
        <v>56560</v>
      </c>
      <c r="I862" s="3">
        <f t="shared" si="110"/>
        <v>43087.5</v>
      </c>
      <c r="J862" s="3">
        <f t="shared" si="111"/>
        <v>58828.100000000006</v>
      </c>
      <c r="K862" s="5">
        <f t="shared" si="112"/>
        <v>205906.85</v>
      </c>
      <c r="L862" s="5">
        <f t="shared" si="113"/>
        <v>205906.85</v>
      </c>
      <c r="M862" s="5">
        <f t="shared" si="114"/>
        <v>0</v>
      </c>
      <c r="N862" s="3"/>
    </row>
    <row r="863" spans="1:14" x14ac:dyDescent="0.25">
      <c r="A863" s="2">
        <v>1220317</v>
      </c>
      <c r="B863" s="3">
        <v>44675</v>
      </c>
      <c r="C863" s="3">
        <v>56720</v>
      </c>
      <c r="D863" s="3">
        <v>43287.5</v>
      </c>
      <c r="E863" s="3">
        <v>58437.5</v>
      </c>
      <c r="F863">
        <f t="shared" si="107"/>
        <v>1220317</v>
      </c>
      <c r="G863" s="3">
        <f t="shared" si="108"/>
        <v>44675</v>
      </c>
      <c r="H863" s="3">
        <f t="shared" si="109"/>
        <v>56720</v>
      </c>
      <c r="I863" s="3">
        <f t="shared" si="110"/>
        <v>43287.5</v>
      </c>
      <c r="J863" s="3">
        <f t="shared" si="111"/>
        <v>58437.5</v>
      </c>
      <c r="K863" s="5">
        <f t="shared" si="112"/>
        <v>203120</v>
      </c>
      <c r="L863" s="5">
        <f t="shared" si="113"/>
        <v>205906.85</v>
      </c>
      <c r="M863" s="5">
        <f t="shared" si="114"/>
        <v>-2786.8500000000058</v>
      </c>
      <c r="N863" s="3"/>
    </row>
    <row r="864" spans="1:14" x14ac:dyDescent="0.25">
      <c r="A864" s="2">
        <v>1220318</v>
      </c>
      <c r="B864" s="3">
        <v>44500</v>
      </c>
      <c r="C864" s="3">
        <v>56540</v>
      </c>
      <c r="D864" s="3">
        <v>42806.25</v>
      </c>
      <c r="E864" s="3">
        <v>57421.899999999994</v>
      </c>
      <c r="F864">
        <f t="shared" si="107"/>
        <v>1220318</v>
      </c>
      <c r="G864" s="3">
        <f t="shared" si="108"/>
        <v>44500</v>
      </c>
      <c r="H864" s="3">
        <f t="shared" si="109"/>
        <v>56540</v>
      </c>
      <c r="I864" s="3">
        <f t="shared" si="110"/>
        <v>42806.25</v>
      </c>
      <c r="J864" s="3">
        <f t="shared" si="111"/>
        <v>57421.899999999994</v>
      </c>
      <c r="K864" s="5">
        <f t="shared" si="112"/>
        <v>201268.15</v>
      </c>
      <c r="L864" s="5">
        <f t="shared" si="113"/>
        <v>203120</v>
      </c>
      <c r="M864" s="5">
        <f t="shared" si="114"/>
        <v>-1851.8500000000058</v>
      </c>
      <c r="N864" s="3"/>
    </row>
    <row r="865" spans="1:14" x14ac:dyDescent="0.25">
      <c r="A865" s="2">
        <v>1220320</v>
      </c>
      <c r="B865" s="3">
        <v>46575</v>
      </c>
      <c r="C865" s="3">
        <v>56590</v>
      </c>
      <c r="D865" s="3">
        <v>42612.5</v>
      </c>
      <c r="E865" s="3">
        <v>56015.600000000006</v>
      </c>
      <c r="F865">
        <f t="shared" si="107"/>
        <v>1220320</v>
      </c>
      <c r="G865" s="3">
        <f t="shared" si="108"/>
        <v>46575</v>
      </c>
      <c r="H865" s="3">
        <f t="shared" si="109"/>
        <v>56590</v>
      </c>
      <c r="I865" s="3">
        <f t="shared" si="110"/>
        <v>42612.5</v>
      </c>
      <c r="J865" s="3">
        <f t="shared" si="111"/>
        <v>56015.600000000006</v>
      </c>
      <c r="K865" s="5">
        <f t="shared" si="112"/>
        <v>201793.1</v>
      </c>
      <c r="L865" s="5">
        <f t="shared" si="113"/>
        <v>201793.1</v>
      </c>
      <c r="M865" s="5">
        <f t="shared" si="114"/>
        <v>0</v>
      </c>
      <c r="N865" s="3"/>
    </row>
    <row r="866" spans="1:14" x14ac:dyDescent="0.25">
      <c r="A866" s="2">
        <v>1220321</v>
      </c>
      <c r="B866" s="3">
        <v>46156.25</v>
      </c>
      <c r="C866" s="3">
        <v>56590</v>
      </c>
      <c r="D866" s="3">
        <v>42587.5</v>
      </c>
      <c r="E866" s="3">
        <v>56562.5</v>
      </c>
      <c r="F866">
        <f t="shared" si="107"/>
        <v>1220321</v>
      </c>
      <c r="G866" s="3">
        <f t="shared" si="108"/>
        <v>46156.25</v>
      </c>
      <c r="H866" s="3">
        <f t="shared" si="109"/>
        <v>56590</v>
      </c>
      <c r="I866" s="3">
        <f t="shared" si="110"/>
        <v>42587.5</v>
      </c>
      <c r="J866" s="3">
        <f t="shared" si="111"/>
        <v>56562.5</v>
      </c>
      <c r="K866" s="5">
        <f t="shared" si="112"/>
        <v>201896.25</v>
      </c>
      <c r="L866" s="5">
        <f t="shared" si="113"/>
        <v>201896.25</v>
      </c>
      <c r="M866" s="5">
        <f t="shared" si="114"/>
        <v>0</v>
      </c>
      <c r="N866" s="3"/>
    </row>
    <row r="867" spans="1:14" x14ac:dyDescent="0.25">
      <c r="A867" s="2">
        <v>1220322</v>
      </c>
      <c r="B867" s="3">
        <v>45675</v>
      </c>
      <c r="C867" s="3">
        <v>55020</v>
      </c>
      <c r="D867" s="3">
        <v>43362.5</v>
      </c>
      <c r="E867" s="3">
        <v>63828.100000000006</v>
      </c>
      <c r="F867">
        <f t="shared" si="107"/>
        <v>1220322</v>
      </c>
      <c r="G867" s="3">
        <f t="shared" si="108"/>
        <v>45675</v>
      </c>
      <c r="H867" s="3">
        <f t="shared" si="109"/>
        <v>55020</v>
      </c>
      <c r="I867" s="3">
        <f t="shared" si="110"/>
        <v>43362.5</v>
      </c>
      <c r="J867" s="3">
        <f t="shared" si="111"/>
        <v>63828.100000000006</v>
      </c>
      <c r="K867" s="5">
        <f t="shared" si="112"/>
        <v>207885.6</v>
      </c>
      <c r="L867" s="5">
        <f t="shared" si="113"/>
        <v>207885.6</v>
      </c>
      <c r="M867" s="5">
        <f t="shared" si="114"/>
        <v>0</v>
      </c>
      <c r="N867" s="3"/>
    </row>
    <row r="868" spans="1:14" x14ac:dyDescent="0.25">
      <c r="A868" s="2">
        <v>1220323</v>
      </c>
      <c r="B868" s="3">
        <v>45331.25</v>
      </c>
      <c r="C868" s="3">
        <v>56440</v>
      </c>
      <c r="D868" s="3">
        <v>43943.75</v>
      </c>
      <c r="E868" s="3">
        <v>66015.600000000006</v>
      </c>
      <c r="F868">
        <f t="shared" si="107"/>
        <v>1220323</v>
      </c>
      <c r="G868" s="3">
        <f t="shared" si="108"/>
        <v>45331.25</v>
      </c>
      <c r="H868" s="3">
        <f t="shared" si="109"/>
        <v>56440</v>
      </c>
      <c r="I868" s="3">
        <f t="shared" si="110"/>
        <v>43943.75</v>
      </c>
      <c r="J868" s="3">
        <f t="shared" si="111"/>
        <v>66015.600000000006</v>
      </c>
      <c r="K868" s="5">
        <f t="shared" si="112"/>
        <v>211730.6</v>
      </c>
      <c r="L868" s="5">
        <f t="shared" si="113"/>
        <v>211730.6</v>
      </c>
      <c r="M868" s="5">
        <f t="shared" si="114"/>
        <v>0</v>
      </c>
      <c r="N868" s="3"/>
    </row>
    <row r="869" spans="1:14" x14ac:dyDescent="0.25">
      <c r="A869" s="2">
        <v>1220324</v>
      </c>
      <c r="B869" s="3">
        <v>44837.5</v>
      </c>
      <c r="C869" s="3">
        <v>57940</v>
      </c>
      <c r="D869" s="3">
        <v>43568.75</v>
      </c>
      <c r="E869" s="3">
        <v>63750</v>
      </c>
      <c r="F869">
        <f t="shared" si="107"/>
        <v>1220324</v>
      </c>
      <c r="G869" s="3">
        <f t="shared" si="108"/>
        <v>44837.5</v>
      </c>
      <c r="H869" s="3">
        <f t="shared" si="109"/>
        <v>57940</v>
      </c>
      <c r="I869" s="3">
        <f t="shared" si="110"/>
        <v>43568.75</v>
      </c>
      <c r="J869" s="3">
        <f t="shared" si="111"/>
        <v>63750</v>
      </c>
      <c r="K869" s="5">
        <f t="shared" si="112"/>
        <v>210096.25</v>
      </c>
      <c r="L869" s="5">
        <f t="shared" si="113"/>
        <v>211730.6</v>
      </c>
      <c r="M869" s="5">
        <f t="shared" si="114"/>
        <v>-1634.3500000000058</v>
      </c>
      <c r="N869" s="3"/>
    </row>
    <row r="870" spans="1:14" x14ac:dyDescent="0.25">
      <c r="A870" s="2">
        <v>1220325</v>
      </c>
      <c r="B870" s="3">
        <v>45375</v>
      </c>
      <c r="C870" s="3">
        <v>58850</v>
      </c>
      <c r="D870" s="3">
        <v>43775</v>
      </c>
      <c r="E870" s="3">
        <v>62812.5</v>
      </c>
      <c r="F870">
        <f t="shared" si="107"/>
        <v>1220325</v>
      </c>
      <c r="G870" s="3">
        <f t="shared" si="108"/>
        <v>45375</v>
      </c>
      <c r="H870" s="3">
        <f t="shared" si="109"/>
        <v>58850</v>
      </c>
      <c r="I870" s="3">
        <f t="shared" si="110"/>
        <v>43775</v>
      </c>
      <c r="J870" s="3">
        <f t="shared" si="111"/>
        <v>62812.5</v>
      </c>
      <c r="K870" s="5">
        <f t="shared" si="112"/>
        <v>210812.5</v>
      </c>
      <c r="L870" s="5">
        <f t="shared" si="113"/>
        <v>210812.5</v>
      </c>
      <c r="M870" s="5">
        <f t="shared" si="114"/>
        <v>0</v>
      </c>
      <c r="N870" s="3"/>
    </row>
    <row r="871" spans="1:14" x14ac:dyDescent="0.25">
      <c r="A871" s="2">
        <v>1220327</v>
      </c>
      <c r="B871" s="3">
        <v>44062.5</v>
      </c>
      <c r="C871" s="3">
        <v>57840</v>
      </c>
      <c r="D871" s="3">
        <v>43775</v>
      </c>
      <c r="E871" s="3">
        <v>67343.75</v>
      </c>
      <c r="F871">
        <f t="shared" si="107"/>
        <v>1220327</v>
      </c>
      <c r="G871" s="3">
        <f t="shared" si="108"/>
        <v>44062.5</v>
      </c>
      <c r="H871" s="3">
        <f t="shared" si="109"/>
        <v>57840</v>
      </c>
      <c r="I871" s="3">
        <f t="shared" si="110"/>
        <v>43775</v>
      </c>
      <c r="J871" s="3">
        <f t="shared" si="111"/>
        <v>67343.75</v>
      </c>
      <c r="K871" s="5">
        <f t="shared" si="112"/>
        <v>213021.25</v>
      </c>
      <c r="L871" s="5">
        <f t="shared" si="113"/>
        <v>213021.25</v>
      </c>
      <c r="M871" s="5">
        <f t="shared" si="114"/>
        <v>0</v>
      </c>
      <c r="N871" s="3"/>
    </row>
    <row r="872" spans="1:14" x14ac:dyDescent="0.25">
      <c r="A872" s="2">
        <v>1220328</v>
      </c>
      <c r="B872" s="3">
        <v>44225</v>
      </c>
      <c r="C872" s="3">
        <v>58990</v>
      </c>
      <c r="D872" s="3">
        <v>44418.75</v>
      </c>
      <c r="E872" s="3">
        <v>69296.899999999994</v>
      </c>
      <c r="F872">
        <f t="shared" si="107"/>
        <v>1220328</v>
      </c>
      <c r="G872" s="3">
        <f t="shared" si="108"/>
        <v>44225</v>
      </c>
      <c r="H872" s="3">
        <f t="shared" si="109"/>
        <v>58990</v>
      </c>
      <c r="I872" s="3">
        <f t="shared" si="110"/>
        <v>44418.75</v>
      </c>
      <c r="J872" s="3">
        <f t="shared" si="111"/>
        <v>69296.899999999994</v>
      </c>
      <c r="K872" s="5">
        <f t="shared" si="112"/>
        <v>216930.65</v>
      </c>
      <c r="L872" s="5">
        <f t="shared" si="113"/>
        <v>216930.65</v>
      </c>
      <c r="M872" s="5">
        <f t="shared" si="114"/>
        <v>0</v>
      </c>
      <c r="N872" s="3"/>
    </row>
    <row r="873" spans="1:14" x14ac:dyDescent="0.25">
      <c r="A873" s="2">
        <v>1220329</v>
      </c>
      <c r="B873" s="3">
        <v>44700</v>
      </c>
      <c r="C873" s="3">
        <v>60910</v>
      </c>
      <c r="D873" s="3">
        <v>44531.25</v>
      </c>
      <c r="E873" s="3">
        <v>64140.600000000006</v>
      </c>
      <c r="F873">
        <f t="shared" si="107"/>
        <v>1220329</v>
      </c>
      <c r="G873" s="3">
        <f t="shared" si="108"/>
        <v>44700</v>
      </c>
      <c r="H873" s="3">
        <f t="shared" si="109"/>
        <v>60910</v>
      </c>
      <c r="I873" s="3">
        <f t="shared" si="110"/>
        <v>44531.25</v>
      </c>
      <c r="J873" s="3">
        <f t="shared" si="111"/>
        <v>64140.600000000006</v>
      </c>
      <c r="K873" s="5">
        <f t="shared" si="112"/>
        <v>214281.85</v>
      </c>
      <c r="L873" s="5">
        <f t="shared" si="113"/>
        <v>216930.65</v>
      </c>
      <c r="M873" s="5">
        <f t="shared" si="114"/>
        <v>-2648.7999999999884</v>
      </c>
      <c r="N873" s="3"/>
    </row>
    <row r="874" spans="1:14" x14ac:dyDescent="0.25">
      <c r="A874" s="2">
        <v>1220330</v>
      </c>
      <c r="B874" s="3">
        <v>46093.75</v>
      </c>
      <c r="C874" s="3">
        <v>62790</v>
      </c>
      <c r="D874" s="3">
        <v>45737.5</v>
      </c>
      <c r="E874" s="3">
        <v>62656.25</v>
      </c>
      <c r="F874">
        <f t="shared" si="107"/>
        <v>1220330</v>
      </c>
      <c r="G874" s="3">
        <f t="shared" si="108"/>
        <v>46093.75</v>
      </c>
      <c r="H874" s="3">
        <f t="shared" si="109"/>
        <v>62790</v>
      </c>
      <c r="I874" s="3">
        <f t="shared" si="110"/>
        <v>45737.5</v>
      </c>
      <c r="J874" s="3">
        <f t="shared" si="111"/>
        <v>62656.25</v>
      </c>
      <c r="K874" s="5">
        <f t="shared" si="112"/>
        <v>217277.5</v>
      </c>
      <c r="L874" s="5">
        <f t="shared" si="113"/>
        <v>217277.5</v>
      </c>
      <c r="M874" s="5">
        <f t="shared" si="114"/>
        <v>0</v>
      </c>
      <c r="N874" s="3"/>
    </row>
    <row r="875" spans="1:14" x14ac:dyDescent="0.25">
      <c r="A875" s="2">
        <v>1220331</v>
      </c>
      <c r="B875" s="3">
        <v>46000</v>
      </c>
      <c r="C875" s="3">
        <v>61570</v>
      </c>
      <c r="D875" s="3">
        <v>45793.75</v>
      </c>
      <c r="E875" s="3">
        <v>56875</v>
      </c>
      <c r="F875">
        <f t="shared" si="107"/>
        <v>1220331</v>
      </c>
      <c r="G875" s="3">
        <f t="shared" si="108"/>
        <v>46000</v>
      </c>
      <c r="H875" s="3">
        <f t="shared" si="109"/>
        <v>61570</v>
      </c>
      <c r="I875" s="3">
        <f t="shared" si="110"/>
        <v>45793.75</v>
      </c>
      <c r="J875" s="3">
        <f t="shared" si="111"/>
        <v>56875</v>
      </c>
      <c r="K875" s="5">
        <f t="shared" si="112"/>
        <v>210238.75</v>
      </c>
      <c r="L875" s="5">
        <f t="shared" si="113"/>
        <v>217277.5</v>
      </c>
      <c r="M875" s="5">
        <f t="shared" si="114"/>
        <v>-7038.75</v>
      </c>
      <c r="N875" s="3"/>
    </row>
    <row r="876" spans="1:14" x14ac:dyDescent="0.25">
      <c r="A876" s="2">
        <v>1220401</v>
      </c>
      <c r="B876" s="3">
        <v>47581.25</v>
      </c>
      <c r="C876" s="3">
        <v>62900</v>
      </c>
      <c r="D876" s="3">
        <v>44600</v>
      </c>
      <c r="E876" s="3">
        <v>51250</v>
      </c>
      <c r="F876">
        <f t="shared" si="107"/>
        <v>1220401</v>
      </c>
      <c r="G876" s="3">
        <f t="shared" si="108"/>
        <v>47581.25</v>
      </c>
      <c r="H876" s="3">
        <f t="shared" si="109"/>
        <v>62900</v>
      </c>
      <c r="I876" s="3">
        <f t="shared" si="110"/>
        <v>44600</v>
      </c>
      <c r="J876" s="3">
        <f t="shared" si="111"/>
        <v>51250</v>
      </c>
      <c r="K876" s="5">
        <f t="shared" si="112"/>
        <v>206331.25</v>
      </c>
      <c r="L876" s="5">
        <f t="shared" si="113"/>
        <v>210238.75</v>
      </c>
      <c r="M876" s="5">
        <f t="shared" si="114"/>
        <v>-3907.5</v>
      </c>
      <c r="N876" s="3"/>
    </row>
    <row r="877" spans="1:14" x14ac:dyDescent="0.25">
      <c r="A877" s="2">
        <v>1220403</v>
      </c>
      <c r="B877" s="3">
        <v>47937.5</v>
      </c>
      <c r="C877" s="3">
        <v>63560</v>
      </c>
      <c r="D877" s="3">
        <v>44650</v>
      </c>
      <c r="E877" s="3">
        <v>48359.399999999994</v>
      </c>
      <c r="F877">
        <f t="shared" si="107"/>
        <v>1220403</v>
      </c>
      <c r="G877" s="3">
        <f t="shared" si="108"/>
        <v>47937.5</v>
      </c>
      <c r="H877" s="3">
        <f t="shared" si="109"/>
        <v>63560</v>
      </c>
      <c r="I877" s="3">
        <f t="shared" si="110"/>
        <v>44650</v>
      </c>
      <c r="J877" s="3">
        <f t="shared" si="111"/>
        <v>48359.399999999994</v>
      </c>
      <c r="K877" s="5">
        <f t="shared" si="112"/>
        <v>204506.9</v>
      </c>
      <c r="L877" s="5">
        <f t="shared" si="113"/>
        <v>206331.25</v>
      </c>
      <c r="M877" s="5">
        <f t="shared" si="114"/>
        <v>-1824.3500000000058</v>
      </c>
      <c r="N877" s="3"/>
    </row>
    <row r="878" spans="1:14" x14ac:dyDescent="0.25">
      <c r="A878" s="2">
        <v>1220404</v>
      </c>
      <c r="B878" s="3">
        <v>47937.5</v>
      </c>
      <c r="C878" s="3">
        <v>63990</v>
      </c>
      <c r="D878" s="3">
        <v>43868.75</v>
      </c>
      <c r="E878" s="3">
        <v>48906.25</v>
      </c>
      <c r="F878">
        <f t="shared" si="107"/>
        <v>1220404</v>
      </c>
      <c r="G878" s="3">
        <f t="shared" si="108"/>
        <v>47937.5</v>
      </c>
      <c r="H878" s="3">
        <f t="shared" si="109"/>
        <v>63990</v>
      </c>
      <c r="I878" s="3">
        <f t="shared" si="110"/>
        <v>43868.75</v>
      </c>
      <c r="J878" s="3">
        <f t="shared" si="111"/>
        <v>48906.25</v>
      </c>
      <c r="K878" s="5">
        <f t="shared" si="112"/>
        <v>204702.5</v>
      </c>
      <c r="L878" s="5">
        <f t="shared" si="113"/>
        <v>204702.5</v>
      </c>
      <c r="M878" s="5">
        <f t="shared" si="114"/>
        <v>0</v>
      </c>
      <c r="N878" s="3"/>
    </row>
    <row r="879" spans="1:14" x14ac:dyDescent="0.25">
      <c r="A879" s="2">
        <v>1220405</v>
      </c>
      <c r="B879" s="3">
        <v>48350</v>
      </c>
      <c r="C879" s="3">
        <v>62460</v>
      </c>
      <c r="D879" s="3">
        <v>43743.75</v>
      </c>
      <c r="E879" s="3">
        <v>45625</v>
      </c>
      <c r="F879">
        <f t="shared" si="107"/>
        <v>1220405</v>
      </c>
      <c r="G879" s="3">
        <f t="shared" si="108"/>
        <v>48350</v>
      </c>
      <c r="H879" s="3">
        <f t="shared" si="109"/>
        <v>62460</v>
      </c>
      <c r="I879" s="3">
        <f t="shared" si="110"/>
        <v>43743.75</v>
      </c>
      <c r="J879" s="3">
        <f t="shared" si="111"/>
        <v>45625</v>
      </c>
      <c r="K879" s="5">
        <f t="shared" si="112"/>
        <v>200178.75</v>
      </c>
      <c r="L879" s="5">
        <f t="shared" si="113"/>
        <v>204702.5</v>
      </c>
      <c r="M879" s="5">
        <f t="shared" si="114"/>
        <v>-4523.75</v>
      </c>
      <c r="N879" s="3"/>
    </row>
    <row r="880" spans="1:14" x14ac:dyDescent="0.25">
      <c r="A880" s="2">
        <v>1220406</v>
      </c>
      <c r="B880" s="3">
        <v>49100</v>
      </c>
      <c r="C880" s="3">
        <v>60400</v>
      </c>
      <c r="D880" s="3">
        <v>44087.5</v>
      </c>
      <c r="E880" s="3">
        <v>49921.899999999994</v>
      </c>
      <c r="F880">
        <f t="shared" si="107"/>
        <v>1220406</v>
      </c>
      <c r="G880" s="3">
        <f t="shared" si="108"/>
        <v>49100</v>
      </c>
      <c r="H880" s="3">
        <f t="shared" si="109"/>
        <v>60400</v>
      </c>
      <c r="I880" s="3">
        <f t="shared" si="110"/>
        <v>44087.5</v>
      </c>
      <c r="J880" s="3">
        <f t="shared" si="111"/>
        <v>49921.899999999994</v>
      </c>
      <c r="K880" s="5">
        <f t="shared" si="112"/>
        <v>203509.4</v>
      </c>
      <c r="L880" s="5">
        <f t="shared" si="113"/>
        <v>203509.4</v>
      </c>
      <c r="M880" s="5">
        <f t="shared" si="114"/>
        <v>0</v>
      </c>
      <c r="N880" s="3"/>
    </row>
    <row r="881" spans="1:14" x14ac:dyDescent="0.25">
      <c r="A881" s="2">
        <v>1220407</v>
      </c>
      <c r="B881" s="3">
        <v>50475</v>
      </c>
      <c r="C881" s="3">
        <v>61150</v>
      </c>
      <c r="D881" s="3">
        <v>43800</v>
      </c>
      <c r="E881" s="3">
        <v>46328.100000000006</v>
      </c>
      <c r="F881">
        <f t="shared" si="107"/>
        <v>1220407</v>
      </c>
      <c r="G881" s="3">
        <f t="shared" si="108"/>
        <v>50475</v>
      </c>
      <c r="H881" s="3">
        <f t="shared" si="109"/>
        <v>61150</v>
      </c>
      <c r="I881" s="3">
        <f t="shared" si="110"/>
        <v>43800</v>
      </c>
      <c r="J881" s="3">
        <f t="shared" si="111"/>
        <v>46328.100000000006</v>
      </c>
      <c r="K881" s="5">
        <f t="shared" si="112"/>
        <v>201753.1</v>
      </c>
      <c r="L881" s="5">
        <f t="shared" si="113"/>
        <v>203509.4</v>
      </c>
      <c r="M881" s="5">
        <f t="shared" si="114"/>
        <v>-1756.2999999999884</v>
      </c>
      <c r="N881" s="3"/>
    </row>
    <row r="882" spans="1:14" x14ac:dyDescent="0.25">
      <c r="A882" s="2">
        <v>1220408</v>
      </c>
      <c r="B882" s="3">
        <v>49731.25</v>
      </c>
      <c r="C882" s="3">
        <v>61410</v>
      </c>
      <c r="D882" s="3">
        <v>43750</v>
      </c>
      <c r="E882" s="3">
        <v>49140.600000000006</v>
      </c>
      <c r="F882">
        <f t="shared" si="107"/>
        <v>1220408</v>
      </c>
      <c r="G882" s="3">
        <f t="shared" si="108"/>
        <v>49731.25</v>
      </c>
      <c r="H882" s="3">
        <f t="shared" si="109"/>
        <v>61410</v>
      </c>
      <c r="I882" s="3">
        <f t="shared" si="110"/>
        <v>43750</v>
      </c>
      <c r="J882" s="3">
        <f t="shared" si="111"/>
        <v>49140.600000000006</v>
      </c>
      <c r="K882" s="5">
        <f t="shared" si="112"/>
        <v>204031.85</v>
      </c>
      <c r="L882" s="5">
        <f t="shared" si="113"/>
        <v>204031.85</v>
      </c>
      <c r="M882" s="5">
        <f t="shared" si="114"/>
        <v>0</v>
      </c>
      <c r="N882" s="3"/>
    </row>
    <row r="883" spans="1:14" x14ac:dyDescent="0.25">
      <c r="A883" s="2">
        <v>1220410</v>
      </c>
      <c r="B883" s="3">
        <v>48675</v>
      </c>
      <c r="C883" s="3">
        <v>62990</v>
      </c>
      <c r="D883" s="3">
        <v>44050</v>
      </c>
      <c r="E883" s="3">
        <v>51093.75</v>
      </c>
      <c r="F883">
        <f t="shared" si="107"/>
        <v>1220410</v>
      </c>
      <c r="G883" s="3">
        <f t="shared" si="108"/>
        <v>48675</v>
      </c>
      <c r="H883" s="3">
        <f t="shared" si="109"/>
        <v>62990</v>
      </c>
      <c r="I883" s="3">
        <f t="shared" si="110"/>
        <v>44050</v>
      </c>
      <c r="J883" s="3">
        <f t="shared" si="111"/>
        <v>51093.75</v>
      </c>
      <c r="K883" s="5">
        <f t="shared" si="112"/>
        <v>206808.75</v>
      </c>
      <c r="L883" s="5">
        <f t="shared" si="113"/>
        <v>206808.75</v>
      </c>
      <c r="M883" s="5">
        <f t="shared" si="114"/>
        <v>0</v>
      </c>
      <c r="N883" s="3"/>
    </row>
    <row r="884" spans="1:14" x14ac:dyDescent="0.25">
      <c r="A884" s="2">
        <v>1220411</v>
      </c>
      <c r="B884" s="3">
        <v>49525</v>
      </c>
      <c r="C884" s="3">
        <v>62520</v>
      </c>
      <c r="D884" s="3">
        <v>44512.5</v>
      </c>
      <c r="E884" s="3">
        <v>53125</v>
      </c>
      <c r="F884">
        <f t="shared" si="107"/>
        <v>1220411</v>
      </c>
      <c r="G884" s="3">
        <f t="shared" si="108"/>
        <v>49525</v>
      </c>
      <c r="H884" s="3">
        <f t="shared" si="109"/>
        <v>62520</v>
      </c>
      <c r="I884" s="3">
        <f t="shared" si="110"/>
        <v>44512.5</v>
      </c>
      <c r="J884" s="3">
        <f t="shared" si="111"/>
        <v>53125</v>
      </c>
      <c r="K884" s="5">
        <f t="shared" si="112"/>
        <v>209682.5</v>
      </c>
      <c r="L884" s="5">
        <f t="shared" si="113"/>
        <v>209682.5</v>
      </c>
      <c r="M884" s="5">
        <f t="shared" si="114"/>
        <v>0</v>
      </c>
      <c r="N884" s="3"/>
    </row>
    <row r="885" spans="1:14" x14ac:dyDescent="0.25">
      <c r="A885" s="2">
        <v>1220412</v>
      </c>
      <c r="B885" s="3">
        <v>51237.5</v>
      </c>
      <c r="C885" s="3">
        <v>64240</v>
      </c>
      <c r="D885" s="3">
        <v>44200</v>
      </c>
      <c r="E885" s="3">
        <v>53593.75</v>
      </c>
      <c r="F885">
        <f t="shared" si="107"/>
        <v>1220412</v>
      </c>
      <c r="G885" s="3">
        <f t="shared" si="108"/>
        <v>51237.5</v>
      </c>
      <c r="H885" s="3">
        <f t="shared" si="109"/>
        <v>64240</v>
      </c>
      <c r="I885" s="3">
        <f t="shared" si="110"/>
        <v>44200</v>
      </c>
      <c r="J885" s="3">
        <f t="shared" si="111"/>
        <v>53593.75</v>
      </c>
      <c r="K885" s="5">
        <f t="shared" si="112"/>
        <v>213271.25</v>
      </c>
      <c r="L885" s="5">
        <f t="shared" si="113"/>
        <v>213271.25</v>
      </c>
      <c r="M885" s="5">
        <f t="shared" si="114"/>
        <v>0</v>
      </c>
      <c r="N885" s="3"/>
    </row>
    <row r="886" spans="1:14" x14ac:dyDescent="0.25">
      <c r="A886" s="2">
        <v>1220413</v>
      </c>
      <c r="B886" s="3">
        <v>50718.75</v>
      </c>
      <c r="C886" s="3">
        <v>63600</v>
      </c>
      <c r="D886" s="3">
        <v>44143.75</v>
      </c>
      <c r="E886" s="3">
        <v>55781.25</v>
      </c>
      <c r="F886">
        <f t="shared" si="107"/>
        <v>1220413</v>
      </c>
      <c r="G886" s="3">
        <f t="shared" si="108"/>
        <v>50718.75</v>
      </c>
      <c r="H886" s="3">
        <f t="shared" si="109"/>
        <v>63600</v>
      </c>
      <c r="I886" s="3">
        <f t="shared" si="110"/>
        <v>44143.75</v>
      </c>
      <c r="J886" s="3">
        <f t="shared" si="111"/>
        <v>55781.25</v>
      </c>
      <c r="K886" s="5">
        <f t="shared" si="112"/>
        <v>214243.75</v>
      </c>
      <c r="L886" s="5">
        <f t="shared" si="113"/>
        <v>214243.75</v>
      </c>
      <c r="M886" s="5">
        <f t="shared" si="114"/>
        <v>0</v>
      </c>
      <c r="N886" s="3"/>
    </row>
    <row r="887" spans="1:14" x14ac:dyDescent="0.25">
      <c r="A887" s="2">
        <v>1220414</v>
      </c>
      <c r="B887" s="3">
        <v>51312.5</v>
      </c>
      <c r="C887" s="3">
        <v>64340</v>
      </c>
      <c r="D887" s="3">
        <v>44406.25</v>
      </c>
      <c r="E887" s="3">
        <v>59687.5</v>
      </c>
      <c r="F887">
        <f t="shared" si="107"/>
        <v>1220414</v>
      </c>
      <c r="G887" s="3">
        <f t="shared" si="108"/>
        <v>51312.5</v>
      </c>
      <c r="H887" s="3">
        <f t="shared" si="109"/>
        <v>64340</v>
      </c>
      <c r="I887" s="3">
        <f t="shared" si="110"/>
        <v>44406.25</v>
      </c>
      <c r="J887" s="3">
        <f t="shared" si="111"/>
        <v>59687.5</v>
      </c>
      <c r="K887" s="5">
        <f t="shared" si="112"/>
        <v>219746.25</v>
      </c>
      <c r="L887" s="5">
        <f t="shared" si="113"/>
        <v>219746.25</v>
      </c>
      <c r="M887" s="5">
        <f t="shared" si="114"/>
        <v>0</v>
      </c>
      <c r="N887" s="3"/>
    </row>
    <row r="888" spans="1:14" x14ac:dyDescent="0.25">
      <c r="A888" s="2">
        <v>1220417</v>
      </c>
      <c r="B888" s="3">
        <v>51950</v>
      </c>
      <c r="C888" s="3">
        <v>63410</v>
      </c>
      <c r="D888" s="3">
        <v>45125</v>
      </c>
      <c r="E888" s="3">
        <v>61562.5</v>
      </c>
      <c r="F888">
        <f t="shared" si="107"/>
        <v>1220417</v>
      </c>
      <c r="G888" s="3">
        <f t="shared" si="108"/>
        <v>51950</v>
      </c>
      <c r="H888" s="3">
        <f t="shared" si="109"/>
        <v>63410</v>
      </c>
      <c r="I888" s="3">
        <f t="shared" si="110"/>
        <v>45125</v>
      </c>
      <c r="J888" s="3">
        <f t="shared" si="111"/>
        <v>61562.5</v>
      </c>
      <c r="K888" s="5">
        <f t="shared" si="112"/>
        <v>222047.5</v>
      </c>
      <c r="L888" s="5">
        <f t="shared" si="113"/>
        <v>222047.5</v>
      </c>
      <c r="M888" s="5">
        <f t="shared" si="114"/>
        <v>0</v>
      </c>
      <c r="N888" s="3"/>
    </row>
    <row r="889" spans="1:14" x14ac:dyDescent="0.25">
      <c r="A889" s="2">
        <v>1220418</v>
      </c>
      <c r="B889" s="3">
        <v>52200</v>
      </c>
      <c r="C889" s="3">
        <v>62790</v>
      </c>
      <c r="D889" s="3">
        <v>45212.5</v>
      </c>
      <c r="E889" s="3">
        <v>63203.100000000006</v>
      </c>
      <c r="F889">
        <f t="shared" si="107"/>
        <v>1220418</v>
      </c>
      <c r="G889" s="3">
        <f t="shared" si="108"/>
        <v>52200</v>
      </c>
      <c r="H889" s="3">
        <f t="shared" si="109"/>
        <v>62790</v>
      </c>
      <c r="I889" s="3">
        <f t="shared" si="110"/>
        <v>45212.5</v>
      </c>
      <c r="J889" s="3">
        <f t="shared" si="111"/>
        <v>63203.100000000006</v>
      </c>
      <c r="K889" s="5">
        <f t="shared" si="112"/>
        <v>223405.6</v>
      </c>
      <c r="L889" s="5">
        <f t="shared" si="113"/>
        <v>223405.6</v>
      </c>
      <c r="M889" s="5">
        <f t="shared" si="114"/>
        <v>0</v>
      </c>
      <c r="N889" s="3"/>
    </row>
    <row r="890" spans="1:14" x14ac:dyDescent="0.25">
      <c r="A890" s="2">
        <v>1220419</v>
      </c>
      <c r="B890" s="3">
        <v>51218.75</v>
      </c>
      <c r="C890" s="3">
        <v>60490</v>
      </c>
      <c r="D890" s="3">
        <v>45987.5</v>
      </c>
      <c r="E890" s="3">
        <v>61406.25</v>
      </c>
      <c r="F890">
        <f t="shared" si="107"/>
        <v>1220419</v>
      </c>
      <c r="G890" s="3">
        <f t="shared" si="108"/>
        <v>51218.75</v>
      </c>
      <c r="H890" s="3">
        <f t="shared" si="109"/>
        <v>60490</v>
      </c>
      <c r="I890" s="3">
        <f t="shared" si="110"/>
        <v>45987.5</v>
      </c>
      <c r="J890" s="3">
        <f t="shared" si="111"/>
        <v>61406.25</v>
      </c>
      <c r="K890" s="5">
        <f t="shared" si="112"/>
        <v>219102.5</v>
      </c>
      <c r="L890" s="5">
        <f t="shared" si="113"/>
        <v>223405.6</v>
      </c>
      <c r="M890" s="5">
        <f t="shared" si="114"/>
        <v>-4303.1000000000058</v>
      </c>
      <c r="N890" s="3"/>
    </row>
    <row r="891" spans="1:14" x14ac:dyDescent="0.25">
      <c r="A891" s="2">
        <v>1220420</v>
      </c>
      <c r="B891" s="3">
        <v>52175</v>
      </c>
      <c r="C891" s="3">
        <v>62450</v>
      </c>
      <c r="D891" s="3">
        <v>46293.75</v>
      </c>
      <c r="E891" s="3">
        <v>60703.100000000006</v>
      </c>
      <c r="F891">
        <f t="shared" si="107"/>
        <v>1220420</v>
      </c>
      <c r="G891" s="3">
        <f t="shared" si="108"/>
        <v>52175</v>
      </c>
      <c r="H891" s="3">
        <f t="shared" si="109"/>
        <v>62450</v>
      </c>
      <c r="I891" s="3">
        <f t="shared" si="110"/>
        <v>46293.75</v>
      </c>
      <c r="J891" s="3">
        <f t="shared" si="111"/>
        <v>60703.100000000006</v>
      </c>
      <c r="K891" s="5">
        <f t="shared" si="112"/>
        <v>221621.85</v>
      </c>
      <c r="L891" s="5">
        <f t="shared" si="113"/>
        <v>221621.85</v>
      </c>
      <c r="M891" s="5">
        <f t="shared" si="114"/>
        <v>0</v>
      </c>
      <c r="N891" s="3"/>
    </row>
    <row r="892" spans="1:14" x14ac:dyDescent="0.25">
      <c r="A892" s="2">
        <v>1220421</v>
      </c>
      <c r="B892" s="3">
        <v>52968.75</v>
      </c>
      <c r="C892" s="3">
        <v>62350</v>
      </c>
      <c r="D892" s="3">
        <v>44981.25</v>
      </c>
      <c r="E892" s="3">
        <v>59218.75</v>
      </c>
      <c r="F892">
        <f t="shared" si="107"/>
        <v>1220421</v>
      </c>
      <c r="G892" s="3">
        <f t="shared" si="108"/>
        <v>52968.75</v>
      </c>
      <c r="H892" s="3">
        <f t="shared" si="109"/>
        <v>62350</v>
      </c>
      <c r="I892" s="3">
        <f t="shared" si="110"/>
        <v>44981.25</v>
      </c>
      <c r="J892" s="3">
        <f t="shared" si="111"/>
        <v>59218.75</v>
      </c>
      <c r="K892" s="5">
        <f t="shared" si="112"/>
        <v>219518.75</v>
      </c>
      <c r="L892" s="5">
        <f t="shared" si="113"/>
        <v>221621.85</v>
      </c>
      <c r="M892" s="5">
        <f t="shared" si="114"/>
        <v>-2103.1000000000058</v>
      </c>
      <c r="N892" s="3"/>
    </row>
    <row r="893" spans="1:14" x14ac:dyDescent="0.25">
      <c r="A893" s="2">
        <v>1220422</v>
      </c>
      <c r="B893" s="3">
        <v>55193.75</v>
      </c>
      <c r="C893" s="3">
        <v>62090</v>
      </c>
      <c r="D893" s="3">
        <v>44993.75</v>
      </c>
      <c r="E893" s="3">
        <v>62343.75</v>
      </c>
      <c r="F893">
        <f t="shared" si="107"/>
        <v>1220422</v>
      </c>
      <c r="G893" s="3">
        <f t="shared" si="108"/>
        <v>55193.75</v>
      </c>
      <c r="H893" s="3">
        <f t="shared" si="109"/>
        <v>62090</v>
      </c>
      <c r="I893" s="3">
        <f t="shared" si="110"/>
        <v>44993.75</v>
      </c>
      <c r="J893" s="3">
        <f t="shared" si="111"/>
        <v>62343.75</v>
      </c>
      <c r="K893" s="5">
        <f t="shared" si="112"/>
        <v>224621.25</v>
      </c>
      <c r="L893" s="5">
        <f t="shared" si="113"/>
        <v>224621.25</v>
      </c>
      <c r="M893" s="5">
        <f t="shared" si="114"/>
        <v>0</v>
      </c>
      <c r="N893" s="3"/>
    </row>
    <row r="894" spans="1:14" x14ac:dyDescent="0.25">
      <c r="A894" s="2">
        <v>1220424</v>
      </c>
      <c r="B894" s="3">
        <v>58156.25</v>
      </c>
      <c r="C894" s="3">
        <v>64180</v>
      </c>
      <c r="D894" s="3">
        <v>45418.75</v>
      </c>
      <c r="E894" s="3">
        <v>62031.25</v>
      </c>
      <c r="F894">
        <f t="shared" si="107"/>
        <v>1220424</v>
      </c>
      <c r="G894" s="3">
        <f t="shared" si="108"/>
        <v>58156.25</v>
      </c>
      <c r="H894" s="3">
        <f t="shared" si="109"/>
        <v>64180</v>
      </c>
      <c r="I894" s="3">
        <f t="shared" si="110"/>
        <v>45418.75</v>
      </c>
      <c r="J894" s="3">
        <f t="shared" si="111"/>
        <v>62031.25</v>
      </c>
      <c r="K894" s="5">
        <f t="shared" si="112"/>
        <v>229786.25</v>
      </c>
      <c r="L894" s="5">
        <f t="shared" si="113"/>
        <v>229786.25</v>
      </c>
      <c r="M894" s="5">
        <f t="shared" si="114"/>
        <v>0</v>
      </c>
      <c r="N894" s="3"/>
    </row>
    <row r="895" spans="1:14" x14ac:dyDescent="0.25">
      <c r="A895" s="2">
        <v>1220425</v>
      </c>
      <c r="B895" s="3">
        <v>58712.5</v>
      </c>
      <c r="C895" s="3">
        <v>64770</v>
      </c>
      <c r="D895" s="3">
        <v>45250</v>
      </c>
      <c r="E895" s="3">
        <v>63359.399999999994</v>
      </c>
      <c r="F895">
        <f t="shared" si="107"/>
        <v>1220425</v>
      </c>
      <c r="G895" s="3">
        <f t="shared" si="108"/>
        <v>58712.5</v>
      </c>
      <c r="H895" s="3">
        <f t="shared" si="109"/>
        <v>64770</v>
      </c>
      <c r="I895" s="3">
        <f t="shared" si="110"/>
        <v>45250</v>
      </c>
      <c r="J895" s="3">
        <f t="shared" si="111"/>
        <v>63359.399999999994</v>
      </c>
      <c r="K895" s="5">
        <f t="shared" si="112"/>
        <v>232091.9</v>
      </c>
      <c r="L895" s="5">
        <f t="shared" si="113"/>
        <v>232091.9</v>
      </c>
      <c r="M895" s="5">
        <f t="shared" si="114"/>
        <v>0</v>
      </c>
      <c r="N895" s="3"/>
    </row>
    <row r="896" spans="1:14" x14ac:dyDescent="0.25">
      <c r="A896" s="2">
        <v>1220426</v>
      </c>
      <c r="B896" s="3">
        <v>59487.5</v>
      </c>
      <c r="C896" s="3">
        <v>66980</v>
      </c>
      <c r="D896" s="3">
        <v>44587.5</v>
      </c>
      <c r="E896" s="3">
        <v>63281.25</v>
      </c>
      <c r="F896">
        <f t="shared" si="107"/>
        <v>1220426</v>
      </c>
      <c r="G896" s="3">
        <f t="shared" si="108"/>
        <v>59487.5</v>
      </c>
      <c r="H896" s="3">
        <f t="shared" si="109"/>
        <v>66980</v>
      </c>
      <c r="I896" s="3">
        <f t="shared" si="110"/>
        <v>44587.5</v>
      </c>
      <c r="J896" s="3">
        <f t="shared" si="111"/>
        <v>63281.25</v>
      </c>
      <c r="K896" s="5">
        <f t="shared" si="112"/>
        <v>234336.25</v>
      </c>
      <c r="L896" s="5">
        <f t="shared" si="113"/>
        <v>234336.25</v>
      </c>
      <c r="M896" s="5">
        <f t="shared" si="114"/>
        <v>0</v>
      </c>
      <c r="N896" s="3"/>
    </row>
    <row r="897" spans="1:14" x14ac:dyDescent="0.25">
      <c r="A897" s="2">
        <v>1220427</v>
      </c>
      <c r="B897" s="3">
        <v>59225</v>
      </c>
      <c r="C897" s="3">
        <v>65560</v>
      </c>
      <c r="D897" s="3">
        <v>44931.25</v>
      </c>
      <c r="E897" s="3">
        <v>67187.5</v>
      </c>
      <c r="F897">
        <f t="shared" si="107"/>
        <v>1220427</v>
      </c>
      <c r="G897" s="3">
        <f t="shared" si="108"/>
        <v>59225</v>
      </c>
      <c r="H897" s="3">
        <f t="shared" si="109"/>
        <v>65560</v>
      </c>
      <c r="I897" s="3">
        <f t="shared" si="110"/>
        <v>44931.25</v>
      </c>
      <c r="J897" s="3">
        <f t="shared" si="111"/>
        <v>67187.5</v>
      </c>
      <c r="K897" s="5">
        <f t="shared" si="112"/>
        <v>236903.75</v>
      </c>
      <c r="L897" s="5">
        <f t="shared" si="113"/>
        <v>236903.75</v>
      </c>
      <c r="M897" s="5">
        <f t="shared" si="114"/>
        <v>0</v>
      </c>
      <c r="N897" s="3"/>
    </row>
    <row r="898" spans="1:14" x14ac:dyDescent="0.25">
      <c r="A898" s="2">
        <v>1220428</v>
      </c>
      <c r="B898" s="3">
        <v>58593.75</v>
      </c>
      <c r="C898" s="3">
        <v>61440</v>
      </c>
      <c r="D898" s="3">
        <v>46043.75</v>
      </c>
      <c r="E898" s="3">
        <v>67265.600000000006</v>
      </c>
      <c r="F898">
        <f t="shared" si="107"/>
        <v>1220428</v>
      </c>
      <c r="G898" s="3">
        <f t="shared" si="108"/>
        <v>58593.75</v>
      </c>
      <c r="H898" s="3">
        <f t="shared" si="109"/>
        <v>61440</v>
      </c>
      <c r="I898" s="3">
        <f t="shared" si="110"/>
        <v>46043.75</v>
      </c>
      <c r="J898" s="3">
        <f t="shared" si="111"/>
        <v>67265.600000000006</v>
      </c>
      <c r="K898" s="5">
        <f t="shared" si="112"/>
        <v>233343.1</v>
      </c>
      <c r="L898" s="5">
        <f t="shared" si="113"/>
        <v>236903.75</v>
      </c>
      <c r="M898" s="5">
        <f t="shared" si="114"/>
        <v>-3560.6499999999942</v>
      </c>
      <c r="N898" s="3"/>
    </row>
    <row r="899" spans="1:14" x14ac:dyDescent="0.25">
      <c r="A899" s="2">
        <v>1220429</v>
      </c>
      <c r="B899" s="3">
        <v>57106.25</v>
      </c>
      <c r="C899" s="3">
        <v>62640</v>
      </c>
      <c r="D899" s="3">
        <v>46556.25</v>
      </c>
      <c r="E899" s="3">
        <v>68046.899999999994</v>
      </c>
      <c r="F899">
        <f t="shared" si="107"/>
        <v>1220429</v>
      </c>
      <c r="G899" s="3">
        <f t="shared" si="108"/>
        <v>57106.25</v>
      </c>
      <c r="H899" s="3">
        <f t="shared" si="109"/>
        <v>62640</v>
      </c>
      <c r="I899" s="3">
        <f t="shared" si="110"/>
        <v>46556.25</v>
      </c>
      <c r="J899" s="3">
        <f t="shared" si="111"/>
        <v>68046.899999999994</v>
      </c>
      <c r="K899" s="5">
        <f t="shared" si="112"/>
        <v>234349.4</v>
      </c>
      <c r="L899" s="5">
        <f t="shared" si="113"/>
        <v>234349.4</v>
      </c>
      <c r="M899" s="5">
        <f t="shared" si="114"/>
        <v>0</v>
      </c>
      <c r="N899" s="3"/>
    </row>
    <row r="900" spans="1:14" x14ac:dyDescent="0.25">
      <c r="A900" s="2">
        <v>1220501</v>
      </c>
      <c r="B900" s="3">
        <v>58550</v>
      </c>
      <c r="C900" s="3">
        <v>60590</v>
      </c>
      <c r="D900" s="3">
        <v>45706.25</v>
      </c>
      <c r="E900" s="3">
        <v>71406.25</v>
      </c>
      <c r="F900">
        <f t="shared" si="107"/>
        <v>1220501</v>
      </c>
      <c r="G900" s="3">
        <f t="shared" si="108"/>
        <v>58550</v>
      </c>
      <c r="H900" s="3">
        <f t="shared" si="109"/>
        <v>60590</v>
      </c>
      <c r="I900" s="3">
        <f t="shared" si="110"/>
        <v>45706.25</v>
      </c>
      <c r="J900" s="3">
        <f t="shared" si="111"/>
        <v>71406.25</v>
      </c>
      <c r="K900" s="5">
        <f t="shared" si="112"/>
        <v>236252.5</v>
      </c>
      <c r="L900" s="5">
        <f t="shared" si="113"/>
        <v>236252.5</v>
      </c>
      <c r="M900" s="5">
        <f t="shared" si="114"/>
        <v>0</v>
      </c>
      <c r="N900" s="3"/>
    </row>
    <row r="901" spans="1:14" x14ac:dyDescent="0.25">
      <c r="A901" s="2">
        <v>1220502</v>
      </c>
      <c r="B901" s="3">
        <v>58143.75</v>
      </c>
      <c r="C901" s="3">
        <v>59600</v>
      </c>
      <c r="D901" s="3">
        <v>45525</v>
      </c>
      <c r="E901" s="3">
        <v>71875</v>
      </c>
      <c r="F901">
        <f t="shared" si="107"/>
        <v>1220502</v>
      </c>
      <c r="G901" s="3">
        <f t="shared" si="108"/>
        <v>58143.75</v>
      </c>
      <c r="H901" s="3">
        <f t="shared" si="109"/>
        <v>59600</v>
      </c>
      <c r="I901" s="3">
        <f t="shared" si="110"/>
        <v>45525</v>
      </c>
      <c r="J901" s="3">
        <f t="shared" si="111"/>
        <v>71875</v>
      </c>
      <c r="K901" s="5">
        <f t="shared" si="112"/>
        <v>235143.75</v>
      </c>
      <c r="L901" s="5">
        <f t="shared" si="113"/>
        <v>236252.5</v>
      </c>
      <c r="M901" s="5">
        <f t="shared" si="114"/>
        <v>-1108.75</v>
      </c>
      <c r="N901" s="3"/>
    </row>
    <row r="902" spans="1:14" x14ac:dyDescent="0.25">
      <c r="A902" s="2">
        <v>1220503</v>
      </c>
      <c r="B902" s="3">
        <v>54825</v>
      </c>
      <c r="C902" s="3">
        <v>61050</v>
      </c>
      <c r="D902" s="3">
        <v>45450</v>
      </c>
      <c r="E902" s="3">
        <v>70468.75</v>
      </c>
      <c r="F902">
        <f t="shared" si="107"/>
        <v>1220503</v>
      </c>
      <c r="G902" s="3">
        <f t="shared" si="108"/>
        <v>54825</v>
      </c>
      <c r="H902" s="3">
        <f t="shared" si="109"/>
        <v>61050</v>
      </c>
      <c r="I902" s="3">
        <f t="shared" si="110"/>
        <v>45450</v>
      </c>
      <c r="J902" s="3">
        <f t="shared" si="111"/>
        <v>70468.75</v>
      </c>
      <c r="K902" s="5">
        <f t="shared" si="112"/>
        <v>231793.75</v>
      </c>
      <c r="L902" s="5">
        <f t="shared" si="113"/>
        <v>235143.75</v>
      </c>
      <c r="M902" s="5">
        <f t="shared" si="114"/>
        <v>-3350</v>
      </c>
      <c r="N902" s="3"/>
    </row>
    <row r="903" spans="1:14" x14ac:dyDescent="0.25">
      <c r="A903" s="2">
        <v>1220504</v>
      </c>
      <c r="B903" s="3">
        <v>54431.25</v>
      </c>
      <c r="C903" s="3">
        <v>61450</v>
      </c>
      <c r="D903" s="3">
        <v>45312.5</v>
      </c>
      <c r="E903" s="3">
        <v>68671.899999999994</v>
      </c>
      <c r="F903">
        <f t="shared" si="107"/>
        <v>1220504</v>
      </c>
      <c r="G903" s="3">
        <f t="shared" si="108"/>
        <v>54431.25</v>
      </c>
      <c r="H903" s="3">
        <f t="shared" si="109"/>
        <v>61450</v>
      </c>
      <c r="I903" s="3">
        <f t="shared" si="110"/>
        <v>45312.5</v>
      </c>
      <c r="J903" s="3">
        <f t="shared" si="111"/>
        <v>68671.899999999994</v>
      </c>
      <c r="K903" s="5">
        <f t="shared" si="112"/>
        <v>229865.65</v>
      </c>
      <c r="L903" s="5">
        <f t="shared" si="113"/>
        <v>231793.75</v>
      </c>
      <c r="M903" s="5">
        <f t="shared" si="114"/>
        <v>-1928.1000000000058</v>
      </c>
      <c r="N903" s="3"/>
    </row>
    <row r="904" spans="1:14" x14ac:dyDescent="0.25">
      <c r="A904" s="2">
        <v>1220505</v>
      </c>
      <c r="B904" s="3">
        <v>55056.25</v>
      </c>
      <c r="C904" s="3">
        <v>61240</v>
      </c>
      <c r="D904" s="3">
        <v>45650</v>
      </c>
      <c r="E904" s="3">
        <v>63984.399999999994</v>
      </c>
      <c r="F904">
        <f t="shared" si="107"/>
        <v>1220505</v>
      </c>
      <c r="G904" s="3">
        <f t="shared" si="108"/>
        <v>55056.25</v>
      </c>
      <c r="H904" s="3">
        <f t="shared" si="109"/>
        <v>61240</v>
      </c>
      <c r="I904" s="3">
        <f t="shared" si="110"/>
        <v>45650</v>
      </c>
      <c r="J904" s="3">
        <f t="shared" si="111"/>
        <v>63984.399999999994</v>
      </c>
      <c r="K904" s="5">
        <f t="shared" si="112"/>
        <v>225930.65</v>
      </c>
      <c r="L904" s="5">
        <f t="shared" si="113"/>
        <v>229865.65</v>
      </c>
      <c r="M904" s="5">
        <f t="shared" si="114"/>
        <v>-3935</v>
      </c>
      <c r="N904" s="3"/>
    </row>
    <row r="905" spans="1:14" x14ac:dyDescent="0.25">
      <c r="A905" s="2">
        <v>1220506</v>
      </c>
      <c r="B905" s="3">
        <v>54925</v>
      </c>
      <c r="C905" s="3">
        <v>57390</v>
      </c>
      <c r="D905" s="3">
        <v>45775</v>
      </c>
      <c r="E905" s="3">
        <v>68125</v>
      </c>
      <c r="F905">
        <f t="shared" si="107"/>
        <v>1220506</v>
      </c>
      <c r="G905" s="3">
        <f t="shared" si="108"/>
        <v>54925</v>
      </c>
      <c r="H905" s="3">
        <f t="shared" si="109"/>
        <v>57390</v>
      </c>
      <c r="I905" s="3">
        <f t="shared" si="110"/>
        <v>45775</v>
      </c>
      <c r="J905" s="3">
        <f t="shared" si="111"/>
        <v>68125</v>
      </c>
      <c r="K905" s="5">
        <f t="shared" si="112"/>
        <v>226215</v>
      </c>
      <c r="L905" s="5">
        <f t="shared" si="113"/>
        <v>226215</v>
      </c>
      <c r="M905" s="5">
        <f t="shared" si="114"/>
        <v>0</v>
      </c>
      <c r="N905" s="3"/>
    </row>
    <row r="906" spans="1:14" x14ac:dyDescent="0.25">
      <c r="A906" s="2">
        <v>1220508</v>
      </c>
      <c r="B906" s="3">
        <v>53181.25</v>
      </c>
      <c r="C906" s="3">
        <v>57860</v>
      </c>
      <c r="D906" s="3">
        <v>44712.5</v>
      </c>
      <c r="E906" s="3">
        <v>66406.25</v>
      </c>
      <c r="F906">
        <f t="shared" si="107"/>
        <v>1220508</v>
      </c>
      <c r="G906" s="3">
        <f t="shared" si="108"/>
        <v>53181.25</v>
      </c>
      <c r="H906" s="3">
        <f t="shared" si="109"/>
        <v>57860</v>
      </c>
      <c r="I906" s="3">
        <f t="shared" si="110"/>
        <v>44712.5</v>
      </c>
      <c r="J906" s="3">
        <f t="shared" si="111"/>
        <v>66406.25</v>
      </c>
      <c r="K906" s="5">
        <f t="shared" si="112"/>
        <v>222160</v>
      </c>
      <c r="L906" s="5">
        <f t="shared" si="113"/>
        <v>226215</v>
      </c>
      <c r="M906" s="5">
        <f t="shared" si="114"/>
        <v>-4055</v>
      </c>
      <c r="N906" s="3"/>
    </row>
    <row r="907" spans="1:14" x14ac:dyDescent="0.25">
      <c r="A907" s="2">
        <v>1220509</v>
      </c>
      <c r="B907" s="3">
        <v>52700</v>
      </c>
      <c r="C907" s="3">
        <v>57860</v>
      </c>
      <c r="D907" s="3">
        <v>44943.75</v>
      </c>
      <c r="E907" s="3">
        <v>65937.5</v>
      </c>
      <c r="F907">
        <f t="shared" si="107"/>
        <v>1220509</v>
      </c>
      <c r="G907" s="3">
        <f t="shared" si="108"/>
        <v>52700</v>
      </c>
      <c r="H907" s="3">
        <f t="shared" si="109"/>
        <v>57860</v>
      </c>
      <c r="I907" s="3">
        <f t="shared" si="110"/>
        <v>44943.75</v>
      </c>
      <c r="J907" s="3">
        <f t="shared" si="111"/>
        <v>65937.5</v>
      </c>
      <c r="K907" s="5">
        <f t="shared" si="112"/>
        <v>221441.25</v>
      </c>
      <c r="L907" s="5">
        <f t="shared" si="113"/>
        <v>222160</v>
      </c>
      <c r="M907" s="5">
        <f t="shared" si="114"/>
        <v>-718.75</v>
      </c>
      <c r="N907" s="3"/>
    </row>
    <row r="908" spans="1:14" x14ac:dyDescent="0.25">
      <c r="A908" s="2">
        <v>1220510</v>
      </c>
      <c r="B908" s="3">
        <v>52143.75</v>
      </c>
      <c r="C908" s="3">
        <v>58020</v>
      </c>
      <c r="D908" s="3">
        <v>45387.5</v>
      </c>
      <c r="E908" s="3">
        <v>68203.100000000006</v>
      </c>
      <c r="F908">
        <f t="shared" si="107"/>
        <v>1220510</v>
      </c>
      <c r="G908" s="3">
        <f t="shared" si="108"/>
        <v>52143.75</v>
      </c>
      <c r="H908" s="3">
        <f t="shared" si="109"/>
        <v>58020</v>
      </c>
      <c r="I908" s="3">
        <f t="shared" si="110"/>
        <v>45387.5</v>
      </c>
      <c r="J908" s="3">
        <f t="shared" si="111"/>
        <v>68203.100000000006</v>
      </c>
      <c r="K908" s="5">
        <f t="shared" si="112"/>
        <v>223754.35</v>
      </c>
      <c r="L908" s="5">
        <f t="shared" si="113"/>
        <v>223754.35</v>
      </c>
      <c r="M908" s="5">
        <f t="shared" si="114"/>
        <v>0</v>
      </c>
      <c r="N908" s="3"/>
    </row>
    <row r="909" spans="1:14" x14ac:dyDescent="0.25">
      <c r="A909" s="2">
        <v>1220511</v>
      </c>
      <c r="B909" s="3">
        <v>52025</v>
      </c>
      <c r="C909" s="3">
        <v>58670</v>
      </c>
      <c r="D909" s="3">
        <v>45293.75</v>
      </c>
      <c r="E909" s="3">
        <v>70078.100000000006</v>
      </c>
      <c r="F909">
        <f t="shared" si="107"/>
        <v>1220511</v>
      </c>
      <c r="G909" s="3">
        <f t="shared" si="108"/>
        <v>52025</v>
      </c>
      <c r="H909" s="3">
        <f t="shared" si="109"/>
        <v>58670</v>
      </c>
      <c r="I909" s="3">
        <f t="shared" si="110"/>
        <v>45293.75</v>
      </c>
      <c r="J909" s="3">
        <f t="shared" si="111"/>
        <v>70078.100000000006</v>
      </c>
      <c r="K909" s="5">
        <f t="shared" si="112"/>
        <v>226066.85</v>
      </c>
      <c r="L909" s="5">
        <f t="shared" si="113"/>
        <v>226066.85</v>
      </c>
      <c r="M909" s="5">
        <f t="shared" si="114"/>
        <v>0</v>
      </c>
      <c r="N909" s="3"/>
    </row>
    <row r="910" spans="1:14" x14ac:dyDescent="0.25">
      <c r="A910" s="2">
        <v>1220512</v>
      </c>
      <c r="B910" s="3">
        <v>54100</v>
      </c>
      <c r="C910" s="3">
        <v>55300</v>
      </c>
      <c r="D910" s="3">
        <v>44581.25</v>
      </c>
      <c r="E910" s="3">
        <v>66796.899999999994</v>
      </c>
      <c r="F910">
        <f t="shared" si="107"/>
        <v>1220512</v>
      </c>
      <c r="G910" s="3">
        <f t="shared" si="108"/>
        <v>54100</v>
      </c>
      <c r="H910" s="3">
        <f t="shared" si="109"/>
        <v>55300</v>
      </c>
      <c r="I910" s="3">
        <f t="shared" si="110"/>
        <v>44581.25</v>
      </c>
      <c r="J910" s="3">
        <f t="shared" si="111"/>
        <v>66796.899999999994</v>
      </c>
      <c r="K910" s="5">
        <f t="shared" si="112"/>
        <v>220778.15</v>
      </c>
      <c r="L910" s="5">
        <f t="shared" si="113"/>
        <v>226066.85</v>
      </c>
      <c r="M910" s="5">
        <f t="shared" si="114"/>
        <v>-5288.7000000000116</v>
      </c>
      <c r="N910" s="3"/>
    </row>
    <row r="911" spans="1:14" x14ac:dyDescent="0.25">
      <c r="A911" s="2">
        <v>1220513</v>
      </c>
      <c r="B911" s="3">
        <v>49225</v>
      </c>
      <c r="C911" s="3">
        <v>56710</v>
      </c>
      <c r="D911" s="3">
        <v>44668.75</v>
      </c>
      <c r="E911" s="3">
        <v>66250</v>
      </c>
      <c r="F911">
        <f t="shared" si="107"/>
        <v>1220513</v>
      </c>
      <c r="G911" s="3">
        <f t="shared" si="108"/>
        <v>49225</v>
      </c>
      <c r="H911" s="3">
        <f t="shared" si="109"/>
        <v>56710</v>
      </c>
      <c r="I911" s="3">
        <f t="shared" si="110"/>
        <v>44668.75</v>
      </c>
      <c r="J911" s="3">
        <f t="shared" si="111"/>
        <v>66250</v>
      </c>
      <c r="K911" s="5">
        <f t="shared" si="112"/>
        <v>216853.75</v>
      </c>
      <c r="L911" s="5">
        <f t="shared" si="113"/>
        <v>220778.15</v>
      </c>
      <c r="M911" s="5">
        <f t="shared" si="114"/>
        <v>-3924.3999999999942</v>
      </c>
      <c r="N911" s="3"/>
    </row>
    <row r="912" spans="1:14" x14ac:dyDescent="0.25">
      <c r="A912" s="2">
        <v>1220515</v>
      </c>
      <c r="B912" s="3">
        <v>49531.25</v>
      </c>
      <c r="C912" s="3">
        <v>57720</v>
      </c>
      <c r="D912" s="3">
        <v>45012.5</v>
      </c>
      <c r="E912" s="3">
        <v>67812.5</v>
      </c>
      <c r="F912">
        <f t="shared" si="107"/>
        <v>1220515</v>
      </c>
      <c r="G912" s="3">
        <f t="shared" si="108"/>
        <v>49531.25</v>
      </c>
      <c r="H912" s="3">
        <f t="shared" si="109"/>
        <v>57720</v>
      </c>
      <c r="I912" s="3">
        <f t="shared" si="110"/>
        <v>45012.5</v>
      </c>
      <c r="J912" s="3">
        <f t="shared" si="111"/>
        <v>67812.5</v>
      </c>
      <c r="K912" s="5">
        <f t="shared" si="112"/>
        <v>220076.25</v>
      </c>
      <c r="L912" s="5">
        <f t="shared" si="113"/>
        <v>220076.25</v>
      </c>
      <c r="M912" s="5">
        <f t="shared" si="114"/>
        <v>0</v>
      </c>
      <c r="N912" s="3"/>
    </row>
    <row r="913" spans="1:14" x14ac:dyDescent="0.25">
      <c r="A913" s="2">
        <v>1220516</v>
      </c>
      <c r="B913" s="3">
        <v>48650</v>
      </c>
      <c r="C913" s="3">
        <v>57820</v>
      </c>
      <c r="D913" s="3">
        <v>44725</v>
      </c>
      <c r="E913" s="3">
        <v>66484.399999999994</v>
      </c>
      <c r="F913">
        <f t="shared" si="107"/>
        <v>1220516</v>
      </c>
      <c r="G913" s="3">
        <f t="shared" si="108"/>
        <v>48650</v>
      </c>
      <c r="H913" s="3">
        <f t="shared" si="109"/>
        <v>57820</v>
      </c>
      <c r="I913" s="3">
        <f t="shared" si="110"/>
        <v>44725</v>
      </c>
      <c r="J913" s="3">
        <f t="shared" si="111"/>
        <v>66484.399999999994</v>
      </c>
      <c r="K913" s="5">
        <f t="shared" si="112"/>
        <v>217679.4</v>
      </c>
      <c r="L913" s="5">
        <f t="shared" si="113"/>
        <v>220076.25</v>
      </c>
      <c r="M913" s="5">
        <f t="shared" si="114"/>
        <v>-2396.8500000000058</v>
      </c>
      <c r="N913" s="3"/>
    </row>
    <row r="914" spans="1:14" x14ac:dyDescent="0.25">
      <c r="A914" s="2">
        <v>1220517</v>
      </c>
      <c r="B914" s="3">
        <v>48968.75</v>
      </c>
      <c r="C914" s="3">
        <v>58840</v>
      </c>
      <c r="D914" s="3">
        <v>45012.5</v>
      </c>
      <c r="E914" s="3">
        <v>64687.5</v>
      </c>
      <c r="F914">
        <f t="shared" si="107"/>
        <v>1220517</v>
      </c>
      <c r="G914" s="3">
        <f t="shared" si="108"/>
        <v>48968.75</v>
      </c>
      <c r="H914" s="3">
        <f t="shared" si="109"/>
        <v>58840</v>
      </c>
      <c r="I914" s="3">
        <f t="shared" si="110"/>
        <v>45012.5</v>
      </c>
      <c r="J914" s="3">
        <f t="shared" si="111"/>
        <v>64687.5</v>
      </c>
      <c r="K914" s="5">
        <f t="shared" si="112"/>
        <v>217508.75</v>
      </c>
      <c r="L914" s="5">
        <f t="shared" si="113"/>
        <v>217679.4</v>
      </c>
      <c r="M914" s="5">
        <f t="shared" si="114"/>
        <v>-170.64999999999418</v>
      </c>
      <c r="N914" s="3"/>
    </row>
    <row r="915" spans="1:14" x14ac:dyDescent="0.25">
      <c r="A915" s="2">
        <v>1220518</v>
      </c>
      <c r="B915" s="3">
        <v>50331.25</v>
      </c>
      <c r="C915" s="3">
        <v>56490</v>
      </c>
      <c r="D915" s="3">
        <v>44437.5</v>
      </c>
      <c r="E915" s="3">
        <v>66171.899999999994</v>
      </c>
      <c r="F915">
        <f t="shared" si="107"/>
        <v>1220518</v>
      </c>
      <c r="G915" s="3">
        <f t="shared" si="108"/>
        <v>50331.25</v>
      </c>
      <c r="H915" s="3">
        <f t="shared" si="109"/>
        <v>56490</v>
      </c>
      <c r="I915" s="3">
        <f t="shared" si="110"/>
        <v>44437.5</v>
      </c>
      <c r="J915" s="3">
        <f t="shared" si="111"/>
        <v>66171.899999999994</v>
      </c>
      <c r="K915" s="5">
        <f t="shared" si="112"/>
        <v>217430.65</v>
      </c>
      <c r="L915" s="5">
        <f t="shared" si="113"/>
        <v>217508.75</v>
      </c>
      <c r="M915" s="5">
        <f t="shared" si="114"/>
        <v>-78.100000000005821</v>
      </c>
      <c r="N915" s="3"/>
    </row>
    <row r="916" spans="1:14" x14ac:dyDescent="0.25">
      <c r="A916" s="2">
        <v>1220519</v>
      </c>
      <c r="B916" s="3">
        <v>52406.25</v>
      </c>
      <c r="C916" s="3">
        <v>55520</v>
      </c>
      <c r="D916" s="3">
        <v>44618.75</v>
      </c>
      <c r="E916" s="3">
        <v>67031.25</v>
      </c>
      <c r="F916">
        <f t="shared" si="107"/>
        <v>1220519</v>
      </c>
      <c r="G916" s="3">
        <f t="shared" si="108"/>
        <v>52406.25</v>
      </c>
      <c r="H916" s="3">
        <f t="shared" si="109"/>
        <v>55520</v>
      </c>
      <c r="I916" s="3">
        <f t="shared" si="110"/>
        <v>44618.75</v>
      </c>
      <c r="J916" s="3">
        <f t="shared" si="111"/>
        <v>67031.25</v>
      </c>
      <c r="K916" s="5">
        <f t="shared" si="112"/>
        <v>219576.25</v>
      </c>
      <c r="L916" s="5">
        <f t="shared" si="113"/>
        <v>219576.25</v>
      </c>
      <c r="M916" s="5">
        <f t="shared" si="114"/>
        <v>0</v>
      </c>
      <c r="N916" s="3"/>
    </row>
    <row r="917" spans="1:14" x14ac:dyDescent="0.25">
      <c r="A917" s="2">
        <v>1220520</v>
      </c>
      <c r="B917" s="3">
        <v>52237.5</v>
      </c>
      <c r="C917" s="3">
        <v>57780</v>
      </c>
      <c r="D917" s="3">
        <v>45425</v>
      </c>
      <c r="E917" s="3">
        <v>69531.25</v>
      </c>
      <c r="F917">
        <f t="shared" si="107"/>
        <v>1220520</v>
      </c>
      <c r="G917" s="3">
        <f t="shared" si="108"/>
        <v>52237.5</v>
      </c>
      <c r="H917" s="3">
        <f t="shared" si="109"/>
        <v>57780</v>
      </c>
      <c r="I917" s="3">
        <f t="shared" si="110"/>
        <v>45425</v>
      </c>
      <c r="J917" s="3">
        <f t="shared" si="111"/>
        <v>69531.25</v>
      </c>
      <c r="K917" s="5">
        <f t="shared" si="112"/>
        <v>224973.75</v>
      </c>
      <c r="L917" s="5">
        <f t="shared" si="113"/>
        <v>224973.75</v>
      </c>
      <c r="M917" s="5">
        <f t="shared" si="114"/>
        <v>0</v>
      </c>
      <c r="N917" s="3"/>
    </row>
    <row r="918" spans="1:14" x14ac:dyDescent="0.25">
      <c r="A918" s="2">
        <v>1220522</v>
      </c>
      <c r="B918" s="3">
        <v>51562.5</v>
      </c>
      <c r="C918" s="3">
        <v>58260</v>
      </c>
      <c r="D918" s="3">
        <v>45268.75</v>
      </c>
      <c r="E918" s="3">
        <v>67656.25</v>
      </c>
      <c r="F918">
        <f t="shared" si="107"/>
        <v>1220522</v>
      </c>
      <c r="G918" s="3">
        <f t="shared" si="108"/>
        <v>51562.5</v>
      </c>
      <c r="H918" s="3">
        <f t="shared" si="109"/>
        <v>58260</v>
      </c>
      <c r="I918" s="3">
        <f t="shared" si="110"/>
        <v>45268.75</v>
      </c>
      <c r="J918" s="3">
        <f t="shared" si="111"/>
        <v>67656.25</v>
      </c>
      <c r="K918" s="5">
        <f t="shared" si="112"/>
        <v>222747.5</v>
      </c>
      <c r="L918" s="5">
        <f t="shared" si="113"/>
        <v>224973.75</v>
      </c>
      <c r="M918" s="5">
        <f t="shared" si="114"/>
        <v>-2226.25</v>
      </c>
      <c r="N918" s="3"/>
    </row>
    <row r="919" spans="1:14" x14ac:dyDescent="0.25">
      <c r="A919" s="2">
        <v>1220523</v>
      </c>
      <c r="B919" s="3">
        <v>51450</v>
      </c>
      <c r="C919" s="3">
        <v>58260</v>
      </c>
      <c r="D919" s="3">
        <v>45687.5</v>
      </c>
      <c r="E919" s="3">
        <v>66640.600000000006</v>
      </c>
      <c r="F919">
        <f t="shared" si="107"/>
        <v>1220523</v>
      </c>
      <c r="G919" s="3">
        <f t="shared" si="108"/>
        <v>51450</v>
      </c>
      <c r="H919" s="3">
        <f t="shared" si="109"/>
        <v>58260</v>
      </c>
      <c r="I919" s="3">
        <f t="shared" si="110"/>
        <v>45687.5</v>
      </c>
      <c r="J919" s="3">
        <f t="shared" si="111"/>
        <v>66640.600000000006</v>
      </c>
      <c r="K919" s="5">
        <f t="shared" si="112"/>
        <v>222038.1</v>
      </c>
      <c r="L919" s="5">
        <f t="shared" si="113"/>
        <v>222747.5</v>
      </c>
      <c r="M919" s="5">
        <f t="shared" si="114"/>
        <v>-709.39999999999418</v>
      </c>
      <c r="N919" s="3"/>
    </row>
    <row r="920" spans="1:14" x14ac:dyDescent="0.25">
      <c r="A920" s="2">
        <v>1220524</v>
      </c>
      <c r="B920" s="3">
        <v>50306.25</v>
      </c>
      <c r="C920" s="3">
        <v>57960</v>
      </c>
      <c r="D920" s="3">
        <v>45350</v>
      </c>
      <c r="E920" s="3">
        <v>65390.600000000006</v>
      </c>
      <c r="F920">
        <f t="shared" si="107"/>
        <v>1220524</v>
      </c>
      <c r="G920" s="3">
        <f t="shared" si="108"/>
        <v>50306.25</v>
      </c>
      <c r="H920" s="3">
        <f t="shared" si="109"/>
        <v>57960</v>
      </c>
      <c r="I920" s="3">
        <f t="shared" si="110"/>
        <v>45350</v>
      </c>
      <c r="J920" s="3">
        <f t="shared" si="111"/>
        <v>65390.600000000006</v>
      </c>
      <c r="K920" s="5">
        <f t="shared" si="112"/>
        <v>219006.85</v>
      </c>
      <c r="L920" s="5">
        <f t="shared" si="113"/>
        <v>222038.1</v>
      </c>
      <c r="M920" s="5">
        <f t="shared" si="114"/>
        <v>-3031.25</v>
      </c>
      <c r="N920" s="3"/>
    </row>
    <row r="921" spans="1:14" x14ac:dyDescent="0.25">
      <c r="A921" s="2">
        <v>1220525</v>
      </c>
      <c r="B921" s="3">
        <v>48331.25</v>
      </c>
      <c r="C921" s="3">
        <v>58300</v>
      </c>
      <c r="D921" s="3">
        <v>45000</v>
      </c>
      <c r="E921" s="3">
        <v>65000</v>
      </c>
      <c r="F921">
        <f t="shared" ref="F921:F984" si="115">+A921</f>
        <v>1220525</v>
      </c>
      <c r="G921" s="3">
        <f t="shared" si="108"/>
        <v>48331.25</v>
      </c>
      <c r="H921" s="3">
        <f t="shared" si="109"/>
        <v>58300</v>
      </c>
      <c r="I921" s="3">
        <f t="shared" si="110"/>
        <v>45000</v>
      </c>
      <c r="J921" s="3">
        <f t="shared" si="111"/>
        <v>65000</v>
      </c>
      <c r="K921" s="5">
        <f t="shared" si="112"/>
        <v>216631.25</v>
      </c>
      <c r="L921" s="5">
        <f t="shared" si="113"/>
        <v>219006.85</v>
      </c>
      <c r="M921" s="5">
        <f t="shared" si="114"/>
        <v>-2375.6000000000058</v>
      </c>
      <c r="N921" s="3"/>
    </row>
    <row r="922" spans="1:14" x14ac:dyDescent="0.25">
      <c r="A922" s="2">
        <v>1220526</v>
      </c>
      <c r="B922" s="3">
        <v>48100</v>
      </c>
      <c r="C922" s="3">
        <v>58210</v>
      </c>
      <c r="D922" s="3">
        <v>44787.5</v>
      </c>
      <c r="E922" s="3">
        <v>66328.100000000006</v>
      </c>
      <c r="F922">
        <f t="shared" si="115"/>
        <v>1220526</v>
      </c>
      <c r="G922" s="3">
        <f t="shared" ref="G922:G985" si="116">+IF(B922&lt;&gt;0,B922,B921)</f>
        <v>48100</v>
      </c>
      <c r="H922" s="3">
        <f t="shared" ref="H922:H985" si="117">+IF(C922&lt;&gt;0,C922,C921)</f>
        <v>58210</v>
      </c>
      <c r="I922" s="3">
        <f t="shared" ref="I922:I985" si="118">+IF(D922&lt;&gt;0,D922,D921)</f>
        <v>44787.5</v>
      </c>
      <c r="J922" s="3">
        <f t="shared" ref="J922:J985" si="119">+IF(E922&lt;&gt;0,E922,E921)</f>
        <v>66328.100000000006</v>
      </c>
      <c r="K922" s="5">
        <f t="shared" ref="K922:K985" si="120">+SUM(G922:J922)</f>
        <v>217425.6</v>
      </c>
      <c r="L922" s="5">
        <f t="shared" si="113"/>
        <v>217425.6</v>
      </c>
      <c r="M922" s="5">
        <f t="shared" si="114"/>
        <v>0</v>
      </c>
      <c r="N922" s="3"/>
    </row>
    <row r="923" spans="1:14" x14ac:dyDescent="0.25">
      <c r="A923" s="2">
        <v>1220527</v>
      </c>
      <c r="B923" s="3">
        <v>50250</v>
      </c>
      <c r="C923" s="3">
        <v>57560</v>
      </c>
      <c r="D923" s="3">
        <v>44368.75</v>
      </c>
      <c r="E923" s="3">
        <v>63750</v>
      </c>
      <c r="F923">
        <f t="shared" si="115"/>
        <v>1220527</v>
      </c>
      <c r="G923" s="3">
        <f t="shared" si="116"/>
        <v>50250</v>
      </c>
      <c r="H923" s="3">
        <f t="shared" si="117"/>
        <v>57560</v>
      </c>
      <c r="I923" s="3">
        <f t="shared" si="118"/>
        <v>44368.75</v>
      </c>
      <c r="J923" s="3">
        <f t="shared" si="119"/>
        <v>63750</v>
      </c>
      <c r="K923" s="5">
        <f t="shared" si="120"/>
        <v>215928.75</v>
      </c>
      <c r="L923" s="5">
        <f t="shared" ref="L923:L986" si="121">+IF(K923&gt;K922,K923,K922)</f>
        <v>217425.6</v>
      </c>
      <c r="M923" s="5">
        <f t="shared" ref="M923:M986" si="122">+K923-L923</f>
        <v>-1496.8500000000058</v>
      </c>
      <c r="N923" s="3"/>
    </row>
    <row r="924" spans="1:14" x14ac:dyDescent="0.25">
      <c r="A924" s="2">
        <v>1220529</v>
      </c>
      <c r="B924" s="3">
        <v>53037.5</v>
      </c>
      <c r="C924" s="3">
        <v>56420</v>
      </c>
      <c r="D924" s="3">
        <v>44325</v>
      </c>
      <c r="E924" s="3">
        <v>62265.600000000006</v>
      </c>
      <c r="F924">
        <f t="shared" si="115"/>
        <v>1220529</v>
      </c>
      <c r="G924" s="3">
        <f t="shared" si="116"/>
        <v>53037.5</v>
      </c>
      <c r="H924" s="3">
        <f t="shared" si="117"/>
        <v>56420</v>
      </c>
      <c r="I924" s="3">
        <f t="shared" si="118"/>
        <v>44325</v>
      </c>
      <c r="J924" s="3">
        <f t="shared" si="119"/>
        <v>62265.600000000006</v>
      </c>
      <c r="K924" s="5">
        <f t="shared" si="120"/>
        <v>216048.1</v>
      </c>
      <c r="L924" s="5">
        <f t="shared" si="121"/>
        <v>216048.1</v>
      </c>
      <c r="M924" s="5">
        <f t="shared" si="122"/>
        <v>0</v>
      </c>
      <c r="N924" s="3"/>
    </row>
    <row r="925" spans="1:14" x14ac:dyDescent="0.25">
      <c r="A925" s="2">
        <v>1220530</v>
      </c>
      <c r="B925" s="3">
        <v>53393.75</v>
      </c>
      <c r="C925" s="3">
        <v>55410</v>
      </c>
      <c r="D925" s="3">
        <v>44112.5</v>
      </c>
      <c r="E925" s="3">
        <v>61718.75</v>
      </c>
      <c r="F925">
        <f t="shared" si="115"/>
        <v>1220530</v>
      </c>
      <c r="G925" s="3">
        <f t="shared" si="116"/>
        <v>53393.75</v>
      </c>
      <c r="H925" s="3">
        <f t="shared" si="117"/>
        <v>55410</v>
      </c>
      <c r="I925" s="3">
        <f t="shared" si="118"/>
        <v>44112.5</v>
      </c>
      <c r="J925" s="3">
        <f t="shared" si="119"/>
        <v>61718.75</v>
      </c>
      <c r="K925" s="5">
        <f t="shared" si="120"/>
        <v>214635</v>
      </c>
      <c r="L925" s="5">
        <f t="shared" si="121"/>
        <v>216048.1</v>
      </c>
      <c r="M925" s="5">
        <f t="shared" si="122"/>
        <v>-1413.1000000000058</v>
      </c>
      <c r="N925" s="3"/>
    </row>
    <row r="926" spans="1:14" x14ac:dyDescent="0.25">
      <c r="A926" s="2">
        <v>1220531</v>
      </c>
      <c r="B926" s="3">
        <v>53112.5</v>
      </c>
      <c r="C926" s="3">
        <v>55610</v>
      </c>
      <c r="D926" s="3">
        <v>44218.75</v>
      </c>
      <c r="E926" s="3">
        <v>60312.5</v>
      </c>
      <c r="F926">
        <f t="shared" si="115"/>
        <v>1220531</v>
      </c>
      <c r="G926" s="3">
        <f t="shared" si="116"/>
        <v>53112.5</v>
      </c>
      <c r="H926" s="3">
        <f t="shared" si="117"/>
        <v>55610</v>
      </c>
      <c r="I926" s="3">
        <f t="shared" si="118"/>
        <v>44218.75</v>
      </c>
      <c r="J926" s="3">
        <f t="shared" si="119"/>
        <v>60312.5</v>
      </c>
      <c r="K926" s="5">
        <f t="shared" si="120"/>
        <v>213253.75</v>
      </c>
      <c r="L926" s="5">
        <f t="shared" si="121"/>
        <v>214635</v>
      </c>
      <c r="M926" s="5">
        <f t="shared" si="122"/>
        <v>-1381.25</v>
      </c>
      <c r="N926" s="3"/>
    </row>
    <row r="927" spans="1:14" x14ac:dyDescent="0.25">
      <c r="A927" s="2">
        <v>1220601</v>
      </c>
      <c r="B927" s="3">
        <v>53550</v>
      </c>
      <c r="C927" s="3">
        <v>55980</v>
      </c>
      <c r="D927" s="3">
        <v>45143.75</v>
      </c>
      <c r="E927" s="3">
        <v>61015.600000000006</v>
      </c>
      <c r="F927">
        <f t="shared" si="115"/>
        <v>1220601</v>
      </c>
      <c r="G927" s="3">
        <f t="shared" si="116"/>
        <v>53550</v>
      </c>
      <c r="H927" s="3">
        <f t="shared" si="117"/>
        <v>55980</v>
      </c>
      <c r="I927" s="3">
        <f t="shared" si="118"/>
        <v>45143.75</v>
      </c>
      <c r="J927" s="3">
        <f t="shared" si="119"/>
        <v>61015.600000000006</v>
      </c>
      <c r="K927" s="5">
        <f t="shared" si="120"/>
        <v>215689.35</v>
      </c>
      <c r="L927" s="5">
        <f t="shared" si="121"/>
        <v>215689.35</v>
      </c>
      <c r="M927" s="5">
        <f t="shared" si="122"/>
        <v>0</v>
      </c>
      <c r="N927" s="3"/>
    </row>
    <row r="928" spans="1:14" x14ac:dyDescent="0.25">
      <c r="A928" s="2">
        <v>1220602</v>
      </c>
      <c r="B928" s="3">
        <v>54118.75</v>
      </c>
      <c r="C928" s="3">
        <v>56580</v>
      </c>
      <c r="D928" s="3">
        <v>45312.5</v>
      </c>
      <c r="E928" s="3">
        <v>61015.600000000006</v>
      </c>
      <c r="F928">
        <f t="shared" si="115"/>
        <v>1220602</v>
      </c>
      <c r="G928" s="3">
        <f t="shared" si="116"/>
        <v>54118.75</v>
      </c>
      <c r="H928" s="3">
        <f t="shared" si="117"/>
        <v>56580</v>
      </c>
      <c r="I928" s="3">
        <f t="shared" si="118"/>
        <v>45312.5</v>
      </c>
      <c r="J928" s="3">
        <f t="shared" si="119"/>
        <v>61015.600000000006</v>
      </c>
      <c r="K928" s="5">
        <f t="shared" si="120"/>
        <v>217026.85</v>
      </c>
      <c r="L928" s="5">
        <f t="shared" si="121"/>
        <v>217026.85</v>
      </c>
      <c r="M928" s="5">
        <f t="shared" si="122"/>
        <v>0</v>
      </c>
      <c r="N928" s="3"/>
    </row>
    <row r="929" spans="1:14" x14ac:dyDescent="0.25">
      <c r="A929" s="2">
        <v>1220603</v>
      </c>
      <c r="B929" s="3">
        <v>54887.5</v>
      </c>
      <c r="C929" s="3">
        <v>58600</v>
      </c>
      <c r="D929" s="3">
        <v>44118.75</v>
      </c>
      <c r="E929" s="3">
        <v>60156.25</v>
      </c>
      <c r="F929">
        <f t="shared" si="115"/>
        <v>1220603</v>
      </c>
      <c r="G929" s="3">
        <f t="shared" si="116"/>
        <v>54887.5</v>
      </c>
      <c r="H929" s="3">
        <f t="shared" si="117"/>
        <v>58600</v>
      </c>
      <c r="I929" s="3">
        <f t="shared" si="118"/>
        <v>44118.75</v>
      </c>
      <c r="J929" s="3">
        <f t="shared" si="119"/>
        <v>60156.25</v>
      </c>
      <c r="K929" s="5">
        <f t="shared" si="120"/>
        <v>217762.5</v>
      </c>
      <c r="L929" s="5">
        <f t="shared" si="121"/>
        <v>217762.5</v>
      </c>
      <c r="M929" s="5">
        <f t="shared" si="122"/>
        <v>0</v>
      </c>
      <c r="N929" s="3"/>
    </row>
    <row r="930" spans="1:14" x14ac:dyDescent="0.25">
      <c r="A930" s="2">
        <v>1220605</v>
      </c>
      <c r="B930" s="3">
        <v>53531.25</v>
      </c>
      <c r="C930" s="3">
        <v>59820</v>
      </c>
      <c r="D930" s="3">
        <v>44312.5</v>
      </c>
      <c r="E930" s="3">
        <v>60234.399999999994</v>
      </c>
      <c r="F930">
        <f t="shared" si="115"/>
        <v>1220605</v>
      </c>
      <c r="G930" s="3">
        <f t="shared" si="116"/>
        <v>53531.25</v>
      </c>
      <c r="H930" s="3">
        <f t="shared" si="117"/>
        <v>59820</v>
      </c>
      <c r="I930" s="3">
        <f t="shared" si="118"/>
        <v>44312.5</v>
      </c>
      <c r="J930" s="3">
        <f t="shared" si="119"/>
        <v>60234.399999999994</v>
      </c>
      <c r="K930" s="5">
        <f t="shared" si="120"/>
        <v>217898.15</v>
      </c>
      <c r="L930" s="5">
        <f t="shared" si="121"/>
        <v>217898.15</v>
      </c>
      <c r="M930" s="5">
        <f t="shared" si="122"/>
        <v>0</v>
      </c>
      <c r="N930" s="3"/>
    </row>
    <row r="931" spans="1:14" x14ac:dyDescent="0.25">
      <c r="A931" s="2">
        <v>1220606</v>
      </c>
      <c r="B931" s="3">
        <v>52993.75</v>
      </c>
      <c r="C931" s="3">
        <v>59450</v>
      </c>
      <c r="D931" s="3">
        <v>44200</v>
      </c>
      <c r="E931" s="3">
        <v>60312.5</v>
      </c>
      <c r="F931">
        <f t="shared" si="115"/>
        <v>1220606</v>
      </c>
      <c r="G931" s="3">
        <f t="shared" si="116"/>
        <v>52993.75</v>
      </c>
      <c r="H931" s="3">
        <f t="shared" si="117"/>
        <v>59450</v>
      </c>
      <c r="I931" s="3">
        <f t="shared" si="118"/>
        <v>44200</v>
      </c>
      <c r="J931" s="3">
        <f t="shared" si="119"/>
        <v>60312.5</v>
      </c>
      <c r="K931" s="5">
        <f t="shared" si="120"/>
        <v>216956.25</v>
      </c>
      <c r="L931" s="5">
        <f t="shared" si="121"/>
        <v>217898.15</v>
      </c>
      <c r="M931" s="5">
        <f t="shared" si="122"/>
        <v>-941.89999999999418</v>
      </c>
      <c r="N931" s="3"/>
    </row>
    <row r="932" spans="1:14" x14ac:dyDescent="0.25">
      <c r="A932" s="2">
        <v>1220607</v>
      </c>
      <c r="B932" s="3">
        <v>51825</v>
      </c>
      <c r="C932" s="3">
        <v>57580</v>
      </c>
      <c r="D932" s="3">
        <v>45843.75</v>
      </c>
      <c r="E932" s="3">
        <v>64531.25</v>
      </c>
      <c r="F932">
        <f t="shared" si="115"/>
        <v>1220607</v>
      </c>
      <c r="G932" s="3">
        <f t="shared" si="116"/>
        <v>51825</v>
      </c>
      <c r="H932" s="3">
        <f t="shared" si="117"/>
        <v>57580</v>
      </c>
      <c r="I932" s="3">
        <f t="shared" si="118"/>
        <v>45843.75</v>
      </c>
      <c r="J932" s="3">
        <f t="shared" si="119"/>
        <v>64531.25</v>
      </c>
      <c r="K932" s="5">
        <f t="shared" si="120"/>
        <v>219780</v>
      </c>
      <c r="L932" s="5">
        <f t="shared" si="121"/>
        <v>219780</v>
      </c>
      <c r="M932" s="5">
        <f t="shared" si="122"/>
        <v>0</v>
      </c>
      <c r="N932" s="3"/>
    </row>
    <row r="933" spans="1:14" x14ac:dyDescent="0.25">
      <c r="A933" s="2">
        <v>1220608</v>
      </c>
      <c r="B933" s="3">
        <v>52231.25</v>
      </c>
      <c r="C933" s="3">
        <v>58750</v>
      </c>
      <c r="D933" s="3">
        <v>45650</v>
      </c>
      <c r="E933" s="3">
        <v>62812.5</v>
      </c>
      <c r="F933">
        <f t="shared" si="115"/>
        <v>1220608</v>
      </c>
      <c r="G933" s="3">
        <f t="shared" si="116"/>
        <v>52231.25</v>
      </c>
      <c r="H933" s="3">
        <f t="shared" si="117"/>
        <v>58750</v>
      </c>
      <c r="I933" s="3">
        <f t="shared" si="118"/>
        <v>45650</v>
      </c>
      <c r="J933" s="3">
        <f t="shared" si="119"/>
        <v>62812.5</v>
      </c>
      <c r="K933" s="5">
        <f t="shared" si="120"/>
        <v>219443.75</v>
      </c>
      <c r="L933" s="5">
        <f t="shared" si="121"/>
        <v>219780</v>
      </c>
      <c r="M933" s="5">
        <f t="shared" si="122"/>
        <v>-336.25</v>
      </c>
      <c r="N933" s="3"/>
    </row>
    <row r="934" spans="1:14" x14ac:dyDescent="0.25">
      <c r="A934" s="2">
        <v>1220609</v>
      </c>
      <c r="B934" s="3">
        <v>52918.75</v>
      </c>
      <c r="C934" s="3">
        <v>57920</v>
      </c>
      <c r="D934" s="3">
        <v>46312.5</v>
      </c>
      <c r="E934" s="3">
        <v>62656.25</v>
      </c>
      <c r="F934">
        <f t="shared" si="115"/>
        <v>1220609</v>
      </c>
      <c r="G934" s="3">
        <f t="shared" si="116"/>
        <v>52918.75</v>
      </c>
      <c r="H934" s="3">
        <f t="shared" si="117"/>
        <v>57920</v>
      </c>
      <c r="I934" s="3">
        <f t="shared" si="118"/>
        <v>46312.5</v>
      </c>
      <c r="J934" s="3">
        <f t="shared" si="119"/>
        <v>62656.25</v>
      </c>
      <c r="K934" s="5">
        <f t="shared" si="120"/>
        <v>219807.5</v>
      </c>
      <c r="L934" s="5">
        <f t="shared" si="121"/>
        <v>219807.5</v>
      </c>
      <c r="M934" s="5">
        <f t="shared" si="122"/>
        <v>0</v>
      </c>
      <c r="N934" s="3"/>
    </row>
    <row r="935" spans="1:14" x14ac:dyDescent="0.25">
      <c r="A935" s="2">
        <v>1220610</v>
      </c>
      <c r="B935" s="3">
        <v>55025</v>
      </c>
      <c r="C935" s="3">
        <v>57680</v>
      </c>
      <c r="D935" s="3">
        <v>46343.75</v>
      </c>
      <c r="E935" s="3">
        <v>63515.600000000006</v>
      </c>
      <c r="F935">
        <f t="shared" si="115"/>
        <v>1220610</v>
      </c>
      <c r="G935" s="3">
        <f t="shared" si="116"/>
        <v>55025</v>
      </c>
      <c r="H935" s="3">
        <f t="shared" si="117"/>
        <v>57680</v>
      </c>
      <c r="I935" s="3">
        <f t="shared" si="118"/>
        <v>46343.75</v>
      </c>
      <c r="J935" s="3">
        <f t="shared" si="119"/>
        <v>63515.600000000006</v>
      </c>
      <c r="K935" s="5">
        <f t="shared" si="120"/>
        <v>222564.35</v>
      </c>
      <c r="L935" s="5">
        <f t="shared" si="121"/>
        <v>222564.35</v>
      </c>
      <c r="M935" s="5">
        <f t="shared" si="122"/>
        <v>0</v>
      </c>
      <c r="N935" s="3"/>
    </row>
    <row r="936" spans="1:14" x14ac:dyDescent="0.25">
      <c r="A936" s="2">
        <v>1220612</v>
      </c>
      <c r="B936" s="3">
        <v>58006.25</v>
      </c>
      <c r="C936" s="3">
        <v>54360</v>
      </c>
      <c r="D936" s="3">
        <v>46650</v>
      </c>
      <c r="E936" s="3">
        <v>66015.600000000006</v>
      </c>
      <c r="F936">
        <f t="shared" si="115"/>
        <v>1220612</v>
      </c>
      <c r="G936" s="3">
        <f t="shared" si="116"/>
        <v>58006.25</v>
      </c>
      <c r="H936" s="3">
        <f t="shared" si="117"/>
        <v>54360</v>
      </c>
      <c r="I936" s="3">
        <f t="shared" si="118"/>
        <v>46650</v>
      </c>
      <c r="J936" s="3">
        <f t="shared" si="119"/>
        <v>66015.600000000006</v>
      </c>
      <c r="K936" s="5">
        <f t="shared" si="120"/>
        <v>225031.85</v>
      </c>
      <c r="L936" s="5">
        <f t="shared" si="121"/>
        <v>225031.85</v>
      </c>
      <c r="M936" s="5">
        <f t="shared" si="122"/>
        <v>0</v>
      </c>
      <c r="N936" s="3"/>
    </row>
    <row r="937" spans="1:14" x14ac:dyDescent="0.25">
      <c r="A937" s="2">
        <v>1220613</v>
      </c>
      <c r="B937" s="3">
        <v>58006.25</v>
      </c>
      <c r="C937" s="3">
        <v>55670</v>
      </c>
      <c r="D937" s="3">
        <v>46881.25</v>
      </c>
      <c r="E937" s="3">
        <v>67343.75</v>
      </c>
      <c r="F937">
        <f t="shared" si="115"/>
        <v>1220613</v>
      </c>
      <c r="G937" s="3">
        <f t="shared" si="116"/>
        <v>58006.25</v>
      </c>
      <c r="H937" s="3">
        <f t="shared" si="117"/>
        <v>55670</v>
      </c>
      <c r="I937" s="3">
        <f t="shared" si="118"/>
        <v>46881.25</v>
      </c>
      <c r="J937" s="3">
        <f t="shared" si="119"/>
        <v>67343.75</v>
      </c>
      <c r="K937" s="5">
        <f t="shared" si="120"/>
        <v>227901.25</v>
      </c>
      <c r="L937" s="5">
        <f t="shared" si="121"/>
        <v>227901.25</v>
      </c>
      <c r="M937" s="5">
        <f t="shared" si="122"/>
        <v>0</v>
      </c>
      <c r="N937" s="3"/>
    </row>
    <row r="938" spans="1:14" x14ac:dyDescent="0.25">
      <c r="A938" s="2">
        <v>1220614</v>
      </c>
      <c r="B938" s="3">
        <v>58012.5</v>
      </c>
      <c r="C938" s="3">
        <v>59690</v>
      </c>
      <c r="D938" s="3">
        <v>46012.5</v>
      </c>
      <c r="E938" s="3">
        <v>73359.399999999994</v>
      </c>
      <c r="F938">
        <f t="shared" si="115"/>
        <v>1220614</v>
      </c>
      <c r="G938" s="3">
        <f t="shared" si="116"/>
        <v>58012.5</v>
      </c>
      <c r="H938" s="3">
        <f t="shared" si="117"/>
        <v>59690</v>
      </c>
      <c r="I938" s="3">
        <f t="shared" si="118"/>
        <v>46012.5</v>
      </c>
      <c r="J938" s="3">
        <f t="shared" si="119"/>
        <v>73359.399999999994</v>
      </c>
      <c r="K938" s="5">
        <f t="shared" si="120"/>
        <v>237074.4</v>
      </c>
      <c r="L938" s="5">
        <f t="shared" si="121"/>
        <v>237074.4</v>
      </c>
      <c r="M938" s="5">
        <f t="shared" si="122"/>
        <v>0</v>
      </c>
      <c r="N938" s="3"/>
    </row>
    <row r="939" spans="1:14" x14ac:dyDescent="0.25">
      <c r="A939" s="2">
        <v>1220615</v>
      </c>
      <c r="B939" s="3">
        <v>59037.5</v>
      </c>
      <c r="C939" s="3">
        <v>60650</v>
      </c>
      <c r="D939" s="3">
        <v>46243.75</v>
      </c>
      <c r="E939" s="3">
        <v>75937.5</v>
      </c>
      <c r="F939">
        <f t="shared" si="115"/>
        <v>1220615</v>
      </c>
      <c r="G939" s="3">
        <f t="shared" si="116"/>
        <v>59037.5</v>
      </c>
      <c r="H939" s="3">
        <f t="shared" si="117"/>
        <v>60650</v>
      </c>
      <c r="I939" s="3">
        <f t="shared" si="118"/>
        <v>46243.75</v>
      </c>
      <c r="J939" s="3">
        <f t="shared" si="119"/>
        <v>75937.5</v>
      </c>
      <c r="K939" s="5">
        <f t="shared" si="120"/>
        <v>241868.75</v>
      </c>
      <c r="L939" s="5">
        <f t="shared" si="121"/>
        <v>241868.75</v>
      </c>
      <c r="M939" s="5">
        <f t="shared" si="122"/>
        <v>0</v>
      </c>
      <c r="N939" s="3"/>
    </row>
    <row r="940" spans="1:14" x14ac:dyDescent="0.25">
      <c r="A940" s="2">
        <v>1220616</v>
      </c>
      <c r="B940" s="3">
        <v>54975</v>
      </c>
      <c r="C940" s="3">
        <v>61580</v>
      </c>
      <c r="D940" s="3">
        <v>44618.75</v>
      </c>
      <c r="E940" s="3">
        <v>74609.399999999994</v>
      </c>
      <c r="F940">
        <f t="shared" si="115"/>
        <v>1220616</v>
      </c>
      <c r="G940" s="3">
        <f t="shared" si="116"/>
        <v>54975</v>
      </c>
      <c r="H940" s="3">
        <f t="shared" si="117"/>
        <v>61580</v>
      </c>
      <c r="I940" s="3">
        <f t="shared" si="118"/>
        <v>44618.75</v>
      </c>
      <c r="J940" s="3">
        <f t="shared" si="119"/>
        <v>74609.399999999994</v>
      </c>
      <c r="K940" s="5">
        <f t="shared" si="120"/>
        <v>235783.15</v>
      </c>
      <c r="L940" s="5">
        <f t="shared" si="121"/>
        <v>241868.75</v>
      </c>
      <c r="M940" s="5">
        <f t="shared" si="122"/>
        <v>-6085.6000000000058</v>
      </c>
      <c r="N940" s="3"/>
    </row>
    <row r="941" spans="1:14" x14ac:dyDescent="0.25">
      <c r="A941" s="2">
        <v>1220617</v>
      </c>
      <c r="B941" s="3">
        <v>58125</v>
      </c>
      <c r="C941" s="3">
        <v>59180</v>
      </c>
      <c r="D941" s="3">
        <v>43906.25</v>
      </c>
      <c r="E941" s="3">
        <v>60468.75</v>
      </c>
      <c r="F941">
        <f t="shared" si="115"/>
        <v>1220617</v>
      </c>
      <c r="G941" s="3">
        <f t="shared" si="116"/>
        <v>58125</v>
      </c>
      <c r="H941" s="3">
        <f t="shared" si="117"/>
        <v>59180</v>
      </c>
      <c r="I941" s="3">
        <f t="shared" si="118"/>
        <v>43906.25</v>
      </c>
      <c r="J941" s="3">
        <f t="shared" si="119"/>
        <v>60468.75</v>
      </c>
      <c r="K941" s="5">
        <f t="shared" si="120"/>
        <v>221680</v>
      </c>
      <c r="L941" s="5">
        <f t="shared" si="121"/>
        <v>235783.15</v>
      </c>
      <c r="M941" s="5">
        <f t="shared" si="122"/>
        <v>-14103.149999999994</v>
      </c>
      <c r="N941" s="3"/>
    </row>
    <row r="942" spans="1:14" x14ac:dyDescent="0.25">
      <c r="A942" s="2">
        <v>1220619</v>
      </c>
      <c r="B942" s="3">
        <v>57337.5</v>
      </c>
      <c r="C942" s="3">
        <v>57170</v>
      </c>
      <c r="D942" s="3">
        <v>44850</v>
      </c>
      <c r="E942" s="3">
        <v>54609.399999999994</v>
      </c>
      <c r="F942">
        <f t="shared" si="115"/>
        <v>1220619</v>
      </c>
      <c r="G942" s="3">
        <f t="shared" si="116"/>
        <v>57337.5</v>
      </c>
      <c r="H942" s="3">
        <f t="shared" si="117"/>
        <v>57170</v>
      </c>
      <c r="I942" s="3">
        <f t="shared" si="118"/>
        <v>44850</v>
      </c>
      <c r="J942" s="3">
        <f t="shared" si="119"/>
        <v>54609.399999999994</v>
      </c>
      <c r="K942" s="5">
        <f t="shared" si="120"/>
        <v>213966.9</v>
      </c>
      <c r="L942" s="5">
        <f t="shared" si="121"/>
        <v>221680</v>
      </c>
      <c r="M942" s="5">
        <f t="shared" si="122"/>
        <v>-7713.1000000000058</v>
      </c>
      <c r="N942" s="3"/>
    </row>
    <row r="943" spans="1:14" x14ac:dyDescent="0.25">
      <c r="A943" s="2">
        <v>1220620</v>
      </c>
      <c r="B943" s="3">
        <v>57818.75</v>
      </c>
      <c r="C943" s="3">
        <v>57680</v>
      </c>
      <c r="D943" s="3">
        <v>44675</v>
      </c>
      <c r="E943" s="3">
        <v>53906.25</v>
      </c>
      <c r="F943">
        <f t="shared" si="115"/>
        <v>1220620</v>
      </c>
      <c r="G943" s="3">
        <f t="shared" si="116"/>
        <v>57818.75</v>
      </c>
      <c r="H943" s="3">
        <f t="shared" si="117"/>
        <v>57680</v>
      </c>
      <c r="I943" s="3">
        <f t="shared" si="118"/>
        <v>44675</v>
      </c>
      <c r="J943" s="3">
        <f t="shared" si="119"/>
        <v>53906.25</v>
      </c>
      <c r="K943" s="5">
        <f t="shared" si="120"/>
        <v>214080</v>
      </c>
      <c r="L943" s="5">
        <f t="shared" si="121"/>
        <v>214080</v>
      </c>
      <c r="M943" s="5">
        <f t="shared" si="122"/>
        <v>0</v>
      </c>
      <c r="N943" s="3"/>
    </row>
    <row r="944" spans="1:14" x14ac:dyDescent="0.25">
      <c r="A944" s="2">
        <v>1220621</v>
      </c>
      <c r="B944" s="3">
        <v>57787.5</v>
      </c>
      <c r="C944" s="3">
        <v>57380</v>
      </c>
      <c r="D944" s="3">
        <v>44787.5</v>
      </c>
      <c r="E944" s="3">
        <v>55390.600000000006</v>
      </c>
      <c r="F944">
        <f t="shared" si="115"/>
        <v>1220621</v>
      </c>
      <c r="G944" s="3">
        <f t="shared" si="116"/>
        <v>57787.5</v>
      </c>
      <c r="H944" s="3">
        <f t="shared" si="117"/>
        <v>57380</v>
      </c>
      <c r="I944" s="3">
        <f t="shared" si="118"/>
        <v>44787.5</v>
      </c>
      <c r="J944" s="3">
        <f t="shared" si="119"/>
        <v>55390.600000000006</v>
      </c>
      <c r="K944" s="5">
        <f t="shared" si="120"/>
        <v>215345.6</v>
      </c>
      <c r="L944" s="5">
        <f t="shared" si="121"/>
        <v>215345.6</v>
      </c>
      <c r="M944" s="5">
        <f t="shared" si="122"/>
        <v>0</v>
      </c>
      <c r="N944" s="3"/>
    </row>
    <row r="945" spans="1:14" x14ac:dyDescent="0.25">
      <c r="A945" s="2">
        <v>1220622</v>
      </c>
      <c r="B945" s="3">
        <v>58612.5</v>
      </c>
      <c r="C945" s="3">
        <v>57860</v>
      </c>
      <c r="D945" s="3">
        <v>45537.5</v>
      </c>
      <c r="E945" s="3">
        <v>54296.899999999994</v>
      </c>
      <c r="F945">
        <f t="shared" si="115"/>
        <v>1220622</v>
      </c>
      <c r="G945" s="3">
        <f t="shared" si="116"/>
        <v>58612.5</v>
      </c>
      <c r="H945" s="3">
        <f t="shared" si="117"/>
        <v>57860</v>
      </c>
      <c r="I945" s="3">
        <f t="shared" si="118"/>
        <v>45537.5</v>
      </c>
      <c r="J945" s="3">
        <f t="shared" si="119"/>
        <v>54296.899999999994</v>
      </c>
      <c r="K945" s="5">
        <f t="shared" si="120"/>
        <v>216306.9</v>
      </c>
      <c r="L945" s="5">
        <f t="shared" si="121"/>
        <v>216306.9</v>
      </c>
      <c r="M945" s="5">
        <f t="shared" si="122"/>
        <v>0</v>
      </c>
      <c r="N945" s="3"/>
    </row>
    <row r="946" spans="1:14" x14ac:dyDescent="0.25">
      <c r="A946" s="2">
        <v>1220623</v>
      </c>
      <c r="B946" s="3">
        <v>58493.75</v>
      </c>
      <c r="C946" s="3">
        <v>57390</v>
      </c>
      <c r="D946" s="3">
        <v>45500</v>
      </c>
      <c r="E946" s="3">
        <v>58828.100000000006</v>
      </c>
      <c r="F946">
        <f t="shared" si="115"/>
        <v>1220623</v>
      </c>
      <c r="G946" s="3">
        <f t="shared" si="116"/>
        <v>58493.75</v>
      </c>
      <c r="H946" s="3">
        <f t="shared" si="117"/>
        <v>57390</v>
      </c>
      <c r="I946" s="3">
        <f t="shared" si="118"/>
        <v>45500</v>
      </c>
      <c r="J946" s="3">
        <f t="shared" si="119"/>
        <v>58828.100000000006</v>
      </c>
      <c r="K946" s="5">
        <f t="shared" si="120"/>
        <v>220211.85</v>
      </c>
      <c r="L946" s="5">
        <f t="shared" si="121"/>
        <v>220211.85</v>
      </c>
      <c r="M946" s="5">
        <f t="shared" si="122"/>
        <v>0</v>
      </c>
      <c r="N946" s="3"/>
    </row>
    <row r="947" spans="1:14" x14ac:dyDescent="0.25">
      <c r="A947" s="2">
        <v>1220624</v>
      </c>
      <c r="B947" s="3">
        <v>58781.25</v>
      </c>
      <c r="C947" s="3">
        <v>57840</v>
      </c>
      <c r="D947" s="3">
        <v>45931.25</v>
      </c>
      <c r="E947" s="3">
        <v>61484.399999999994</v>
      </c>
      <c r="F947">
        <f t="shared" si="115"/>
        <v>1220624</v>
      </c>
      <c r="G947" s="3">
        <f t="shared" si="116"/>
        <v>58781.25</v>
      </c>
      <c r="H947" s="3">
        <f t="shared" si="117"/>
        <v>57840</v>
      </c>
      <c r="I947" s="3">
        <f t="shared" si="118"/>
        <v>45931.25</v>
      </c>
      <c r="J947" s="3">
        <f t="shared" si="119"/>
        <v>61484.399999999994</v>
      </c>
      <c r="K947" s="5">
        <f t="shared" si="120"/>
        <v>224036.9</v>
      </c>
      <c r="L947" s="5">
        <f t="shared" si="121"/>
        <v>224036.9</v>
      </c>
      <c r="M947" s="5">
        <f t="shared" si="122"/>
        <v>0</v>
      </c>
      <c r="N947" s="3"/>
    </row>
    <row r="948" spans="1:14" x14ac:dyDescent="0.25">
      <c r="A948" s="2">
        <v>1220626</v>
      </c>
      <c r="B948" s="3">
        <v>59937.5</v>
      </c>
      <c r="C948" s="3">
        <v>57800</v>
      </c>
      <c r="D948" s="3">
        <v>45631.25</v>
      </c>
      <c r="E948" s="3">
        <v>60546.899999999994</v>
      </c>
      <c r="F948">
        <f t="shared" si="115"/>
        <v>1220626</v>
      </c>
      <c r="G948" s="3">
        <f t="shared" si="116"/>
        <v>59937.5</v>
      </c>
      <c r="H948" s="3">
        <f t="shared" si="117"/>
        <v>57800</v>
      </c>
      <c r="I948" s="3">
        <f t="shared" si="118"/>
        <v>45631.25</v>
      </c>
      <c r="J948" s="3">
        <f t="shared" si="119"/>
        <v>60546.899999999994</v>
      </c>
      <c r="K948" s="5">
        <f t="shared" si="120"/>
        <v>223915.65</v>
      </c>
      <c r="L948" s="5">
        <f t="shared" si="121"/>
        <v>224036.9</v>
      </c>
      <c r="M948" s="5">
        <f t="shared" si="122"/>
        <v>-121.25</v>
      </c>
      <c r="N948" s="3"/>
    </row>
    <row r="949" spans="1:14" x14ac:dyDescent="0.25">
      <c r="A949" s="2">
        <v>1220627</v>
      </c>
      <c r="B949" s="3">
        <v>60481.25</v>
      </c>
      <c r="C949" s="3">
        <v>57800</v>
      </c>
      <c r="D949" s="3">
        <v>45350</v>
      </c>
      <c r="E949" s="3">
        <v>61562.5</v>
      </c>
      <c r="F949">
        <f t="shared" si="115"/>
        <v>1220627</v>
      </c>
      <c r="G949" s="3">
        <f t="shared" si="116"/>
        <v>60481.25</v>
      </c>
      <c r="H949" s="3">
        <f t="shared" si="117"/>
        <v>57800</v>
      </c>
      <c r="I949" s="3">
        <f t="shared" si="118"/>
        <v>45350</v>
      </c>
      <c r="J949" s="3">
        <f t="shared" si="119"/>
        <v>61562.5</v>
      </c>
      <c r="K949" s="5">
        <f t="shared" si="120"/>
        <v>225193.75</v>
      </c>
      <c r="L949" s="5">
        <f t="shared" si="121"/>
        <v>225193.75</v>
      </c>
      <c r="M949" s="5">
        <f t="shared" si="122"/>
        <v>0</v>
      </c>
      <c r="N949" s="3"/>
    </row>
    <row r="950" spans="1:14" x14ac:dyDescent="0.25">
      <c r="A950" s="2">
        <v>1220628</v>
      </c>
      <c r="B950" s="3">
        <v>60412.5</v>
      </c>
      <c r="C950" s="3">
        <v>58670</v>
      </c>
      <c r="D950" s="3">
        <v>45787.5</v>
      </c>
      <c r="E950" s="3">
        <v>62187.5</v>
      </c>
      <c r="F950">
        <f t="shared" si="115"/>
        <v>1220628</v>
      </c>
      <c r="G950" s="3">
        <f t="shared" si="116"/>
        <v>60412.5</v>
      </c>
      <c r="H950" s="3">
        <f t="shared" si="117"/>
        <v>58670</v>
      </c>
      <c r="I950" s="3">
        <f t="shared" si="118"/>
        <v>45787.5</v>
      </c>
      <c r="J950" s="3">
        <f t="shared" si="119"/>
        <v>62187.5</v>
      </c>
      <c r="K950" s="5">
        <f t="shared" si="120"/>
        <v>227057.5</v>
      </c>
      <c r="L950" s="5">
        <f t="shared" si="121"/>
        <v>227057.5</v>
      </c>
      <c r="M950" s="5">
        <f t="shared" si="122"/>
        <v>0</v>
      </c>
      <c r="N950" s="3"/>
    </row>
    <row r="951" spans="1:14" x14ac:dyDescent="0.25">
      <c r="A951" s="2">
        <v>1220629</v>
      </c>
      <c r="B951" s="3">
        <v>61750</v>
      </c>
      <c r="C951" s="3">
        <v>57870</v>
      </c>
      <c r="D951" s="3">
        <v>46281.25</v>
      </c>
      <c r="E951" s="3">
        <v>60546.899999999994</v>
      </c>
      <c r="F951">
        <f t="shared" si="115"/>
        <v>1220629</v>
      </c>
      <c r="G951" s="3">
        <f t="shared" si="116"/>
        <v>61750</v>
      </c>
      <c r="H951" s="3">
        <f t="shared" si="117"/>
        <v>57870</v>
      </c>
      <c r="I951" s="3">
        <f t="shared" si="118"/>
        <v>46281.25</v>
      </c>
      <c r="J951" s="3">
        <f t="shared" si="119"/>
        <v>60546.899999999994</v>
      </c>
      <c r="K951" s="5">
        <f t="shared" si="120"/>
        <v>226448.15</v>
      </c>
      <c r="L951" s="5">
        <f t="shared" si="121"/>
        <v>227057.5</v>
      </c>
      <c r="M951" s="5">
        <f t="shared" si="122"/>
        <v>-609.35000000000582</v>
      </c>
      <c r="N951" s="3"/>
    </row>
    <row r="952" spans="1:14" x14ac:dyDescent="0.25">
      <c r="A952" s="2">
        <v>1220630</v>
      </c>
      <c r="B952" s="3">
        <v>60775</v>
      </c>
      <c r="C952" s="3">
        <v>57070</v>
      </c>
      <c r="D952" s="3">
        <v>46618.75</v>
      </c>
      <c r="E952" s="3">
        <v>60703.100000000006</v>
      </c>
      <c r="F952">
        <f t="shared" si="115"/>
        <v>1220630</v>
      </c>
      <c r="G952" s="3">
        <f t="shared" si="116"/>
        <v>60775</v>
      </c>
      <c r="H952" s="3">
        <f t="shared" si="117"/>
        <v>57070</v>
      </c>
      <c r="I952" s="3">
        <f t="shared" si="118"/>
        <v>46618.75</v>
      </c>
      <c r="J952" s="3">
        <f t="shared" si="119"/>
        <v>60703.100000000006</v>
      </c>
      <c r="K952" s="5">
        <f t="shared" si="120"/>
        <v>225166.85</v>
      </c>
      <c r="L952" s="5">
        <f t="shared" si="121"/>
        <v>226448.15</v>
      </c>
      <c r="M952" s="5">
        <f t="shared" si="122"/>
        <v>-1281.2999999999884</v>
      </c>
      <c r="N952" s="3"/>
    </row>
    <row r="953" spans="1:14" x14ac:dyDescent="0.25">
      <c r="A953" s="2">
        <v>1220701</v>
      </c>
      <c r="B953" s="3">
        <v>55800</v>
      </c>
      <c r="C953" s="3">
        <v>53270</v>
      </c>
      <c r="D953" s="3">
        <v>46825</v>
      </c>
      <c r="E953" s="3">
        <v>66718.75</v>
      </c>
      <c r="F953">
        <f t="shared" si="115"/>
        <v>1220701</v>
      </c>
      <c r="G953" s="3">
        <f t="shared" si="116"/>
        <v>55800</v>
      </c>
      <c r="H953" s="3">
        <f t="shared" si="117"/>
        <v>53270</v>
      </c>
      <c r="I953" s="3">
        <f t="shared" si="118"/>
        <v>46825</v>
      </c>
      <c r="J953" s="3">
        <f t="shared" si="119"/>
        <v>66718.75</v>
      </c>
      <c r="K953" s="5">
        <f t="shared" si="120"/>
        <v>222613.75</v>
      </c>
      <c r="L953" s="5">
        <f t="shared" si="121"/>
        <v>225166.85</v>
      </c>
      <c r="M953" s="5">
        <f t="shared" si="122"/>
        <v>-2553.1000000000058</v>
      </c>
      <c r="N953" s="3"/>
    </row>
    <row r="954" spans="1:14" x14ac:dyDescent="0.25">
      <c r="A954" s="2">
        <v>1220703</v>
      </c>
      <c r="B954" s="3">
        <v>57206.25</v>
      </c>
      <c r="C954" s="3">
        <v>50210</v>
      </c>
      <c r="D954" s="3">
        <v>46781.25</v>
      </c>
      <c r="E954" s="3">
        <v>70156.25</v>
      </c>
      <c r="F954">
        <f t="shared" si="115"/>
        <v>1220703</v>
      </c>
      <c r="G954" s="3">
        <f t="shared" si="116"/>
        <v>57206.25</v>
      </c>
      <c r="H954" s="3">
        <f t="shared" si="117"/>
        <v>50210</v>
      </c>
      <c r="I954" s="3">
        <f t="shared" si="118"/>
        <v>46781.25</v>
      </c>
      <c r="J954" s="3">
        <f t="shared" si="119"/>
        <v>70156.25</v>
      </c>
      <c r="K954" s="5">
        <f t="shared" si="120"/>
        <v>224353.75</v>
      </c>
      <c r="L954" s="5">
        <f t="shared" si="121"/>
        <v>224353.75</v>
      </c>
      <c r="M954" s="5">
        <f t="shared" si="122"/>
        <v>0</v>
      </c>
      <c r="N954" s="3"/>
    </row>
    <row r="955" spans="1:14" x14ac:dyDescent="0.25">
      <c r="A955" s="2">
        <v>1220704</v>
      </c>
      <c r="B955" s="3">
        <v>56725</v>
      </c>
      <c r="C955" s="3">
        <v>50080</v>
      </c>
      <c r="D955" s="3">
        <v>46793.75</v>
      </c>
      <c r="E955" s="3">
        <v>70000</v>
      </c>
      <c r="F955">
        <f t="shared" si="115"/>
        <v>1220704</v>
      </c>
      <c r="G955" s="3">
        <f t="shared" si="116"/>
        <v>56725</v>
      </c>
      <c r="H955" s="3">
        <f t="shared" si="117"/>
        <v>50080</v>
      </c>
      <c r="I955" s="3">
        <f t="shared" si="118"/>
        <v>46793.75</v>
      </c>
      <c r="J955" s="3">
        <f t="shared" si="119"/>
        <v>70000</v>
      </c>
      <c r="K955" s="5">
        <f t="shared" si="120"/>
        <v>223598.75</v>
      </c>
      <c r="L955" s="5">
        <f t="shared" si="121"/>
        <v>224353.75</v>
      </c>
      <c r="M955" s="5">
        <f t="shared" si="122"/>
        <v>-755</v>
      </c>
      <c r="N955" s="3"/>
    </row>
    <row r="956" spans="1:14" x14ac:dyDescent="0.25">
      <c r="A956" s="2">
        <v>1220705</v>
      </c>
      <c r="B956" s="3">
        <v>57812.5</v>
      </c>
      <c r="C956" s="3">
        <v>50160</v>
      </c>
      <c r="D956" s="3">
        <v>46981.25</v>
      </c>
      <c r="E956" s="3">
        <v>70859.399999999994</v>
      </c>
      <c r="F956">
        <f t="shared" si="115"/>
        <v>1220705</v>
      </c>
      <c r="G956" s="3">
        <f t="shared" si="116"/>
        <v>57812.5</v>
      </c>
      <c r="H956" s="3">
        <f t="shared" si="117"/>
        <v>50160</v>
      </c>
      <c r="I956" s="3">
        <f t="shared" si="118"/>
        <v>46981.25</v>
      </c>
      <c r="J956" s="3">
        <f t="shared" si="119"/>
        <v>70859.399999999994</v>
      </c>
      <c r="K956" s="5">
        <f t="shared" si="120"/>
        <v>225813.15</v>
      </c>
      <c r="L956" s="5">
        <f t="shared" si="121"/>
        <v>225813.15</v>
      </c>
      <c r="M956" s="5">
        <f t="shared" si="122"/>
        <v>0</v>
      </c>
      <c r="N956" s="3"/>
    </row>
    <row r="957" spans="1:14" x14ac:dyDescent="0.25">
      <c r="A957" s="2">
        <v>1220706</v>
      </c>
      <c r="B957" s="3">
        <v>55787.5</v>
      </c>
      <c r="C957" s="3">
        <v>54480</v>
      </c>
      <c r="D957" s="3">
        <v>46643.75</v>
      </c>
      <c r="E957" s="3">
        <v>68906.25</v>
      </c>
      <c r="F957">
        <f t="shared" si="115"/>
        <v>1220706</v>
      </c>
      <c r="G957" s="3">
        <f t="shared" si="116"/>
        <v>55787.5</v>
      </c>
      <c r="H957" s="3">
        <f t="shared" si="117"/>
        <v>54480</v>
      </c>
      <c r="I957" s="3">
        <f t="shared" si="118"/>
        <v>46643.75</v>
      </c>
      <c r="J957" s="3">
        <f t="shared" si="119"/>
        <v>68906.25</v>
      </c>
      <c r="K957" s="5">
        <f t="shared" si="120"/>
        <v>225817.5</v>
      </c>
      <c r="L957" s="5">
        <f t="shared" si="121"/>
        <v>225817.5</v>
      </c>
      <c r="M957" s="5">
        <f t="shared" si="122"/>
        <v>0</v>
      </c>
      <c r="N957" s="3"/>
    </row>
    <row r="958" spans="1:14" x14ac:dyDescent="0.25">
      <c r="A958" s="2">
        <v>1220707</v>
      </c>
      <c r="B958" s="3">
        <v>55993.75</v>
      </c>
      <c r="C958" s="3">
        <v>55120</v>
      </c>
      <c r="D958" s="3">
        <v>46400</v>
      </c>
      <c r="E958" s="3">
        <v>71875</v>
      </c>
      <c r="F958">
        <f t="shared" si="115"/>
        <v>1220707</v>
      </c>
      <c r="G958" s="3">
        <f t="shared" si="116"/>
        <v>55993.75</v>
      </c>
      <c r="H958" s="3">
        <f t="shared" si="117"/>
        <v>55120</v>
      </c>
      <c r="I958" s="3">
        <f t="shared" si="118"/>
        <v>46400</v>
      </c>
      <c r="J958" s="3">
        <f t="shared" si="119"/>
        <v>71875</v>
      </c>
      <c r="K958" s="5">
        <f t="shared" si="120"/>
        <v>229388.75</v>
      </c>
      <c r="L958" s="5">
        <f t="shared" si="121"/>
        <v>229388.75</v>
      </c>
      <c r="M958" s="5">
        <f t="shared" si="122"/>
        <v>0</v>
      </c>
      <c r="N958" s="3"/>
    </row>
    <row r="959" spans="1:14" x14ac:dyDescent="0.25">
      <c r="A959" s="2">
        <v>1220708</v>
      </c>
      <c r="B959" s="3">
        <v>57237.5</v>
      </c>
      <c r="C959" s="3">
        <v>55280</v>
      </c>
      <c r="D959" s="3">
        <v>46618.75</v>
      </c>
      <c r="E959" s="3">
        <v>74062.5</v>
      </c>
      <c r="F959">
        <f t="shared" si="115"/>
        <v>1220708</v>
      </c>
      <c r="G959" s="3">
        <f t="shared" si="116"/>
        <v>57237.5</v>
      </c>
      <c r="H959" s="3">
        <f t="shared" si="117"/>
        <v>55280</v>
      </c>
      <c r="I959" s="3">
        <f t="shared" si="118"/>
        <v>46618.75</v>
      </c>
      <c r="J959" s="3">
        <f t="shared" si="119"/>
        <v>74062.5</v>
      </c>
      <c r="K959" s="5">
        <f t="shared" si="120"/>
        <v>233198.75</v>
      </c>
      <c r="L959" s="5">
        <f t="shared" si="121"/>
        <v>233198.75</v>
      </c>
      <c r="M959" s="5">
        <f t="shared" si="122"/>
        <v>0</v>
      </c>
      <c r="N959" s="3"/>
    </row>
    <row r="960" spans="1:14" x14ac:dyDescent="0.25">
      <c r="A960" s="2">
        <v>1220710</v>
      </c>
      <c r="B960" s="3">
        <v>56793.75</v>
      </c>
      <c r="C960" s="3">
        <v>52970</v>
      </c>
      <c r="D960" s="3">
        <v>46393.75</v>
      </c>
      <c r="E960" s="3">
        <v>78671.899999999994</v>
      </c>
      <c r="F960">
        <f t="shared" si="115"/>
        <v>1220710</v>
      </c>
      <c r="G960" s="3">
        <f t="shared" si="116"/>
        <v>56793.75</v>
      </c>
      <c r="H960" s="3">
        <f t="shared" si="117"/>
        <v>52970</v>
      </c>
      <c r="I960" s="3">
        <f t="shared" si="118"/>
        <v>46393.75</v>
      </c>
      <c r="J960" s="3">
        <f t="shared" si="119"/>
        <v>78671.899999999994</v>
      </c>
      <c r="K960" s="5">
        <f t="shared" si="120"/>
        <v>234829.4</v>
      </c>
      <c r="L960" s="5">
        <f t="shared" si="121"/>
        <v>234829.4</v>
      </c>
      <c r="M960" s="5">
        <f t="shared" si="122"/>
        <v>0</v>
      </c>
      <c r="N960" s="3"/>
    </row>
    <row r="961" spans="1:14" x14ac:dyDescent="0.25">
      <c r="A961" s="2">
        <v>1220711</v>
      </c>
      <c r="B961" s="3">
        <v>56418.75</v>
      </c>
      <c r="C961" s="3">
        <v>53140</v>
      </c>
      <c r="D961" s="3">
        <v>46943.75</v>
      </c>
      <c r="E961" s="3">
        <v>78437.5</v>
      </c>
      <c r="F961">
        <f t="shared" si="115"/>
        <v>1220711</v>
      </c>
      <c r="G961" s="3">
        <f t="shared" si="116"/>
        <v>56418.75</v>
      </c>
      <c r="H961" s="3">
        <f t="shared" si="117"/>
        <v>53140</v>
      </c>
      <c r="I961" s="3">
        <f t="shared" si="118"/>
        <v>46943.75</v>
      </c>
      <c r="J961" s="3">
        <f t="shared" si="119"/>
        <v>78437.5</v>
      </c>
      <c r="K961" s="5">
        <f t="shared" si="120"/>
        <v>234940</v>
      </c>
      <c r="L961" s="5">
        <f t="shared" si="121"/>
        <v>234940</v>
      </c>
      <c r="M961" s="5">
        <f t="shared" si="122"/>
        <v>0</v>
      </c>
      <c r="N961" s="3"/>
    </row>
    <row r="962" spans="1:14" x14ac:dyDescent="0.25">
      <c r="A962" s="2">
        <v>1220712</v>
      </c>
      <c r="B962" s="3">
        <v>56206.25</v>
      </c>
      <c r="C962" s="3">
        <v>53220</v>
      </c>
      <c r="D962" s="3">
        <v>47150</v>
      </c>
      <c r="E962" s="3">
        <v>79687.5</v>
      </c>
      <c r="F962">
        <f t="shared" si="115"/>
        <v>1220712</v>
      </c>
      <c r="G962" s="3">
        <f t="shared" si="116"/>
        <v>56206.25</v>
      </c>
      <c r="H962" s="3">
        <f t="shared" si="117"/>
        <v>53220</v>
      </c>
      <c r="I962" s="3">
        <f t="shared" si="118"/>
        <v>47150</v>
      </c>
      <c r="J962" s="3">
        <f t="shared" si="119"/>
        <v>79687.5</v>
      </c>
      <c r="K962" s="5">
        <f t="shared" si="120"/>
        <v>236263.75</v>
      </c>
      <c r="L962" s="5">
        <f t="shared" si="121"/>
        <v>236263.75</v>
      </c>
      <c r="M962" s="5">
        <f t="shared" si="122"/>
        <v>0</v>
      </c>
      <c r="N962" s="3"/>
    </row>
    <row r="963" spans="1:14" x14ac:dyDescent="0.25">
      <c r="A963" s="2">
        <v>1220713</v>
      </c>
      <c r="B963" s="3">
        <v>55637.5</v>
      </c>
      <c r="C963" s="3">
        <v>52150</v>
      </c>
      <c r="D963" s="3">
        <v>46650</v>
      </c>
      <c r="E963" s="3">
        <v>79765.600000000006</v>
      </c>
      <c r="F963">
        <f t="shared" si="115"/>
        <v>1220713</v>
      </c>
      <c r="G963" s="3">
        <f t="shared" si="116"/>
        <v>55637.5</v>
      </c>
      <c r="H963" s="3">
        <f t="shared" si="117"/>
        <v>52150</v>
      </c>
      <c r="I963" s="3">
        <f t="shared" si="118"/>
        <v>46650</v>
      </c>
      <c r="J963" s="3">
        <f t="shared" si="119"/>
        <v>79765.600000000006</v>
      </c>
      <c r="K963" s="5">
        <f t="shared" si="120"/>
        <v>234203.1</v>
      </c>
      <c r="L963" s="5">
        <f t="shared" si="121"/>
        <v>236263.75</v>
      </c>
      <c r="M963" s="5">
        <f t="shared" si="122"/>
        <v>-2060.6499999999942</v>
      </c>
      <c r="N963" s="3"/>
    </row>
    <row r="964" spans="1:14" x14ac:dyDescent="0.25">
      <c r="A964" s="2">
        <v>1220714</v>
      </c>
      <c r="B964" s="3">
        <v>55637.5</v>
      </c>
      <c r="C964" s="3">
        <v>50520</v>
      </c>
      <c r="D964" s="3">
        <v>47162.5</v>
      </c>
      <c r="E964" s="3">
        <v>75390.600000000006</v>
      </c>
      <c r="F964">
        <f t="shared" si="115"/>
        <v>1220714</v>
      </c>
      <c r="G964" s="3">
        <f t="shared" si="116"/>
        <v>55637.5</v>
      </c>
      <c r="H964" s="3">
        <f t="shared" si="117"/>
        <v>50520</v>
      </c>
      <c r="I964" s="3">
        <f t="shared" si="118"/>
        <v>47162.5</v>
      </c>
      <c r="J964" s="3">
        <f t="shared" si="119"/>
        <v>75390.600000000006</v>
      </c>
      <c r="K964" s="5">
        <f t="shared" si="120"/>
        <v>228710.6</v>
      </c>
      <c r="L964" s="5">
        <f t="shared" si="121"/>
        <v>234203.1</v>
      </c>
      <c r="M964" s="5">
        <f t="shared" si="122"/>
        <v>-5492.5</v>
      </c>
      <c r="N964" s="3"/>
    </row>
    <row r="965" spans="1:14" x14ac:dyDescent="0.25">
      <c r="A965" s="2">
        <v>1220715</v>
      </c>
      <c r="B965" s="3">
        <v>53812.5</v>
      </c>
      <c r="C965" s="3">
        <v>53490</v>
      </c>
      <c r="D965" s="3">
        <v>47693.75</v>
      </c>
      <c r="E965" s="3">
        <v>72734.399999999994</v>
      </c>
      <c r="F965">
        <f t="shared" si="115"/>
        <v>1220715</v>
      </c>
      <c r="G965" s="3">
        <f t="shared" si="116"/>
        <v>53812.5</v>
      </c>
      <c r="H965" s="3">
        <f t="shared" si="117"/>
        <v>53490</v>
      </c>
      <c r="I965" s="3">
        <f t="shared" si="118"/>
        <v>47693.75</v>
      </c>
      <c r="J965" s="3">
        <f t="shared" si="119"/>
        <v>72734.399999999994</v>
      </c>
      <c r="K965" s="5">
        <f t="shared" si="120"/>
        <v>227730.65</v>
      </c>
      <c r="L965" s="5">
        <f t="shared" si="121"/>
        <v>228710.6</v>
      </c>
      <c r="M965" s="5">
        <f t="shared" si="122"/>
        <v>-979.95000000001164</v>
      </c>
      <c r="N965" s="3"/>
    </row>
    <row r="966" spans="1:14" x14ac:dyDescent="0.25">
      <c r="A966" s="2">
        <v>1220717</v>
      </c>
      <c r="B966" s="3">
        <v>53256.25</v>
      </c>
      <c r="C966" s="3">
        <v>52600</v>
      </c>
      <c r="D966" s="3">
        <v>47456.25</v>
      </c>
      <c r="E966" s="3">
        <v>65859.399999999994</v>
      </c>
      <c r="F966">
        <f t="shared" si="115"/>
        <v>1220717</v>
      </c>
      <c r="G966" s="3">
        <f t="shared" si="116"/>
        <v>53256.25</v>
      </c>
      <c r="H966" s="3">
        <f t="shared" si="117"/>
        <v>52600</v>
      </c>
      <c r="I966" s="3">
        <f t="shared" si="118"/>
        <v>47456.25</v>
      </c>
      <c r="J966" s="3">
        <f t="shared" si="119"/>
        <v>65859.399999999994</v>
      </c>
      <c r="K966" s="5">
        <f t="shared" si="120"/>
        <v>219171.9</v>
      </c>
      <c r="L966" s="5">
        <f t="shared" si="121"/>
        <v>227730.65</v>
      </c>
      <c r="M966" s="5">
        <f t="shared" si="122"/>
        <v>-8558.75</v>
      </c>
      <c r="N966" s="3"/>
    </row>
    <row r="967" spans="1:14" x14ac:dyDescent="0.25">
      <c r="A967" s="2">
        <v>1220718</v>
      </c>
      <c r="B967" s="3">
        <v>53568.75</v>
      </c>
      <c r="C967" s="3">
        <v>51860</v>
      </c>
      <c r="D967" s="3">
        <v>47531.25</v>
      </c>
      <c r="E967" s="3">
        <v>66406.25</v>
      </c>
      <c r="F967">
        <f t="shared" si="115"/>
        <v>1220718</v>
      </c>
      <c r="G967" s="3">
        <f t="shared" si="116"/>
        <v>53568.75</v>
      </c>
      <c r="H967" s="3">
        <f t="shared" si="117"/>
        <v>51860</v>
      </c>
      <c r="I967" s="3">
        <f t="shared" si="118"/>
        <v>47531.25</v>
      </c>
      <c r="J967" s="3">
        <f t="shared" si="119"/>
        <v>66406.25</v>
      </c>
      <c r="K967" s="5">
        <f t="shared" si="120"/>
        <v>219366.25</v>
      </c>
      <c r="L967" s="5">
        <f t="shared" si="121"/>
        <v>219366.25</v>
      </c>
      <c r="M967" s="5">
        <f t="shared" si="122"/>
        <v>0</v>
      </c>
      <c r="N967" s="3"/>
    </row>
    <row r="968" spans="1:14" x14ac:dyDescent="0.25">
      <c r="A968" s="2">
        <v>1220719</v>
      </c>
      <c r="B968" s="3">
        <v>54775</v>
      </c>
      <c r="C968" s="3">
        <v>50840</v>
      </c>
      <c r="D968" s="3">
        <v>47387.5</v>
      </c>
      <c r="E968" s="3">
        <v>64218.75</v>
      </c>
      <c r="F968">
        <f t="shared" si="115"/>
        <v>1220719</v>
      </c>
      <c r="G968" s="3">
        <f t="shared" si="116"/>
        <v>54775</v>
      </c>
      <c r="H968" s="3">
        <f t="shared" si="117"/>
        <v>50840</v>
      </c>
      <c r="I968" s="3">
        <f t="shared" si="118"/>
        <v>47387.5</v>
      </c>
      <c r="J968" s="3">
        <f t="shared" si="119"/>
        <v>64218.75</v>
      </c>
      <c r="K968" s="5">
        <f t="shared" si="120"/>
        <v>217221.25</v>
      </c>
      <c r="L968" s="5">
        <f t="shared" si="121"/>
        <v>219366.25</v>
      </c>
      <c r="M968" s="5">
        <f t="shared" si="122"/>
        <v>-2145</v>
      </c>
      <c r="N968" s="3"/>
    </row>
    <row r="969" spans="1:14" x14ac:dyDescent="0.25">
      <c r="A969" s="2">
        <v>1220720</v>
      </c>
      <c r="B969" s="3">
        <v>55531.25</v>
      </c>
      <c r="C969" s="3">
        <v>50700</v>
      </c>
      <c r="D969" s="3">
        <v>46593.75</v>
      </c>
      <c r="E969" s="3">
        <v>66640.600000000006</v>
      </c>
      <c r="F969">
        <f t="shared" si="115"/>
        <v>1220720</v>
      </c>
      <c r="G969" s="3">
        <f t="shared" si="116"/>
        <v>55531.25</v>
      </c>
      <c r="H969" s="3">
        <f t="shared" si="117"/>
        <v>50700</v>
      </c>
      <c r="I969" s="3">
        <f t="shared" si="118"/>
        <v>46593.75</v>
      </c>
      <c r="J969" s="3">
        <f t="shared" si="119"/>
        <v>66640.600000000006</v>
      </c>
      <c r="K969" s="5">
        <f t="shared" si="120"/>
        <v>219465.60000000001</v>
      </c>
      <c r="L969" s="5">
        <f t="shared" si="121"/>
        <v>219465.60000000001</v>
      </c>
      <c r="M969" s="5">
        <f t="shared" si="122"/>
        <v>0</v>
      </c>
      <c r="N969" s="3"/>
    </row>
    <row r="970" spans="1:14" x14ac:dyDescent="0.25">
      <c r="A970" s="2">
        <v>1220721</v>
      </c>
      <c r="B970" s="3">
        <v>55537.5</v>
      </c>
      <c r="C970" s="3">
        <v>50760</v>
      </c>
      <c r="D970" s="3">
        <v>46150</v>
      </c>
      <c r="E970" s="3">
        <v>61718.75</v>
      </c>
      <c r="F970">
        <f t="shared" si="115"/>
        <v>1220721</v>
      </c>
      <c r="G970" s="3">
        <f t="shared" si="116"/>
        <v>55537.5</v>
      </c>
      <c r="H970" s="3">
        <f t="shared" si="117"/>
        <v>50760</v>
      </c>
      <c r="I970" s="3">
        <f t="shared" si="118"/>
        <v>46150</v>
      </c>
      <c r="J970" s="3">
        <f t="shared" si="119"/>
        <v>61718.75</v>
      </c>
      <c r="K970" s="5">
        <f t="shared" si="120"/>
        <v>214166.25</v>
      </c>
      <c r="L970" s="5">
        <f t="shared" si="121"/>
        <v>219465.60000000001</v>
      </c>
      <c r="M970" s="5">
        <f t="shared" si="122"/>
        <v>-5299.3500000000058</v>
      </c>
      <c r="N970" s="3"/>
    </row>
    <row r="971" spans="1:14" x14ac:dyDescent="0.25">
      <c r="A971" s="2">
        <v>1220722</v>
      </c>
      <c r="B971" s="3">
        <v>54262.5</v>
      </c>
      <c r="C971" s="3">
        <v>51840</v>
      </c>
      <c r="D971" s="3">
        <v>46506.25</v>
      </c>
      <c r="E971" s="3">
        <v>63046.899999999994</v>
      </c>
      <c r="F971">
        <f t="shared" si="115"/>
        <v>1220722</v>
      </c>
      <c r="G971" s="3">
        <f t="shared" si="116"/>
        <v>54262.5</v>
      </c>
      <c r="H971" s="3">
        <f t="shared" si="117"/>
        <v>51840</v>
      </c>
      <c r="I971" s="3">
        <f t="shared" si="118"/>
        <v>46506.25</v>
      </c>
      <c r="J971" s="3">
        <f t="shared" si="119"/>
        <v>63046.899999999994</v>
      </c>
      <c r="K971" s="5">
        <f t="shared" si="120"/>
        <v>215655.65</v>
      </c>
      <c r="L971" s="5">
        <f t="shared" si="121"/>
        <v>215655.65</v>
      </c>
      <c r="M971" s="5">
        <f t="shared" si="122"/>
        <v>0</v>
      </c>
      <c r="N971" s="3"/>
    </row>
    <row r="972" spans="1:14" x14ac:dyDescent="0.25">
      <c r="A972" s="2">
        <v>1220724</v>
      </c>
      <c r="B972" s="3">
        <v>54700</v>
      </c>
      <c r="C972" s="3">
        <v>53960</v>
      </c>
      <c r="D972" s="3">
        <v>47543.75</v>
      </c>
      <c r="E972" s="3">
        <v>67265.600000000006</v>
      </c>
      <c r="F972">
        <f t="shared" si="115"/>
        <v>1220724</v>
      </c>
      <c r="G972" s="3">
        <f t="shared" si="116"/>
        <v>54700</v>
      </c>
      <c r="H972" s="3">
        <f t="shared" si="117"/>
        <v>53960</v>
      </c>
      <c r="I972" s="3">
        <f t="shared" si="118"/>
        <v>47543.75</v>
      </c>
      <c r="J972" s="3">
        <f t="shared" si="119"/>
        <v>67265.600000000006</v>
      </c>
      <c r="K972" s="5">
        <f t="shared" si="120"/>
        <v>223469.35</v>
      </c>
      <c r="L972" s="5">
        <f t="shared" si="121"/>
        <v>223469.35</v>
      </c>
      <c r="M972" s="5">
        <f t="shared" si="122"/>
        <v>0</v>
      </c>
      <c r="N972" s="3"/>
    </row>
    <row r="973" spans="1:14" x14ac:dyDescent="0.25">
      <c r="A973" s="2">
        <v>1220725</v>
      </c>
      <c r="B973" s="3">
        <v>54675</v>
      </c>
      <c r="C973" s="3">
        <v>53960</v>
      </c>
      <c r="D973" s="3">
        <v>47618.75</v>
      </c>
      <c r="E973" s="3">
        <v>67421.899999999994</v>
      </c>
      <c r="F973">
        <f t="shared" si="115"/>
        <v>1220725</v>
      </c>
      <c r="G973" s="3">
        <f t="shared" si="116"/>
        <v>54675</v>
      </c>
      <c r="H973" s="3">
        <f t="shared" si="117"/>
        <v>53960</v>
      </c>
      <c r="I973" s="3">
        <f t="shared" si="118"/>
        <v>47618.75</v>
      </c>
      <c r="J973" s="3">
        <f t="shared" si="119"/>
        <v>67421.899999999994</v>
      </c>
      <c r="K973" s="5">
        <f t="shared" si="120"/>
        <v>223675.65</v>
      </c>
      <c r="L973" s="5">
        <f t="shared" si="121"/>
        <v>223675.65</v>
      </c>
      <c r="M973" s="5">
        <f t="shared" si="122"/>
        <v>0</v>
      </c>
      <c r="N973" s="3"/>
    </row>
    <row r="974" spans="1:14" x14ac:dyDescent="0.25">
      <c r="A974" s="2">
        <v>1220726</v>
      </c>
      <c r="B974" s="3">
        <v>54200</v>
      </c>
      <c r="C974" s="3">
        <v>53450</v>
      </c>
      <c r="D974" s="3">
        <v>47487.5</v>
      </c>
      <c r="E974" s="3">
        <v>65468.75</v>
      </c>
      <c r="F974">
        <f t="shared" si="115"/>
        <v>1220726</v>
      </c>
      <c r="G974" s="3">
        <f t="shared" si="116"/>
        <v>54200</v>
      </c>
      <c r="H974" s="3">
        <f t="shared" si="117"/>
        <v>53450</v>
      </c>
      <c r="I974" s="3">
        <f t="shared" si="118"/>
        <v>47487.5</v>
      </c>
      <c r="J974" s="3">
        <f t="shared" si="119"/>
        <v>65468.75</v>
      </c>
      <c r="K974" s="5">
        <f t="shared" si="120"/>
        <v>220606.25</v>
      </c>
      <c r="L974" s="5">
        <f t="shared" si="121"/>
        <v>223675.65</v>
      </c>
      <c r="M974" s="5">
        <f t="shared" si="122"/>
        <v>-3069.3999999999942</v>
      </c>
      <c r="N974" s="3"/>
    </row>
    <row r="975" spans="1:14" x14ac:dyDescent="0.25">
      <c r="A975" s="2">
        <v>1220727</v>
      </c>
      <c r="B975" s="3">
        <v>55093.75</v>
      </c>
      <c r="C975" s="3">
        <v>53570</v>
      </c>
      <c r="D975" s="3">
        <v>47293.75</v>
      </c>
      <c r="E975" s="3">
        <v>61562.5</v>
      </c>
      <c r="F975">
        <f t="shared" si="115"/>
        <v>1220727</v>
      </c>
      <c r="G975" s="3">
        <f t="shared" si="116"/>
        <v>55093.75</v>
      </c>
      <c r="H975" s="3">
        <f t="shared" si="117"/>
        <v>53570</v>
      </c>
      <c r="I975" s="3">
        <f t="shared" si="118"/>
        <v>47293.75</v>
      </c>
      <c r="J975" s="3">
        <f t="shared" si="119"/>
        <v>61562.5</v>
      </c>
      <c r="K975" s="5">
        <f t="shared" si="120"/>
        <v>217520</v>
      </c>
      <c r="L975" s="5">
        <f t="shared" si="121"/>
        <v>220606.25</v>
      </c>
      <c r="M975" s="5">
        <f t="shared" si="122"/>
        <v>-3086.25</v>
      </c>
      <c r="N975" s="3"/>
    </row>
    <row r="976" spans="1:14" x14ac:dyDescent="0.25">
      <c r="A976" s="2">
        <v>1220728</v>
      </c>
      <c r="B976" s="3">
        <v>56212.5</v>
      </c>
      <c r="C976" s="3">
        <v>54570</v>
      </c>
      <c r="D976" s="3">
        <v>47656.25</v>
      </c>
      <c r="E976" s="3">
        <v>63125</v>
      </c>
      <c r="F976">
        <f t="shared" si="115"/>
        <v>1220728</v>
      </c>
      <c r="G976" s="3">
        <f t="shared" si="116"/>
        <v>56212.5</v>
      </c>
      <c r="H976" s="3">
        <f t="shared" si="117"/>
        <v>54570</v>
      </c>
      <c r="I976" s="3">
        <f t="shared" si="118"/>
        <v>47656.25</v>
      </c>
      <c r="J976" s="3">
        <f t="shared" si="119"/>
        <v>63125</v>
      </c>
      <c r="K976" s="5">
        <f t="shared" si="120"/>
        <v>221563.75</v>
      </c>
      <c r="L976" s="5">
        <f t="shared" si="121"/>
        <v>221563.75</v>
      </c>
      <c r="M976" s="5">
        <f t="shared" si="122"/>
        <v>0</v>
      </c>
      <c r="N976" s="3"/>
    </row>
    <row r="977" spans="1:14" x14ac:dyDescent="0.25">
      <c r="A977" s="2">
        <v>1220729</v>
      </c>
      <c r="B977" s="3">
        <v>56025</v>
      </c>
      <c r="C977" s="3">
        <v>56750</v>
      </c>
      <c r="D977" s="3">
        <v>49087.5</v>
      </c>
      <c r="E977" s="3">
        <v>68515.600000000006</v>
      </c>
      <c r="F977">
        <f t="shared" si="115"/>
        <v>1220729</v>
      </c>
      <c r="G977" s="3">
        <f t="shared" si="116"/>
        <v>56025</v>
      </c>
      <c r="H977" s="3">
        <f t="shared" si="117"/>
        <v>56750</v>
      </c>
      <c r="I977" s="3">
        <f t="shared" si="118"/>
        <v>49087.5</v>
      </c>
      <c r="J977" s="3">
        <f t="shared" si="119"/>
        <v>68515.600000000006</v>
      </c>
      <c r="K977" s="5">
        <f t="shared" si="120"/>
        <v>230378.1</v>
      </c>
      <c r="L977" s="5">
        <f t="shared" si="121"/>
        <v>230378.1</v>
      </c>
      <c r="M977" s="5">
        <f t="shared" si="122"/>
        <v>0</v>
      </c>
      <c r="N977" s="3"/>
    </row>
    <row r="978" spans="1:14" x14ac:dyDescent="0.25">
      <c r="A978" s="2">
        <v>1220731</v>
      </c>
      <c r="B978" s="3">
        <v>56481.25</v>
      </c>
      <c r="C978" s="3">
        <v>55870</v>
      </c>
      <c r="D978" s="3">
        <v>48800</v>
      </c>
      <c r="E978" s="3">
        <v>62734.399999999994</v>
      </c>
      <c r="F978">
        <f t="shared" si="115"/>
        <v>1220731</v>
      </c>
      <c r="G978" s="3">
        <f t="shared" si="116"/>
        <v>56481.25</v>
      </c>
      <c r="H978" s="3">
        <f t="shared" si="117"/>
        <v>55870</v>
      </c>
      <c r="I978" s="3">
        <f t="shared" si="118"/>
        <v>48800</v>
      </c>
      <c r="J978" s="3">
        <f t="shared" si="119"/>
        <v>62734.399999999994</v>
      </c>
      <c r="K978" s="5">
        <f t="shared" si="120"/>
        <v>223885.65</v>
      </c>
      <c r="L978" s="5">
        <f t="shared" si="121"/>
        <v>230378.1</v>
      </c>
      <c r="M978" s="5">
        <f t="shared" si="122"/>
        <v>-6492.4500000000116</v>
      </c>
      <c r="N978" s="3"/>
    </row>
    <row r="979" spans="1:14" x14ac:dyDescent="0.25">
      <c r="A979" s="2">
        <v>1220801</v>
      </c>
      <c r="B979" s="3">
        <v>56493.75</v>
      </c>
      <c r="C979" s="3">
        <v>55870</v>
      </c>
      <c r="D979" s="3">
        <v>48181.25</v>
      </c>
      <c r="E979" s="3">
        <v>62343.75</v>
      </c>
      <c r="F979">
        <f t="shared" si="115"/>
        <v>1220801</v>
      </c>
      <c r="G979" s="3">
        <f t="shared" si="116"/>
        <v>56493.75</v>
      </c>
      <c r="H979" s="3">
        <f t="shared" si="117"/>
        <v>55870</v>
      </c>
      <c r="I979" s="3">
        <f t="shared" si="118"/>
        <v>48181.25</v>
      </c>
      <c r="J979" s="3">
        <f t="shared" si="119"/>
        <v>62343.75</v>
      </c>
      <c r="K979" s="5">
        <f t="shared" si="120"/>
        <v>222888.75</v>
      </c>
      <c r="L979" s="5">
        <f t="shared" si="121"/>
        <v>223885.65</v>
      </c>
      <c r="M979" s="5">
        <f t="shared" si="122"/>
        <v>-996.89999999999418</v>
      </c>
      <c r="N979" s="3"/>
    </row>
    <row r="980" spans="1:14" x14ac:dyDescent="0.25">
      <c r="A980" s="2">
        <v>1220802</v>
      </c>
      <c r="B980" s="3">
        <v>56750</v>
      </c>
      <c r="C980" s="3">
        <v>56580</v>
      </c>
      <c r="D980" s="3">
        <v>49537.5</v>
      </c>
      <c r="E980" s="3">
        <v>62890.600000000006</v>
      </c>
      <c r="F980">
        <f t="shared" si="115"/>
        <v>1220802</v>
      </c>
      <c r="G980" s="3">
        <f t="shared" si="116"/>
        <v>56750</v>
      </c>
      <c r="H980" s="3">
        <f t="shared" si="117"/>
        <v>56580</v>
      </c>
      <c r="I980" s="3">
        <f t="shared" si="118"/>
        <v>49537.5</v>
      </c>
      <c r="J980" s="3">
        <f t="shared" si="119"/>
        <v>62890.600000000006</v>
      </c>
      <c r="K980" s="5">
        <f t="shared" si="120"/>
        <v>225758.1</v>
      </c>
      <c r="L980" s="5">
        <f t="shared" si="121"/>
        <v>225758.1</v>
      </c>
      <c r="M980" s="5">
        <f t="shared" si="122"/>
        <v>0</v>
      </c>
      <c r="N980" s="3"/>
    </row>
    <row r="981" spans="1:14" x14ac:dyDescent="0.25">
      <c r="A981" s="2">
        <v>1220803</v>
      </c>
      <c r="B981" s="3">
        <v>55850</v>
      </c>
      <c r="C981" s="3">
        <v>55500</v>
      </c>
      <c r="D981" s="3">
        <v>50312.5</v>
      </c>
      <c r="E981" s="3">
        <v>67265.600000000006</v>
      </c>
      <c r="F981">
        <f t="shared" si="115"/>
        <v>1220803</v>
      </c>
      <c r="G981" s="3">
        <f t="shared" si="116"/>
        <v>55850</v>
      </c>
      <c r="H981" s="3">
        <f t="shared" si="117"/>
        <v>55500</v>
      </c>
      <c r="I981" s="3">
        <f t="shared" si="118"/>
        <v>50312.5</v>
      </c>
      <c r="J981" s="3">
        <f t="shared" si="119"/>
        <v>67265.600000000006</v>
      </c>
      <c r="K981" s="5">
        <f t="shared" si="120"/>
        <v>228928.1</v>
      </c>
      <c r="L981" s="5">
        <f t="shared" si="121"/>
        <v>228928.1</v>
      </c>
      <c r="M981" s="5">
        <f t="shared" si="122"/>
        <v>0</v>
      </c>
      <c r="N981" s="3"/>
    </row>
    <row r="982" spans="1:14" x14ac:dyDescent="0.25">
      <c r="A982" s="2">
        <v>1220804</v>
      </c>
      <c r="B982" s="3">
        <v>57143.75</v>
      </c>
      <c r="C982" s="3">
        <v>54260</v>
      </c>
      <c r="D982" s="3">
        <v>51031.25</v>
      </c>
      <c r="E982" s="3">
        <v>68125</v>
      </c>
      <c r="F982">
        <f t="shared" si="115"/>
        <v>1220804</v>
      </c>
      <c r="G982" s="3">
        <f t="shared" si="116"/>
        <v>57143.75</v>
      </c>
      <c r="H982" s="3">
        <f t="shared" si="117"/>
        <v>54260</v>
      </c>
      <c r="I982" s="3">
        <f t="shared" si="118"/>
        <v>51031.25</v>
      </c>
      <c r="J982" s="3">
        <f t="shared" si="119"/>
        <v>68125</v>
      </c>
      <c r="K982" s="5">
        <f t="shared" si="120"/>
        <v>230560</v>
      </c>
      <c r="L982" s="5">
        <f t="shared" si="121"/>
        <v>230560</v>
      </c>
      <c r="M982" s="5">
        <f t="shared" si="122"/>
        <v>0</v>
      </c>
      <c r="N982" s="3"/>
    </row>
    <row r="983" spans="1:14" x14ac:dyDescent="0.25">
      <c r="A983" s="2">
        <v>1220805</v>
      </c>
      <c r="B983" s="3">
        <v>56550</v>
      </c>
      <c r="C983" s="3">
        <v>55540</v>
      </c>
      <c r="D983" s="3">
        <v>51643.75</v>
      </c>
      <c r="E983" s="3">
        <v>68515.600000000006</v>
      </c>
      <c r="F983">
        <f t="shared" si="115"/>
        <v>1220805</v>
      </c>
      <c r="G983" s="3">
        <f t="shared" si="116"/>
        <v>56550</v>
      </c>
      <c r="H983" s="3">
        <f t="shared" si="117"/>
        <v>55540</v>
      </c>
      <c r="I983" s="3">
        <f t="shared" si="118"/>
        <v>51643.75</v>
      </c>
      <c r="J983" s="3">
        <f t="shared" si="119"/>
        <v>68515.600000000006</v>
      </c>
      <c r="K983" s="5">
        <f t="shared" si="120"/>
        <v>232249.35</v>
      </c>
      <c r="L983" s="5">
        <f t="shared" si="121"/>
        <v>232249.35</v>
      </c>
      <c r="M983" s="5">
        <f t="shared" si="122"/>
        <v>0</v>
      </c>
      <c r="N983" s="3"/>
    </row>
    <row r="984" spans="1:14" x14ac:dyDescent="0.25">
      <c r="A984" s="2">
        <v>1220807</v>
      </c>
      <c r="B984" s="3">
        <v>57693.75</v>
      </c>
      <c r="C984" s="3">
        <v>57040</v>
      </c>
      <c r="D984" s="3">
        <v>52843.75</v>
      </c>
      <c r="E984" s="3">
        <v>73359.399999999994</v>
      </c>
      <c r="F984">
        <f t="shared" si="115"/>
        <v>1220807</v>
      </c>
      <c r="G984" s="3">
        <f t="shared" si="116"/>
        <v>57693.75</v>
      </c>
      <c r="H984" s="3">
        <f t="shared" si="117"/>
        <v>57040</v>
      </c>
      <c r="I984" s="3">
        <f t="shared" si="118"/>
        <v>52843.75</v>
      </c>
      <c r="J984" s="3">
        <f t="shared" si="119"/>
        <v>73359.399999999994</v>
      </c>
      <c r="K984" s="5">
        <f t="shared" si="120"/>
        <v>240936.9</v>
      </c>
      <c r="L984" s="5">
        <f t="shared" si="121"/>
        <v>240936.9</v>
      </c>
      <c r="M984" s="5">
        <f t="shared" si="122"/>
        <v>0</v>
      </c>
      <c r="N984" s="3"/>
    </row>
    <row r="985" spans="1:14" x14ac:dyDescent="0.25">
      <c r="A985" s="2">
        <v>1220808</v>
      </c>
      <c r="B985" s="3">
        <v>57693.75</v>
      </c>
      <c r="C985" s="3">
        <v>57130</v>
      </c>
      <c r="D985" s="3">
        <v>52906.25</v>
      </c>
      <c r="E985" s="3">
        <v>72812.5</v>
      </c>
      <c r="F985">
        <f t="shared" ref="F985:F1048" si="123">+A985</f>
        <v>1220808</v>
      </c>
      <c r="G985" s="3">
        <f t="shared" si="116"/>
        <v>57693.75</v>
      </c>
      <c r="H985" s="3">
        <f t="shared" si="117"/>
        <v>57130</v>
      </c>
      <c r="I985" s="3">
        <f t="shared" si="118"/>
        <v>52906.25</v>
      </c>
      <c r="J985" s="3">
        <f t="shared" si="119"/>
        <v>72812.5</v>
      </c>
      <c r="K985" s="5">
        <f t="shared" si="120"/>
        <v>240542.5</v>
      </c>
      <c r="L985" s="5">
        <f t="shared" si="121"/>
        <v>240936.9</v>
      </c>
      <c r="M985" s="5">
        <f t="shared" si="122"/>
        <v>-394.39999999999418</v>
      </c>
      <c r="N985" s="3"/>
    </row>
    <row r="986" spans="1:14" x14ac:dyDescent="0.25">
      <c r="A986" s="2">
        <v>1220809</v>
      </c>
      <c r="B986" s="3">
        <v>56012.5</v>
      </c>
      <c r="C986" s="3">
        <v>57350</v>
      </c>
      <c r="D986" s="3">
        <v>52487.5</v>
      </c>
      <c r="E986" s="3">
        <v>71953.100000000006</v>
      </c>
      <c r="F986">
        <f t="shared" si="123"/>
        <v>1220809</v>
      </c>
      <c r="G986" s="3">
        <f t="shared" ref="G986:G1049" si="124">+IF(B986&lt;&gt;0,B986,B985)</f>
        <v>56012.5</v>
      </c>
      <c r="H986" s="3">
        <f t="shared" ref="H986:H1049" si="125">+IF(C986&lt;&gt;0,C986,C985)</f>
        <v>57350</v>
      </c>
      <c r="I986" s="3">
        <f t="shared" ref="I986:I1049" si="126">+IF(D986&lt;&gt;0,D986,D985)</f>
        <v>52487.5</v>
      </c>
      <c r="J986" s="3">
        <f t="shared" ref="J986:J1049" si="127">+IF(E986&lt;&gt;0,E986,E985)</f>
        <v>71953.100000000006</v>
      </c>
      <c r="K986" s="5">
        <f t="shared" ref="K986:K1049" si="128">+SUM(G986:J986)</f>
        <v>237803.1</v>
      </c>
      <c r="L986" s="5">
        <f t="shared" si="121"/>
        <v>240542.5</v>
      </c>
      <c r="M986" s="5">
        <f t="shared" si="122"/>
        <v>-2739.3999999999942</v>
      </c>
      <c r="N986" s="3"/>
    </row>
    <row r="987" spans="1:14" x14ac:dyDescent="0.25">
      <c r="A987" s="2">
        <v>1220810</v>
      </c>
      <c r="B987" s="3">
        <v>56618.75</v>
      </c>
      <c r="C987" s="3">
        <v>57870</v>
      </c>
      <c r="D987" s="3">
        <v>52400</v>
      </c>
      <c r="E987" s="3">
        <v>70390.600000000006</v>
      </c>
      <c r="F987">
        <f t="shared" si="123"/>
        <v>1220810</v>
      </c>
      <c r="G987" s="3">
        <f t="shared" si="124"/>
        <v>56618.75</v>
      </c>
      <c r="H987" s="3">
        <f t="shared" si="125"/>
        <v>57870</v>
      </c>
      <c r="I987" s="3">
        <f t="shared" si="126"/>
        <v>52400</v>
      </c>
      <c r="J987" s="3">
        <f t="shared" si="127"/>
        <v>70390.600000000006</v>
      </c>
      <c r="K987" s="5">
        <f t="shared" si="128"/>
        <v>237279.35</v>
      </c>
      <c r="L987" s="5">
        <f t="shared" ref="L987:L1050" si="129">+IF(K987&gt;K986,K987,K986)</f>
        <v>237803.1</v>
      </c>
      <c r="M987" s="5">
        <f t="shared" ref="M987:M1050" si="130">+K987-L987</f>
        <v>-523.75</v>
      </c>
      <c r="N987" s="3"/>
    </row>
    <row r="988" spans="1:14" x14ac:dyDescent="0.25">
      <c r="A988" s="2">
        <v>1220811</v>
      </c>
      <c r="B988" s="3">
        <v>55118.75</v>
      </c>
      <c r="C988" s="3">
        <v>55760</v>
      </c>
      <c r="D988" s="3">
        <v>53150</v>
      </c>
      <c r="E988" s="3">
        <v>68671.899999999994</v>
      </c>
      <c r="F988">
        <f t="shared" si="123"/>
        <v>1220811</v>
      </c>
      <c r="G988" s="3">
        <f t="shared" si="124"/>
        <v>55118.75</v>
      </c>
      <c r="H988" s="3">
        <f t="shared" si="125"/>
        <v>55760</v>
      </c>
      <c r="I988" s="3">
        <f t="shared" si="126"/>
        <v>53150</v>
      </c>
      <c r="J988" s="3">
        <f t="shared" si="127"/>
        <v>68671.899999999994</v>
      </c>
      <c r="K988" s="5">
        <f t="shared" si="128"/>
        <v>232700.65</v>
      </c>
      <c r="L988" s="5">
        <f t="shared" si="129"/>
        <v>237279.35</v>
      </c>
      <c r="M988" s="5">
        <f t="shared" si="130"/>
        <v>-4578.7000000000116</v>
      </c>
      <c r="N988" s="3"/>
    </row>
    <row r="989" spans="1:14" x14ac:dyDescent="0.25">
      <c r="A989" s="2">
        <v>1220812</v>
      </c>
      <c r="B989" s="3">
        <v>55443.75</v>
      </c>
      <c r="C989" s="3">
        <v>56920</v>
      </c>
      <c r="D989" s="3">
        <v>53787.5</v>
      </c>
      <c r="E989" s="3">
        <v>69062.5</v>
      </c>
      <c r="F989">
        <f t="shared" si="123"/>
        <v>1220812</v>
      </c>
      <c r="G989" s="3">
        <f t="shared" si="124"/>
        <v>55443.75</v>
      </c>
      <c r="H989" s="3">
        <f t="shared" si="125"/>
        <v>56920</v>
      </c>
      <c r="I989" s="3">
        <f t="shared" si="126"/>
        <v>53787.5</v>
      </c>
      <c r="J989" s="3">
        <f t="shared" si="127"/>
        <v>69062.5</v>
      </c>
      <c r="K989" s="5">
        <f t="shared" si="128"/>
        <v>235213.75</v>
      </c>
      <c r="L989" s="5">
        <f t="shared" si="129"/>
        <v>235213.75</v>
      </c>
      <c r="M989" s="5">
        <f t="shared" si="130"/>
        <v>0</v>
      </c>
      <c r="N989" s="3"/>
    </row>
    <row r="990" spans="1:14" x14ac:dyDescent="0.25">
      <c r="A990" s="2">
        <v>1220814</v>
      </c>
      <c r="B990" s="3">
        <v>55668.75</v>
      </c>
      <c r="C990" s="3">
        <v>56820</v>
      </c>
      <c r="D990" s="3">
        <v>53975</v>
      </c>
      <c r="E990" s="3">
        <v>68828.100000000006</v>
      </c>
      <c r="F990">
        <f t="shared" si="123"/>
        <v>1220814</v>
      </c>
      <c r="G990" s="3">
        <f t="shared" si="124"/>
        <v>55668.75</v>
      </c>
      <c r="H990" s="3">
        <f t="shared" si="125"/>
        <v>56820</v>
      </c>
      <c r="I990" s="3">
        <f t="shared" si="126"/>
        <v>53975</v>
      </c>
      <c r="J990" s="3">
        <f t="shared" si="127"/>
        <v>68828.100000000006</v>
      </c>
      <c r="K990" s="5">
        <f t="shared" si="128"/>
        <v>235291.85</v>
      </c>
      <c r="L990" s="5">
        <f t="shared" si="129"/>
        <v>235291.85</v>
      </c>
      <c r="M990" s="5">
        <f t="shared" si="130"/>
        <v>0</v>
      </c>
      <c r="N990" s="3"/>
    </row>
    <row r="991" spans="1:14" x14ac:dyDescent="0.25">
      <c r="A991" s="2">
        <v>1220815</v>
      </c>
      <c r="B991" s="3">
        <v>55631.25</v>
      </c>
      <c r="C991" s="3">
        <v>56290</v>
      </c>
      <c r="D991" s="3">
        <v>53712.5</v>
      </c>
      <c r="E991" s="3">
        <v>68750</v>
      </c>
      <c r="F991">
        <f t="shared" si="123"/>
        <v>1220815</v>
      </c>
      <c r="G991" s="3">
        <f t="shared" si="124"/>
        <v>55631.25</v>
      </c>
      <c r="H991" s="3">
        <f t="shared" si="125"/>
        <v>56290</v>
      </c>
      <c r="I991" s="3">
        <f t="shared" si="126"/>
        <v>53712.5</v>
      </c>
      <c r="J991" s="3">
        <f t="shared" si="127"/>
        <v>68750</v>
      </c>
      <c r="K991" s="5">
        <f t="shared" si="128"/>
        <v>234383.75</v>
      </c>
      <c r="L991" s="5">
        <f t="shared" si="129"/>
        <v>235291.85</v>
      </c>
      <c r="M991" s="5">
        <f t="shared" si="130"/>
        <v>-908.10000000000582</v>
      </c>
      <c r="N991" s="3"/>
    </row>
    <row r="992" spans="1:14" x14ac:dyDescent="0.25">
      <c r="A992" s="2">
        <v>1220816</v>
      </c>
      <c r="B992" s="3">
        <v>56212.5</v>
      </c>
      <c r="C992" s="3">
        <v>55820</v>
      </c>
      <c r="D992" s="3">
        <v>53525</v>
      </c>
      <c r="E992" s="3">
        <v>70859.399999999994</v>
      </c>
      <c r="F992">
        <f t="shared" si="123"/>
        <v>1220816</v>
      </c>
      <c r="G992" s="3">
        <f t="shared" si="124"/>
        <v>56212.5</v>
      </c>
      <c r="H992" s="3">
        <f t="shared" si="125"/>
        <v>55820</v>
      </c>
      <c r="I992" s="3">
        <f t="shared" si="126"/>
        <v>53525</v>
      </c>
      <c r="J992" s="3">
        <f t="shared" si="127"/>
        <v>70859.399999999994</v>
      </c>
      <c r="K992" s="5">
        <f t="shared" si="128"/>
        <v>236416.9</v>
      </c>
      <c r="L992" s="5">
        <f t="shared" si="129"/>
        <v>236416.9</v>
      </c>
      <c r="M992" s="5">
        <f t="shared" si="130"/>
        <v>0</v>
      </c>
      <c r="N992" s="3"/>
    </row>
    <row r="993" spans="1:14" x14ac:dyDescent="0.25">
      <c r="A993" s="2">
        <v>1220817</v>
      </c>
      <c r="B993" s="3">
        <v>55775</v>
      </c>
      <c r="C993" s="3">
        <v>56430</v>
      </c>
      <c r="D993" s="3">
        <v>52912.5</v>
      </c>
      <c r="E993" s="3">
        <v>71093.75</v>
      </c>
      <c r="F993">
        <f t="shared" si="123"/>
        <v>1220817</v>
      </c>
      <c r="G993" s="3">
        <f t="shared" si="124"/>
        <v>55775</v>
      </c>
      <c r="H993" s="3">
        <f t="shared" si="125"/>
        <v>56430</v>
      </c>
      <c r="I993" s="3">
        <f t="shared" si="126"/>
        <v>52912.5</v>
      </c>
      <c r="J993" s="3">
        <f t="shared" si="127"/>
        <v>71093.75</v>
      </c>
      <c r="K993" s="5">
        <f t="shared" si="128"/>
        <v>236211.25</v>
      </c>
      <c r="L993" s="5">
        <f t="shared" si="129"/>
        <v>236416.9</v>
      </c>
      <c r="M993" s="5">
        <f t="shared" si="130"/>
        <v>-205.64999999999418</v>
      </c>
      <c r="N993" s="3"/>
    </row>
    <row r="994" spans="1:14" x14ac:dyDescent="0.25">
      <c r="A994" s="2">
        <v>1220818</v>
      </c>
      <c r="B994" s="3">
        <v>54575</v>
      </c>
      <c r="C994" s="3">
        <v>57850</v>
      </c>
      <c r="D994" s="3">
        <v>53568.75</v>
      </c>
      <c r="E994" s="3">
        <v>72968.75</v>
      </c>
      <c r="F994">
        <f t="shared" si="123"/>
        <v>1220818</v>
      </c>
      <c r="G994" s="3">
        <f t="shared" si="124"/>
        <v>54575</v>
      </c>
      <c r="H994" s="3">
        <f t="shared" si="125"/>
        <v>57850</v>
      </c>
      <c r="I994" s="3">
        <f t="shared" si="126"/>
        <v>53568.75</v>
      </c>
      <c r="J994" s="3">
        <f t="shared" si="127"/>
        <v>72968.75</v>
      </c>
      <c r="K994" s="5">
        <f t="shared" si="128"/>
        <v>238962.5</v>
      </c>
      <c r="L994" s="5">
        <f t="shared" si="129"/>
        <v>238962.5</v>
      </c>
      <c r="M994" s="5">
        <f t="shared" si="130"/>
        <v>0</v>
      </c>
      <c r="N994" s="3"/>
    </row>
    <row r="995" spans="1:14" x14ac:dyDescent="0.25">
      <c r="A995" s="2">
        <v>1220819</v>
      </c>
      <c r="B995" s="3">
        <v>54175</v>
      </c>
      <c r="C995" s="3">
        <v>56160</v>
      </c>
      <c r="D995" s="3">
        <v>53950</v>
      </c>
      <c r="E995" s="3">
        <v>70781.25</v>
      </c>
      <c r="F995">
        <f t="shared" si="123"/>
        <v>1220819</v>
      </c>
      <c r="G995" s="3">
        <f t="shared" si="124"/>
        <v>54175</v>
      </c>
      <c r="H995" s="3">
        <f t="shared" si="125"/>
        <v>56160</v>
      </c>
      <c r="I995" s="3">
        <f t="shared" si="126"/>
        <v>53950</v>
      </c>
      <c r="J995" s="3">
        <f t="shared" si="127"/>
        <v>70781.25</v>
      </c>
      <c r="K995" s="5">
        <f t="shared" si="128"/>
        <v>235066.25</v>
      </c>
      <c r="L995" s="5">
        <f t="shared" si="129"/>
        <v>238962.5</v>
      </c>
      <c r="M995" s="5">
        <f t="shared" si="130"/>
        <v>-3896.25</v>
      </c>
      <c r="N995" s="3"/>
    </row>
    <row r="996" spans="1:14" x14ac:dyDescent="0.25">
      <c r="A996" s="2">
        <v>1220821</v>
      </c>
      <c r="B996" s="3">
        <v>54662.5</v>
      </c>
      <c r="C996" s="3">
        <v>54340</v>
      </c>
      <c r="D996" s="3">
        <v>54456.25</v>
      </c>
      <c r="E996" s="3">
        <v>69921.899999999994</v>
      </c>
      <c r="F996">
        <f t="shared" si="123"/>
        <v>1220821</v>
      </c>
      <c r="G996" s="3">
        <f t="shared" si="124"/>
        <v>54662.5</v>
      </c>
      <c r="H996" s="3">
        <f t="shared" si="125"/>
        <v>54340</v>
      </c>
      <c r="I996" s="3">
        <f t="shared" si="126"/>
        <v>54456.25</v>
      </c>
      <c r="J996" s="3">
        <f t="shared" si="127"/>
        <v>69921.899999999994</v>
      </c>
      <c r="K996" s="5">
        <f t="shared" si="128"/>
        <v>233380.65</v>
      </c>
      <c r="L996" s="5">
        <f t="shared" si="129"/>
        <v>235066.25</v>
      </c>
      <c r="M996" s="5">
        <f t="shared" si="130"/>
        <v>-1685.6000000000058</v>
      </c>
      <c r="N996" s="3"/>
    </row>
    <row r="997" spans="1:14" x14ac:dyDescent="0.25">
      <c r="A997" s="2">
        <v>1220822</v>
      </c>
      <c r="B997" s="3">
        <v>54812.5</v>
      </c>
      <c r="C997" s="3">
        <v>54220</v>
      </c>
      <c r="D997" s="3">
        <v>54612.5</v>
      </c>
      <c r="E997" s="3">
        <v>70156.25</v>
      </c>
      <c r="F997">
        <f t="shared" si="123"/>
        <v>1220822</v>
      </c>
      <c r="G997" s="3">
        <f t="shared" si="124"/>
        <v>54812.5</v>
      </c>
      <c r="H997" s="3">
        <f t="shared" si="125"/>
        <v>54220</v>
      </c>
      <c r="I997" s="3">
        <f t="shared" si="126"/>
        <v>54612.5</v>
      </c>
      <c r="J997" s="3">
        <f t="shared" si="127"/>
        <v>70156.25</v>
      </c>
      <c r="K997" s="5">
        <f t="shared" si="128"/>
        <v>233801.25</v>
      </c>
      <c r="L997" s="5">
        <f t="shared" si="129"/>
        <v>233801.25</v>
      </c>
      <c r="M997" s="5">
        <f t="shared" si="130"/>
        <v>0</v>
      </c>
      <c r="N997" s="3"/>
    </row>
    <row r="998" spans="1:14" x14ac:dyDescent="0.25">
      <c r="A998" s="2">
        <v>1220823</v>
      </c>
      <c r="B998" s="3">
        <v>56525</v>
      </c>
      <c r="C998" s="3">
        <v>53000</v>
      </c>
      <c r="D998" s="3">
        <v>54650</v>
      </c>
      <c r="E998" s="3">
        <v>71484.399999999994</v>
      </c>
      <c r="F998">
        <f t="shared" si="123"/>
        <v>1220823</v>
      </c>
      <c r="G998" s="3">
        <f t="shared" si="124"/>
        <v>56525</v>
      </c>
      <c r="H998" s="3">
        <f t="shared" si="125"/>
        <v>53000</v>
      </c>
      <c r="I998" s="3">
        <f t="shared" si="126"/>
        <v>54650</v>
      </c>
      <c r="J998" s="3">
        <f t="shared" si="127"/>
        <v>71484.399999999994</v>
      </c>
      <c r="K998" s="5">
        <f t="shared" si="128"/>
        <v>235659.4</v>
      </c>
      <c r="L998" s="5">
        <f t="shared" si="129"/>
        <v>235659.4</v>
      </c>
      <c r="M998" s="5">
        <f t="shared" si="130"/>
        <v>0</v>
      </c>
      <c r="N998" s="3"/>
    </row>
    <row r="999" spans="1:14" x14ac:dyDescent="0.25">
      <c r="A999" s="2">
        <v>1220824</v>
      </c>
      <c r="B999" s="3">
        <v>55362.5</v>
      </c>
      <c r="C999" s="3">
        <v>50990</v>
      </c>
      <c r="D999" s="3">
        <v>54843.75</v>
      </c>
      <c r="E999" s="3">
        <v>68593.75</v>
      </c>
      <c r="F999">
        <f t="shared" si="123"/>
        <v>1220824</v>
      </c>
      <c r="G999" s="3">
        <f t="shared" si="124"/>
        <v>55362.5</v>
      </c>
      <c r="H999" s="3">
        <f t="shared" si="125"/>
        <v>50990</v>
      </c>
      <c r="I999" s="3">
        <f t="shared" si="126"/>
        <v>54843.75</v>
      </c>
      <c r="J999" s="3">
        <f t="shared" si="127"/>
        <v>68593.75</v>
      </c>
      <c r="K999" s="5">
        <f t="shared" si="128"/>
        <v>229790</v>
      </c>
      <c r="L999" s="5">
        <f t="shared" si="129"/>
        <v>235659.4</v>
      </c>
      <c r="M999" s="5">
        <f t="shared" si="130"/>
        <v>-5869.3999999999942</v>
      </c>
      <c r="N999" s="3"/>
    </row>
    <row r="1000" spans="1:14" x14ac:dyDescent="0.25">
      <c r="A1000" s="2">
        <v>1220825</v>
      </c>
      <c r="B1000" s="3">
        <v>56237.5</v>
      </c>
      <c r="C1000" s="3">
        <v>49080</v>
      </c>
      <c r="D1000" s="3">
        <v>54487.5</v>
      </c>
      <c r="E1000" s="3">
        <v>68671.899999999994</v>
      </c>
      <c r="F1000">
        <f t="shared" si="123"/>
        <v>1220825</v>
      </c>
      <c r="G1000" s="3">
        <f t="shared" si="124"/>
        <v>56237.5</v>
      </c>
      <c r="H1000" s="3">
        <f t="shared" si="125"/>
        <v>49080</v>
      </c>
      <c r="I1000" s="3">
        <f t="shared" si="126"/>
        <v>54487.5</v>
      </c>
      <c r="J1000" s="3">
        <f t="shared" si="127"/>
        <v>68671.899999999994</v>
      </c>
      <c r="K1000" s="5">
        <f t="shared" si="128"/>
        <v>228476.9</v>
      </c>
      <c r="L1000" s="5">
        <f t="shared" si="129"/>
        <v>229790</v>
      </c>
      <c r="M1000" s="5">
        <f t="shared" si="130"/>
        <v>-1313.1000000000058</v>
      </c>
      <c r="N1000" s="3"/>
    </row>
    <row r="1001" spans="1:14" x14ac:dyDescent="0.25">
      <c r="A1001" s="2">
        <v>1220826</v>
      </c>
      <c r="B1001" s="3">
        <v>56593.75</v>
      </c>
      <c r="C1001" s="3">
        <v>47660</v>
      </c>
      <c r="D1001" s="3">
        <v>54612.5</v>
      </c>
      <c r="E1001" s="3">
        <v>67265.600000000006</v>
      </c>
      <c r="F1001">
        <f t="shared" si="123"/>
        <v>1220826</v>
      </c>
      <c r="G1001" s="3">
        <f t="shared" si="124"/>
        <v>56593.75</v>
      </c>
      <c r="H1001" s="3">
        <f t="shared" si="125"/>
        <v>47660</v>
      </c>
      <c r="I1001" s="3">
        <f t="shared" si="126"/>
        <v>54612.5</v>
      </c>
      <c r="J1001" s="3">
        <f t="shared" si="127"/>
        <v>67265.600000000006</v>
      </c>
      <c r="K1001" s="5">
        <f t="shared" si="128"/>
        <v>226131.85</v>
      </c>
      <c r="L1001" s="5">
        <f t="shared" si="129"/>
        <v>228476.9</v>
      </c>
      <c r="M1001" s="5">
        <f t="shared" si="130"/>
        <v>-2345.0499999999884</v>
      </c>
      <c r="N1001" s="3"/>
    </row>
    <row r="1002" spans="1:14" x14ac:dyDescent="0.25">
      <c r="A1002" s="2">
        <v>1220828</v>
      </c>
      <c r="B1002" s="3">
        <v>60450</v>
      </c>
      <c r="C1002" s="3">
        <v>48750</v>
      </c>
      <c r="D1002" s="3">
        <v>54893.75</v>
      </c>
      <c r="E1002" s="3">
        <v>60703.100000000006</v>
      </c>
      <c r="F1002">
        <f t="shared" si="123"/>
        <v>1220828</v>
      </c>
      <c r="G1002" s="3">
        <f t="shared" si="124"/>
        <v>60450</v>
      </c>
      <c r="H1002" s="3">
        <f t="shared" si="125"/>
        <v>48750</v>
      </c>
      <c r="I1002" s="3">
        <f t="shared" si="126"/>
        <v>54893.75</v>
      </c>
      <c r="J1002" s="3">
        <f t="shared" si="127"/>
        <v>60703.100000000006</v>
      </c>
      <c r="K1002" s="5">
        <f t="shared" si="128"/>
        <v>224796.85</v>
      </c>
      <c r="L1002" s="5">
        <f t="shared" si="129"/>
        <v>226131.85</v>
      </c>
      <c r="M1002" s="5">
        <f t="shared" si="130"/>
        <v>-1335</v>
      </c>
      <c r="N1002" s="3"/>
    </row>
    <row r="1003" spans="1:14" x14ac:dyDescent="0.25">
      <c r="A1003" s="2">
        <v>1220829</v>
      </c>
      <c r="B1003" s="3">
        <v>60443.75</v>
      </c>
      <c r="C1003" s="3">
        <v>49870</v>
      </c>
      <c r="D1003" s="3">
        <v>55537.5</v>
      </c>
      <c r="E1003" s="3">
        <v>58281.25</v>
      </c>
      <c r="F1003">
        <f t="shared" si="123"/>
        <v>1220829</v>
      </c>
      <c r="G1003" s="3">
        <f t="shared" si="124"/>
        <v>60443.75</v>
      </c>
      <c r="H1003" s="3">
        <f t="shared" si="125"/>
        <v>49870</v>
      </c>
      <c r="I1003" s="3">
        <f t="shared" si="126"/>
        <v>55537.5</v>
      </c>
      <c r="J1003" s="3">
        <f t="shared" si="127"/>
        <v>58281.25</v>
      </c>
      <c r="K1003" s="5">
        <f t="shared" si="128"/>
        <v>224132.5</v>
      </c>
      <c r="L1003" s="5">
        <f t="shared" si="129"/>
        <v>224796.85</v>
      </c>
      <c r="M1003" s="5">
        <f t="shared" si="130"/>
        <v>-664.35000000000582</v>
      </c>
      <c r="N1003" s="3"/>
    </row>
    <row r="1004" spans="1:14" x14ac:dyDescent="0.25">
      <c r="A1004" s="2">
        <v>1220830</v>
      </c>
      <c r="B1004" s="3">
        <v>59868.75</v>
      </c>
      <c r="C1004" s="3">
        <v>50770</v>
      </c>
      <c r="D1004" s="3">
        <v>55112.5</v>
      </c>
      <c r="E1004" s="3">
        <v>60234.399999999994</v>
      </c>
      <c r="F1004">
        <f t="shared" si="123"/>
        <v>1220830</v>
      </c>
      <c r="G1004" s="3">
        <f t="shared" si="124"/>
        <v>59868.75</v>
      </c>
      <c r="H1004" s="3">
        <f t="shared" si="125"/>
        <v>50770</v>
      </c>
      <c r="I1004" s="3">
        <f t="shared" si="126"/>
        <v>55112.5</v>
      </c>
      <c r="J1004" s="3">
        <f t="shared" si="127"/>
        <v>60234.399999999994</v>
      </c>
      <c r="K1004" s="5">
        <f t="shared" si="128"/>
        <v>225985.65</v>
      </c>
      <c r="L1004" s="5">
        <f t="shared" si="129"/>
        <v>225985.65</v>
      </c>
      <c r="M1004" s="5">
        <f t="shared" si="130"/>
        <v>0</v>
      </c>
      <c r="N1004" s="3"/>
    </row>
    <row r="1005" spans="1:14" x14ac:dyDescent="0.25">
      <c r="A1005" s="2">
        <v>1220831</v>
      </c>
      <c r="B1005" s="3">
        <v>59406.25</v>
      </c>
      <c r="C1005" s="3">
        <v>51080</v>
      </c>
      <c r="D1005" s="3">
        <v>54918.75</v>
      </c>
      <c r="E1005" s="3">
        <v>59140.600000000006</v>
      </c>
      <c r="F1005">
        <f t="shared" si="123"/>
        <v>1220831</v>
      </c>
      <c r="G1005" s="3">
        <f t="shared" si="124"/>
        <v>59406.25</v>
      </c>
      <c r="H1005" s="3">
        <f t="shared" si="125"/>
        <v>51080</v>
      </c>
      <c r="I1005" s="3">
        <f t="shared" si="126"/>
        <v>54918.75</v>
      </c>
      <c r="J1005" s="3">
        <f t="shared" si="127"/>
        <v>59140.600000000006</v>
      </c>
      <c r="K1005" s="5">
        <f t="shared" si="128"/>
        <v>224545.6</v>
      </c>
      <c r="L1005" s="5">
        <f t="shared" si="129"/>
        <v>225985.65</v>
      </c>
      <c r="M1005" s="5">
        <f t="shared" si="130"/>
        <v>-1440.0499999999884</v>
      </c>
      <c r="N1005" s="3"/>
    </row>
    <row r="1006" spans="1:14" x14ac:dyDescent="0.25">
      <c r="A1006" s="2">
        <v>1220901</v>
      </c>
      <c r="B1006" s="3">
        <v>60993.75</v>
      </c>
      <c r="C1006" s="3">
        <v>51820</v>
      </c>
      <c r="D1006" s="3">
        <v>55612.5</v>
      </c>
      <c r="E1006" s="3">
        <v>62656.25</v>
      </c>
      <c r="F1006">
        <f t="shared" si="123"/>
        <v>1220901</v>
      </c>
      <c r="G1006" s="3">
        <f t="shared" si="124"/>
        <v>60993.75</v>
      </c>
      <c r="H1006" s="3">
        <f t="shared" si="125"/>
        <v>51820</v>
      </c>
      <c r="I1006" s="3">
        <f t="shared" si="126"/>
        <v>55612.5</v>
      </c>
      <c r="J1006" s="3">
        <f t="shared" si="127"/>
        <v>62656.25</v>
      </c>
      <c r="K1006" s="5">
        <f t="shared" si="128"/>
        <v>231082.5</v>
      </c>
      <c r="L1006" s="5">
        <f t="shared" si="129"/>
        <v>231082.5</v>
      </c>
      <c r="M1006" s="5">
        <f t="shared" si="130"/>
        <v>0</v>
      </c>
      <c r="N1006" s="3"/>
    </row>
    <row r="1007" spans="1:14" x14ac:dyDescent="0.25">
      <c r="A1007" s="2">
        <v>1220902</v>
      </c>
      <c r="B1007" s="3">
        <v>61787.5</v>
      </c>
      <c r="C1007" s="3">
        <v>50770</v>
      </c>
      <c r="D1007" s="3">
        <v>56150</v>
      </c>
      <c r="E1007" s="3">
        <v>64296.899999999994</v>
      </c>
      <c r="F1007">
        <f t="shared" si="123"/>
        <v>1220902</v>
      </c>
      <c r="G1007" s="3">
        <f t="shared" si="124"/>
        <v>61787.5</v>
      </c>
      <c r="H1007" s="3">
        <f t="shared" si="125"/>
        <v>50770</v>
      </c>
      <c r="I1007" s="3">
        <f t="shared" si="126"/>
        <v>56150</v>
      </c>
      <c r="J1007" s="3">
        <f t="shared" si="127"/>
        <v>64296.899999999994</v>
      </c>
      <c r="K1007" s="5">
        <f t="shared" si="128"/>
        <v>233004.4</v>
      </c>
      <c r="L1007" s="5">
        <f t="shared" si="129"/>
        <v>233004.4</v>
      </c>
      <c r="M1007" s="5">
        <f t="shared" si="130"/>
        <v>0</v>
      </c>
      <c r="N1007" s="3"/>
    </row>
    <row r="1008" spans="1:14" x14ac:dyDescent="0.25">
      <c r="A1008" s="2">
        <v>1220904</v>
      </c>
      <c r="B1008" s="3">
        <v>62318.75</v>
      </c>
      <c r="C1008" s="3">
        <v>50820</v>
      </c>
      <c r="D1008" s="3">
        <v>55475</v>
      </c>
      <c r="E1008" s="3">
        <v>66171.899999999994</v>
      </c>
      <c r="F1008">
        <f t="shared" si="123"/>
        <v>1220904</v>
      </c>
      <c r="G1008" s="3">
        <f t="shared" si="124"/>
        <v>62318.75</v>
      </c>
      <c r="H1008" s="3">
        <f t="shared" si="125"/>
        <v>50820</v>
      </c>
      <c r="I1008" s="3">
        <f t="shared" si="126"/>
        <v>55475</v>
      </c>
      <c r="J1008" s="3">
        <f t="shared" si="127"/>
        <v>66171.899999999994</v>
      </c>
      <c r="K1008" s="5">
        <f t="shared" si="128"/>
        <v>234785.65</v>
      </c>
      <c r="L1008" s="5">
        <f t="shared" si="129"/>
        <v>234785.65</v>
      </c>
      <c r="M1008" s="5">
        <f t="shared" si="130"/>
        <v>0</v>
      </c>
      <c r="N1008" s="3"/>
    </row>
    <row r="1009" spans="1:14" x14ac:dyDescent="0.25">
      <c r="A1009" s="2">
        <v>1220905</v>
      </c>
      <c r="B1009" s="3">
        <v>61993.75</v>
      </c>
      <c r="C1009" s="3">
        <v>51010</v>
      </c>
      <c r="D1009" s="3">
        <v>55150</v>
      </c>
      <c r="E1009" s="3">
        <v>65703.100000000006</v>
      </c>
      <c r="F1009">
        <f t="shared" si="123"/>
        <v>1220905</v>
      </c>
      <c r="G1009" s="3">
        <f t="shared" si="124"/>
        <v>61993.75</v>
      </c>
      <c r="H1009" s="3">
        <f t="shared" si="125"/>
        <v>51010</v>
      </c>
      <c r="I1009" s="3">
        <f t="shared" si="126"/>
        <v>55150</v>
      </c>
      <c r="J1009" s="3">
        <f t="shared" si="127"/>
        <v>65703.100000000006</v>
      </c>
      <c r="K1009" s="5">
        <f t="shared" si="128"/>
        <v>233856.85</v>
      </c>
      <c r="L1009" s="5">
        <f t="shared" si="129"/>
        <v>234785.65</v>
      </c>
      <c r="M1009" s="5">
        <f t="shared" si="130"/>
        <v>-928.79999999998836</v>
      </c>
      <c r="N1009" s="3"/>
    </row>
    <row r="1010" spans="1:14" x14ac:dyDescent="0.25">
      <c r="A1010" s="2">
        <v>1220906</v>
      </c>
      <c r="B1010" s="3">
        <v>61637.5</v>
      </c>
      <c r="C1010" s="3">
        <v>51620</v>
      </c>
      <c r="D1010" s="3">
        <v>55181.25</v>
      </c>
      <c r="E1010" s="3">
        <v>62500</v>
      </c>
      <c r="F1010">
        <f t="shared" si="123"/>
        <v>1220906</v>
      </c>
      <c r="G1010" s="3">
        <f t="shared" si="124"/>
        <v>61637.5</v>
      </c>
      <c r="H1010" s="3">
        <f t="shared" si="125"/>
        <v>51620</v>
      </c>
      <c r="I1010" s="3">
        <f t="shared" si="126"/>
        <v>55181.25</v>
      </c>
      <c r="J1010" s="3">
        <f t="shared" si="127"/>
        <v>62500</v>
      </c>
      <c r="K1010" s="5">
        <f t="shared" si="128"/>
        <v>230938.75</v>
      </c>
      <c r="L1010" s="5">
        <f t="shared" si="129"/>
        <v>233856.85</v>
      </c>
      <c r="M1010" s="5">
        <f t="shared" si="130"/>
        <v>-2918.1000000000058</v>
      </c>
      <c r="N1010" s="3"/>
    </row>
    <row r="1011" spans="1:14" x14ac:dyDescent="0.25">
      <c r="A1011" s="2">
        <v>1220907</v>
      </c>
      <c r="B1011" s="3">
        <v>61187.5</v>
      </c>
      <c r="C1011" s="3">
        <v>53240</v>
      </c>
      <c r="D1011" s="3">
        <v>57075</v>
      </c>
      <c r="E1011" s="3">
        <v>66328.100000000006</v>
      </c>
      <c r="F1011">
        <f t="shared" si="123"/>
        <v>1220907</v>
      </c>
      <c r="G1011" s="3">
        <f t="shared" si="124"/>
        <v>61187.5</v>
      </c>
      <c r="H1011" s="3">
        <f t="shared" si="125"/>
        <v>53240</v>
      </c>
      <c r="I1011" s="3">
        <f t="shared" si="126"/>
        <v>57075</v>
      </c>
      <c r="J1011" s="3">
        <f t="shared" si="127"/>
        <v>66328.100000000006</v>
      </c>
      <c r="K1011" s="5">
        <f t="shared" si="128"/>
        <v>237830.6</v>
      </c>
      <c r="L1011" s="5">
        <f t="shared" si="129"/>
        <v>237830.6</v>
      </c>
      <c r="M1011" s="5">
        <f t="shared" si="130"/>
        <v>0</v>
      </c>
      <c r="N1011" s="3"/>
    </row>
    <row r="1012" spans="1:14" x14ac:dyDescent="0.25">
      <c r="A1012" s="2">
        <v>1220908</v>
      </c>
      <c r="B1012" s="3">
        <v>61693.75</v>
      </c>
      <c r="C1012" s="3">
        <v>53290</v>
      </c>
      <c r="D1012" s="3">
        <v>56875</v>
      </c>
      <c r="E1012" s="3">
        <v>67656.25</v>
      </c>
      <c r="F1012">
        <f t="shared" si="123"/>
        <v>1220908</v>
      </c>
      <c r="G1012" s="3">
        <f t="shared" si="124"/>
        <v>61693.75</v>
      </c>
      <c r="H1012" s="3">
        <f t="shared" si="125"/>
        <v>53290</v>
      </c>
      <c r="I1012" s="3">
        <f t="shared" si="126"/>
        <v>56875</v>
      </c>
      <c r="J1012" s="3">
        <f t="shared" si="127"/>
        <v>67656.25</v>
      </c>
      <c r="K1012" s="5">
        <f t="shared" si="128"/>
        <v>239515</v>
      </c>
      <c r="L1012" s="5">
        <f t="shared" si="129"/>
        <v>239515</v>
      </c>
      <c r="M1012" s="5">
        <f t="shared" si="130"/>
        <v>0</v>
      </c>
      <c r="N1012" s="3"/>
    </row>
    <row r="1013" spans="1:14" x14ac:dyDescent="0.25">
      <c r="A1013" s="2">
        <v>1220909</v>
      </c>
      <c r="B1013" s="3">
        <v>62706.25</v>
      </c>
      <c r="C1013" s="3">
        <v>52470</v>
      </c>
      <c r="D1013" s="3">
        <v>56687.5</v>
      </c>
      <c r="E1013" s="3">
        <v>66640.600000000006</v>
      </c>
      <c r="F1013">
        <f t="shared" si="123"/>
        <v>1220909</v>
      </c>
      <c r="G1013" s="3">
        <f t="shared" si="124"/>
        <v>62706.25</v>
      </c>
      <c r="H1013" s="3">
        <f t="shared" si="125"/>
        <v>52470</v>
      </c>
      <c r="I1013" s="3">
        <f t="shared" si="126"/>
        <v>56687.5</v>
      </c>
      <c r="J1013" s="3">
        <f t="shared" si="127"/>
        <v>66640.600000000006</v>
      </c>
      <c r="K1013" s="5">
        <f t="shared" si="128"/>
        <v>238504.35</v>
      </c>
      <c r="L1013" s="5">
        <f t="shared" si="129"/>
        <v>239515</v>
      </c>
      <c r="M1013" s="5">
        <f t="shared" si="130"/>
        <v>-1010.6499999999942</v>
      </c>
      <c r="N1013" s="3"/>
    </row>
    <row r="1014" spans="1:14" x14ac:dyDescent="0.25">
      <c r="A1014" s="2">
        <v>1220911</v>
      </c>
      <c r="B1014" s="3">
        <v>64087.5</v>
      </c>
      <c r="C1014" s="3">
        <v>50440</v>
      </c>
      <c r="D1014" s="3">
        <v>56712.5</v>
      </c>
      <c r="E1014" s="3">
        <v>67656.25</v>
      </c>
      <c r="F1014">
        <f t="shared" si="123"/>
        <v>1220911</v>
      </c>
      <c r="G1014" s="3">
        <f t="shared" si="124"/>
        <v>64087.5</v>
      </c>
      <c r="H1014" s="3">
        <f t="shared" si="125"/>
        <v>50440</v>
      </c>
      <c r="I1014" s="3">
        <f t="shared" si="126"/>
        <v>56712.5</v>
      </c>
      <c r="J1014" s="3">
        <f t="shared" si="127"/>
        <v>67656.25</v>
      </c>
      <c r="K1014" s="5">
        <f t="shared" si="128"/>
        <v>238896.25</v>
      </c>
      <c r="L1014" s="5">
        <f t="shared" si="129"/>
        <v>238896.25</v>
      </c>
      <c r="M1014" s="5">
        <f t="shared" si="130"/>
        <v>0</v>
      </c>
      <c r="N1014" s="3"/>
    </row>
    <row r="1015" spans="1:14" x14ac:dyDescent="0.25">
      <c r="A1015" s="2">
        <v>1220912</v>
      </c>
      <c r="B1015" s="3">
        <v>63731.25</v>
      </c>
      <c r="C1015" s="3">
        <v>49760</v>
      </c>
      <c r="D1015" s="3">
        <v>57050</v>
      </c>
      <c r="E1015" s="3">
        <v>68359.399999999994</v>
      </c>
      <c r="F1015">
        <f t="shared" si="123"/>
        <v>1220912</v>
      </c>
      <c r="G1015" s="3">
        <f t="shared" si="124"/>
        <v>63731.25</v>
      </c>
      <c r="H1015" s="3">
        <f t="shared" si="125"/>
        <v>49760</v>
      </c>
      <c r="I1015" s="3">
        <f t="shared" si="126"/>
        <v>57050</v>
      </c>
      <c r="J1015" s="3">
        <f t="shared" si="127"/>
        <v>68359.399999999994</v>
      </c>
      <c r="K1015" s="5">
        <f t="shared" si="128"/>
        <v>238900.65</v>
      </c>
      <c r="L1015" s="5">
        <f t="shared" si="129"/>
        <v>238900.65</v>
      </c>
      <c r="M1015" s="5">
        <f t="shared" si="130"/>
        <v>0</v>
      </c>
      <c r="N1015" s="3"/>
    </row>
    <row r="1016" spans="1:14" x14ac:dyDescent="0.25">
      <c r="A1016" s="2">
        <v>1220913</v>
      </c>
      <c r="B1016" s="3">
        <v>64925</v>
      </c>
      <c r="C1016" s="3">
        <v>50550</v>
      </c>
      <c r="D1016" s="3">
        <v>56593.75</v>
      </c>
      <c r="E1016" s="3">
        <v>65781.25</v>
      </c>
      <c r="F1016">
        <f t="shared" si="123"/>
        <v>1220913</v>
      </c>
      <c r="G1016" s="3">
        <f t="shared" si="124"/>
        <v>64925</v>
      </c>
      <c r="H1016" s="3">
        <f t="shared" si="125"/>
        <v>50550</v>
      </c>
      <c r="I1016" s="3">
        <f t="shared" si="126"/>
        <v>56593.75</v>
      </c>
      <c r="J1016" s="3">
        <f t="shared" si="127"/>
        <v>65781.25</v>
      </c>
      <c r="K1016" s="5">
        <f t="shared" si="128"/>
        <v>237850</v>
      </c>
      <c r="L1016" s="5">
        <f t="shared" si="129"/>
        <v>238900.65</v>
      </c>
      <c r="M1016" s="5">
        <f t="shared" si="130"/>
        <v>-1050.6499999999942</v>
      </c>
      <c r="N1016" s="3"/>
    </row>
    <row r="1017" spans="1:14" x14ac:dyDescent="0.25">
      <c r="A1017" s="2">
        <v>1220914</v>
      </c>
      <c r="B1017" s="3">
        <v>66656.25</v>
      </c>
      <c r="C1017" s="3">
        <v>52420</v>
      </c>
      <c r="D1017" s="3">
        <v>57456.25</v>
      </c>
      <c r="E1017" s="3">
        <v>69062.5</v>
      </c>
      <c r="F1017">
        <f t="shared" si="123"/>
        <v>1220914</v>
      </c>
      <c r="G1017" s="3">
        <f t="shared" si="124"/>
        <v>66656.25</v>
      </c>
      <c r="H1017" s="3">
        <f t="shared" si="125"/>
        <v>52420</v>
      </c>
      <c r="I1017" s="3">
        <f t="shared" si="126"/>
        <v>57456.25</v>
      </c>
      <c r="J1017" s="3">
        <f t="shared" si="127"/>
        <v>69062.5</v>
      </c>
      <c r="K1017" s="5">
        <f t="shared" si="128"/>
        <v>245595</v>
      </c>
      <c r="L1017" s="5">
        <f t="shared" si="129"/>
        <v>245595</v>
      </c>
      <c r="M1017" s="5">
        <f t="shared" si="130"/>
        <v>0</v>
      </c>
      <c r="N1017" s="3"/>
    </row>
    <row r="1018" spans="1:14" x14ac:dyDescent="0.25">
      <c r="A1018" s="2">
        <v>1220915</v>
      </c>
      <c r="B1018" s="3">
        <v>64593.75</v>
      </c>
      <c r="C1018" s="3">
        <v>50650</v>
      </c>
      <c r="D1018" s="3">
        <v>56487.5</v>
      </c>
      <c r="E1018" s="3">
        <v>66953.100000000006</v>
      </c>
      <c r="F1018">
        <f t="shared" si="123"/>
        <v>1220915</v>
      </c>
      <c r="G1018" s="3">
        <f t="shared" si="124"/>
        <v>64593.75</v>
      </c>
      <c r="H1018" s="3">
        <f t="shared" si="125"/>
        <v>50650</v>
      </c>
      <c r="I1018" s="3">
        <f t="shared" si="126"/>
        <v>56487.5</v>
      </c>
      <c r="J1018" s="3">
        <f t="shared" si="127"/>
        <v>66953.100000000006</v>
      </c>
      <c r="K1018" s="5">
        <f t="shared" si="128"/>
        <v>238684.35</v>
      </c>
      <c r="L1018" s="5">
        <f t="shared" si="129"/>
        <v>245595</v>
      </c>
      <c r="M1018" s="5">
        <f t="shared" si="130"/>
        <v>-6910.6499999999942</v>
      </c>
      <c r="N1018" s="3"/>
    </row>
    <row r="1019" spans="1:14" x14ac:dyDescent="0.25">
      <c r="A1019" s="2">
        <v>1220916</v>
      </c>
      <c r="B1019" s="3">
        <v>64643.75</v>
      </c>
      <c r="C1019" s="3">
        <v>52490</v>
      </c>
      <c r="D1019" s="3">
        <v>56606.25</v>
      </c>
      <c r="E1019" s="3">
        <v>65859.399999999994</v>
      </c>
      <c r="F1019">
        <f t="shared" si="123"/>
        <v>1220916</v>
      </c>
      <c r="G1019" s="3">
        <f t="shared" si="124"/>
        <v>64643.75</v>
      </c>
      <c r="H1019" s="3">
        <f t="shared" si="125"/>
        <v>52490</v>
      </c>
      <c r="I1019" s="3">
        <f t="shared" si="126"/>
        <v>56606.25</v>
      </c>
      <c r="J1019" s="3">
        <f t="shared" si="127"/>
        <v>65859.399999999994</v>
      </c>
      <c r="K1019" s="5">
        <f t="shared" si="128"/>
        <v>239599.4</v>
      </c>
      <c r="L1019" s="5">
        <f t="shared" si="129"/>
        <v>239599.4</v>
      </c>
      <c r="M1019" s="5">
        <f t="shared" si="130"/>
        <v>0</v>
      </c>
      <c r="N1019" s="3"/>
    </row>
    <row r="1020" spans="1:14" x14ac:dyDescent="0.25">
      <c r="A1020" s="2">
        <v>1220918</v>
      </c>
      <c r="B1020" s="3">
        <v>64075</v>
      </c>
      <c r="C1020" s="3">
        <v>53710</v>
      </c>
      <c r="D1020" s="3">
        <v>56868.75</v>
      </c>
      <c r="E1020" s="3">
        <v>65156.25</v>
      </c>
      <c r="F1020">
        <f t="shared" si="123"/>
        <v>1220918</v>
      </c>
      <c r="G1020" s="3">
        <f t="shared" si="124"/>
        <v>64075</v>
      </c>
      <c r="H1020" s="3">
        <f t="shared" si="125"/>
        <v>53710</v>
      </c>
      <c r="I1020" s="3">
        <f t="shared" si="126"/>
        <v>56868.75</v>
      </c>
      <c r="J1020" s="3">
        <f t="shared" si="127"/>
        <v>65156.25</v>
      </c>
      <c r="K1020" s="5">
        <f t="shared" si="128"/>
        <v>239810</v>
      </c>
      <c r="L1020" s="5">
        <f t="shared" si="129"/>
        <v>239810</v>
      </c>
      <c r="M1020" s="5">
        <f t="shared" si="130"/>
        <v>0</v>
      </c>
      <c r="N1020" s="3"/>
    </row>
    <row r="1021" spans="1:14" x14ac:dyDescent="0.25">
      <c r="A1021" s="2">
        <v>1220919</v>
      </c>
      <c r="B1021" s="3">
        <v>64350</v>
      </c>
      <c r="C1021" s="3">
        <v>52740</v>
      </c>
      <c r="D1021" s="3">
        <v>56637.5</v>
      </c>
      <c r="E1021" s="3">
        <v>65000</v>
      </c>
      <c r="F1021">
        <f t="shared" si="123"/>
        <v>1220919</v>
      </c>
      <c r="G1021" s="3">
        <f t="shared" si="124"/>
        <v>64350</v>
      </c>
      <c r="H1021" s="3">
        <f t="shared" si="125"/>
        <v>52740</v>
      </c>
      <c r="I1021" s="3">
        <f t="shared" si="126"/>
        <v>56637.5</v>
      </c>
      <c r="J1021" s="3">
        <f t="shared" si="127"/>
        <v>65000</v>
      </c>
      <c r="K1021" s="5">
        <f t="shared" si="128"/>
        <v>238727.5</v>
      </c>
      <c r="L1021" s="5">
        <f t="shared" si="129"/>
        <v>239810</v>
      </c>
      <c r="M1021" s="5">
        <f t="shared" si="130"/>
        <v>-1082.5</v>
      </c>
      <c r="N1021" s="3"/>
    </row>
    <row r="1022" spans="1:14" x14ac:dyDescent="0.25">
      <c r="A1022" s="2">
        <v>1220920</v>
      </c>
      <c r="B1022" s="3">
        <v>64737.5</v>
      </c>
      <c r="C1022" s="3">
        <v>52310</v>
      </c>
      <c r="D1022" s="3">
        <v>56175</v>
      </c>
      <c r="E1022" s="3">
        <v>63437.5</v>
      </c>
      <c r="F1022">
        <f t="shared" si="123"/>
        <v>1220920</v>
      </c>
      <c r="G1022" s="3">
        <f t="shared" si="124"/>
        <v>64737.5</v>
      </c>
      <c r="H1022" s="3">
        <f t="shared" si="125"/>
        <v>52310</v>
      </c>
      <c r="I1022" s="3">
        <f t="shared" si="126"/>
        <v>56175</v>
      </c>
      <c r="J1022" s="3">
        <f t="shared" si="127"/>
        <v>63437.5</v>
      </c>
      <c r="K1022" s="5">
        <f t="shared" si="128"/>
        <v>236660</v>
      </c>
      <c r="L1022" s="5">
        <f t="shared" si="129"/>
        <v>238727.5</v>
      </c>
      <c r="M1022" s="5">
        <f t="shared" si="130"/>
        <v>-2067.5</v>
      </c>
      <c r="N1022" s="3"/>
    </row>
    <row r="1023" spans="1:14" x14ac:dyDescent="0.25">
      <c r="A1023" s="2">
        <v>1220921</v>
      </c>
      <c r="B1023" s="3">
        <v>62931.25</v>
      </c>
      <c r="C1023" s="3">
        <v>52970</v>
      </c>
      <c r="D1023" s="3">
        <v>55993.75</v>
      </c>
      <c r="E1023" s="3">
        <v>65859.399999999994</v>
      </c>
      <c r="F1023">
        <f t="shared" si="123"/>
        <v>1220921</v>
      </c>
      <c r="G1023" s="3">
        <f t="shared" si="124"/>
        <v>62931.25</v>
      </c>
      <c r="H1023" s="3">
        <f t="shared" si="125"/>
        <v>52970</v>
      </c>
      <c r="I1023" s="3">
        <f t="shared" si="126"/>
        <v>55993.75</v>
      </c>
      <c r="J1023" s="3">
        <f t="shared" si="127"/>
        <v>65859.399999999994</v>
      </c>
      <c r="K1023" s="5">
        <f t="shared" si="128"/>
        <v>237754.4</v>
      </c>
      <c r="L1023" s="5">
        <f t="shared" si="129"/>
        <v>237754.4</v>
      </c>
      <c r="M1023" s="5">
        <f t="shared" si="130"/>
        <v>0</v>
      </c>
      <c r="N1023" s="3"/>
    </row>
    <row r="1024" spans="1:14" x14ac:dyDescent="0.25">
      <c r="A1024" s="2">
        <v>1220922</v>
      </c>
      <c r="B1024" s="3">
        <v>57087.5</v>
      </c>
      <c r="C1024" s="3">
        <v>50310</v>
      </c>
      <c r="D1024" s="3">
        <v>56493.75</v>
      </c>
      <c r="E1024" s="3">
        <v>66718.75</v>
      </c>
      <c r="F1024">
        <f t="shared" si="123"/>
        <v>1220922</v>
      </c>
      <c r="G1024" s="3">
        <f t="shared" si="124"/>
        <v>57087.5</v>
      </c>
      <c r="H1024" s="3">
        <f t="shared" si="125"/>
        <v>50310</v>
      </c>
      <c r="I1024" s="3">
        <f t="shared" si="126"/>
        <v>56493.75</v>
      </c>
      <c r="J1024" s="3">
        <f t="shared" si="127"/>
        <v>66718.75</v>
      </c>
      <c r="K1024" s="5">
        <f t="shared" si="128"/>
        <v>230610</v>
      </c>
      <c r="L1024" s="5">
        <f t="shared" si="129"/>
        <v>237754.4</v>
      </c>
      <c r="M1024" s="5">
        <f t="shared" si="130"/>
        <v>-7144.3999999999942</v>
      </c>
      <c r="N1024" s="3"/>
    </row>
    <row r="1025" spans="1:14" x14ac:dyDescent="0.25">
      <c r="A1025" s="2">
        <v>1220923</v>
      </c>
      <c r="B1025" s="3">
        <v>57156.25</v>
      </c>
      <c r="C1025" s="3">
        <v>52540</v>
      </c>
      <c r="D1025" s="3">
        <v>52881.25</v>
      </c>
      <c r="E1025" s="3">
        <v>72343.75</v>
      </c>
      <c r="F1025">
        <f t="shared" si="123"/>
        <v>1220923</v>
      </c>
      <c r="G1025" s="3">
        <f t="shared" si="124"/>
        <v>57156.25</v>
      </c>
      <c r="H1025" s="3">
        <f t="shared" si="125"/>
        <v>52540</v>
      </c>
      <c r="I1025" s="3">
        <f t="shared" si="126"/>
        <v>52881.25</v>
      </c>
      <c r="J1025" s="3">
        <f t="shared" si="127"/>
        <v>72343.75</v>
      </c>
      <c r="K1025" s="5">
        <f t="shared" si="128"/>
        <v>234921.25</v>
      </c>
      <c r="L1025" s="5">
        <f t="shared" si="129"/>
        <v>234921.25</v>
      </c>
      <c r="M1025" s="5">
        <f t="shared" si="130"/>
        <v>0</v>
      </c>
      <c r="N1025" s="3"/>
    </row>
    <row r="1026" spans="1:14" x14ac:dyDescent="0.25">
      <c r="A1026" s="2">
        <v>1220925</v>
      </c>
      <c r="B1026" s="3">
        <v>58537.5</v>
      </c>
      <c r="C1026" s="3">
        <v>54760</v>
      </c>
      <c r="D1026" s="3">
        <v>52412.5</v>
      </c>
      <c r="E1026" s="3">
        <v>73046.899999999994</v>
      </c>
      <c r="F1026">
        <f t="shared" si="123"/>
        <v>1220925</v>
      </c>
      <c r="G1026" s="3">
        <f t="shared" si="124"/>
        <v>58537.5</v>
      </c>
      <c r="H1026" s="3">
        <f t="shared" si="125"/>
        <v>54760</v>
      </c>
      <c r="I1026" s="3">
        <f t="shared" si="126"/>
        <v>52412.5</v>
      </c>
      <c r="J1026" s="3">
        <f t="shared" si="127"/>
        <v>73046.899999999994</v>
      </c>
      <c r="K1026" s="5">
        <f t="shared" si="128"/>
        <v>238756.9</v>
      </c>
      <c r="L1026" s="5">
        <f t="shared" si="129"/>
        <v>238756.9</v>
      </c>
      <c r="M1026" s="5">
        <f t="shared" si="130"/>
        <v>0</v>
      </c>
      <c r="N1026" s="3"/>
    </row>
    <row r="1027" spans="1:14" x14ac:dyDescent="0.25">
      <c r="A1027" s="2">
        <v>1220926</v>
      </c>
      <c r="B1027" s="3">
        <v>59093.75</v>
      </c>
      <c r="C1027" s="3">
        <v>55360</v>
      </c>
      <c r="D1027" s="3">
        <v>52825</v>
      </c>
      <c r="E1027" s="3">
        <v>74765.600000000006</v>
      </c>
      <c r="F1027">
        <f t="shared" si="123"/>
        <v>1220926</v>
      </c>
      <c r="G1027" s="3">
        <f t="shared" si="124"/>
        <v>59093.75</v>
      </c>
      <c r="H1027" s="3">
        <f t="shared" si="125"/>
        <v>55360</v>
      </c>
      <c r="I1027" s="3">
        <f t="shared" si="126"/>
        <v>52825</v>
      </c>
      <c r="J1027" s="3">
        <f t="shared" si="127"/>
        <v>74765.600000000006</v>
      </c>
      <c r="K1027" s="5">
        <f t="shared" si="128"/>
        <v>242044.35</v>
      </c>
      <c r="L1027" s="5">
        <f t="shared" si="129"/>
        <v>242044.35</v>
      </c>
      <c r="M1027" s="5">
        <f t="shared" si="130"/>
        <v>0</v>
      </c>
      <c r="N1027" s="3"/>
    </row>
    <row r="1028" spans="1:14" x14ac:dyDescent="0.25">
      <c r="A1028" s="2">
        <v>1220927</v>
      </c>
      <c r="B1028" s="3">
        <v>56418.75</v>
      </c>
      <c r="C1028" s="3">
        <v>54970</v>
      </c>
      <c r="D1028" s="3">
        <v>53056.25</v>
      </c>
      <c r="E1028" s="3">
        <v>77890.600000000006</v>
      </c>
      <c r="F1028">
        <f t="shared" si="123"/>
        <v>1220927</v>
      </c>
      <c r="G1028" s="3">
        <f t="shared" si="124"/>
        <v>56418.75</v>
      </c>
      <c r="H1028" s="3">
        <f t="shared" si="125"/>
        <v>54970</v>
      </c>
      <c r="I1028" s="3">
        <f t="shared" si="126"/>
        <v>53056.25</v>
      </c>
      <c r="J1028" s="3">
        <f t="shared" si="127"/>
        <v>77890.600000000006</v>
      </c>
      <c r="K1028" s="5">
        <f t="shared" si="128"/>
        <v>242335.6</v>
      </c>
      <c r="L1028" s="5">
        <f t="shared" si="129"/>
        <v>242335.6</v>
      </c>
      <c r="M1028" s="5">
        <f t="shared" si="130"/>
        <v>0</v>
      </c>
      <c r="N1028" s="3"/>
    </row>
    <row r="1029" spans="1:14" x14ac:dyDescent="0.25">
      <c r="A1029" s="2">
        <v>1220928</v>
      </c>
      <c r="B1029" s="3">
        <v>57837.5</v>
      </c>
      <c r="C1029" s="3">
        <v>53300</v>
      </c>
      <c r="D1029" s="3">
        <v>53150</v>
      </c>
      <c r="E1029" s="3">
        <v>75625</v>
      </c>
      <c r="F1029">
        <f t="shared" si="123"/>
        <v>1220928</v>
      </c>
      <c r="G1029" s="3">
        <f t="shared" si="124"/>
        <v>57837.5</v>
      </c>
      <c r="H1029" s="3">
        <f t="shared" si="125"/>
        <v>53300</v>
      </c>
      <c r="I1029" s="3">
        <f t="shared" si="126"/>
        <v>53150</v>
      </c>
      <c r="J1029" s="3">
        <f t="shared" si="127"/>
        <v>75625</v>
      </c>
      <c r="K1029" s="5">
        <f t="shared" si="128"/>
        <v>239912.5</v>
      </c>
      <c r="L1029" s="5">
        <f t="shared" si="129"/>
        <v>242335.6</v>
      </c>
      <c r="M1029" s="5">
        <f t="shared" si="130"/>
        <v>-2423.1000000000058</v>
      </c>
      <c r="N1029" s="3"/>
    </row>
    <row r="1030" spans="1:14" x14ac:dyDescent="0.25">
      <c r="A1030" s="2">
        <v>1220929</v>
      </c>
      <c r="B1030" s="3">
        <v>58087.5</v>
      </c>
      <c r="C1030" s="3">
        <v>54470</v>
      </c>
      <c r="D1030" s="3">
        <v>53006.25</v>
      </c>
      <c r="E1030" s="3">
        <v>74843.75</v>
      </c>
      <c r="F1030">
        <f t="shared" si="123"/>
        <v>1220929</v>
      </c>
      <c r="G1030" s="3">
        <f t="shared" si="124"/>
        <v>58087.5</v>
      </c>
      <c r="H1030" s="3">
        <f t="shared" si="125"/>
        <v>54470</v>
      </c>
      <c r="I1030" s="3">
        <f t="shared" si="126"/>
        <v>53006.25</v>
      </c>
      <c r="J1030" s="3">
        <f t="shared" si="127"/>
        <v>74843.75</v>
      </c>
      <c r="K1030" s="5">
        <f t="shared" si="128"/>
        <v>240407.5</v>
      </c>
      <c r="L1030" s="5">
        <f t="shared" si="129"/>
        <v>240407.5</v>
      </c>
      <c r="M1030" s="5">
        <f t="shared" si="130"/>
        <v>0</v>
      </c>
      <c r="N1030" s="3"/>
    </row>
    <row r="1031" spans="1:14" x14ac:dyDescent="0.25">
      <c r="A1031" s="2">
        <v>1220930</v>
      </c>
      <c r="B1031" s="3">
        <v>56237.5</v>
      </c>
      <c r="C1031" s="3">
        <v>55080</v>
      </c>
      <c r="D1031" s="3">
        <v>52937.5</v>
      </c>
      <c r="E1031" s="3">
        <v>73593.75</v>
      </c>
      <c r="F1031">
        <f t="shared" si="123"/>
        <v>1220930</v>
      </c>
      <c r="G1031" s="3">
        <f t="shared" si="124"/>
        <v>56237.5</v>
      </c>
      <c r="H1031" s="3">
        <f t="shared" si="125"/>
        <v>55080</v>
      </c>
      <c r="I1031" s="3">
        <f t="shared" si="126"/>
        <v>52937.5</v>
      </c>
      <c r="J1031" s="3">
        <f t="shared" si="127"/>
        <v>73593.75</v>
      </c>
      <c r="K1031" s="5">
        <f t="shared" si="128"/>
        <v>237848.75</v>
      </c>
      <c r="L1031" s="5">
        <f t="shared" si="129"/>
        <v>240407.5</v>
      </c>
      <c r="M1031" s="5">
        <f t="shared" si="130"/>
        <v>-2558.75</v>
      </c>
      <c r="N1031" s="3"/>
    </row>
    <row r="1032" spans="1:14" x14ac:dyDescent="0.25">
      <c r="A1032" s="2">
        <v>1221002</v>
      </c>
      <c r="B1032" s="3">
        <v>56581.25</v>
      </c>
      <c r="C1032" s="3">
        <v>55910</v>
      </c>
      <c r="D1032" s="3">
        <v>53118.75</v>
      </c>
      <c r="E1032" s="3">
        <v>73046.899999999994</v>
      </c>
      <c r="F1032">
        <f t="shared" si="123"/>
        <v>1221002</v>
      </c>
      <c r="G1032" s="3">
        <f t="shared" si="124"/>
        <v>56581.25</v>
      </c>
      <c r="H1032" s="3">
        <f t="shared" si="125"/>
        <v>55910</v>
      </c>
      <c r="I1032" s="3">
        <f t="shared" si="126"/>
        <v>53118.75</v>
      </c>
      <c r="J1032" s="3">
        <f t="shared" si="127"/>
        <v>73046.899999999994</v>
      </c>
      <c r="K1032" s="5">
        <f t="shared" si="128"/>
        <v>238656.9</v>
      </c>
      <c r="L1032" s="5">
        <f t="shared" si="129"/>
        <v>238656.9</v>
      </c>
      <c r="M1032" s="5">
        <f t="shared" si="130"/>
        <v>0</v>
      </c>
      <c r="N1032" s="3"/>
    </row>
    <row r="1033" spans="1:14" x14ac:dyDescent="0.25">
      <c r="A1033" s="2">
        <v>1221003</v>
      </c>
      <c r="B1033" s="3">
        <v>56856.25</v>
      </c>
      <c r="C1033" s="3">
        <v>55910</v>
      </c>
      <c r="D1033" s="3">
        <v>53231.25</v>
      </c>
      <c r="E1033" s="3">
        <v>73437.5</v>
      </c>
      <c r="F1033">
        <f t="shared" si="123"/>
        <v>1221003</v>
      </c>
      <c r="G1033" s="3">
        <f t="shared" si="124"/>
        <v>56856.25</v>
      </c>
      <c r="H1033" s="3">
        <f t="shared" si="125"/>
        <v>55910</v>
      </c>
      <c r="I1033" s="3">
        <f t="shared" si="126"/>
        <v>53231.25</v>
      </c>
      <c r="J1033" s="3">
        <f t="shared" si="127"/>
        <v>73437.5</v>
      </c>
      <c r="K1033" s="5">
        <f t="shared" si="128"/>
        <v>239435</v>
      </c>
      <c r="L1033" s="5">
        <f t="shared" si="129"/>
        <v>239435</v>
      </c>
      <c r="M1033" s="5">
        <f t="shared" si="130"/>
        <v>0</v>
      </c>
      <c r="N1033" s="3"/>
    </row>
    <row r="1034" spans="1:14" x14ac:dyDescent="0.25">
      <c r="A1034" s="2">
        <v>1221004</v>
      </c>
      <c r="B1034" s="3">
        <v>57593.75</v>
      </c>
      <c r="C1034" s="3">
        <v>58320</v>
      </c>
      <c r="D1034" s="3">
        <v>53218.75</v>
      </c>
      <c r="E1034" s="3">
        <v>80546.899999999994</v>
      </c>
      <c r="F1034">
        <f t="shared" si="123"/>
        <v>1221004</v>
      </c>
      <c r="G1034" s="3">
        <f t="shared" si="124"/>
        <v>57593.75</v>
      </c>
      <c r="H1034" s="3">
        <f t="shared" si="125"/>
        <v>58320</v>
      </c>
      <c r="I1034" s="3">
        <f t="shared" si="126"/>
        <v>53218.75</v>
      </c>
      <c r="J1034" s="3">
        <f t="shared" si="127"/>
        <v>80546.899999999994</v>
      </c>
      <c r="K1034" s="5">
        <f t="shared" si="128"/>
        <v>249679.4</v>
      </c>
      <c r="L1034" s="5">
        <f t="shared" si="129"/>
        <v>249679.4</v>
      </c>
      <c r="M1034" s="5">
        <f t="shared" si="130"/>
        <v>0</v>
      </c>
      <c r="N1034" s="3"/>
    </row>
    <row r="1035" spans="1:14" x14ac:dyDescent="0.25">
      <c r="A1035" s="2">
        <v>1221005</v>
      </c>
      <c r="B1035" s="3">
        <v>59043.75</v>
      </c>
      <c r="C1035" s="3">
        <v>59330</v>
      </c>
      <c r="D1035" s="3">
        <v>53268.75</v>
      </c>
      <c r="E1035" s="3">
        <v>78359.399999999994</v>
      </c>
      <c r="F1035">
        <f t="shared" si="123"/>
        <v>1221005</v>
      </c>
      <c r="G1035" s="3">
        <f t="shared" si="124"/>
        <v>59043.75</v>
      </c>
      <c r="H1035" s="3">
        <f t="shared" si="125"/>
        <v>59330</v>
      </c>
      <c r="I1035" s="3">
        <f t="shared" si="126"/>
        <v>53268.75</v>
      </c>
      <c r="J1035" s="3">
        <f t="shared" si="127"/>
        <v>78359.399999999994</v>
      </c>
      <c r="K1035" s="5">
        <f t="shared" si="128"/>
        <v>250001.9</v>
      </c>
      <c r="L1035" s="5">
        <f t="shared" si="129"/>
        <v>250001.9</v>
      </c>
      <c r="M1035" s="5">
        <f t="shared" si="130"/>
        <v>0</v>
      </c>
      <c r="N1035" s="3"/>
    </row>
    <row r="1036" spans="1:14" x14ac:dyDescent="0.25">
      <c r="A1036" s="2">
        <v>1221006</v>
      </c>
      <c r="B1036" s="3">
        <v>58200</v>
      </c>
      <c r="C1036" s="3">
        <v>58610</v>
      </c>
      <c r="D1036" s="3">
        <v>53006.25</v>
      </c>
      <c r="E1036" s="3">
        <v>82265.599999999991</v>
      </c>
      <c r="F1036">
        <f t="shared" si="123"/>
        <v>1221006</v>
      </c>
      <c r="G1036" s="3">
        <f t="shared" si="124"/>
        <v>58200</v>
      </c>
      <c r="H1036" s="3">
        <f t="shared" si="125"/>
        <v>58610</v>
      </c>
      <c r="I1036" s="3">
        <f t="shared" si="126"/>
        <v>53006.25</v>
      </c>
      <c r="J1036" s="3">
        <f t="shared" si="127"/>
        <v>82265.599999999991</v>
      </c>
      <c r="K1036" s="5">
        <f t="shared" si="128"/>
        <v>252081.84999999998</v>
      </c>
      <c r="L1036" s="5">
        <f t="shared" si="129"/>
        <v>252081.84999999998</v>
      </c>
      <c r="M1036" s="5">
        <f t="shared" si="130"/>
        <v>0</v>
      </c>
      <c r="N1036" s="3"/>
    </row>
    <row r="1037" spans="1:14" x14ac:dyDescent="0.25">
      <c r="A1037" s="2">
        <v>1221007</v>
      </c>
      <c r="B1037" s="3">
        <v>57362.5</v>
      </c>
      <c r="C1037" s="3">
        <v>59920</v>
      </c>
      <c r="D1037" s="3">
        <v>53325</v>
      </c>
      <c r="E1037" s="3">
        <v>85703.099999999991</v>
      </c>
      <c r="F1037">
        <f t="shared" si="123"/>
        <v>1221007</v>
      </c>
      <c r="G1037" s="3">
        <f t="shared" si="124"/>
        <v>57362.5</v>
      </c>
      <c r="H1037" s="3">
        <f t="shared" si="125"/>
        <v>59920</v>
      </c>
      <c r="I1037" s="3">
        <f t="shared" si="126"/>
        <v>53325</v>
      </c>
      <c r="J1037" s="3">
        <f t="shared" si="127"/>
        <v>85703.099999999991</v>
      </c>
      <c r="K1037" s="5">
        <f t="shared" si="128"/>
        <v>256310.59999999998</v>
      </c>
      <c r="L1037" s="5">
        <f t="shared" si="129"/>
        <v>256310.59999999998</v>
      </c>
      <c r="M1037" s="5">
        <f t="shared" si="130"/>
        <v>0</v>
      </c>
      <c r="N1037" s="3"/>
    </row>
    <row r="1038" spans="1:14" x14ac:dyDescent="0.25">
      <c r="A1038" s="2">
        <v>1221009</v>
      </c>
      <c r="B1038" s="3">
        <v>60487.5</v>
      </c>
      <c r="C1038" s="3">
        <v>60010</v>
      </c>
      <c r="D1038" s="3">
        <v>53156.25</v>
      </c>
      <c r="E1038" s="3">
        <v>87968.75</v>
      </c>
      <c r="F1038">
        <f t="shared" si="123"/>
        <v>1221009</v>
      </c>
      <c r="G1038" s="3">
        <f t="shared" si="124"/>
        <v>60487.5</v>
      </c>
      <c r="H1038" s="3">
        <f t="shared" si="125"/>
        <v>60010</v>
      </c>
      <c r="I1038" s="3">
        <f t="shared" si="126"/>
        <v>53156.25</v>
      </c>
      <c r="J1038" s="3">
        <f t="shared" si="127"/>
        <v>87968.75</v>
      </c>
      <c r="K1038" s="5">
        <f t="shared" si="128"/>
        <v>261622.5</v>
      </c>
      <c r="L1038" s="5">
        <f t="shared" si="129"/>
        <v>261622.5</v>
      </c>
      <c r="M1038" s="5">
        <f t="shared" si="130"/>
        <v>0</v>
      </c>
      <c r="N1038" s="3"/>
    </row>
    <row r="1039" spans="1:14" x14ac:dyDescent="0.25">
      <c r="A1039" s="2">
        <v>1221010</v>
      </c>
      <c r="B1039" s="3">
        <v>60018.75</v>
      </c>
      <c r="C1039" s="3">
        <v>60930</v>
      </c>
      <c r="D1039" s="3">
        <v>53175</v>
      </c>
      <c r="E1039" s="3">
        <v>87500</v>
      </c>
      <c r="F1039">
        <f t="shared" si="123"/>
        <v>1221010</v>
      </c>
      <c r="G1039" s="3">
        <f t="shared" si="124"/>
        <v>60018.75</v>
      </c>
      <c r="H1039" s="3">
        <f t="shared" si="125"/>
        <v>60930</v>
      </c>
      <c r="I1039" s="3">
        <f t="shared" si="126"/>
        <v>53175</v>
      </c>
      <c r="J1039" s="3">
        <f t="shared" si="127"/>
        <v>87500</v>
      </c>
      <c r="K1039" s="5">
        <f t="shared" si="128"/>
        <v>261623.75</v>
      </c>
      <c r="L1039" s="5">
        <f t="shared" si="129"/>
        <v>261623.75</v>
      </c>
      <c r="M1039" s="5">
        <f t="shared" si="130"/>
        <v>0</v>
      </c>
      <c r="N1039" s="3"/>
    </row>
    <row r="1040" spans="1:14" x14ac:dyDescent="0.25">
      <c r="A1040" s="2">
        <v>1221011</v>
      </c>
      <c r="B1040" s="3">
        <v>60550</v>
      </c>
      <c r="C1040" s="3">
        <v>63450</v>
      </c>
      <c r="D1040" s="3">
        <v>53381.25</v>
      </c>
      <c r="E1040" s="3">
        <v>91484.400000000009</v>
      </c>
      <c r="F1040">
        <f t="shared" si="123"/>
        <v>1221011</v>
      </c>
      <c r="G1040" s="3">
        <f t="shared" si="124"/>
        <v>60550</v>
      </c>
      <c r="H1040" s="3">
        <f t="shared" si="125"/>
        <v>63450</v>
      </c>
      <c r="I1040" s="3">
        <f t="shared" si="126"/>
        <v>53381.25</v>
      </c>
      <c r="J1040" s="3">
        <f t="shared" si="127"/>
        <v>91484.400000000009</v>
      </c>
      <c r="K1040" s="5">
        <f t="shared" si="128"/>
        <v>268865.65000000002</v>
      </c>
      <c r="L1040" s="5">
        <f t="shared" si="129"/>
        <v>268865.65000000002</v>
      </c>
      <c r="M1040" s="5">
        <f t="shared" si="130"/>
        <v>0</v>
      </c>
      <c r="N1040" s="3"/>
    </row>
    <row r="1041" spans="1:14" x14ac:dyDescent="0.25">
      <c r="A1041" s="2">
        <v>1221012</v>
      </c>
      <c r="B1041" s="3">
        <v>59675</v>
      </c>
      <c r="C1041" s="3">
        <v>60780</v>
      </c>
      <c r="D1041" s="3">
        <v>52993.75</v>
      </c>
      <c r="E1041" s="3">
        <v>89531.25</v>
      </c>
      <c r="F1041">
        <f t="shared" si="123"/>
        <v>1221012</v>
      </c>
      <c r="G1041" s="3">
        <f t="shared" si="124"/>
        <v>59675</v>
      </c>
      <c r="H1041" s="3">
        <f t="shared" si="125"/>
        <v>60780</v>
      </c>
      <c r="I1041" s="3">
        <f t="shared" si="126"/>
        <v>52993.75</v>
      </c>
      <c r="J1041" s="3">
        <f t="shared" si="127"/>
        <v>89531.25</v>
      </c>
      <c r="K1041" s="5">
        <f t="shared" si="128"/>
        <v>262980</v>
      </c>
      <c r="L1041" s="5">
        <f t="shared" si="129"/>
        <v>268865.65000000002</v>
      </c>
      <c r="M1041" s="5">
        <f t="shared" si="130"/>
        <v>-5885.6500000000233</v>
      </c>
      <c r="N1041" s="3"/>
    </row>
    <row r="1042" spans="1:14" x14ac:dyDescent="0.25">
      <c r="A1042" s="2">
        <v>1221013</v>
      </c>
      <c r="B1042" s="3">
        <v>59456.25</v>
      </c>
      <c r="C1042" s="3">
        <v>61440</v>
      </c>
      <c r="D1042" s="3">
        <v>53381.25</v>
      </c>
      <c r="E1042" s="3">
        <v>86562.5</v>
      </c>
      <c r="F1042">
        <f t="shared" si="123"/>
        <v>1221013</v>
      </c>
      <c r="G1042" s="3">
        <f t="shared" si="124"/>
        <v>59456.25</v>
      </c>
      <c r="H1042" s="3">
        <f t="shared" si="125"/>
        <v>61440</v>
      </c>
      <c r="I1042" s="3">
        <f t="shared" si="126"/>
        <v>53381.25</v>
      </c>
      <c r="J1042" s="3">
        <f t="shared" si="127"/>
        <v>86562.5</v>
      </c>
      <c r="K1042" s="5">
        <f t="shared" si="128"/>
        <v>260840</v>
      </c>
      <c r="L1042" s="5">
        <f t="shared" si="129"/>
        <v>262980</v>
      </c>
      <c r="M1042" s="5">
        <f t="shared" si="130"/>
        <v>-2140</v>
      </c>
      <c r="N1042" s="3"/>
    </row>
    <row r="1043" spans="1:14" x14ac:dyDescent="0.25">
      <c r="A1043" s="2">
        <v>1221014</v>
      </c>
      <c r="B1043" s="3">
        <v>60950</v>
      </c>
      <c r="C1043" s="3">
        <v>60720</v>
      </c>
      <c r="D1043" s="3">
        <v>53362.5</v>
      </c>
      <c r="E1043" s="3">
        <v>84218.75</v>
      </c>
      <c r="F1043">
        <f t="shared" si="123"/>
        <v>1221014</v>
      </c>
      <c r="G1043" s="3">
        <f t="shared" si="124"/>
        <v>60950</v>
      </c>
      <c r="H1043" s="3">
        <f t="shared" si="125"/>
        <v>60720</v>
      </c>
      <c r="I1043" s="3">
        <f t="shared" si="126"/>
        <v>53362.5</v>
      </c>
      <c r="J1043" s="3">
        <f t="shared" si="127"/>
        <v>84218.75</v>
      </c>
      <c r="K1043" s="5">
        <f t="shared" si="128"/>
        <v>259251.25</v>
      </c>
      <c r="L1043" s="5">
        <f t="shared" si="129"/>
        <v>260840</v>
      </c>
      <c r="M1043" s="5">
        <f t="shared" si="130"/>
        <v>-1588.75</v>
      </c>
      <c r="N1043" s="3"/>
    </row>
    <row r="1044" spans="1:14" x14ac:dyDescent="0.25">
      <c r="A1044" s="2">
        <v>1221016</v>
      </c>
      <c r="B1044" s="3">
        <v>61100</v>
      </c>
      <c r="C1044" s="3">
        <v>62580</v>
      </c>
      <c r="D1044" s="3">
        <v>54062.5</v>
      </c>
      <c r="E1044" s="3">
        <v>79765.600000000006</v>
      </c>
      <c r="F1044">
        <f t="shared" si="123"/>
        <v>1221016</v>
      </c>
      <c r="G1044" s="3">
        <f t="shared" si="124"/>
        <v>61100</v>
      </c>
      <c r="H1044" s="3">
        <f t="shared" si="125"/>
        <v>62580</v>
      </c>
      <c r="I1044" s="3">
        <f t="shared" si="126"/>
        <v>54062.5</v>
      </c>
      <c r="J1044" s="3">
        <f t="shared" si="127"/>
        <v>79765.600000000006</v>
      </c>
      <c r="K1044" s="5">
        <f t="shared" si="128"/>
        <v>257508.1</v>
      </c>
      <c r="L1044" s="5">
        <f t="shared" si="129"/>
        <v>259251.25</v>
      </c>
      <c r="M1044" s="5">
        <f t="shared" si="130"/>
        <v>-1743.1499999999942</v>
      </c>
      <c r="N1044" s="3"/>
    </row>
    <row r="1045" spans="1:14" x14ac:dyDescent="0.25">
      <c r="A1045" s="2">
        <v>1221017</v>
      </c>
      <c r="B1045" s="3">
        <v>61000</v>
      </c>
      <c r="C1045" s="3">
        <v>62580</v>
      </c>
      <c r="D1045" s="3">
        <v>54143.75</v>
      </c>
      <c r="E1045" s="3">
        <v>79296.899999999994</v>
      </c>
      <c r="F1045">
        <f t="shared" si="123"/>
        <v>1221017</v>
      </c>
      <c r="G1045" s="3">
        <f t="shared" si="124"/>
        <v>61000</v>
      </c>
      <c r="H1045" s="3">
        <f t="shared" si="125"/>
        <v>62580</v>
      </c>
      <c r="I1045" s="3">
        <f t="shared" si="126"/>
        <v>54143.75</v>
      </c>
      <c r="J1045" s="3">
        <f t="shared" si="127"/>
        <v>79296.899999999994</v>
      </c>
      <c r="K1045" s="5">
        <f t="shared" si="128"/>
        <v>257020.65</v>
      </c>
      <c r="L1045" s="5">
        <f t="shared" si="129"/>
        <v>257508.1</v>
      </c>
      <c r="M1045" s="5">
        <f t="shared" si="130"/>
        <v>-487.45000000001164</v>
      </c>
      <c r="N1045" s="3"/>
    </row>
    <row r="1046" spans="1:14" x14ac:dyDescent="0.25">
      <c r="A1046" s="2">
        <v>1221018</v>
      </c>
      <c r="B1046" s="3">
        <v>60381.25</v>
      </c>
      <c r="C1046" s="3">
        <v>62060</v>
      </c>
      <c r="D1046" s="3">
        <v>53787.5</v>
      </c>
      <c r="E1046" s="3">
        <v>76250</v>
      </c>
      <c r="F1046">
        <f t="shared" si="123"/>
        <v>1221018</v>
      </c>
      <c r="G1046" s="3">
        <f t="shared" si="124"/>
        <v>60381.25</v>
      </c>
      <c r="H1046" s="3">
        <f t="shared" si="125"/>
        <v>62060</v>
      </c>
      <c r="I1046" s="3">
        <f t="shared" si="126"/>
        <v>53787.5</v>
      </c>
      <c r="J1046" s="3">
        <f t="shared" si="127"/>
        <v>76250</v>
      </c>
      <c r="K1046" s="5">
        <f t="shared" si="128"/>
        <v>252478.75</v>
      </c>
      <c r="L1046" s="5">
        <f t="shared" si="129"/>
        <v>257020.65</v>
      </c>
      <c r="M1046" s="5">
        <f t="shared" si="130"/>
        <v>-4541.8999999999942</v>
      </c>
      <c r="N1046" s="3"/>
    </row>
    <row r="1047" spans="1:14" x14ac:dyDescent="0.25">
      <c r="A1047" s="2">
        <v>1221019</v>
      </c>
      <c r="B1047" s="3">
        <v>58093.75</v>
      </c>
      <c r="C1047" s="3">
        <v>61720</v>
      </c>
      <c r="D1047" s="3">
        <v>54087.5</v>
      </c>
      <c r="E1047" s="3">
        <v>72421.899999999994</v>
      </c>
      <c r="F1047">
        <f t="shared" si="123"/>
        <v>1221019</v>
      </c>
      <c r="G1047" s="3">
        <f t="shared" si="124"/>
        <v>58093.75</v>
      </c>
      <c r="H1047" s="3">
        <f t="shared" si="125"/>
        <v>61720</v>
      </c>
      <c r="I1047" s="3">
        <f t="shared" si="126"/>
        <v>54087.5</v>
      </c>
      <c r="J1047" s="3">
        <f t="shared" si="127"/>
        <v>72421.899999999994</v>
      </c>
      <c r="K1047" s="5">
        <f t="shared" si="128"/>
        <v>246323.15</v>
      </c>
      <c r="L1047" s="5">
        <f t="shared" si="129"/>
        <v>252478.75</v>
      </c>
      <c r="M1047" s="5">
        <f t="shared" si="130"/>
        <v>-6155.6000000000058</v>
      </c>
      <c r="N1047" s="3"/>
    </row>
    <row r="1048" spans="1:14" x14ac:dyDescent="0.25">
      <c r="A1048" s="2">
        <v>1221020</v>
      </c>
      <c r="B1048" s="3">
        <v>59625</v>
      </c>
      <c r="C1048" s="3">
        <v>64120</v>
      </c>
      <c r="D1048" s="3">
        <v>54450</v>
      </c>
      <c r="E1048" s="3">
        <v>76718.75</v>
      </c>
      <c r="F1048">
        <f t="shared" si="123"/>
        <v>1221020</v>
      </c>
      <c r="G1048" s="3">
        <f t="shared" si="124"/>
        <v>59625</v>
      </c>
      <c r="H1048" s="3">
        <f t="shared" si="125"/>
        <v>64120</v>
      </c>
      <c r="I1048" s="3">
        <f t="shared" si="126"/>
        <v>54450</v>
      </c>
      <c r="J1048" s="3">
        <f t="shared" si="127"/>
        <v>76718.75</v>
      </c>
      <c r="K1048" s="5">
        <f t="shared" si="128"/>
        <v>254913.75</v>
      </c>
      <c r="L1048" s="5">
        <f t="shared" si="129"/>
        <v>254913.75</v>
      </c>
      <c r="M1048" s="5">
        <f t="shared" si="130"/>
        <v>0</v>
      </c>
      <c r="N1048" s="3"/>
    </row>
    <row r="1049" spans="1:14" x14ac:dyDescent="0.25">
      <c r="A1049" s="2">
        <v>1221021</v>
      </c>
      <c r="B1049" s="3">
        <v>57881.25</v>
      </c>
      <c r="C1049" s="3">
        <v>61840</v>
      </c>
      <c r="D1049" s="3">
        <v>54200</v>
      </c>
      <c r="E1049" s="3">
        <v>70546.899999999994</v>
      </c>
      <c r="F1049">
        <f t="shared" ref="F1049:F1112" si="131">+A1049</f>
        <v>1221021</v>
      </c>
      <c r="G1049" s="3">
        <f t="shared" si="124"/>
        <v>57881.25</v>
      </c>
      <c r="H1049" s="3">
        <f t="shared" si="125"/>
        <v>61840</v>
      </c>
      <c r="I1049" s="3">
        <f t="shared" si="126"/>
        <v>54200</v>
      </c>
      <c r="J1049" s="3">
        <f t="shared" si="127"/>
        <v>70546.899999999994</v>
      </c>
      <c r="K1049" s="5">
        <f t="shared" si="128"/>
        <v>244468.15</v>
      </c>
      <c r="L1049" s="5">
        <f t="shared" si="129"/>
        <v>254913.75</v>
      </c>
      <c r="M1049" s="5">
        <f t="shared" si="130"/>
        <v>-10445.600000000006</v>
      </c>
      <c r="N1049" s="3"/>
    </row>
    <row r="1050" spans="1:14" x14ac:dyDescent="0.25">
      <c r="A1050" s="2">
        <v>1221023</v>
      </c>
      <c r="B1050" s="3">
        <v>58793.75</v>
      </c>
      <c r="C1050" s="3">
        <v>65440</v>
      </c>
      <c r="D1050" s="3">
        <v>54775</v>
      </c>
      <c r="E1050" s="3">
        <v>70468.75</v>
      </c>
      <c r="F1050">
        <f t="shared" si="131"/>
        <v>1221023</v>
      </c>
      <c r="G1050" s="3">
        <f t="shared" ref="G1050:G1113" si="132">+IF(B1050&lt;&gt;0,B1050,B1049)</f>
        <v>58793.75</v>
      </c>
      <c r="H1050" s="3">
        <f t="shared" ref="H1050:H1113" si="133">+IF(C1050&lt;&gt;0,C1050,C1049)</f>
        <v>65440</v>
      </c>
      <c r="I1050" s="3">
        <f t="shared" ref="I1050:I1113" si="134">+IF(D1050&lt;&gt;0,D1050,D1049)</f>
        <v>54775</v>
      </c>
      <c r="J1050" s="3">
        <f t="shared" ref="J1050:J1113" si="135">+IF(E1050&lt;&gt;0,E1050,E1049)</f>
        <v>70468.75</v>
      </c>
      <c r="K1050" s="5">
        <f t="shared" ref="K1050:K1113" si="136">+SUM(G1050:J1050)</f>
        <v>249477.5</v>
      </c>
      <c r="L1050" s="5">
        <f t="shared" si="129"/>
        <v>249477.5</v>
      </c>
      <c r="M1050" s="5">
        <f t="shared" si="130"/>
        <v>0</v>
      </c>
      <c r="N1050" s="3"/>
    </row>
    <row r="1051" spans="1:14" x14ac:dyDescent="0.25">
      <c r="A1051" s="2">
        <v>1221024</v>
      </c>
      <c r="B1051" s="3">
        <v>58425</v>
      </c>
      <c r="C1051" s="3">
        <v>64950</v>
      </c>
      <c r="D1051" s="3">
        <v>54987.5</v>
      </c>
      <c r="E1051" s="3">
        <v>72109.399999999994</v>
      </c>
      <c r="F1051">
        <f t="shared" si="131"/>
        <v>1221024</v>
      </c>
      <c r="G1051" s="3">
        <f t="shared" si="132"/>
        <v>58425</v>
      </c>
      <c r="H1051" s="3">
        <f t="shared" si="133"/>
        <v>64950</v>
      </c>
      <c r="I1051" s="3">
        <f t="shared" si="134"/>
        <v>54987.5</v>
      </c>
      <c r="J1051" s="3">
        <f t="shared" si="135"/>
        <v>72109.399999999994</v>
      </c>
      <c r="K1051" s="5">
        <f t="shared" si="136"/>
        <v>250471.9</v>
      </c>
      <c r="L1051" s="5">
        <f t="shared" ref="L1051:L1114" si="137">+IF(K1051&gt;K1050,K1051,K1050)</f>
        <v>250471.9</v>
      </c>
      <c r="M1051" s="5">
        <f t="shared" ref="M1051:M1114" si="138">+K1051-L1051</f>
        <v>0</v>
      </c>
      <c r="N1051" s="3"/>
    </row>
    <row r="1052" spans="1:14" x14ac:dyDescent="0.25">
      <c r="A1052" s="2">
        <v>1221025</v>
      </c>
      <c r="B1052" s="3">
        <v>59075</v>
      </c>
      <c r="C1052" s="3">
        <v>64110</v>
      </c>
      <c r="D1052" s="3">
        <v>54975</v>
      </c>
      <c r="E1052" s="3">
        <v>69375</v>
      </c>
      <c r="F1052">
        <f t="shared" si="131"/>
        <v>1221025</v>
      </c>
      <c r="G1052" s="3">
        <f t="shared" si="132"/>
        <v>59075</v>
      </c>
      <c r="H1052" s="3">
        <f t="shared" si="133"/>
        <v>64110</v>
      </c>
      <c r="I1052" s="3">
        <f t="shared" si="134"/>
        <v>54975</v>
      </c>
      <c r="J1052" s="3">
        <f t="shared" si="135"/>
        <v>69375</v>
      </c>
      <c r="K1052" s="5">
        <f t="shared" si="136"/>
        <v>247535</v>
      </c>
      <c r="L1052" s="5">
        <f t="shared" si="137"/>
        <v>250471.9</v>
      </c>
      <c r="M1052" s="5">
        <f t="shared" si="138"/>
        <v>-2936.8999999999942</v>
      </c>
      <c r="N1052" s="3"/>
    </row>
    <row r="1053" spans="1:14" x14ac:dyDescent="0.25">
      <c r="A1053" s="2">
        <v>1221026</v>
      </c>
      <c r="B1053" s="3">
        <v>60525</v>
      </c>
      <c r="C1053" s="3">
        <v>63570</v>
      </c>
      <c r="D1053" s="3">
        <v>55337.5</v>
      </c>
      <c r="E1053" s="3">
        <v>70078.100000000006</v>
      </c>
      <c r="F1053">
        <f t="shared" si="131"/>
        <v>1221026</v>
      </c>
      <c r="G1053" s="3">
        <f t="shared" si="132"/>
        <v>60525</v>
      </c>
      <c r="H1053" s="3">
        <f t="shared" si="133"/>
        <v>63570</v>
      </c>
      <c r="I1053" s="3">
        <f t="shared" si="134"/>
        <v>55337.5</v>
      </c>
      <c r="J1053" s="3">
        <f t="shared" si="135"/>
        <v>70078.100000000006</v>
      </c>
      <c r="K1053" s="5">
        <f t="shared" si="136"/>
        <v>249510.6</v>
      </c>
      <c r="L1053" s="5">
        <f t="shared" si="137"/>
        <v>249510.6</v>
      </c>
      <c r="M1053" s="5">
        <f t="shared" si="138"/>
        <v>0</v>
      </c>
      <c r="N1053" s="3"/>
    </row>
    <row r="1054" spans="1:14" x14ac:dyDescent="0.25">
      <c r="A1054" s="2">
        <v>1221027</v>
      </c>
      <c r="B1054" s="3">
        <v>60743.75</v>
      </c>
      <c r="C1054" s="3">
        <v>61310</v>
      </c>
      <c r="D1054" s="3">
        <v>56725</v>
      </c>
      <c r="E1054" s="3">
        <v>72109.399999999994</v>
      </c>
      <c r="F1054">
        <f t="shared" si="131"/>
        <v>1221027</v>
      </c>
      <c r="G1054" s="3">
        <f t="shared" si="132"/>
        <v>60743.75</v>
      </c>
      <c r="H1054" s="3">
        <f t="shared" si="133"/>
        <v>61310</v>
      </c>
      <c r="I1054" s="3">
        <f t="shared" si="134"/>
        <v>56725</v>
      </c>
      <c r="J1054" s="3">
        <f t="shared" si="135"/>
        <v>72109.399999999994</v>
      </c>
      <c r="K1054" s="5">
        <f t="shared" si="136"/>
        <v>250888.15</v>
      </c>
      <c r="L1054" s="5">
        <f t="shared" si="137"/>
        <v>250888.15</v>
      </c>
      <c r="M1054" s="5">
        <f t="shared" si="138"/>
        <v>0</v>
      </c>
      <c r="N1054" s="3"/>
    </row>
    <row r="1055" spans="1:14" x14ac:dyDescent="0.25">
      <c r="A1055" s="2">
        <v>1221028</v>
      </c>
      <c r="B1055" s="3">
        <v>60681.25</v>
      </c>
      <c r="C1055" s="3">
        <v>60460</v>
      </c>
      <c r="D1055" s="3">
        <v>56231.25</v>
      </c>
      <c r="E1055" s="3">
        <v>75468.75</v>
      </c>
      <c r="F1055">
        <f t="shared" si="131"/>
        <v>1221028</v>
      </c>
      <c r="G1055" s="3">
        <f t="shared" si="132"/>
        <v>60681.25</v>
      </c>
      <c r="H1055" s="3">
        <f t="shared" si="133"/>
        <v>60460</v>
      </c>
      <c r="I1055" s="3">
        <f t="shared" si="134"/>
        <v>56231.25</v>
      </c>
      <c r="J1055" s="3">
        <f t="shared" si="135"/>
        <v>75468.75</v>
      </c>
      <c r="K1055" s="5">
        <f t="shared" si="136"/>
        <v>252841.25</v>
      </c>
      <c r="L1055" s="5">
        <f t="shared" si="137"/>
        <v>252841.25</v>
      </c>
      <c r="M1055" s="5">
        <f t="shared" si="138"/>
        <v>0</v>
      </c>
      <c r="N1055" s="3"/>
    </row>
    <row r="1056" spans="1:14" x14ac:dyDescent="0.25">
      <c r="A1056" s="2">
        <v>1221030</v>
      </c>
      <c r="B1056" s="3">
        <v>60662.5</v>
      </c>
      <c r="C1056" s="3">
        <v>62320</v>
      </c>
      <c r="D1056" s="3">
        <v>57087.5</v>
      </c>
      <c r="E1056" s="3">
        <v>72656.25</v>
      </c>
      <c r="F1056">
        <f t="shared" si="131"/>
        <v>1221030</v>
      </c>
      <c r="G1056" s="3">
        <f t="shared" si="132"/>
        <v>60662.5</v>
      </c>
      <c r="H1056" s="3">
        <f t="shared" si="133"/>
        <v>62320</v>
      </c>
      <c r="I1056" s="3">
        <f t="shared" si="134"/>
        <v>57087.5</v>
      </c>
      <c r="J1056" s="3">
        <f t="shared" si="135"/>
        <v>72656.25</v>
      </c>
      <c r="K1056" s="5">
        <f t="shared" si="136"/>
        <v>252726.25</v>
      </c>
      <c r="L1056" s="5">
        <f t="shared" si="137"/>
        <v>252841.25</v>
      </c>
      <c r="M1056" s="5">
        <f t="shared" si="138"/>
        <v>-115</v>
      </c>
      <c r="N1056" s="3"/>
    </row>
    <row r="1057" spans="1:14" x14ac:dyDescent="0.25">
      <c r="A1057" s="2">
        <v>1221031</v>
      </c>
      <c r="B1057" s="3">
        <v>60581.25</v>
      </c>
      <c r="C1057" s="3">
        <v>62320</v>
      </c>
      <c r="D1057" s="3">
        <v>57225</v>
      </c>
      <c r="E1057" s="3">
        <v>73203.100000000006</v>
      </c>
      <c r="F1057">
        <f t="shared" si="131"/>
        <v>1221031</v>
      </c>
      <c r="G1057" s="3">
        <f t="shared" si="132"/>
        <v>60581.25</v>
      </c>
      <c r="H1057" s="3">
        <f t="shared" si="133"/>
        <v>62320</v>
      </c>
      <c r="I1057" s="3">
        <f t="shared" si="134"/>
        <v>57225</v>
      </c>
      <c r="J1057" s="3">
        <f t="shared" si="135"/>
        <v>73203.100000000006</v>
      </c>
      <c r="K1057" s="5">
        <f t="shared" si="136"/>
        <v>253329.35</v>
      </c>
      <c r="L1057" s="5">
        <f t="shared" si="137"/>
        <v>253329.35</v>
      </c>
      <c r="M1057" s="5">
        <f t="shared" si="138"/>
        <v>0</v>
      </c>
      <c r="N1057" s="3"/>
    </row>
    <row r="1058" spans="1:14" x14ac:dyDescent="0.25">
      <c r="A1058" s="2">
        <v>1221101</v>
      </c>
      <c r="B1058" s="3">
        <v>59281.25</v>
      </c>
      <c r="C1058" s="3">
        <v>62590</v>
      </c>
      <c r="D1058" s="3">
        <v>57493.75</v>
      </c>
      <c r="E1058" s="3">
        <v>72578.100000000006</v>
      </c>
      <c r="F1058">
        <f t="shared" si="131"/>
        <v>1221101</v>
      </c>
      <c r="G1058" s="3">
        <f t="shared" si="132"/>
        <v>59281.25</v>
      </c>
      <c r="H1058" s="3">
        <f t="shared" si="133"/>
        <v>62590</v>
      </c>
      <c r="I1058" s="3">
        <f t="shared" si="134"/>
        <v>57493.75</v>
      </c>
      <c r="J1058" s="3">
        <f t="shared" si="135"/>
        <v>72578.100000000006</v>
      </c>
      <c r="K1058" s="5">
        <f t="shared" si="136"/>
        <v>251943.1</v>
      </c>
      <c r="L1058" s="5">
        <f t="shared" si="137"/>
        <v>253329.35</v>
      </c>
      <c r="M1058" s="5">
        <f t="shared" si="138"/>
        <v>-1386.25</v>
      </c>
      <c r="N1058" s="3"/>
    </row>
    <row r="1059" spans="1:14" x14ac:dyDescent="0.25">
      <c r="A1059" s="2">
        <v>1221102</v>
      </c>
      <c r="B1059" s="3">
        <v>59787.5</v>
      </c>
      <c r="C1059" s="3">
        <v>61470</v>
      </c>
      <c r="D1059" s="3">
        <v>57068.75</v>
      </c>
      <c r="E1059" s="3">
        <v>65937.5</v>
      </c>
      <c r="F1059">
        <f t="shared" si="131"/>
        <v>1221102</v>
      </c>
      <c r="G1059" s="3">
        <f t="shared" si="132"/>
        <v>59787.5</v>
      </c>
      <c r="H1059" s="3">
        <f t="shared" si="133"/>
        <v>61470</v>
      </c>
      <c r="I1059" s="3">
        <f t="shared" si="134"/>
        <v>57068.75</v>
      </c>
      <c r="J1059" s="3">
        <f t="shared" si="135"/>
        <v>65937.5</v>
      </c>
      <c r="K1059" s="5">
        <f t="shared" si="136"/>
        <v>244263.75</v>
      </c>
      <c r="L1059" s="5">
        <f t="shared" si="137"/>
        <v>251943.1</v>
      </c>
      <c r="M1059" s="5">
        <f t="shared" si="138"/>
        <v>-7679.3500000000058</v>
      </c>
      <c r="N1059" s="3"/>
    </row>
    <row r="1060" spans="1:14" x14ac:dyDescent="0.25">
      <c r="A1060" s="2">
        <v>1221103</v>
      </c>
      <c r="B1060" s="3">
        <v>56781.25</v>
      </c>
      <c r="C1060" s="3">
        <v>60090</v>
      </c>
      <c r="D1060" s="3">
        <v>56137.5</v>
      </c>
      <c r="E1060" s="3">
        <v>61875</v>
      </c>
      <c r="F1060">
        <f t="shared" si="131"/>
        <v>1221103</v>
      </c>
      <c r="G1060" s="3">
        <f t="shared" si="132"/>
        <v>56781.25</v>
      </c>
      <c r="H1060" s="3">
        <f t="shared" si="133"/>
        <v>60090</v>
      </c>
      <c r="I1060" s="3">
        <f t="shared" si="134"/>
        <v>56137.5</v>
      </c>
      <c r="J1060" s="3">
        <f t="shared" si="135"/>
        <v>61875</v>
      </c>
      <c r="K1060" s="5">
        <f t="shared" si="136"/>
        <v>234883.75</v>
      </c>
      <c r="L1060" s="5">
        <f t="shared" si="137"/>
        <v>244263.75</v>
      </c>
      <c r="M1060" s="5">
        <f t="shared" si="138"/>
        <v>-9380</v>
      </c>
      <c r="N1060" s="3"/>
    </row>
    <row r="1061" spans="1:14" x14ac:dyDescent="0.25">
      <c r="A1061" s="2">
        <v>1221104</v>
      </c>
      <c r="B1061" s="3">
        <v>54312.5</v>
      </c>
      <c r="C1061" s="3">
        <v>57960</v>
      </c>
      <c r="D1061" s="3">
        <v>56500</v>
      </c>
      <c r="E1061" s="3">
        <v>56171.899999999994</v>
      </c>
      <c r="F1061">
        <f t="shared" si="131"/>
        <v>1221104</v>
      </c>
      <c r="G1061" s="3">
        <f t="shared" si="132"/>
        <v>54312.5</v>
      </c>
      <c r="H1061" s="3">
        <f t="shared" si="133"/>
        <v>57960</v>
      </c>
      <c r="I1061" s="3">
        <f t="shared" si="134"/>
        <v>56500</v>
      </c>
      <c r="J1061" s="3">
        <f t="shared" si="135"/>
        <v>56171.899999999994</v>
      </c>
      <c r="K1061" s="5">
        <f t="shared" si="136"/>
        <v>224944.4</v>
      </c>
      <c r="L1061" s="5">
        <f t="shared" si="137"/>
        <v>234883.75</v>
      </c>
      <c r="M1061" s="5">
        <f t="shared" si="138"/>
        <v>-9939.3500000000058</v>
      </c>
      <c r="N1061" s="3"/>
    </row>
    <row r="1062" spans="1:14" x14ac:dyDescent="0.25">
      <c r="A1062" s="2">
        <v>1221106</v>
      </c>
      <c r="B1062" s="3">
        <v>52025</v>
      </c>
      <c r="C1062" s="3">
        <v>59240</v>
      </c>
      <c r="D1062" s="3">
        <v>55731.25</v>
      </c>
      <c r="E1062" s="3">
        <v>55312.5</v>
      </c>
      <c r="F1062">
        <f t="shared" si="131"/>
        <v>1221106</v>
      </c>
      <c r="G1062" s="3">
        <f t="shared" si="132"/>
        <v>52025</v>
      </c>
      <c r="H1062" s="3">
        <f t="shared" si="133"/>
        <v>59240</v>
      </c>
      <c r="I1062" s="3">
        <f t="shared" si="134"/>
        <v>55731.25</v>
      </c>
      <c r="J1062" s="3">
        <f t="shared" si="135"/>
        <v>55312.5</v>
      </c>
      <c r="K1062" s="5">
        <f t="shared" si="136"/>
        <v>222308.75</v>
      </c>
      <c r="L1062" s="5">
        <f t="shared" si="137"/>
        <v>224944.4</v>
      </c>
      <c r="M1062" s="5">
        <f t="shared" si="138"/>
        <v>-2635.6499999999942</v>
      </c>
      <c r="N1062" s="3"/>
    </row>
    <row r="1063" spans="1:14" x14ac:dyDescent="0.25">
      <c r="A1063" s="2">
        <v>1221107</v>
      </c>
      <c r="B1063" s="3">
        <v>52543.75</v>
      </c>
      <c r="C1063" s="3">
        <v>59220</v>
      </c>
      <c r="D1063" s="3">
        <v>55550</v>
      </c>
      <c r="E1063" s="3">
        <v>55078.100000000006</v>
      </c>
      <c r="F1063">
        <f t="shared" si="131"/>
        <v>1221107</v>
      </c>
      <c r="G1063" s="3">
        <f t="shared" si="132"/>
        <v>52543.75</v>
      </c>
      <c r="H1063" s="3">
        <f t="shared" si="133"/>
        <v>59220</v>
      </c>
      <c r="I1063" s="3">
        <f t="shared" si="134"/>
        <v>55550</v>
      </c>
      <c r="J1063" s="3">
        <f t="shared" si="135"/>
        <v>55078.100000000006</v>
      </c>
      <c r="K1063" s="5">
        <f t="shared" si="136"/>
        <v>222391.85</v>
      </c>
      <c r="L1063" s="5">
        <f t="shared" si="137"/>
        <v>222391.85</v>
      </c>
      <c r="M1063" s="5">
        <f t="shared" si="138"/>
        <v>0</v>
      </c>
      <c r="N1063" s="3"/>
    </row>
    <row r="1064" spans="1:14" x14ac:dyDescent="0.25">
      <c r="A1064" s="2">
        <v>1221108</v>
      </c>
      <c r="B1064" s="3">
        <v>52793.75</v>
      </c>
      <c r="C1064" s="3">
        <v>58920</v>
      </c>
      <c r="D1064" s="3">
        <v>55775</v>
      </c>
      <c r="E1064" s="3">
        <v>55390.600000000006</v>
      </c>
      <c r="F1064">
        <f t="shared" si="131"/>
        <v>1221108</v>
      </c>
      <c r="G1064" s="3">
        <f t="shared" si="132"/>
        <v>52793.75</v>
      </c>
      <c r="H1064" s="3">
        <f t="shared" si="133"/>
        <v>58920</v>
      </c>
      <c r="I1064" s="3">
        <f t="shared" si="134"/>
        <v>55775</v>
      </c>
      <c r="J1064" s="3">
        <f t="shared" si="135"/>
        <v>55390.600000000006</v>
      </c>
      <c r="K1064" s="5">
        <f t="shared" si="136"/>
        <v>222879.35</v>
      </c>
      <c r="L1064" s="5">
        <f t="shared" si="137"/>
        <v>222879.35</v>
      </c>
      <c r="M1064" s="5">
        <f t="shared" si="138"/>
        <v>0</v>
      </c>
      <c r="N1064" s="3"/>
    </row>
    <row r="1065" spans="1:14" x14ac:dyDescent="0.25">
      <c r="A1065" s="2">
        <v>1221109</v>
      </c>
      <c r="B1065" s="3">
        <v>51781.25</v>
      </c>
      <c r="C1065" s="3">
        <v>61210</v>
      </c>
      <c r="D1065" s="3">
        <v>56312.5</v>
      </c>
      <c r="E1065" s="3">
        <v>56406.25</v>
      </c>
      <c r="F1065">
        <f t="shared" si="131"/>
        <v>1221109</v>
      </c>
      <c r="G1065" s="3">
        <f t="shared" si="132"/>
        <v>51781.25</v>
      </c>
      <c r="H1065" s="3">
        <f t="shared" si="133"/>
        <v>61210</v>
      </c>
      <c r="I1065" s="3">
        <f t="shared" si="134"/>
        <v>56312.5</v>
      </c>
      <c r="J1065" s="3">
        <f t="shared" si="135"/>
        <v>56406.25</v>
      </c>
      <c r="K1065" s="5">
        <f t="shared" si="136"/>
        <v>225710</v>
      </c>
      <c r="L1065" s="5">
        <f t="shared" si="137"/>
        <v>225710</v>
      </c>
      <c r="M1065" s="5">
        <f t="shared" si="138"/>
        <v>0</v>
      </c>
      <c r="N1065" s="3"/>
    </row>
    <row r="1066" spans="1:14" x14ac:dyDescent="0.25">
      <c r="A1066" s="2">
        <v>1221110</v>
      </c>
      <c r="B1066" s="3">
        <v>53650</v>
      </c>
      <c r="C1066" s="3">
        <v>60870</v>
      </c>
      <c r="D1066" s="3">
        <v>56406.25</v>
      </c>
      <c r="E1066" s="3">
        <v>54687.5</v>
      </c>
      <c r="F1066">
        <f t="shared" si="131"/>
        <v>1221110</v>
      </c>
      <c r="G1066" s="3">
        <f t="shared" si="132"/>
        <v>53650</v>
      </c>
      <c r="H1066" s="3">
        <f t="shared" si="133"/>
        <v>60870</v>
      </c>
      <c r="I1066" s="3">
        <f t="shared" si="134"/>
        <v>56406.25</v>
      </c>
      <c r="J1066" s="3">
        <f t="shared" si="135"/>
        <v>54687.5</v>
      </c>
      <c r="K1066" s="5">
        <f t="shared" si="136"/>
        <v>225613.75</v>
      </c>
      <c r="L1066" s="5">
        <f t="shared" si="137"/>
        <v>225710</v>
      </c>
      <c r="M1066" s="5">
        <f t="shared" si="138"/>
        <v>-96.25</v>
      </c>
      <c r="N1066" s="3"/>
    </row>
    <row r="1067" spans="1:14" x14ac:dyDescent="0.25">
      <c r="A1067" s="2">
        <v>1221111</v>
      </c>
      <c r="B1067" s="3">
        <v>55431.25</v>
      </c>
      <c r="C1067" s="3">
        <v>65090</v>
      </c>
      <c r="D1067" s="3">
        <v>59081.25</v>
      </c>
      <c r="E1067" s="3">
        <v>62421.899999999994</v>
      </c>
      <c r="F1067">
        <f t="shared" si="131"/>
        <v>1221111</v>
      </c>
      <c r="G1067" s="3">
        <f t="shared" si="132"/>
        <v>55431.25</v>
      </c>
      <c r="H1067" s="3">
        <f t="shared" si="133"/>
        <v>65090</v>
      </c>
      <c r="I1067" s="3">
        <f t="shared" si="134"/>
        <v>59081.25</v>
      </c>
      <c r="J1067" s="3">
        <f t="shared" si="135"/>
        <v>62421.899999999994</v>
      </c>
      <c r="K1067" s="5">
        <f t="shared" si="136"/>
        <v>242024.4</v>
      </c>
      <c r="L1067" s="5">
        <f t="shared" si="137"/>
        <v>242024.4</v>
      </c>
      <c r="M1067" s="5">
        <f t="shared" si="138"/>
        <v>0</v>
      </c>
      <c r="N1067" s="3"/>
    </row>
    <row r="1068" spans="1:14" x14ac:dyDescent="0.25">
      <c r="A1068" s="2">
        <v>1221113</v>
      </c>
      <c r="B1068" s="3">
        <v>54856.25</v>
      </c>
      <c r="C1068" s="3">
        <v>65800</v>
      </c>
      <c r="D1068" s="3">
        <v>60381.25</v>
      </c>
      <c r="E1068" s="3">
        <v>62187.5</v>
      </c>
      <c r="F1068">
        <f t="shared" si="131"/>
        <v>1221113</v>
      </c>
      <c r="G1068" s="3">
        <f t="shared" si="132"/>
        <v>54856.25</v>
      </c>
      <c r="H1068" s="3">
        <f t="shared" si="133"/>
        <v>65800</v>
      </c>
      <c r="I1068" s="3">
        <f t="shared" si="134"/>
        <v>60381.25</v>
      </c>
      <c r="J1068" s="3">
        <f t="shared" si="135"/>
        <v>62187.5</v>
      </c>
      <c r="K1068" s="5">
        <f t="shared" si="136"/>
        <v>243225</v>
      </c>
      <c r="L1068" s="5">
        <f t="shared" si="137"/>
        <v>243225</v>
      </c>
      <c r="M1068" s="5">
        <f t="shared" si="138"/>
        <v>0</v>
      </c>
      <c r="N1068" s="3"/>
    </row>
    <row r="1069" spans="1:14" x14ac:dyDescent="0.25">
      <c r="A1069" s="2">
        <v>1221114</v>
      </c>
      <c r="B1069" s="3">
        <v>54625</v>
      </c>
      <c r="C1069" s="3">
        <v>65800</v>
      </c>
      <c r="D1069" s="3">
        <v>60393.75</v>
      </c>
      <c r="E1069" s="3">
        <v>62265.600000000006</v>
      </c>
      <c r="F1069">
        <f t="shared" si="131"/>
        <v>1221114</v>
      </c>
      <c r="G1069" s="3">
        <f t="shared" si="132"/>
        <v>54625</v>
      </c>
      <c r="H1069" s="3">
        <f t="shared" si="133"/>
        <v>65800</v>
      </c>
      <c r="I1069" s="3">
        <f t="shared" si="134"/>
        <v>60393.75</v>
      </c>
      <c r="J1069" s="3">
        <f t="shared" si="135"/>
        <v>62265.600000000006</v>
      </c>
      <c r="K1069" s="5">
        <f t="shared" si="136"/>
        <v>243084.35</v>
      </c>
      <c r="L1069" s="5">
        <f t="shared" si="137"/>
        <v>243225</v>
      </c>
      <c r="M1069" s="5">
        <f t="shared" si="138"/>
        <v>-140.64999999999418</v>
      </c>
      <c r="N1069" s="3"/>
    </row>
    <row r="1070" spans="1:14" x14ac:dyDescent="0.25">
      <c r="A1070" s="2">
        <v>1221115</v>
      </c>
      <c r="B1070" s="3">
        <v>55150</v>
      </c>
      <c r="C1070" s="3">
        <v>64500</v>
      </c>
      <c r="D1070" s="3">
        <v>59862.5</v>
      </c>
      <c r="E1070" s="3">
        <v>59062.5</v>
      </c>
      <c r="F1070">
        <f t="shared" si="131"/>
        <v>1221115</v>
      </c>
      <c r="G1070" s="3">
        <f t="shared" si="132"/>
        <v>55150</v>
      </c>
      <c r="H1070" s="3">
        <f t="shared" si="133"/>
        <v>64500</v>
      </c>
      <c r="I1070" s="3">
        <f t="shared" si="134"/>
        <v>59862.5</v>
      </c>
      <c r="J1070" s="3">
        <f t="shared" si="135"/>
        <v>59062.5</v>
      </c>
      <c r="K1070" s="5">
        <f t="shared" si="136"/>
        <v>238575</v>
      </c>
      <c r="L1070" s="5">
        <f t="shared" si="137"/>
        <v>243084.35</v>
      </c>
      <c r="M1070" s="5">
        <f t="shared" si="138"/>
        <v>-4509.3500000000058</v>
      </c>
      <c r="N1070" s="3"/>
    </row>
    <row r="1071" spans="1:14" x14ac:dyDescent="0.25">
      <c r="A1071" s="2">
        <v>1221116</v>
      </c>
      <c r="B1071" s="3">
        <v>54575</v>
      </c>
      <c r="C1071" s="3">
        <v>62700</v>
      </c>
      <c r="D1071" s="3">
        <v>60287.5</v>
      </c>
      <c r="E1071" s="3">
        <v>54609.399999999994</v>
      </c>
      <c r="F1071">
        <f t="shared" si="131"/>
        <v>1221116</v>
      </c>
      <c r="G1071" s="3">
        <f t="shared" si="132"/>
        <v>54575</v>
      </c>
      <c r="H1071" s="3">
        <f t="shared" si="133"/>
        <v>62700</v>
      </c>
      <c r="I1071" s="3">
        <f t="shared" si="134"/>
        <v>60287.5</v>
      </c>
      <c r="J1071" s="3">
        <f t="shared" si="135"/>
        <v>54609.399999999994</v>
      </c>
      <c r="K1071" s="5">
        <f t="shared" si="136"/>
        <v>232171.9</v>
      </c>
      <c r="L1071" s="5">
        <f t="shared" si="137"/>
        <v>238575</v>
      </c>
      <c r="M1071" s="5">
        <f t="shared" si="138"/>
        <v>-6403.1000000000058</v>
      </c>
      <c r="N1071" s="3"/>
    </row>
    <row r="1072" spans="1:14" x14ac:dyDescent="0.25">
      <c r="A1072" s="2">
        <v>1221117</v>
      </c>
      <c r="B1072" s="3">
        <v>55293.75</v>
      </c>
      <c r="C1072" s="3">
        <v>63020</v>
      </c>
      <c r="D1072" s="3">
        <v>59450</v>
      </c>
      <c r="E1072" s="3">
        <v>57812.5</v>
      </c>
      <c r="F1072">
        <f t="shared" si="131"/>
        <v>1221117</v>
      </c>
      <c r="G1072" s="3">
        <f t="shared" si="132"/>
        <v>55293.75</v>
      </c>
      <c r="H1072" s="3">
        <f t="shared" si="133"/>
        <v>63020</v>
      </c>
      <c r="I1072" s="3">
        <f t="shared" si="134"/>
        <v>59450</v>
      </c>
      <c r="J1072" s="3">
        <f t="shared" si="135"/>
        <v>57812.5</v>
      </c>
      <c r="K1072" s="5">
        <f t="shared" si="136"/>
        <v>235576.25</v>
      </c>
      <c r="L1072" s="5">
        <f t="shared" si="137"/>
        <v>235576.25</v>
      </c>
      <c r="M1072" s="5">
        <f t="shared" si="138"/>
        <v>0</v>
      </c>
      <c r="N1072" s="3"/>
    </row>
    <row r="1073" spans="1:14" x14ac:dyDescent="0.25">
      <c r="A1073" s="2">
        <v>1221118</v>
      </c>
      <c r="B1073" s="3">
        <v>55293.75</v>
      </c>
      <c r="C1073" s="3">
        <v>62960</v>
      </c>
      <c r="D1073" s="3">
        <v>59687.5</v>
      </c>
      <c r="E1073" s="3">
        <v>57500</v>
      </c>
      <c r="F1073">
        <f t="shared" si="131"/>
        <v>1221118</v>
      </c>
      <c r="G1073" s="3">
        <f t="shared" si="132"/>
        <v>55293.75</v>
      </c>
      <c r="H1073" s="3">
        <f t="shared" si="133"/>
        <v>62960</v>
      </c>
      <c r="I1073" s="3">
        <f t="shared" si="134"/>
        <v>59687.5</v>
      </c>
      <c r="J1073" s="3">
        <f t="shared" si="135"/>
        <v>57500</v>
      </c>
      <c r="K1073" s="5">
        <f t="shared" si="136"/>
        <v>235441.25</v>
      </c>
      <c r="L1073" s="5">
        <f t="shared" si="137"/>
        <v>235576.25</v>
      </c>
      <c r="M1073" s="5">
        <f t="shared" si="138"/>
        <v>-135</v>
      </c>
      <c r="N1073" s="3"/>
    </row>
    <row r="1074" spans="1:14" x14ac:dyDescent="0.25">
      <c r="A1074" s="2">
        <v>1221120</v>
      </c>
      <c r="B1074" s="3">
        <v>54650</v>
      </c>
      <c r="C1074" s="3">
        <v>62780</v>
      </c>
      <c r="D1074" s="3">
        <v>59300</v>
      </c>
      <c r="E1074" s="3">
        <v>59296.899999999994</v>
      </c>
      <c r="F1074">
        <f t="shared" si="131"/>
        <v>1221120</v>
      </c>
      <c r="G1074" s="3">
        <f t="shared" si="132"/>
        <v>54650</v>
      </c>
      <c r="H1074" s="3">
        <f t="shared" si="133"/>
        <v>62780</v>
      </c>
      <c r="I1074" s="3">
        <f t="shared" si="134"/>
        <v>59300</v>
      </c>
      <c r="J1074" s="3">
        <f t="shared" si="135"/>
        <v>59296.899999999994</v>
      </c>
      <c r="K1074" s="5">
        <f t="shared" si="136"/>
        <v>236026.9</v>
      </c>
      <c r="L1074" s="5">
        <f t="shared" si="137"/>
        <v>236026.9</v>
      </c>
      <c r="M1074" s="5">
        <f t="shared" si="138"/>
        <v>0</v>
      </c>
      <c r="N1074" s="3"/>
    </row>
    <row r="1075" spans="1:14" x14ac:dyDescent="0.25">
      <c r="A1075" s="2">
        <v>1221121</v>
      </c>
      <c r="B1075" s="3">
        <v>54793.75</v>
      </c>
      <c r="C1075" s="3">
        <v>63500</v>
      </c>
      <c r="D1075" s="3">
        <v>59481.25</v>
      </c>
      <c r="E1075" s="3">
        <v>58671.899999999994</v>
      </c>
      <c r="F1075">
        <f t="shared" si="131"/>
        <v>1221121</v>
      </c>
      <c r="G1075" s="3">
        <f t="shared" si="132"/>
        <v>54793.75</v>
      </c>
      <c r="H1075" s="3">
        <f t="shared" si="133"/>
        <v>63500</v>
      </c>
      <c r="I1075" s="3">
        <f t="shared" si="134"/>
        <v>59481.25</v>
      </c>
      <c r="J1075" s="3">
        <f t="shared" si="135"/>
        <v>58671.899999999994</v>
      </c>
      <c r="K1075" s="5">
        <f t="shared" si="136"/>
        <v>236446.9</v>
      </c>
      <c r="L1075" s="5">
        <f t="shared" si="137"/>
        <v>236446.9</v>
      </c>
      <c r="M1075" s="5">
        <f t="shared" si="138"/>
        <v>0</v>
      </c>
      <c r="N1075" s="3"/>
    </row>
    <row r="1076" spans="1:14" x14ac:dyDescent="0.25">
      <c r="A1076" s="2">
        <v>1221122</v>
      </c>
      <c r="B1076" s="3">
        <v>54893.75</v>
      </c>
      <c r="C1076" s="3">
        <v>63620</v>
      </c>
      <c r="D1076" s="3">
        <v>60300</v>
      </c>
      <c r="E1076" s="3">
        <v>57421.899999999994</v>
      </c>
      <c r="F1076">
        <f t="shared" si="131"/>
        <v>1221122</v>
      </c>
      <c r="G1076" s="3">
        <f t="shared" si="132"/>
        <v>54893.75</v>
      </c>
      <c r="H1076" s="3">
        <f t="shared" si="133"/>
        <v>63620</v>
      </c>
      <c r="I1076" s="3">
        <f t="shared" si="134"/>
        <v>60300</v>
      </c>
      <c r="J1076" s="3">
        <f t="shared" si="135"/>
        <v>57421.899999999994</v>
      </c>
      <c r="K1076" s="5">
        <f t="shared" si="136"/>
        <v>236235.65</v>
      </c>
      <c r="L1076" s="5">
        <f t="shared" si="137"/>
        <v>236446.9</v>
      </c>
      <c r="M1076" s="5">
        <f t="shared" si="138"/>
        <v>-211.25</v>
      </c>
      <c r="N1076" s="3"/>
    </row>
    <row r="1077" spans="1:14" x14ac:dyDescent="0.25">
      <c r="A1077" s="2">
        <v>1221123</v>
      </c>
      <c r="B1077" s="3">
        <v>55656.25</v>
      </c>
      <c r="C1077" s="3">
        <v>62210</v>
      </c>
      <c r="D1077" s="3">
        <v>59662.5</v>
      </c>
      <c r="E1077" s="3">
        <v>58437.5</v>
      </c>
      <c r="F1077">
        <f t="shared" si="131"/>
        <v>1221123</v>
      </c>
      <c r="G1077" s="3">
        <f t="shared" si="132"/>
        <v>55656.25</v>
      </c>
      <c r="H1077" s="3">
        <f t="shared" si="133"/>
        <v>62210</v>
      </c>
      <c r="I1077" s="3">
        <f t="shared" si="134"/>
        <v>59662.5</v>
      </c>
      <c r="J1077" s="3">
        <f t="shared" si="135"/>
        <v>58437.5</v>
      </c>
      <c r="K1077" s="5">
        <f t="shared" si="136"/>
        <v>235966.25</v>
      </c>
      <c r="L1077" s="5">
        <f t="shared" si="137"/>
        <v>236235.65</v>
      </c>
      <c r="M1077" s="5">
        <f t="shared" si="138"/>
        <v>-269.39999999999418</v>
      </c>
      <c r="N1077" s="3"/>
    </row>
    <row r="1078" spans="1:14" x14ac:dyDescent="0.25">
      <c r="A1078" s="2">
        <v>1221124</v>
      </c>
      <c r="B1078" s="3">
        <v>56012.5</v>
      </c>
      <c r="C1078" s="3">
        <v>60150</v>
      </c>
      <c r="D1078" s="3">
        <v>61175</v>
      </c>
      <c r="E1078" s="3">
        <v>58125</v>
      </c>
      <c r="F1078">
        <f t="shared" si="131"/>
        <v>1221124</v>
      </c>
      <c r="G1078" s="3">
        <f t="shared" si="132"/>
        <v>56012.5</v>
      </c>
      <c r="H1078" s="3">
        <f t="shared" si="133"/>
        <v>60150</v>
      </c>
      <c r="I1078" s="3">
        <f t="shared" si="134"/>
        <v>61175</v>
      </c>
      <c r="J1078" s="3">
        <f t="shared" si="135"/>
        <v>58125</v>
      </c>
      <c r="K1078" s="5">
        <f t="shared" si="136"/>
        <v>235462.5</v>
      </c>
      <c r="L1078" s="5">
        <f t="shared" si="137"/>
        <v>235966.25</v>
      </c>
      <c r="M1078" s="5">
        <f t="shared" si="138"/>
        <v>-503.75</v>
      </c>
      <c r="N1078" s="3"/>
    </row>
    <row r="1079" spans="1:14" x14ac:dyDescent="0.25">
      <c r="A1079" s="2">
        <v>1221125</v>
      </c>
      <c r="B1079" s="3">
        <v>56062.5</v>
      </c>
      <c r="C1079" s="3">
        <v>60040</v>
      </c>
      <c r="D1079" s="3">
        <v>61331.25</v>
      </c>
      <c r="E1079" s="3">
        <v>59218.75</v>
      </c>
      <c r="F1079">
        <f t="shared" si="131"/>
        <v>1221125</v>
      </c>
      <c r="G1079" s="3">
        <f t="shared" si="132"/>
        <v>56062.5</v>
      </c>
      <c r="H1079" s="3">
        <f t="shared" si="133"/>
        <v>60040</v>
      </c>
      <c r="I1079" s="3">
        <f t="shared" si="134"/>
        <v>61331.25</v>
      </c>
      <c r="J1079" s="3">
        <f t="shared" si="135"/>
        <v>59218.75</v>
      </c>
      <c r="K1079" s="5">
        <f t="shared" si="136"/>
        <v>236652.5</v>
      </c>
      <c r="L1079" s="5">
        <f t="shared" si="137"/>
        <v>236652.5</v>
      </c>
      <c r="M1079" s="5">
        <f t="shared" si="138"/>
        <v>0</v>
      </c>
      <c r="N1079" s="3"/>
    </row>
    <row r="1080" spans="1:14" x14ac:dyDescent="0.25">
      <c r="A1080" s="2">
        <v>1221127</v>
      </c>
      <c r="B1080" s="3">
        <v>56168.75</v>
      </c>
      <c r="C1080" s="3">
        <v>59140</v>
      </c>
      <c r="D1080" s="3">
        <v>60856.25</v>
      </c>
      <c r="E1080" s="3">
        <v>54921.899999999994</v>
      </c>
      <c r="F1080">
        <f t="shared" si="131"/>
        <v>1221127</v>
      </c>
      <c r="G1080" s="3">
        <f t="shared" si="132"/>
        <v>56168.75</v>
      </c>
      <c r="H1080" s="3">
        <f t="shared" si="133"/>
        <v>59140</v>
      </c>
      <c r="I1080" s="3">
        <f t="shared" si="134"/>
        <v>60856.25</v>
      </c>
      <c r="J1080" s="3">
        <f t="shared" si="135"/>
        <v>54921.899999999994</v>
      </c>
      <c r="K1080" s="5">
        <f t="shared" si="136"/>
        <v>231086.9</v>
      </c>
      <c r="L1080" s="5">
        <f t="shared" si="137"/>
        <v>236652.5</v>
      </c>
      <c r="M1080" s="5">
        <f t="shared" si="138"/>
        <v>-5565.6000000000058</v>
      </c>
      <c r="N1080" s="3"/>
    </row>
    <row r="1081" spans="1:14" x14ac:dyDescent="0.25">
      <c r="A1081" s="2">
        <v>1221128</v>
      </c>
      <c r="B1081" s="3">
        <v>56506.25</v>
      </c>
      <c r="C1081" s="3">
        <v>59050</v>
      </c>
      <c r="D1081" s="3">
        <v>61518.75</v>
      </c>
      <c r="E1081" s="3">
        <v>53203.100000000006</v>
      </c>
      <c r="F1081">
        <f t="shared" si="131"/>
        <v>1221128</v>
      </c>
      <c r="G1081" s="3">
        <f t="shared" si="132"/>
        <v>56506.25</v>
      </c>
      <c r="H1081" s="3">
        <f t="shared" si="133"/>
        <v>59050</v>
      </c>
      <c r="I1081" s="3">
        <f t="shared" si="134"/>
        <v>61518.75</v>
      </c>
      <c r="J1081" s="3">
        <f t="shared" si="135"/>
        <v>53203.100000000006</v>
      </c>
      <c r="K1081" s="5">
        <f t="shared" si="136"/>
        <v>230278.1</v>
      </c>
      <c r="L1081" s="5">
        <f t="shared" si="137"/>
        <v>231086.9</v>
      </c>
      <c r="M1081" s="5">
        <f t="shared" si="138"/>
        <v>-808.79999999998836</v>
      </c>
      <c r="N1081" s="3"/>
    </row>
    <row r="1082" spans="1:14" x14ac:dyDescent="0.25">
      <c r="A1082" s="2">
        <v>1221129</v>
      </c>
      <c r="B1082" s="3">
        <v>57225</v>
      </c>
      <c r="C1082" s="3">
        <v>57460</v>
      </c>
      <c r="D1082" s="3">
        <v>61606.25</v>
      </c>
      <c r="E1082" s="3">
        <v>56015.600000000006</v>
      </c>
      <c r="F1082">
        <f t="shared" si="131"/>
        <v>1221129</v>
      </c>
      <c r="G1082" s="3">
        <f t="shared" si="132"/>
        <v>57225</v>
      </c>
      <c r="H1082" s="3">
        <f t="shared" si="133"/>
        <v>57460</v>
      </c>
      <c r="I1082" s="3">
        <f t="shared" si="134"/>
        <v>61606.25</v>
      </c>
      <c r="J1082" s="3">
        <f t="shared" si="135"/>
        <v>56015.600000000006</v>
      </c>
      <c r="K1082" s="5">
        <f t="shared" si="136"/>
        <v>232306.85</v>
      </c>
      <c r="L1082" s="5">
        <f t="shared" si="137"/>
        <v>232306.85</v>
      </c>
      <c r="M1082" s="5">
        <f t="shared" si="138"/>
        <v>0</v>
      </c>
      <c r="N1082" s="3"/>
    </row>
    <row r="1083" spans="1:14" x14ac:dyDescent="0.25">
      <c r="A1083" s="2">
        <v>1221130</v>
      </c>
      <c r="B1083" s="3">
        <v>57118.75</v>
      </c>
      <c r="C1083" s="3">
        <v>57660</v>
      </c>
      <c r="D1083" s="3">
        <v>61581.25</v>
      </c>
      <c r="E1083" s="3">
        <v>56250</v>
      </c>
      <c r="F1083">
        <f t="shared" si="131"/>
        <v>1221130</v>
      </c>
      <c r="G1083" s="3">
        <f t="shared" si="132"/>
        <v>57118.75</v>
      </c>
      <c r="H1083" s="3">
        <f t="shared" si="133"/>
        <v>57660</v>
      </c>
      <c r="I1083" s="3">
        <f t="shared" si="134"/>
        <v>61581.25</v>
      </c>
      <c r="J1083" s="3">
        <f t="shared" si="135"/>
        <v>56250</v>
      </c>
      <c r="K1083" s="5">
        <f t="shared" si="136"/>
        <v>232610</v>
      </c>
      <c r="L1083" s="5">
        <f t="shared" si="137"/>
        <v>232610</v>
      </c>
      <c r="M1083" s="5">
        <f t="shared" si="138"/>
        <v>0</v>
      </c>
      <c r="N1083" s="3"/>
    </row>
    <row r="1084" spans="1:14" x14ac:dyDescent="0.25">
      <c r="A1084" s="2">
        <v>1221201</v>
      </c>
      <c r="B1084" s="3">
        <v>59543.75</v>
      </c>
      <c r="C1084" s="3">
        <v>59640</v>
      </c>
      <c r="D1084" s="3">
        <v>62900</v>
      </c>
      <c r="E1084" s="3">
        <v>51875</v>
      </c>
      <c r="F1084">
        <f t="shared" si="131"/>
        <v>1221201</v>
      </c>
      <c r="G1084" s="3">
        <f t="shared" si="132"/>
        <v>59543.75</v>
      </c>
      <c r="H1084" s="3">
        <f t="shared" si="133"/>
        <v>59640</v>
      </c>
      <c r="I1084" s="3">
        <f t="shared" si="134"/>
        <v>62900</v>
      </c>
      <c r="J1084" s="3">
        <f t="shared" si="135"/>
        <v>51875</v>
      </c>
      <c r="K1084" s="5">
        <f t="shared" si="136"/>
        <v>233958.75</v>
      </c>
      <c r="L1084" s="5">
        <f t="shared" si="137"/>
        <v>233958.75</v>
      </c>
      <c r="M1084" s="5">
        <f t="shared" si="138"/>
        <v>0</v>
      </c>
      <c r="N1084" s="3"/>
    </row>
    <row r="1085" spans="1:14" x14ac:dyDescent="0.25">
      <c r="A1085" s="2">
        <v>1221202</v>
      </c>
      <c r="B1085" s="3">
        <v>58968.75</v>
      </c>
      <c r="C1085" s="3">
        <v>60730</v>
      </c>
      <c r="D1085" s="3">
        <v>63743.75</v>
      </c>
      <c r="E1085" s="3">
        <v>53125</v>
      </c>
      <c r="F1085">
        <f t="shared" si="131"/>
        <v>1221202</v>
      </c>
      <c r="G1085" s="3">
        <f t="shared" si="132"/>
        <v>58968.75</v>
      </c>
      <c r="H1085" s="3">
        <f t="shared" si="133"/>
        <v>60730</v>
      </c>
      <c r="I1085" s="3">
        <f t="shared" si="134"/>
        <v>63743.75</v>
      </c>
      <c r="J1085" s="3">
        <f t="shared" si="135"/>
        <v>53125</v>
      </c>
      <c r="K1085" s="5">
        <f t="shared" si="136"/>
        <v>236567.5</v>
      </c>
      <c r="L1085" s="5">
        <f t="shared" si="137"/>
        <v>236567.5</v>
      </c>
      <c r="M1085" s="5">
        <f t="shared" si="138"/>
        <v>0</v>
      </c>
      <c r="N1085" s="3"/>
    </row>
    <row r="1086" spans="1:14" x14ac:dyDescent="0.25">
      <c r="A1086" s="2">
        <v>1221204</v>
      </c>
      <c r="B1086" s="3">
        <v>59325</v>
      </c>
      <c r="C1086" s="3">
        <v>60280</v>
      </c>
      <c r="D1086" s="3">
        <v>63762.5</v>
      </c>
      <c r="E1086" s="3">
        <v>52343.75</v>
      </c>
      <c r="F1086">
        <f t="shared" si="131"/>
        <v>1221204</v>
      </c>
      <c r="G1086" s="3">
        <f t="shared" si="132"/>
        <v>59325</v>
      </c>
      <c r="H1086" s="3">
        <f t="shared" si="133"/>
        <v>60280</v>
      </c>
      <c r="I1086" s="3">
        <f t="shared" si="134"/>
        <v>63762.5</v>
      </c>
      <c r="J1086" s="3">
        <f t="shared" si="135"/>
        <v>52343.75</v>
      </c>
      <c r="K1086" s="5">
        <f t="shared" si="136"/>
        <v>235711.25</v>
      </c>
      <c r="L1086" s="5">
        <f t="shared" si="137"/>
        <v>236567.5</v>
      </c>
      <c r="M1086" s="5">
        <f t="shared" si="138"/>
        <v>-856.25</v>
      </c>
      <c r="N1086" s="3"/>
    </row>
    <row r="1087" spans="1:14" x14ac:dyDescent="0.25">
      <c r="A1087" s="2">
        <v>1221205</v>
      </c>
      <c r="B1087" s="3">
        <v>59325</v>
      </c>
      <c r="C1087" s="3">
        <v>59380</v>
      </c>
      <c r="D1087" s="3">
        <v>63806.25</v>
      </c>
      <c r="E1087" s="3">
        <v>52968.75</v>
      </c>
      <c r="F1087">
        <f t="shared" si="131"/>
        <v>1221205</v>
      </c>
      <c r="G1087" s="3">
        <f t="shared" si="132"/>
        <v>59325</v>
      </c>
      <c r="H1087" s="3">
        <f t="shared" si="133"/>
        <v>59380</v>
      </c>
      <c r="I1087" s="3">
        <f t="shared" si="134"/>
        <v>63806.25</v>
      </c>
      <c r="J1087" s="3">
        <f t="shared" si="135"/>
        <v>52968.75</v>
      </c>
      <c r="K1087" s="5">
        <f t="shared" si="136"/>
        <v>235480</v>
      </c>
      <c r="L1087" s="5">
        <f t="shared" si="137"/>
        <v>235711.25</v>
      </c>
      <c r="M1087" s="5">
        <f t="shared" si="138"/>
        <v>-231.25</v>
      </c>
      <c r="N1087" s="3"/>
    </row>
    <row r="1088" spans="1:14" x14ac:dyDescent="0.25">
      <c r="A1088" s="2">
        <v>1221206</v>
      </c>
      <c r="B1088" s="3">
        <v>60150</v>
      </c>
      <c r="C1088" s="3">
        <v>62310</v>
      </c>
      <c r="D1088" s="3">
        <v>65462.5</v>
      </c>
      <c r="E1088" s="3">
        <v>53437.5</v>
      </c>
      <c r="F1088">
        <f t="shared" si="131"/>
        <v>1221206</v>
      </c>
      <c r="G1088" s="3">
        <f t="shared" si="132"/>
        <v>60150</v>
      </c>
      <c r="H1088" s="3">
        <f t="shared" si="133"/>
        <v>62310</v>
      </c>
      <c r="I1088" s="3">
        <f t="shared" si="134"/>
        <v>65462.5</v>
      </c>
      <c r="J1088" s="3">
        <f t="shared" si="135"/>
        <v>53437.5</v>
      </c>
      <c r="K1088" s="5">
        <f t="shared" si="136"/>
        <v>241360</v>
      </c>
      <c r="L1088" s="5">
        <f t="shared" si="137"/>
        <v>241360</v>
      </c>
      <c r="M1088" s="5">
        <f t="shared" si="138"/>
        <v>0</v>
      </c>
      <c r="N1088" s="3"/>
    </row>
    <row r="1089" spans="1:14" x14ac:dyDescent="0.25">
      <c r="A1089" s="2">
        <v>1221207</v>
      </c>
      <c r="B1089" s="3">
        <v>61581.25</v>
      </c>
      <c r="C1089" s="3">
        <v>61800</v>
      </c>
      <c r="D1089" s="3">
        <v>64750</v>
      </c>
      <c r="E1089" s="3">
        <v>52656.25</v>
      </c>
      <c r="F1089">
        <f t="shared" si="131"/>
        <v>1221207</v>
      </c>
      <c r="G1089" s="3">
        <f t="shared" si="132"/>
        <v>61581.25</v>
      </c>
      <c r="H1089" s="3">
        <f t="shared" si="133"/>
        <v>61800</v>
      </c>
      <c r="I1089" s="3">
        <f t="shared" si="134"/>
        <v>64750</v>
      </c>
      <c r="J1089" s="3">
        <f t="shared" si="135"/>
        <v>52656.25</v>
      </c>
      <c r="K1089" s="5">
        <f t="shared" si="136"/>
        <v>240787.5</v>
      </c>
      <c r="L1089" s="5">
        <f t="shared" si="137"/>
        <v>241360</v>
      </c>
      <c r="M1089" s="5">
        <f t="shared" si="138"/>
        <v>-572.5</v>
      </c>
      <c r="N1089" s="3"/>
    </row>
    <row r="1090" spans="1:14" x14ac:dyDescent="0.25">
      <c r="A1090" s="2">
        <v>1221208</v>
      </c>
      <c r="B1090" s="3">
        <v>60768.75</v>
      </c>
      <c r="C1090" s="3">
        <v>62940</v>
      </c>
      <c r="D1090" s="3">
        <v>64843.75</v>
      </c>
      <c r="E1090" s="3">
        <v>52578.100000000006</v>
      </c>
      <c r="F1090">
        <f t="shared" si="131"/>
        <v>1221208</v>
      </c>
      <c r="G1090" s="3">
        <f t="shared" si="132"/>
        <v>60768.75</v>
      </c>
      <c r="H1090" s="3">
        <f t="shared" si="133"/>
        <v>62940</v>
      </c>
      <c r="I1090" s="3">
        <f t="shared" si="134"/>
        <v>64843.75</v>
      </c>
      <c r="J1090" s="3">
        <f t="shared" si="135"/>
        <v>52578.100000000006</v>
      </c>
      <c r="K1090" s="5">
        <f t="shared" si="136"/>
        <v>241130.6</v>
      </c>
      <c r="L1090" s="5">
        <f t="shared" si="137"/>
        <v>241130.6</v>
      </c>
      <c r="M1090" s="5">
        <f t="shared" si="138"/>
        <v>0</v>
      </c>
      <c r="N1090" s="3"/>
    </row>
    <row r="1091" spans="1:14" x14ac:dyDescent="0.25">
      <c r="A1091" s="2">
        <v>1221209</v>
      </c>
      <c r="B1091" s="3">
        <v>61750</v>
      </c>
      <c r="C1091" s="3">
        <v>63870</v>
      </c>
      <c r="D1091" s="3">
        <v>65468.75</v>
      </c>
      <c r="E1091" s="3">
        <v>52187.5</v>
      </c>
      <c r="F1091">
        <f t="shared" si="131"/>
        <v>1221209</v>
      </c>
      <c r="G1091" s="3">
        <f t="shared" si="132"/>
        <v>61750</v>
      </c>
      <c r="H1091" s="3">
        <f t="shared" si="133"/>
        <v>63870</v>
      </c>
      <c r="I1091" s="3">
        <f t="shared" si="134"/>
        <v>65468.75</v>
      </c>
      <c r="J1091" s="3">
        <f t="shared" si="135"/>
        <v>52187.5</v>
      </c>
      <c r="K1091" s="5">
        <f t="shared" si="136"/>
        <v>243276.25</v>
      </c>
      <c r="L1091" s="5">
        <f t="shared" si="137"/>
        <v>243276.25</v>
      </c>
      <c r="M1091" s="5">
        <f t="shared" si="138"/>
        <v>0</v>
      </c>
      <c r="N1091" s="3"/>
    </row>
    <row r="1092" spans="1:14" x14ac:dyDescent="0.25">
      <c r="A1092" s="2">
        <v>1221211</v>
      </c>
      <c r="B1092" s="3">
        <v>61493.75</v>
      </c>
      <c r="C1092" s="3">
        <v>61110</v>
      </c>
      <c r="D1092" s="3">
        <v>65431.25</v>
      </c>
      <c r="E1092" s="3">
        <v>53437.5</v>
      </c>
      <c r="F1092">
        <f t="shared" si="131"/>
        <v>1221211</v>
      </c>
      <c r="G1092" s="3">
        <f t="shared" si="132"/>
        <v>61493.75</v>
      </c>
      <c r="H1092" s="3">
        <f t="shared" si="133"/>
        <v>61110</v>
      </c>
      <c r="I1092" s="3">
        <f t="shared" si="134"/>
        <v>65431.25</v>
      </c>
      <c r="J1092" s="3">
        <f t="shared" si="135"/>
        <v>53437.5</v>
      </c>
      <c r="K1092" s="5">
        <f t="shared" si="136"/>
        <v>241472.5</v>
      </c>
      <c r="L1092" s="5">
        <f t="shared" si="137"/>
        <v>243276.25</v>
      </c>
      <c r="M1092" s="5">
        <f t="shared" si="138"/>
        <v>-1803.75</v>
      </c>
      <c r="N1092" s="3"/>
    </row>
    <row r="1093" spans="1:14" x14ac:dyDescent="0.25">
      <c r="A1093" s="2">
        <v>1221212</v>
      </c>
      <c r="B1093" s="3">
        <v>61493.75</v>
      </c>
      <c r="C1093" s="3">
        <v>60330</v>
      </c>
      <c r="D1093" s="3">
        <v>65625</v>
      </c>
      <c r="E1093" s="3">
        <v>52656.25</v>
      </c>
      <c r="F1093">
        <f t="shared" si="131"/>
        <v>1221212</v>
      </c>
      <c r="G1093" s="3">
        <f t="shared" si="132"/>
        <v>61493.75</v>
      </c>
      <c r="H1093" s="3">
        <f t="shared" si="133"/>
        <v>60330</v>
      </c>
      <c r="I1093" s="3">
        <f t="shared" si="134"/>
        <v>65625</v>
      </c>
      <c r="J1093" s="3">
        <f t="shared" si="135"/>
        <v>52656.25</v>
      </c>
      <c r="K1093" s="5">
        <f t="shared" si="136"/>
        <v>240105</v>
      </c>
      <c r="L1093" s="5">
        <f t="shared" si="137"/>
        <v>241472.5</v>
      </c>
      <c r="M1093" s="5">
        <f t="shared" si="138"/>
        <v>-1367.5</v>
      </c>
      <c r="N1093" s="3"/>
    </row>
    <row r="1094" spans="1:14" x14ac:dyDescent="0.25">
      <c r="A1094" s="2">
        <v>1221213</v>
      </c>
      <c r="B1094" s="3">
        <v>62637.5</v>
      </c>
      <c r="C1094" s="3">
        <v>60440</v>
      </c>
      <c r="D1094" s="3">
        <v>66012.5</v>
      </c>
      <c r="E1094" s="3">
        <v>53593.75</v>
      </c>
      <c r="F1094">
        <f t="shared" si="131"/>
        <v>1221213</v>
      </c>
      <c r="G1094" s="3">
        <f t="shared" si="132"/>
        <v>62637.5</v>
      </c>
      <c r="H1094" s="3">
        <f t="shared" si="133"/>
        <v>60440</v>
      </c>
      <c r="I1094" s="3">
        <f t="shared" si="134"/>
        <v>66012.5</v>
      </c>
      <c r="J1094" s="3">
        <f t="shared" si="135"/>
        <v>53593.75</v>
      </c>
      <c r="K1094" s="5">
        <f t="shared" si="136"/>
        <v>242683.75</v>
      </c>
      <c r="L1094" s="5">
        <f t="shared" si="137"/>
        <v>242683.75</v>
      </c>
      <c r="M1094" s="5">
        <f t="shared" si="138"/>
        <v>0</v>
      </c>
      <c r="N1094" s="3"/>
    </row>
    <row r="1095" spans="1:14" x14ac:dyDescent="0.25">
      <c r="A1095" s="2">
        <v>1221214</v>
      </c>
      <c r="B1095" s="3">
        <v>63487.5</v>
      </c>
      <c r="C1095" s="3">
        <v>62540</v>
      </c>
      <c r="D1095" s="3">
        <v>67193.75</v>
      </c>
      <c r="E1095" s="3">
        <v>56796.899999999994</v>
      </c>
      <c r="F1095">
        <f t="shared" si="131"/>
        <v>1221214</v>
      </c>
      <c r="G1095" s="3">
        <f t="shared" si="132"/>
        <v>63487.5</v>
      </c>
      <c r="H1095" s="3">
        <f t="shared" si="133"/>
        <v>62540</v>
      </c>
      <c r="I1095" s="3">
        <f t="shared" si="134"/>
        <v>67193.75</v>
      </c>
      <c r="J1095" s="3">
        <f t="shared" si="135"/>
        <v>56796.899999999994</v>
      </c>
      <c r="K1095" s="5">
        <f t="shared" si="136"/>
        <v>250018.15</v>
      </c>
      <c r="L1095" s="5">
        <f t="shared" si="137"/>
        <v>250018.15</v>
      </c>
      <c r="M1095" s="5">
        <f t="shared" si="138"/>
        <v>0</v>
      </c>
      <c r="N1095" s="3"/>
    </row>
    <row r="1096" spans="1:14" x14ac:dyDescent="0.25">
      <c r="A1096" s="2">
        <v>1221215</v>
      </c>
      <c r="B1096" s="3">
        <v>62956.25</v>
      </c>
      <c r="C1096" s="3">
        <v>63980</v>
      </c>
      <c r="D1096" s="3">
        <v>67118.75</v>
      </c>
      <c r="E1096" s="3">
        <v>55625</v>
      </c>
      <c r="F1096">
        <f t="shared" si="131"/>
        <v>1221215</v>
      </c>
      <c r="G1096" s="3">
        <f t="shared" si="132"/>
        <v>62956.25</v>
      </c>
      <c r="H1096" s="3">
        <f t="shared" si="133"/>
        <v>63980</v>
      </c>
      <c r="I1096" s="3">
        <f t="shared" si="134"/>
        <v>67118.75</v>
      </c>
      <c r="J1096" s="3">
        <f t="shared" si="135"/>
        <v>55625</v>
      </c>
      <c r="K1096" s="5">
        <f t="shared" si="136"/>
        <v>249680</v>
      </c>
      <c r="L1096" s="5">
        <f t="shared" si="137"/>
        <v>250018.15</v>
      </c>
      <c r="M1096" s="5">
        <f t="shared" si="138"/>
        <v>-338.14999999999418</v>
      </c>
      <c r="N1096" s="3"/>
    </row>
    <row r="1097" spans="1:14" x14ac:dyDescent="0.25">
      <c r="A1097" s="2">
        <v>1221216</v>
      </c>
      <c r="B1097" s="3">
        <v>65637.5</v>
      </c>
      <c r="C1097" s="3">
        <v>65320</v>
      </c>
      <c r="D1097" s="3">
        <v>68331.25</v>
      </c>
      <c r="E1097" s="3">
        <v>50546.899999999994</v>
      </c>
      <c r="F1097">
        <f t="shared" si="131"/>
        <v>1221216</v>
      </c>
      <c r="G1097" s="3">
        <f t="shared" si="132"/>
        <v>65637.5</v>
      </c>
      <c r="H1097" s="3">
        <f t="shared" si="133"/>
        <v>65320</v>
      </c>
      <c r="I1097" s="3">
        <f t="shared" si="134"/>
        <v>68331.25</v>
      </c>
      <c r="J1097" s="3">
        <f t="shared" si="135"/>
        <v>50546.899999999994</v>
      </c>
      <c r="K1097" s="5">
        <f t="shared" si="136"/>
        <v>249835.65</v>
      </c>
      <c r="L1097" s="5">
        <f t="shared" si="137"/>
        <v>249835.65</v>
      </c>
      <c r="M1097" s="5">
        <f t="shared" si="138"/>
        <v>0</v>
      </c>
      <c r="N1097" s="3"/>
    </row>
    <row r="1098" spans="1:14" x14ac:dyDescent="0.25">
      <c r="A1098" s="2">
        <v>1221218</v>
      </c>
      <c r="B1098" s="3">
        <v>65406.25</v>
      </c>
      <c r="C1098" s="3">
        <v>65920</v>
      </c>
      <c r="D1098" s="3">
        <v>68131.25</v>
      </c>
      <c r="E1098" s="3">
        <v>49765.600000000006</v>
      </c>
      <c r="F1098">
        <f t="shared" si="131"/>
        <v>1221218</v>
      </c>
      <c r="G1098" s="3">
        <f t="shared" si="132"/>
        <v>65406.25</v>
      </c>
      <c r="H1098" s="3">
        <f t="shared" si="133"/>
        <v>65920</v>
      </c>
      <c r="I1098" s="3">
        <f t="shared" si="134"/>
        <v>68131.25</v>
      </c>
      <c r="J1098" s="3">
        <f t="shared" si="135"/>
        <v>49765.600000000006</v>
      </c>
      <c r="K1098" s="5">
        <f t="shared" si="136"/>
        <v>249223.1</v>
      </c>
      <c r="L1098" s="5">
        <f t="shared" si="137"/>
        <v>249835.65</v>
      </c>
      <c r="M1098" s="5">
        <f t="shared" si="138"/>
        <v>-612.54999999998836</v>
      </c>
      <c r="N1098" s="3"/>
    </row>
    <row r="1099" spans="1:14" x14ac:dyDescent="0.25">
      <c r="A1099" s="2">
        <v>1221219</v>
      </c>
      <c r="B1099" s="3">
        <v>65406.25</v>
      </c>
      <c r="C1099" s="3">
        <v>66160</v>
      </c>
      <c r="D1099" s="3">
        <v>68393.75</v>
      </c>
      <c r="E1099" s="3">
        <v>49843.75</v>
      </c>
      <c r="F1099">
        <f t="shared" si="131"/>
        <v>1221219</v>
      </c>
      <c r="G1099" s="3">
        <f t="shared" si="132"/>
        <v>65406.25</v>
      </c>
      <c r="H1099" s="3">
        <f t="shared" si="133"/>
        <v>66160</v>
      </c>
      <c r="I1099" s="3">
        <f t="shared" si="134"/>
        <v>68393.75</v>
      </c>
      <c r="J1099" s="3">
        <f t="shared" si="135"/>
        <v>49843.75</v>
      </c>
      <c r="K1099" s="5">
        <f t="shared" si="136"/>
        <v>249803.75</v>
      </c>
      <c r="L1099" s="5">
        <f t="shared" si="137"/>
        <v>249803.75</v>
      </c>
      <c r="M1099" s="5">
        <f t="shared" si="138"/>
        <v>0</v>
      </c>
      <c r="N1099" s="3"/>
    </row>
    <row r="1100" spans="1:14" x14ac:dyDescent="0.25">
      <c r="A1100" s="2">
        <v>1221220</v>
      </c>
      <c r="B1100" s="3">
        <v>67100</v>
      </c>
      <c r="C1100" s="3">
        <v>66180</v>
      </c>
      <c r="D1100" s="3">
        <v>69856.25</v>
      </c>
      <c r="E1100" s="3">
        <v>54687.5</v>
      </c>
      <c r="F1100">
        <f t="shared" si="131"/>
        <v>1221220</v>
      </c>
      <c r="G1100" s="3">
        <f t="shared" si="132"/>
        <v>67100</v>
      </c>
      <c r="H1100" s="3">
        <f t="shared" si="133"/>
        <v>66180</v>
      </c>
      <c r="I1100" s="3">
        <f t="shared" si="134"/>
        <v>69856.25</v>
      </c>
      <c r="J1100" s="3">
        <f t="shared" si="135"/>
        <v>54687.5</v>
      </c>
      <c r="K1100" s="5">
        <f t="shared" si="136"/>
        <v>257823.75</v>
      </c>
      <c r="L1100" s="5">
        <f t="shared" si="137"/>
        <v>257823.75</v>
      </c>
      <c r="M1100" s="5">
        <f t="shared" si="138"/>
        <v>0</v>
      </c>
      <c r="N1100" s="3"/>
    </row>
    <row r="1101" spans="1:14" x14ac:dyDescent="0.25">
      <c r="A1101" s="2">
        <v>1221221</v>
      </c>
      <c r="B1101" s="3">
        <v>66437.5</v>
      </c>
      <c r="C1101" s="3">
        <v>67070</v>
      </c>
      <c r="D1101" s="3">
        <v>69437.5</v>
      </c>
      <c r="E1101" s="3">
        <v>55625</v>
      </c>
      <c r="F1101">
        <f t="shared" si="131"/>
        <v>1221221</v>
      </c>
      <c r="G1101" s="3">
        <f t="shared" si="132"/>
        <v>66437.5</v>
      </c>
      <c r="H1101" s="3">
        <f t="shared" si="133"/>
        <v>67070</v>
      </c>
      <c r="I1101" s="3">
        <f t="shared" si="134"/>
        <v>69437.5</v>
      </c>
      <c r="J1101" s="3">
        <f t="shared" si="135"/>
        <v>55625</v>
      </c>
      <c r="K1101" s="5">
        <f t="shared" si="136"/>
        <v>258570</v>
      </c>
      <c r="L1101" s="5">
        <f t="shared" si="137"/>
        <v>258570</v>
      </c>
      <c r="M1101" s="5">
        <f t="shared" si="138"/>
        <v>0</v>
      </c>
      <c r="N1101" s="3"/>
    </row>
    <row r="1102" spans="1:14" x14ac:dyDescent="0.25">
      <c r="A1102" s="2">
        <v>1221222</v>
      </c>
      <c r="B1102" s="3">
        <v>67687.5</v>
      </c>
      <c r="C1102" s="3">
        <v>66610</v>
      </c>
      <c r="D1102" s="3">
        <v>69600</v>
      </c>
      <c r="E1102" s="3">
        <v>54687.5</v>
      </c>
      <c r="F1102">
        <f t="shared" si="131"/>
        <v>1221222</v>
      </c>
      <c r="G1102" s="3">
        <f t="shared" si="132"/>
        <v>67687.5</v>
      </c>
      <c r="H1102" s="3">
        <f t="shared" si="133"/>
        <v>66610</v>
      </c>
      <c r="I1102" s="3">
        <f t="shared" si="134"/>
        <v>69600</v>
      </c>
      <c r="J1102" s="3">
        <f t="shared" si="135"/>
        <v>54687.5</v>
      </c>
      <c r="K1102" s="5">
        <f t="shared" si="136"/>
        <v>258585</v>
      </c>
      <c r="L1102" s="5">
        <f t="shared" si="137"/>
        <v>258585</v>
      </c>
      <c r="M1102" s="5">
        <f t="shared" si="138"/>
        <v>0</v>
      </c>
      <c r="N1102" s="3"/>
    </row>
    <row r="1103" spans="1:14" x14ac:dyDescent="0.25">
      <c r="A1103" s="2">
        <v>1221223</v>
      </c>
      <c r="B1103" s="3">
        <v>66018.75</v>
      </c>
      <c r="C1103" s="3">
        <v>67950</v>
      </c>
      <c r="D1103" s="3">
        <v>70162.5</v>
      </c>
      <c r="E1103" s="3">
        <v>55312.5</v>
      </c>
      <c r="F1103">
        <f t="shared" si="131"/>
        <v>1221223</v>
      </c>
      <c r="G1103" s="3">
        <f t="shared" si="132"/>
        <v>66018.75</v>
      </c>
      <c r="H1103" s="3">
        <f t="shared" si="133"/>
        <v>67950</v>
      </c>
      <c r="I1103" s="3">
        <f t="shared" si="134"/>
        <v>70162.5</v>
      </c>
      <c r="J1103" s="3">
        <f t="shared" si="135"/>
        <v>55312.5</v>
      </c>
      <c r="K1103" s="5">
        <f t="shared" si="136"/>
        <v>259443.75</v>
      </c>
      <c r="L1103" s="5">
        <f t="shared" si="137"/>
        <v>259443.75</v>
      </c>
      <c r="M1103" s="5">
        <f t="shared" si="138"/>
        <v>0</v>
      </c>
      <c r="N1103" s="3"/>
    </row>
    <row r="1104" spans="1:14" x14ac:dyDescent="0.25">
      <c r="A1104" s="2">
        <v>1221226</v>
      </c>
      <c r="B1104" s="3">
        <v>65881.25</v>
      </c>
      <c r="C1104" s="3">
        <v>68010</v>
      </c>
      <c r="D1104" s="3">
        <v>69843.75</v>
      </c>
      <c r="E1104" s="3">
        <v>56406.25</v>
      </c>
      <c r="F1104">
        <f t="shared" si="131"/>
        <v>1221226</v>
      </c>
      <c r="G1104" s="3">
        <f t="shared" si="132"/>
        <v>65881.25</v>
      </c>
      <c r="H1104" s="3">
        <f t="shared" si="133"/>
        <v>68010</v>
      </c>
      <c r="I1104" s="3">
        <f t="shared" si="134"/>
        <v>69843.75</v>
      </c>
      <c r="J1104" s="3">
        <f t="shared" si="135"/>
        <v>56406.25</v>
      </c>
      <c r="K1104" s="5">
        <f t="shared" si="136"/>
        <v>260141.25</v>
      </c>
      <c r="L1104" s="5">
        <f t="shared" si="137"/>
        <v>260141.25</v>
      </c>
      <c r="M1104" s="5">
        <f t="shared" si="138"/>
        <v>0</v>
      </c>
      <c r="N1104" s="3"/>
    </row>
    <row r="1105" spans="1:14" x14ac:dyDescent="0.25">
      <c r="A1105" s="2">
        <v>1221227</v>
      </c>
      <c r="B1105" s="3">
        <v>65881.25</v>
      </c>
      <c r="C1105" s="3">
        <v>68280</v>
      </c>
      <c r="D1105" s="3">
        <v>69881.25</v>
      </c>
      <c r="E1105" s="3">
        <v>56718.75</v>
      </c>
      <c r="F1105">
        <f t="shared" si="131"/>
        <v>1221227</v>
      </c>
      <c r="G1105" s="3">
        <f t="shared" si="132"/>
        <v>65881.25</v>
      </c>
      <c r="H1105" s="3">
        <f t="shared" si="133"/>
        <v>68280</v>
      </c>
      <c r="I1105" s="3">
        <f t="shared" si="134"/>
        <v>69881.25</v>
      </c>
      <c r="J1105" s="3">
        <f t="shared" si="135"/>
        <v>56718.75</v>
      </c>
      <c r="K1105" s="5">
        <f t="shared" si="136"/>
        <v>260761.25</v>
      </c>
      <c r="L1105" s="5">
        <f t="shared" si="137"/>
        <v>260761.25</v>
      </c>
      <c r="M1105" s="5">
        <f t="shared" si="138"/>
        <v>0</v>
      </c>
      <c r="N1105" s="3"/>
    </row>
    <row r="1106" spans="1:14" x14ac:dyDescent="0.25">
      <c r="A1106" s="2">
        <v>1221228</v>
      </c>
      <c r="B1106" s="3">
        <v>65531.25</v>
      </c>
      <c r="C1106" s="3">
        <v>68810</v>
      </c>
      <c r="D1106" s="3">
        <v>70800</v>
      </c>
      <c r="E1106" s="3">
        <v>60000</v>
      </c>
      <c r="F1106">
        <f t="shared" si="131"/>
        <v>1221228</v>
      </c>
      <c r="G1106" s="3">
        <f t="shared" si="132"/>
        <v>65531.25</v>
      </c>
      <c r="H1106" s="3">
        <f t="shared" si="133"/>
        <v>68810</v>
      </c>
      <c r="I1106" s="3">
        <f t="shared" si="134"/>
        <v>70800</v>
      </c>
      <c r="J1106" s="3">
        <f t="shared" si="135"/>
        <v>60000</v>
      </c>
      <c r="K1106" s="5">
        <f t="shared" si="136"/>
        <v>265141.25</v>
      </c>
      <c r="L1106" s="5">
        <f t="shared" si="137"/>
        <v>265141.25</v>
      </c>
      <c r="M1106" s="5">
        <f t="shared" si="138"/>
        <v>0</v>
      </c>
      <c r="N1106" s="3"/>
    </row>
    <row r="1107" spans="1:14" x14ac:dyDescent="0.25">
      <c r="A1107" s="2">
        <v>1221229</v>
      </c>
      <c r="B1107" s="3">
        <v>66675</v>
      </c>
      <c r="C1107" s="3">
        <v>67310</v>
      </c>
      <c r="D1107" s="3">
        <v>69906.25</v>
      </c>
      <c r="E1107" s="3">
        <v>57968.75</v>
      </c>
      <c r="F1107">
        <f t="shared" si="131"/>
        <v>1221229</v>
      </c>
      <c r="G1107" s="3">
        <f t="shared" si="132"/>
        <v>66675</v>
      </c>
      <c r="H1107" s="3">
        <f t="shared" si="133"/>
        <v>67310</v>
      </c>
      <c r="I1107" s="3">
        <f t="shared" si="134"/>
        <v>69906.25</v>
      </c>
      <c r="J1107" s="3">
        <f t="shared" si="135"/>
        <v>57968.75</v>
      </c>
      <c r="K1107" s="5">
        <f t="shared" si="136"/>
        <v>261860</v>
      </c>
      <c r="L1107" s="5">
        <f t="shared" si="137"/>
        <v>265141.25</v>
      </c>
      <c r="M1107" s="5">
        <f t="shared" si="138"/>
        <v>-3281.25</v>
      </c>
      <c r="N1107" s="3"/>
    </row>
    <row r="1108" spans="1:14" x14ac:dyDescent="0.25">
      <c r="A1108" s="2">
        <v>1221230</v>
      </c>
      <c r="B1108" s="3">
        <v>65643.75</v>
      </c>
      <c r="C1108" s="3">
        <v>66510</v>
      </c>
      <c r="D1108" s="3">
        <v>70637.5</v>
      </c>
      <c r="E1108" s="3">
        <v>57812.5</v>
      </c>
      <c r="F1108">
        <f t="shared" si="131"/>
        <v>1221230</v>
      </c>
      <c r="G1108" s="3">
        <f t="shared" si="132"/>
        <v>65643.75</v>
      </c>
      <c r="H1108" s="3">
        <f t="shared" si="133"/>
        <v>66510</v>
      </c>
      <c r="I1108" s="3">
        <f t="shared" si="134"/>
        <v>70637.5</v>
      </c>
      <c r="J1108" s="3">
        <f t="shared" si="135"/>
        <v>57812.5</v>
      </c>
      <c r="K1108" s="5">
        <f t="shared" si="136"/>
        <v>260603.75</v>
      </c>
      <c r="L1108" s="5">
        <f t="shared" si="137"/>
        <v>261860</v>
      </c>
      <c r="M1108" s="5">
        <f t="shared" si="138"/>
        <v>-1256.25</v>
      </c>
      <c r="N1108" s="3"/>
    </row>
    <row r="1109" spans="1:14" x14ac:dyDescent="0.25">
      <c r="A1109" s="2">
        <v>1230102</v>
      </c>
      <c r="B1109" s="3">
        <v>64100</v>
      </c>
      <c r="C1109" s="3">
        <v>65040</v>
      </c>
      <c r="D1109" s="3">
        <v>71050</v>
      </c>
      <c r="E1109" s="3">
        <v>57265.600000000006</v>
      </c>
      <c r="F1109">
        <f t="shared" si="131"/>
        <v>1230102</v>
      </c>
      <c r="G1109" s="3">
        <f t="shared" si="132"/>
        <v>64100</v>
      </c>
      <c r="H1109" s="3">
        <f t="shared" si="133"/>
        <v>65040</v>
      </c>
      <c r="I1109" s="3">
        <f t="shared" si="134"/>
        <v>71050</v>
      </c>
      <c r="J1109" s="3">
        <f t="shared" si="135"/>
        <v>57265.600000000006</v>
      </c>
      <c r="K1109" s="5">
        <f t="shared" si="136"/>
        <v>257455.6</v>
      </c>
      <c r="L1109" s="5">
        <f t="shared" si="137"/>
        <v>260603.75</v>
      </c>
      <c r="M1109" s="5">
        <f t="shared" si="138"/>
        <v>-3148.1499999999942</v>
      </c>
      <c r="N1109" s="3"/>
    </row>
    <row r="1110" spans="1:14" x14ac:dyDescent="0.25">
      <c r="A1110" s="2">
        <v>1230103</v>
      </c>
      <c r="B1110" s="3">
        <v>64100</v>
      </c>
      <c r="C1110" s="3">
        <v>63930</v>
      </c>
      <c r="D1110" s="3">
        <v>71781.25</v>
      </c>
      <c r="E1110" s="3">
        <v>56796.899999999994</v>
      </c>
      <c r="F1110">
        <f t="shared" si="131"/>
        <v>1230103</v>
      </c>
      <c r="G1110" s="3">
        <f t="shared" si="132"/>
        <v>64100</v>
      </c>
      <c r="H1110" s="3">
        <f t="shared" si="133"/>
        <v>63930</v>
      </c>
      <c r="I1110" s="3">
        <f t="shared" si="134"/>
        <v>71781.25</v>
      </c>
      <c r="J1110" s="3">
        <f t="shared" si="135"/>
        <v>56796.899999999994</v>
      </c>
      <c r="K1110" s="5">
        <f t="shared" si="136"/>
        <v>256608.15</v>
      </c>
      <c r="L1110" s="5">
        <f t="shared" si="137"/>
        <v>257455.6</v>
      </c>
      <c r="M1110" s="5">
        <f t="shared" si="138"/>
        <v>-847.45000000001164</v>
      </c>
      <c r="N1110" s="3"/>
    </row>
    <row r="1111" spans="1:14" x14ac:dyDescent="0.25">
      <c r="A1111" s="2">
        <v>1230104</v>
      </c>
      <c r="B1111" s="3">
        <v>64956.25</v>
      </c>
      <c r="C1111" s="3">
        <v>63360</v>
      </c>
      <c r="D1111" s="3">
        <v>69556.25</v>
      </c>
      <c r="E1111" s="3">
        <v>54453.100000000006</v>
      </c>
      <c r="F1111">
        <f t="shared" si="131"/>
        <v>1230104</v>
      </c>
      <c r="G1111" s="3">
        <f t="shared" si="132"/>
        <v>64956.25</v>
      </c>
      <c r="H1111" s="3">
        <f t="shared" si="133"/>
        <v>63360</v>
      </c>
      <c r="I1111" s="3">
        <f t="shared" si="134"/>
        <v>69556.25</v>
      </c>
      <c r="J1111" s="3">
        <f t="shared" si="135"/>
        <v>54453.100000000006</v>
      </c>
      <c r="K1111" s="5">
        <f t="shared" si="136"/>
        <v>252325.6</v>
      </c>
      <c r="L1111" s="5">
        <f t="shared" si="137"/>
        <v>256608.15</v>
      </c>
      <c r="M1111" s="5">
        <f t="shared" si="138"/>
        <v>-4282.5499999999884</v>
      </c>
      <c r="N1111" s="3"/>
    </row>
    <row r="1112" spans="1:14" x14ac:dyDescent="0.25">
      <c r="A1112" s="2">
        <v>1230105</v>
      </c>
      <c r="B1112" s="3">
        <v>63106.25</v>
      </c>
      <c r="C1112" s="3">
        <v>62670</v>
      </c>
      <c r="D1112" s="3">
        <v>70800</v>
      </c>
      <c r="E1112" s="3">
        <v>54921.899999999994</v>
      </c>
      <c r="F1112">
        <f t="shared" si="131"/>
        <v>1230105</v>
      </c>
      <c r="G1112" s="3">
        <f t="shared" si="132"/>
        <v>63106.25</v>
      </c>
      <c r="H1112" s="3">
        <f t="shared" si="133"/>
        <v>62670</v>
      </c>
      <c r="I1112" s="3">
        <f t="shared" si="134"/>
        <v>70800</v>
      </c>
      <c r="J1112" s="3">
        <f t="shared" si="135"/>
        <v>54921.899999999994</v>
      </c>
      <c r="K1112" s="5">
        <f t="shared" si="136"/>
        <v>251498.15</v>
      </c>
      <c r="L1112" s="5">
        <f t="shared" si="137"/>
        <v>252325.6</v>
      </c>
      <c r="M1112" s="5">
        <f t="shared" si="138"/>
        <v>-827.45000000001164</v>
      </c>
      <c r="N1112" s="3"/>
    </row>
    <row r="1113" spans="1:14" x14ac:dyDescent="0.25">
      <c r="A1113" s="2">
        <v>1230106</v>
      </c>
      <c r="B1113" s="3">
        <v>61443.75</v>
      </c>
      <c r="C1113" s="3">
        <v>63320</v>
      </c>
      <c r="D1113" s="3">
        <v>72000</v>
      </c>
      <c r="E1113" s="3">
        <v>55156.25</v>
      </c>
      <c r="F1113">
        <f t="shared" ref="F1113:F1176" si="139">+A1113</f>
        <v>1230106</v>
      </c>
      <c r="G1113" s="3">
        <f t="shared" si="132"/>
        <v>61443.75</v>
      </c>
      <c r="H1113" s="3">
        <f t="shared" si="133"/>
        <v>63320</v>
      </c>
      <c r="I1113" s="3">
        <f t="shared" si="134"/>
        <v>72000</v>
      </c>
      <c r="J1113" s="3">
        <f t="shared" si="135"/>
        <v>55156.25</v>
      </c>
      <c r="K1113" s="5">
        <f t="shared" si="136"/>
        <v>251920</v>
      </c>
      <c r="L1113" s="5">
        <f t="shared" si="137"/>
        <v>251920</v>
      </c>
      <c r="M1113" s="5">
        <f t="shared" si="138"/>
        <v>0</v>
      </c>
      <c r="N1113" s="3"/>
    </row>
    <row r="1114" spans="1:14" x14ac:dyDescent="0.25">
      <c r="A1114" s="2">
        <v>1230108</v>
      </c>
      <c r="B1114" s="3">
        <v>61737.5</v>
      </c>
      <c r="C1114" s="3">
        <v>65920</v>
      </c>
      <c r="D1114" s="3">
        <v>73662.5</v>
      </c>
      <c r="E1114" s="3">
        <v>60546.899999999994</v>
      </c>
      <c r="F1114">
        <f t="shared" si="139"/>
        <v>1230108</v>
      </c>
      <c r="G1114" s="3">
        <f t="shared" ref="G1114:G1177" si="140">+IF(B1114&lt;&gt;0,B1114,B1113)</f>
        <v>61737.5</v>
      </c>
      <c r="H1114" s="3">
        <f t="shared" ref="H1114:H1177" si="141">+IF(C1114&lt;&gt;0,C1114,C1113)</f>
        <v>65920</v>
      </c>
      <c r="I1114" s="3">
        <f t="shared" ref="I1114:I1177" si="142">+IF(D1114&lt;&gt;0,D1114,D1113)</f>
        <v>73662.5</v>
      </c>
      <c r="J1114" s="3">
        <f t="shared" ref="J1114:J1177" si="143">+IF(E1114&lt;&gt;0,E1114,E1113)</f>
        <v>60546.899999999994</v>
      </c>
      <c r="K1114" s="5">
        <f t="shared" ref="K1114:K1177" si="144">+SUM(G1114:J1114)</f>
        <v>261866.9</v>
      </c>
      <c r="L1114" s="5">
        <f t="shared" si="137"/>
        <v>261866.9</v>
      </c>
      <c r="M1114" s="5">
        <f t="shared" si="138"/>
        <v>0</v>
      </c>
      <c r="N1114" s="3"/>
    </row>
    <row r="1115" spans="1:14" x14ac:dyDescent="0.25">
      <c r="A1115" s="2">
        <v>1230109</v>
      </c>
      <c r="B1115" s="3">
        <v>61875</v>
      </c>
      <c r="C1115" s="3">
        <v>66670</v>
      </c>
      <c r="D1115" s="3">
        <v>73637.5</v>
      </c>
      <c r="E1115" s="3">
        <v>60546.899999999994</v>
      </c>
      <c r="F1115">
        <f t="shared" si="139"/>
        <v>1230109</v>
      </c>
      <c r="G1115" s="3">
        <f t="shared" si="140"/>
        <v>61875</v>
      </c>
      <c r="H1115" s="3">
        <f t="shared" si="141"/>
        <v>66670</v>
      </c>
      <c r="I1115" s="3">
        <f t="shared" si="142"/>
        <v>73637.5</v>
      </c>
      <c r="J1115" s="3">
        <f t="shared" si="143"/>
        <v>60546.899999999994</v>
      </c>
      <c r="K1115" s="5">
        <f t="shared" si="144"/>
        <v>262729.40000000002</v>
      </c>
      <c r="L1115" s="5">
        <f t="shared" ref="L1115:L1178" si="145">+IF(K1115&gt;K1114,K1115,K1114)</f>
        <v>262729.40000000002</v>
      </c>
      <c r="M1115" s="5">
        <f t="shared" ref="M1115:M1178" si="146">+K1115-L1115</f>
        <v>0</v>
      </c>
      <c r="N1115" s="3"/>
    </row>
    <row r="1116" spans="1:14" x14ac:dyDescent="0.25">
      <c r="A1116" s="2">
        <v>1230110</v>
      </c>
      <c r="B1116" s="3">
        <v>61350</v>
      </c>
      <c r="C1116" s="3">
        <v>66630</v>
      </c>
      <c r="D1116" s="3">
        <v>73681.25</v>
      </c>
      <c r="E1116" s="3">
        <v>61953.100000000006</v>
      </c>
      <c r="F1116">
        <f t="shared" si="139"/>
        <v>1230110</v>
      </c>
      <c r="G1116" s="3">
        <f t="shared" si="140"/>
        <v>61350</v>
      </c>
      <c r="H1116" s="3">
        <f t="shared" si="141"/>
        <v>66630</v>
      </c>
      <c r="I1116" s="3">
        <f t="shared" si="142"/>
        <v>73681.25</v>
      </c>
      <c r="J1116" s="3">
        <f t="shared" si="143"/>
        <v>61953.100000000006</v>
      </c>
      <c r="K1116" s="5">
        <f t="shared" si="144"/>
        <v>263614.34999999998</v>
      </c>
      <c r="L1116" s="5">
        <f t="shared" si="145"/>
        <v>263614.34999999998</v>
      </c>
      <c r="M1116" s="5">
        <f t="shared" si="146"/>
        <v>0</v>
      </c>
      <c r="N1116" s="3"/>
    </row>
    <row r="1117" spans="1:14" x14ac:dyDescent="0.25">
      <c r="A1117" s="2">
        <v>1230111</v>
      </c>
      <c r="B1117" s="3">
        <v>62231.25</v>
      </c>
      <c r="C1117" s="3">
        <v>66270</v>
      </c>
      <c r="D1117" s="3">
        <v>73387.5</v>
      </c>
      <c r="E1117" s="3">
        <v>60781.25</v>
      </c>
      <c r="F1117">
        <f t="shared" si="139"/>
        <v>1230111</v>
      </c>
      <c r="G1117" s="3">
        <f t="shared" si="140"/>
        <v>62231.25</v>
      </c>
      <c r="H1117" s="3">
        <f t="shared" si="141"/>
        <v>66270</v>
      </c>
      <c r="I1117" s="3">
        <f t="shared" si="142"/>
        <v>73387.5</v>
      </c>
      <c r="J1117" s="3">
        <f t="shared" si="143"/>
        <v>60781.25</v>
      </c>
      <c r="K1117" s="5">
        <f t="shared" si="144"/>
        <v>262670</v>
      </c>
      <c r="L1117" s="5">
        <f t="shared" si="145"/>
        <v>263614.34999999998</v>
      </c>
      <c r="M1117" s="5">
        <f t="shared" si="146"/>
        <v>-944.34999999997672</v>
      </c>
      <c r="N1117" s="3"/>
    </row>
    <row r="1118" spans="1:14" x14ac:dyDescent="0.25">
      <c r="A1118" s="2">
        <v>1230112</v>
      </c>
      <c r="B1118" s="3">
        <v>63400</v>
      </c>
      <c r="C1118" s="3">
        <v>66980</v>
      </c>
      <c r="D1118" s="3">
        <v>73862.5</v>
      </c>
      <c r="E1118" s="3">
        <v>59062.5</v>
      </c>
      <c r="F1118">
        <f t="shared" si="139"/>
        <v>1230112</v>
      </c>
      <c r="G1118" s="3">
        <f t="shared" si="140"/>
        <v>63400</v>
      </c>
      <c r="H1118" s="3">
        <f t="shared" si="141"/>
        <v>66980</v>
      </c>
      <c r="I1118" s="3">
        <f t="shared" si="142"/>
        <v>73862.5</v>
      </c>
      <c r="J1118" s="3">
        <f t="shared" si="143"/>
        <v>59062.5</v>
      </c>
      <c r="K1118" s="5">
        <f t="shared" si="144"/>
        <v>263305</v>
      </c>
      <c r="L1118" s="5">
        <f t="shared" si="145"/>
        <v>263305</v>
      </c>
      <c r="M1118" s="5">
        <f t="shared" si="146"/>
        <v>0</v>
      </c>
      <c r="N1118" s="3"/>
    </row>
    <row r="1119" spans="1:14" x14ac:dyDescent="0.25">
      <c r="A1119" s="2">
        <v>1230113</v>
      </c>
      <c r="B1119" s="3">
        <v>63400</v>
      </c>
      <c r="C1119" s="3">
        <v>66920</v>
      </c>
      <c r="D1119" s="3">
        <v>75681.25</v>
      </c>
      <c r="E1119" s="3">
        <v>52812.5</v>
      </c>
      <c r="F1119">
        <f t="shared" si="139"/>
        <v>1230113</v>
      </c>
      <c r="G1119" s="3">
        <f t="shared" si="140"/>
        <v>63400</v>
      </c>
      <c r="H1119" s="3">
        <f t="shared" si="141"/>
        <v>66920</v>
      </c>
      <c r="I1119" s="3">
        <f t="shared" si="142"/>
        <v>75681.25</v>
      </c>
      <c r="J1119" s="3">
        <f t="shared" si="143"/>
        <v>52812.5</v>
      </c>
      <c r="K1119" s="5">
        <f t="shared" si="144"/>
        <v>258813.75</v>
      </c>
      <c r="L1119" s="5">
        <f t="shared" si="145"/>
        <v>263305</v>
      </c>
      <c r="M1119" s="5">
        <f t="shared" si="146"/>
        <v>-4491.25</v>
      </c>
      <c r="N1119" s="3"/>
    </row>
    <row r="1120" spans="1:14" x14ac:dyDescent="0.25">
      <c r="A1120" s="2">
        <v>1230115</v>
      </c>
      <c r="B1120" s="3">
        <v>63593.75</v>
      </c>
      <c r="C1120" s="3">
        <v>68510</v>
      </c>
      <c r="D1120" s="3">
        <v>75468.75</v>
      </c>
      <c r="E1120" s="3">
        <v>54062.5</v>
      </c>
      <c r="F1120">
        <f t="shared" si="139"/>
        <v>1230115</v>
      </c>
      <c r="G1120" s="3">
        <f t="shared" si="140"/>
        <v>63593.75</v>
      </c>
      <c r="H1120" s="3">
        <f t="shared" si="141"/>
        <v>68510</v>
      </c>
      <c r="I1120" s="3">
        <f t="shared" si="142"/>
        <v>75468.75</v>
      </c>
      <c r="J1120" s="3">
        <f t="shared" si="143"/>
        <v>54062.5</v>
      </c>
      <c r="K1120" s="5">
        <f t="shared" si="144"/>
        <v>261635</v>
      </c>
      <c r="L1120" s="5">
        <f t="shared" si="145"/>
        <v>261635</v>
      </c>
      <c r="M1120" s="5">
        <f t="shared" si="146"/>
        <v>0</v>
      </c>
      <c r="N1120" s="3"/>
    </row>
    <row r="1121" spans="1:14" x14ac:dyDescent="0.25">
      <c r="A1121" s="2">
        <v>1230116</v>
      </c>
      <c r="B1121" s="3">
        <v>63768.75</v>
      </c>
      <c r="C1121" s="3">
        <v>68510</v>
      </c>
      <c r="D1121" s="3">
        <v>75812.5</v>
      </c>
      <c r="E1121" s="3">
        <v>53750</v>
      </c>
      <c r="F1121">
        <f t="shared" si="139"/>
        <v>1230116</v>
      </c>
      <c r="G1121" s="3">
        <f t="shared" si="140"/>
        <v>63768.75</v>
      </c>
      <c r="H1121" s="3">
        <f t="shared" si="141"/>
        <v>68510</v>
      </c>
      <c r="I1121" s="3">
        <f t="shared" si="142"/>
        <v>75812.5</v>
      </c>
      <c r="J1121" s="3">
        <f t="shared" si="143"/>
        <v>53750</v>
      </c>
      <c r="K1121" s="5">
        <f t="shared" si="144"/>
        <v>261841.25</v>
      </c>
      <c r="L1121" s="5">
        <f t="shared" si="145"/>
        <v>261841.25</v>
      </c>
      <c r="M1121" s="5">
        <f t="shared" si="146"/>
        <v>0</v>
      </c>
      <c r="N1121" s="3"/>
    </row>
    <row r="1122" spans="1:14" x14ac:dyDescent="0.25">
      <c r="A1122" s="2">
        <v>1230117</v>
      </c>
      <c r="B1122" s="3">
        <v>63600</v>
      </c>
      <c r="C1122" s="3">
        <v>68510</v>
      </c>
      <c r="D1122" s="3">
        <v>74687.5</v>
      </c>
      <c r="E1122" s="3">
        <v>54609.399999999994</v>
      </c>
      <c r="F1122">
        <f t="shared" si="139"/>
        <v>1230117</v>
      </c>
      <c r="G1122" s="3">
        <f t="shared" si="140"/>
        <v>63600</v>
      </c>
      <c r="H1122" s="3">
        <f t="shared" si="141"/>
        <v>68510</v>
      </c>
      <c r="I1122" s="3">
        <f t="shared" si="142"/>
        <v>74687.5</v>
      </c>
      <c r="J1122" s="3">
        <f t="shared" si="143"/>
        <v>54609.399999999994</v>
      </c>
      <c r="K1122" s="5">
        <f t="shared" si="144"/>
        <v>261406.9</v>
      </c>
      <c r="L1122" s="5">
        <f t="shared" si="145"/>
        <v>261841.25</v>
      </c>
      <c r="M1122" s="5">
        <f t="shared" si="146"/>
        <v>-434.35000000000582</v>
      </c>
      <c r="N1122" s="3"/>
    </row>
    <row r="1123" spans="1:14" x14ac:dyDescent="0.25">
      <c r="A1123" s="2">
        <v>1230118</v>
      </c>
      <c r="B1123" s="3">
        <v>63343.75</v>
      </c>
      <c r="C1123" s="3">
        <v>66450</v>
      </c>
      <c r="D1123" s="3">
        <v>75200</v>
      </c>
      <c r="E1123" s="3">
        <v>54296.899999999994</v>
      </c>
      <c r="F1123">
        <f t="shared" si="139"/>
        <v>1230118</v>
      </c>
      <c r="G1123" s="3">
        <f t="shared" si="140"/>
        <v>63343.75</v>
      </c>
      <c r="H1123" s="3">
        <f t="shared" si="141"/>
        <v>66450</v>
      </c>
      <c r="I1123" s="3">
        <f t="shared" si="142"/>
        <v>75200</v>
      </c>
      <c r="J1123" s="3">
        <f t="shared" si="143"/>
        <v>54296.899999999994</v>
      </c>
      <c r="K1123" s="5">
        <f t="shared" si="144"/>
        <v>259290.65</v>
      </c>
      <c r="L1123" s="5">
        <f t="shared" si="145"/>
        <v>261406.9</v>
      </c>
      <c r="M1123" s="5">
        <f t="shared" si="146"/>
        <v>-2116.25</v>
      </c>
      <c r="N1123" s="3"/>
    </row>
    <row r="1124" spans="1:14" x14ac:dyDescent="0.25">
      <c r="A1124" s="2">
        <v>1230119</v>
      </c>
      <c r="B1124" s="3">
        <v>64918.75</v>
      </c>
      <c r="C1124" s="3">
        <v>68640</v>
      </c>
      <c r="D1124" s="3">
        <v>74343.75</v>
      </c>
      <c r="E1124" s="3">
        <v>60546.899999999994</v>
      </c>
      <c r="F1124">
        <f t="shared" si="139"/>
        <v>1230119</v>
      </c>
      <c r="G1124" s="3">
        <f t="shared" si="140"/>
        <v>64918.75</v>
      </c>
      <c r="H1124" s="3">
        <f t="shared" si="141"/>
        <v>68640</v>
      </c>
      <c r="I1124" s="3">
        <f t="shared" si="142"/>
        <v>74343.75</v>
      </c>
      <c r="J1124" s="3">
        <f t="shared" si="143"/>
        <v>60546.899999999994</v>
      </c>
      <c r="K1124" s="5">
        <f t="shared" si="144"/>
        <v>268449.40000000002</v>
      </c>
      <c r="L1124" s="5">
        <f t="shared" si="145"/>
        <v>268449.40000000002</v>
      </c>
      <c r="M1124" s="5">
        <f t="shared" si="146"/>
        <v>0</v>
      </c>
      <c r="N1124" s="3"/>
    </row>
    <row r="1125" spans="1:14" x14ac:dyDescent="0.25">
      <c r="A1125" s="2">
        <v>1230120</v>
      </c>
      <c r="B1125" s="3">
        <v>65706.25</v>
      </c>
      <c r="C1125" s="3">
        <v>68640</v>
      </c>
      <c r="D1125" s="3">
        <v>74125</v>
      </c>
      <c r="E1125" s="3">
        <v>59531.25</v>
      </c>
      <c r="F1125">
        <f t="shared" si="139"/>
        <v>1230120</v>
      </c>
      <c r="G1125" s="3">
        <f t="shared" si="140"/>
        <v>65706.25</v>
      </c>
      <c r="H1125" s="3">
        <f t="shared" si="141"/>
        <v>68640</v>
      </c>
      <c r="I1125" s="3">
        <f t="shared" si="142"/>
        <v>74125</v>
      </c>
      <c r="J1125" s="3">
        <f t="shared" si="143"/>
        <v>59531.25</v>
      </c>
      <c r="K1125" s="5">
        <f t="shared" si="144"/>
        <v>268002.5</v>
      </c>
      <c r="L1125" s="5">
        <f t="shared" si="145"/>
        <v>268449.40000000002</v>
      </c>
      <c r="M1125" s="5">
        <f t="shared" si="146"/>
        <v>-446.90000000002328</v>
      </c>
      <c r="N1125" s="3"/>
    </row>
    <row r="1126" spans="1:14" x14ac:dyDescent="0.25">
      <c r="A1126" s="2">
        <v>1230122</v>
      </c>
      <c r="B1126" s="3">
        <v>66962.5</v>
      </c>
      <c r="C1126" s="3">
        <v>68640</v>
      </c>
      <c r="D1126" s="3">
        <v>74300</v>
      </c>
      <c r="E1126" s="3">
        <v>61796.899999999994</v>
      </c>
      <c r="F1126">
        <f t="shared" si="139"/>
        <v>1230122</v>
      </c>
      <c r="G1126" s="3">
        <f t="shared" si="140"/>
        <v>66962.5</v>
      </c>
      <c r="H1126" s="3">
        <f t="shared" si="141"/>
        <v>68640</v>
      </c>
      <c r="I1126" s="3">
        <f t="shared" si="142"/>
        <v>74300</v>
      </c>
      <c r="J1126" s="3">
        <f t="shared" si="143"/>
        <v>61796.899999999994</v>
      </c>
      <c r="K1126" s="5">
        <f t="shared" si="144"/>
        <v>271699.40000000002</v>
      </c>
      <c r="L1126" s="5">
        <f t="shared" si="145"/>
        <v>271699.40000000002</v>
      </c>
      <c r="M1126" s="5">
        <f t="shared" si="146"/>
        <v>0</v>
      </c>
      <c r="N1126" s="3"/>
    </row>
    <row r="1127" spans="1:14" x14ac:dyDescent="0.25">
      <c r="A1127" s="2">
        <v>1230123</v>
      </c>
      <c r="B1127" s="3">
        <v>67018.75</v>
      </c>
      <c r="C1127" s="3">
        <v>68640</v>
      </c>
      <c r="D1127" s="3">
        <v>74650</v>
      </c>
      <c r="E1127" s="3">
        <v>61015.600000000006</v>
      </c>
      <c r="F1127">
        <f t="shared" si="139"/>
        <v>1230123</v>
      </c>
      <c r="G1127" s="3">
        <f t="shared" si="140"/>
        <v>67018.75</v>
      </c>
      <c r="H1127" s="3">
        <f t="shared" si="141"/>
        <v>68640</v>
      </c>
      <c r="I1127" s="3">
        <f t="shared" si="142"/>
        <v>74650</v>
      </c>
      <c r="J1127" s="3">
        <f t="shared" si="143"/>
        <v>61015.600000000006</v>
      </c>
      <c r="K1127" s="5">
        <f t="shared" si="144"/>
        <v>271324.34999999998</v>
      </c>
      <c r="L1127" s="5">
        <f t="shared" si="145"/>
        <v>271699.40000000002</v>
      </c>
      <c r="M1127" s="5">
        <f t="shared" si="146"/>
        <v>-375.05000000004657</v>
      </c>
      <c r="N1127" s="3"/>
    </row>
    <row r="1128" spans="1:14" x14ac:dyDescent="0.25">
      <c r="A1128" s="2">
        <v>1230124</v>
      </c>
      <c r="B1128" s="3">
        <v>68300</v>
      </c>
      <c r="C1128" s="3">
        <v>67280</v>
      </c>
      <c r="D1128" s="3">
        <v>74881.25</v>
      </c>
      <c r="E1128" s="3">
        <v>63046.899999999994</v>
      </c>
      <c r="F1128">
        <f t="shared" si="139"/>
        <v>1230124</v>
      </c>
      <c r="G1128" s="3">
        <f t="shared" si="140"/>
        <v>68300</v>
      </c>
      <c r="H1128" s="3">
        <f t="shared" si="141"/>
        <v>67280</v>
      </c>
      <c r="I1128" s="3">
        <f t="shared" si="142"/>
        <v>74881.25</v>
      </c>
      <c r="J1128" s="3">
        <f t="shared" si="143"/>
        <v>63046.899999999994</v>
      </c>
      <c r="K1128" s="5">
        <f t="shared" si="144"/>
        <v>273508.15000000002</v>
      </c>
      <c r="L1128" s="5">
        <f t="shared" si="145"/>
        <v>273508.15000000002</v>
      </c>
      <c r="M1128" s="5">
        <f t="shared" si="146"/>
        <v>0</v>
      </c>
      <c r="N1128" s="3"/>
    </row>
    <row r="1129" spans="1:14" x14ac:dyDescent="0.25">
      <c r="A1129" s="2">
        <v>1230125</v>
      </c>
      <c r="B1129" s="3">
        <v>67456.25</v>
      </c>
      <c r="C1129" s="3">
        <v>68450</v>
      </c>
      <c r="D1129" s="3">
        <v>75118.75</v>
      </c>
      <c r="E1129" s="3">
        <v>59843.75</v>
      </c>
      <c r="F1129">
        <f t="shared" si="139"/>
        <v>1230125</v>
      </c>
      <c r="G1129" s="3">
        <f t="shared" si="140"/>
        <v>67456.25</v>
      </c>
      <c r="H1129" s="3">
        <f t="shared" si="141"/>
        <v>68450</v>
      </c>
      <c r="I1129" s="3">
        <f t="shared" si="142"/>
        <v>75118.75</v>
      </c>
      <c r="J1129" s="3">
        <f t="shared" si="143"/>
        <v>59843.75</v>
      </c>
      <c r="K1129" s="5">
        <f t="shared" si="144"/>
        <v>270868.75</v>
      </c>
      <c r="L1129" s="5">
        <f t="shared" si="145"/>
        <v>273508.15000000002</v>
      </c>
      <c r="M1129" s="5">
        <f t="shared" si="146"/>
        <v>-2639.4000000000233</v>
      </c>
      <c r="N1129" s="3"/>
    </row>
    <row r="1130" spans="1:14" x14ac:dyDescent="0.25">
      <c r="A1130" s="2">
        <v>1230126</v>
      </c>
      <c r="B1130" s="3">
        <v>68287.5</v>
      </c>
      <c r="C1130" s="3">
        <v>66450</v>
      </c>
      <c r="D1130" s="3">
        <v>74743.75</v>
      </c>
      <c r="E1130" s="3">
        <v>57968.75</v>
      </c>
      <c r="F1130">
        <f t="shared" si="139"/>
        <v>1230126</v>
      </c>
      <c r="G1130" s="3">
        <f t="shared" si="140"/>
        <v>68287.5</v>
      </c>
      <c r="H1130" s="3">
        <f t="shared" si="141"/>
        <v>66450</v>
      </c>
      <c r="I1130" s="3">
        <f t="shared" si="142"/>
        <v>74743.75</v>
      </c>
      <c r="J1130" s="3">
        <f t="shared" si="143"/>
        <v>57968.75</v>
      </c>
      <c r="K1130" s="5">
        <f t="shared" si="144"/>
        <v>267450</v>
      </c>
      <c r="L1130" s="5">
        <f t="shared" si="145"/>
        <v>270868.75</v>
      </c>
      <c r="M1130" s="5">
        <f t="shared" si="146"/>
        <v>-3418.75</v>
      </c>
      <c r="N1130" s="3"/>
    </row>
    <row r="1131" spans="1:14" x14ac:dyDescent="0.25">
      <c r="A1131" s="2">
        <v>1230127</v>
      </c>
      <c r="B1131" s="3">
        <v>67331.25</v>
      </c>
      <c r="C1131" s="3">
        <v>68990</v>
      </c>
      <c r="D1131" s="3">
        <v>74225</v>
      </c>
      <c r="E1131" s="3">
        <v>61015.600000000006</v>
      </c>
      <c r="F1131">
        <f t="shared" si="139"/>
        <v>1230127</v>
      </c>
      <c r="G1131" s="3">
        <f t="shared" si="140"/>
        <v>67331.25</v>
      </c>
      <c r="H1131" s="3">
        <f t="shared" si="141"/>
        <v>68990</v>
      </c>
      <c r="I1131" s="3">
        <f t="shared" si="142"/>
        <v>74225</v>
      </c>
      <c r="J1131" s="3">
        <f t="shared" si="143"/>
        <v>61015.600000000006</v>
      </c>
      <c r="K1131" s="5">
        <f t="shared" si="144"/>
        <v>271561.84999999998</v>
      </c>
      <c r="L1131" s="5">
        <f t="shared" si="145"/>
        <v>271561.84999999998</v>
      </c>
      <c r="M1131" s="5">
        <f t="shared" si="146"/>
        <v>0</v>
      </c>
      <c r="N1131" s="3"/>
    </row>
    <row r="1132" spans="1:14" x14ac:dyDescent="0.25">
      <c r="A1132" s="2">
        <v>1230129</v>
      </c>
      <c r="B1132" s="3">
        <v>66775</v>
      </c>
      <c r="C1132" s="3">
        <v>68430</v>
      </c>
      <c r="D1132" s="3">
        <v>73637.5</v>
      </c>
      <c r="E1132" s="3">
        <v>60937.5</v>
      </c>
      <c r="F1132">
        <f t="shared" si="139"/>
        <v>1230129</v>
      </c>
      <c r="G1132" s="3">
        <f t="shared" si="140"/>
        <v>66775</v>
      </c>
      <c r="H1132" s="3">
        <f t="shared" si="141"/>
        <v>68430</v>
      </c>
      <c r="I1132" s="3">
        <f t="shared" si="142"/>
        <v>73637.5</v>
      </c>
      <c r="J1132" s="3">
        <f t="shared" si="143"/>
        <v>60937.5</v>
      </c>
      <c r="K1132" s="5">
        <f t="shared" si="144"/>
        <v>269780</v>
      </c>
      <c r="L1132" s="5">
        <f t="shared" si="145"/>
        <v>271561.84999999998</v>
      </c>
      <c r="M1132" s="5">
        <f t="shared" si="146"/>
        <v>-1781.8499999999767</v>
      </c>
      <c r="N1132" s="3"/>
    </row>
    <row r="1133" spans="1:14" x14ac:dyDescent="0.25">
      <c r="A1133" s="2">
        <v>1230130</v>
      </c>
      <c r="B1133" s="3">
        <v>66575</v>
      </c>
      <c r="C1133" s="3">
        <v>68820</v>
      </c>
      <c r="D1133" s="3">
        <v>73500</v>
      </c>
      <c r="E1133" s="3">
        <v>60468.75</v>
      </c>
      <c r="F1133">
        <f t="shared" si="139"/>
        <v>1230130</v>
      </c>
      <c r="G1133" s="3">
        <f t="shared" si="140"/>
        <v>66575</v>
      </c>
      <c r="H1133" s="3">
        <f t="shared" si="141"/>
        <v>68820</v>
      </c>
      <c r="I1133" s="3">
        <f t="shared" si="142"/>
        <v>73500</v>
      </c>
      <c r="J1133" s="3">
        <f t="shared" si="143"/>
        <v>60468.75</v>
      </c>
      <c r="K1133" s="5">
        <f t="shared" si="144"/>
        <v>269363.75</v>
      </c>
      <c r="L1133" s="5">
        <f t="shared" si="145"/>
        <v>269780</v>
      </c>
      <c r="M1133" s="5">
        <f t="shared" si="146"/>
        <v>-416.25</v>
      </c>
      <c r="N1133" s="3"/>
    </row>
    <row r="1134" spans="1:14" x14ac:dyDescent="0.25">
      <c r="A1134" s="2">
        <v>1230131</v>
      </c>
      <c r="B1134" s="3">
        <v>66600</v>
      </c>
      <c r="C1134" s="3">
        <v>68560</v>
      </c>
      <c r="D1134" s="3">
        <v>73000</v>
      </c>
      <c r="E1134" s="3">
        <v>62343.75</v>
      </c>
      <c r="F1134">
        <f t="shared" si="139"/>
        <v>1230131</v>
      </c>
      <c r="G1134" s="3">
        <f t="shared" si="140"/>
        <v>66600</v>
      </c>
      <c r="H1134" s="3">
        <f t="shared" si="141"/>
        <v>68560</v>
      </c>
      <c r="I1134" s="3">
        <f t="shared" si="142"/>
        <v>73000</v>
      </c>
      <c r="J1134" s="3">
        <f t="shared" si="143"/>
        <v>62343.75</v>
      </c>
      <c r="K1134" s="5">
        <f t="shared" si="144"/>
        <v>270503.75</v>
      </c>
      <c r="L1134" s="5">
        <f t="shared" si="145"/>
        <v>270503.75</v>
      </c>
      <c r="M1134" s="5">
        <f t="shared" si="146"/>
        <v>0</v>
      </c>
      <c r="N1134" s="3"/>
    </row>
    <row r="1135" spans="1:14" x14ac:dyDescent="0.25">
      <c r="A1135" s="2">
        <v>1230201</v>
      </c>
      <c r="B1135" s="3">
        <v>66812.5</v>
      </c>
      <c r="C1135" s="3">
        <v>66460</v>
      </c>
      <c r="D1135" s="3">
        <v>72731.25</v>
      </c>
      <c r="E1135" s="3">
        <v>61171.899999999994</v>
      </c>
      <c r="F1135">
        <f t="shared" si="139"/>
        <v>1230201</v>
      </c>
      <c r="G1135" s="3">
        <f t="shared" si="140"/>
        <v>66812.5</v>
      </c>
      <c r="H1135" s="3">
        <f t="shared" si="141"/>
        <v>66460</v>
      </c>
      <c r="I1135" s="3">
        <f t="shared" si="142"/>
        <v>72731.25</v>
      </c>
      <c r="J1135" s="3">
        <f t="shared" si="143"/>
        <v>61171.899999999994</v>
      </c>
      <c r="K1135" s="5">
        <f t="shared" si="144"/>
        <v>267175.65000000002</v>
      </c>
      <c r="L1135" s="5">
        <f t="shared" si="145"/>
        <v>270503.75</v>
      </c>
      <c r="M1135" s="5">
        <f t="shared" si="146"/>
        <v>-3328.0999999999767</v>
      </c>
      <c r="N1135" s="3"/>
    </row>
    <row r="1136" spans="1:14" x14ac:dyDescent="0.25">
      <c r="A1136" s="2">
        <v>1230202</v>
      </c>
      <c r="B1136" s="3">
        <v>67506.25</v>
      </c>
      <c r="C1136" s="3">
        <v>68800</v>
      </c>
      <c r="D1136" s="3">
        <v>73968.75</v>
      </c>
      <c r="E1136" s="3">
        <v>64921.899999999994</v>
      </c>
      <c r="F1136">
        <f t="shared" si="139"/>
        <v>1230202</v>
      </c>
      <c r="G1136" s="3">
        <f t="shared" si="140"/>
        <v>67506.25</v>
      </c>
      <c r="H1136" s="3">
        <f t="shared" si="141"/>
        <v>68800</v>
      </c>
      <c r="I1136" s="3">
        <f t="shared" si="142"/>
        <v>73968.75</v>
      </c>
      <c r="J1136" s="3">
        <f t="shared" si="143"/>
        <v>64921.899999999994</v>
      </c>
      <c r="K1136" s="5">
        <f t="shared" si="144"/>
        <v>275196.90000000002</v>
      </c>
      <c r="L1136" s="5">
        <f t="shared" si="145"/>
        <v>275196.90000000002</v>
      </c>
      <c r="M1136" s="5">
        <f t="shared" si="146"/>
        <v>0</v>
      </c>
      <c r="N1136" s="3"/>
    </row>
    <row r="1137" spans="1:14" x14ac:dyDescent="0.25">
      <c r="A1137" s="2">
        <v>1230203</v>
      </c>
      <c r="B1137" s="3">
        <v>68700</v>
      </c>
      <c r="C1137" s="3">
        <v>72490</v>
      </c>
      <c r="D1137" s="3">
        <v>73943.75</v>
      </c>
      <c r="E1137" s="3">
        <v>66171.899999999994</v>
      </c>
      <c r="F1137">
        <f t="shared" si="139"/>
        <v>1230203</v>
      </c>
      <c r="G1137" s="3">
        <f t="shared" si="140"/>
        <v>68700</v>
      </c>
      <c r="H1137" s="3">
        <f t="shared" si="141"/>
        <v>72490</v>
      </c>
      <c r="I1137" s="3">
        <f t="shared" si="142"/>
        <v>73943.75</v>
      </c>
      <c r="J1137" s="3">
        <f t="shared" si="143"/>
        <v>66171.899999999994</v>
      </c>
      <c r="K1137" s="5">
        <f t="shared" si="144"/>
        <v>281305.65000000002</v>
      </c>
      <c r="L1137" s="5">
        <f t="shared" si="145"/>
        <v>281305.65000000002</v>
      </c>
      <c r="M1137" s="5">
        <f t="shared" si="146"/>
        <v>0</v>
      </c>
      <c r="N1137" s="3"/>
    </row>
    <row r="1138" spans="1:14" x14ac:dyDescent="0.25">
      <c r="A1138" s="2">
        <v>1230205</v>
      </c>
      <c r="B1138" s="3">
        <v>67843.75</v>
      </c>
      <c r="C1138" s="3">
        <v>75900</v>
      </c>
      <c r="D1138" s="3">
        <v>76337.5</v>
      </c>
      <c r="E1138" s="3">
        <v>71328.100000000006</v>
      </c>
      <c r="F1138">
        <f t="shared" si="139"/>
        <v>1230205</v>
      </c>
      <c r="G1138" s="3">
        <f t="shared" si="140"/>
        <v>67843.75</v>
      </c>
      <c r="H1138" s="3">
        <f t="shared" si="141"/>
        <v>75900</v>
      </c>
      <c r="I1138" s="3">
        <f t="shared" si="142"/>
        <v>76337.5</v>
      </c>
      <c r="J1138" s="3">
        <f t="shared" si="143"/>
        <v>71328.100000000006</v>
      </c>
      <c r="K1138" s="5">
        <f t="shared" si="144"/>
        <v>291409.34999999998</v>
      </c>
      <c r="L1138" s="5">
        <f t="shared" si="145"/>
        <v>291409.34999999998</v>
      </c>
      <c r="M1138" s="5">
        <f t="shared" si="146"/>
        <v>0</v>
      </c>
      <c r="N1138" s="3"/>
    </row>
    <row r="1139" spans="1:14" x14ac:dyDescent="0.25">
      <c r="A1139" s="2">
        <v>1230206</v>
      </c>
      <c r="B1139" s="3">
        <v>67668.75</v>
      </c>
      <c r="C1139" s="3">
        <v>75900</v>
      </c>
      <c r="D1139" s="3">
        <v>76100</v>
      </c>
      <c r="E1139" s="3">
        <v>71093.75</v>
      </c>
      <c r="F1139">
        <f t="shared" si="139"/>
        <v>1230206</v>
      </c>
      <c r="G1139" s="3">
        <f t="shared" si="140"/>
        <v>67668.75</v>
      </c>
      <c r="H1139" s="3">
        <f t="shared" si="141"/>
        <v>75900</v>
      </c>
      <c r="I1139" s="3">
        <f t="shared" si="142"/>
        <v>76100</v>
      </c>
      <c r="J1139" s="3">
        <f t="shared" si="143"/>
        <v>71093.75</v>
      </c>
      <c r="K1139" s="5">
        <f t="shared" si="144"/>
        <v>290762.5</v>
      </c>
      <c r="L1139" s="5">
        <f t="shared" si="145"/>
        <v>291409.34999999998</v>
      </c>
      <c r="M1139" s="5">
        <f t="shared" si="146"/>
        <v>-646.84999999997672</v>
      </c>
      <c r="N1139" s="3"/>
    </row>
    <row r="1140" spans="1:14" x14ac:dyDescent="0.25">
      <c r="A1140" s="2">
        <v>1230207</v>
      </c>
      <c r="B1140" s="3">
        <v>66093.75</v>
      </c>
      <c r="C1140" s="3">
        <v>75820</v>
      </c>
      <c r="D1140" s="3">
        <v>76493.75</v>
      </c>
      <c r="E1140" s="3">
        <v>74375</v>
      </c>
      <c r="F1140">
        <f t="shared" si="139"/>
        <v>1230207</v>
      </c>
      <c r="G1140" s="3">
        <f t="shared" si="140"/>
        <v>66093.75</v>
      </c>
      <c r="H1140" s="3">
        <f t="shared" si="141"/>
        <v>75820</v>
      </c>
      <c r="I1140" s="3">
        <f t="shared" si="142"/>
        <v>76493.75</v>
      </c>
      <c r="J1140" s="3">
        <f t="shared" si="143"/>
        <v>74375</v>
      </c>
      <c r="K1140" s="5">
        <f t="shared" si="144"/>
        <v>292782.5</v>
      </c>
      <c r="L1140" s="5">
        <f t="shared" si="145"/>
        <v>292782.5</v>
      </c>
      <c r="M1140" s="5">
        <f t="shared" si="146"/>
        <v>0</v>
      </c>
      <c r="N1140" s="3"/>
    </row>
    <row r="1141" spans="1:14" x14ac:dyDescent="0.25">
      <c r="A1141" s="2">
        <v>1230208</v>
      </c>
      <c r="B1141" s="3">
        <v>64568.75</v>
      </c>
      <c r="C1141" s="3">
        <v>74230</v>
      </c>
      <c r="D1141" s="3">
        <v>76525</v>
      </c>
      <c r="E1141" s="3">
        <v>75000</v>
      </c>
      <c r="F1141">
        <f t="shared" si="139"/>
        <v>1230208</v>
      </c>
      <c r="G1141" s="3">
        <f t="shared" si="140"/>
        <v>64568.75</v>
      </c>
      <c r="H1141" s="3">
        <f t="shared" si="141"/>
        <v>74230</v>
      </c>
      <c r="I1141" s="3">
        <f t="shared" si="142"/>
        <v>76525</v>
      </c>
      <c r="J1141" s="3">
        <f t="shared" si="143"/>
        <v>75000</v>
      </c>
      <c r="K1141" s="5">
        <f t="shared" si="144"/>
        <v>290323.75</v>
      </c>
      <c r="L1141" s="5">
        <f t="shared" si="145"/>
        <v>292782.5</v>
      </c>
      <c r="M1141" s="5">
        <f t="shared" si="146"/>
        <v>-2458.75</v>
      </c>
      <c r="N1141" s="3"/>
    </row>
    <row r="1142" spans="1:14" x14ac:dyDescent="0.25">
      <c r="A1142" s="2">
        <v>1230209</v>
      </c>
      <c r="B1142" s="3">
        <v>64031.25</v>
      </c>
      <c r="C1142" s="3">
        <v>73380</v>
      </c>
      <c r="D1142" s="3">
        <v>76893.75</v>
      </c>
      <c r="E1142" s="3">
        <v>75156.25</v>
      </c>
      <c r="F1142">
        <f t="shared" si="139"/>
        <v>1230209</v>
      </c>
      <c r="G1142" s="3">
        <f t="shared" si="140"/>
        <v>64031.25</v>
      </c>
      <c r="H1142" s="3">
        <f t="shared" si="141"/>
        <v>73380</v>
      </c>
      <c r="I1142" s="3">
        <f t="shared" si="142"/>
        <v>76893.75</v>
      </c>
      <c r="J1142" s="3">
        <f t="shared" si="143"/>
        <v>75156.25</v>
      </c>
      <c r="K1142" s="5">
        <f t="shared" si="144"/>
        <v>289461.25</v>
      </c>
      <c r="L1142" s="5">
        <f t="shared" si="145"/>
        <v>290323.75</v>
      </c>
      <c r="M1142" s="5">
        <f t="shared" si="146"/>
        <v>-862.5</v>
      </c>
      <c r="N1142" s="3"/>
    </row>
    <row r="1143" spans="1:14" x14ac:dyDescent="0.25">
      <c r="A1143" s="2">
        <v>1230210</v>
      </c>
      <c r="B1143" s="3">
        <v>65356.25</v>
      </c>
      <c r="C1143" s="3">
        <v>69570</v>
      </c>
      <c r="D1143" s="3">
        <v>76418.75</v>
      </c>
      <c r="E1143" s="3">
        <v>70625</v>
      </c>
      <c r="F1143">
        <f t="shared" si="139"/>
        <v>1230210</v>
      </c>
      <c r="G1143" s="3">
        <f t="shared" si="140"/>
        <v>65356.25</v>
      </c>
      <c r="H1143" s="3">
        <f t="shared" si="141"/>
        <v>69570</v>
      </c>
      <c r="I1143" s="3">
        <f t="shared" si="142"/>
        <v>76418.75</v>
      </c>
      <c r="J1143" s="3">
        <f t="shared" si="143"/>
        <v>70625</v>
      </c>
      <c r="K1143" s="5">
        <f t="shared" si="144"/>
        <v>281970</v>
      </c>
      <c r="L1143" s="5">
        <f t="shared" si="145"/>
        <v>289461.25</v>
      </c>
      <c r="M1143" s="5">
        <f t="shared" si="146"/>
        <v>-7491.25</v>
      </c>
      <c r="N1143" s="3"/>
    </row>
    <row r="1144" spans="1:14" x14ac:dyDescent="0.25">
      <c r="A1144" s="2">
        <v>1230212</v>
      </c>
      <c r="B1144" s="3">
        <v>64868.75</v>
      </c>
      <c r="C1144" s="3">
        <v>70510</v>
      </c>
      <c r="D1144" s="3">
        <v>76443.75</v>
      </c>
      <c r="E1144" s="3">
        <v>69218.75</v>
      </c>
      <c r="F1144">
        <f t="shared" si="139"/>
        <v>1230212</v>
      </c>
      <c r="G1144" s="3">
        <f t="shared" si="140"/>
        <v>64868.75</v>
      </c>
      <c r="H1144" s="3">
        <f t="shared" si="141"/>
        <v>70510</v>
      </c>
      <c r="I1144" s="3">
        <f t="shared" si="142"/>
        <v>76443.75</v>
      </c>
      <c r="J1144" s="3">
        <f t="shared" si="143"/>
        <v>69218.75</v>
      </c>
      <c r="K1144" s="5">
        <f t="shared" si="144"/>
        <v>281041.25</v>
      </c>
      <c r="L1144" s="5">
        <f t="shared" si="145"/>
        <v>281970</v>
      </c>
      <c r="M1144" s="5">
        <f t="shared" si="146"/>
        <v>-928.75</v>
      </c>
      <c r="N1144" s="3"/>
    </row>
    <row r="1145" spans="1:14" x14ac:dyDescent="0.25">
      <c r="A1145" s="2">
        <v>1230213</v>
      </c>
      <c r="B1145" s="3">
        <v>64806.25</v>
      </c>
      <c r="C1145" s="3">
        <v>70510</v>
      </c>
      <c r="D1145" s="3">
        <v>76893.75</v>
      </c>
      <c r="E1145" s="3">
        <v>69218.75</v>
      </c>
      <c r="F1145">
        <f t="shared" si="139"/>
        <v>1230213</v>
      </c>
      <c r="G1145" s="3">
        <f t="shared" si="140"/>
        <v>64806.25</v>
      </c>
      <c r="H1145" s="3">
        <f t="shared" si="141"/>
        <v>70510</v>
      </c>
      <c r="I1145" s="3">
        <f t="shared" si="142"/>
        <v>76893.75</v>
      </c>
      <c r="J1145" s="3">
        <f t="shared" si="143"/>
        <v>69218.75</v>
      </c>
      <c r="K1145" s="5">
        <f t="shared" si="144"/>
        <v>281428.75</v>
      </c>
      <c r="L1145" s="5">
        <f t="shared" si="145"/>
        <v>281428.75</v>
      </c>
      <c r="M1145" s="5">
        <f t="shared" si="146"/>
        <v>0</v>
      </c>
      <c r="N1145" s="3"/>
    </row>
    <row r="1146" spans="1:14" x14ac:dyDescent="0.25">
      <c r="A1146" s="2">
        <v>1230214</v>
      </c>
      <c r="B1146" s="3">
        <v>66218.75</v>
      </c>
      <c r="C1146" s="3">
        <v>70450</v>
      </c>
      <c r="D1146" s="3">
        <v>77025</v>
      </c>
      <c r="E1146" s="3">
        <v>69921.899999999994</v>
      </c>
      <c r="F1146">
        <f t="shared" si="139"/>
        <v>1230214</v>
      </c>
      <c r="G1146" s="3">
        <f t="shared" si="140"/>
        <v>66218.75</v>
      </c>
      <c r="H1146" s="3">
        <f t="shared" si="141"/>
        <v>70450</v>
      </c>
      <c r="I1146" s="3">
        <f t="shared" si="142"/>
        <v>77025</v>
      </c>
      <c r="J1146" s="3">
        <f t="shared" si="143"/>
        <v>69921.899999999994</v>
      </c>
      <c r="K1146" s="5">
        <f t="shared" si="144"/>
        <v>283615.65000000002</v>
      </c>
      <c r="L1146" s="5">
        <f t="shared" si="145"/>
        <v>283615.65000000002</v>
      </c>
      <c r="M1146" s="5">
        <f t="shared" si="146"/>
        <v>0</v>
      </c>
      <c r="N1146" s="3"/>
    </row>
    <row r="1147" spans="1:14" x14ac:dyDescent="0.25">
      <c r="A1147" s="2">
        <v>1230215</v>
      </c>
      <c r="B1147" s="3">
        <v>65156.25</v>
      </c>
      <c r="C1147" s="3">
        <v>69460</v>
      </c>
      <c r="D1147" s="3">
        <v>77231.25</v>
      </c>
      <c r="E1147" s="3">
        <v>71250</v>
      </c>
      <c r="F1147">
        <f t="shared" si="139"/>
        <v>1230215</v>
      </c>
      <c r="G1147" s="3">
        <f t="shared" si="140"/>
        <v>65156.25</v>
      </c>
      <c r="H1147" s="3">
        <f t="shared" si="141"/>
        <v>69460</v>
      </c>
      <c r="I1147" s="3">
        <f t="shared" si="142"/>
        <v>77231.25</v>
      </c>
      <c r="J1147" s="3">
        <f t="shared" si="143"/>
        <v>71250</v>
      </c>
      <c r="K1147" s="5">
        <f t="shared" si="144"/>
        <v>283097.5</v>
      </c>
      <c r="L1147" s="5">
        <f t="shared" si="145"/>
        <v>283615.65000000002</v>
      </c>
      <c r="M1147" s="5">
        <f t="shared" si="146"/>
        <v>-518.15000000002328</v>
      </c>
      <c r="N1147" s="3"/>
    </row>
    <row r="1148" spans="1:14" x14ac:dyDescent="0.25">
      <c r="A1148" s="2">
        <v>1230216</v>
      </c>
      <c r="B1148" s="3">
        <v>65362.5</v>
      </c>
      <c r="C1148" s="3">
        <v>70890</v>
      </c>
      <c r="D1148" s="3">
        <v>77843.75</v>
      </c>
      <c r="E1148" s="3">
        <v>72343.75</v>
      </c>
      <c r="F1148">
        <f t="shared" si="139"/>
        <v>1230216</v>
      </c>
      <c r="G1148" s="3">
        <f t="shared" si="140"/>
        <v>65362.5</v>
      </c>
      <c r="H1148" s="3">
        <f t="shared" si="141"/>
        <v>70890</v>
      </c>
      <c r="I1148" s="3">
        <f t="shared" si="142"/>
        <v>77843.75</v>
      </c>
      <c r="J1148" s="3">
        <f t="shared" si="143"/>
        <v>72343.75</v>
      </c>
      <c r="K1148" s="5">
        <f t="shared" si="144"/>
        <v>286440</v>
      </c>
      <c r="L1148" s="5">
        <f t="shared" si="145"/>
        <v>286440</v>
      </c>
      <c r="M1148" s="5">
        <f t="shared" si="146"/>
        <v>0</v>
      </c>
      <c r="N1148" s="3"/>
    </row>
    <row r="1149" spans="1:14" x14ac:dyDescent="0.25">
      <c r="A1149" s="2">
        <v>1230217</v>
      </c>
      <c r="B1149" s="3">
        <v>64706.25</v>
      </c>
      <c r="C1149" s="3">
        <v>71650</v>
      </c>
      <c r="D1149" s="3">
        <v>78431.25</v>
      </c>
      <c r="E1149" s="3">
        <v>75781.25</v>
      </c>
      <c r="F1149">
        <f t="shared" si="139"/>
        <v>1230217</v>
      </c>
      <c r="G1149" s="3">
        <f t="shared" si="140"/>
        <v>64706.25</v>
      </c>
      <c r="H1149" s="3">
        <f t="shared" si="141"/>
        <v>71650</v>
      </c>
      <c r="I1149" s="3">
        <f t="shared" si="142"/>
        <v>78431.25</v>
      </c>
      <c r="J1149" s="3">
        <f t="shared" si="143"/>
        <v>75781.25</v>
      </c>
      <c r="K1149" s="5">
        <f t="shared" si="144"/>
        <v>290568.75</v>
      </c>
      <c r="L1149" s="5">
        <f t="shared" si="145"/>
        <v>290568.75</v>
      </c>
      <c r="M1149" s="5">
        <f t="shared" si="146"/>
        <v>0</v>
      </c>
      <c r="N1149" s="3"/>
    </row>
    <row r="1150" spans="1:14" x14ac:dyDescent="0.25">
      <c r="A1150" s="2">
        <v>1230219</v>
      </c>
      <c r="B1150" s="3">
        <v>64156.25</v>
      </c>
      <c r="C1150" s="3">
        <v>72260</v>
      </c>
      <c r="D1150" s="3">
        <v>78675</v>
      </c>
      <c r="E1150" s="3">
        <v>75703.100000000006</v>
      </c>
      <c r="F1150">
        <f t="shared" si="139"/>
        <v>1230219</v>
      </c>
      <c r="G1150" s="3">
        <f t="shared" si="140"/>
        <v>64156.25</v>
      </c>
      <c r="H1150" s="3">
        <f t="shared" si="141"/>
        <v>72260</v>
      </c>
      <c r="I1150" s="3">
        <f t="shared" si="142"/>
        <v>78675</v>
      </c>
      <c r="J1150" s="3">
        <f t="shared" si="143"/>
        <v>75703.100000000006</v>
      </c>
      <c r="K1150" s="5">
        <f t="shared" si="144"/>
        <v>290794.34999999998</v>
      </c>
      <c r="L1150" s="5">
        <f t="shared" si="145"/>
        <v>290794.34999999998</v>
      </c>
      <c r="M1150" s="5">
        <f t="shared" si="146"/>
        <v>0</v>
      </c>
      <c r="N1150" s="3"/>
    </row>
    <row r="1151" spans="1:14" x14ac:dyDescent="0.25">
      <c r="A1151" s="2">
        <v>1230220</v>
      </c>
      <c r="B1151" s="3">
        <v>63937.5</v>
      </c>
      <c r="C1151" s="3">
        <v>72650</v>
      </c>
      <c r="D1151" s="3">
        <v>78831.25</v>
      </c>
      <c r="E1151" s="3">
        <v>75390.600000000006</v>
      </c>
      <c r="F1151">
        <f t="shared" si="139"/>
        <v>1230220</v>
      </c>
      <c r="G1151" s="3">
        <f t="shared" si="140"/>
        <v>63937.5</v>
      </c>
      <c r="H1151" s="3">
        <f t="shared" si="141"/>
        <v>72650</v>
      </c>
      <c r="I1151" s="3">
        <f t="shared" si="142"/>
        <v>78831.25</v>
      </c>
      <c r="J1151" s="3">
        <f t="shared" si="143"/>
        <v>75390.600000000006</v>
      </c>
      <c r="K1151" s="5">
        <f t="shared" si="144"/>
        <v>290809.34999999998</v>
      </c>
      <c r="L1151" s="5">
        <f t="shared" si="145"/>
        <v>290809.34999999998</v>
      </c>
      <c r="M1151" s="5">
        <f t="shared" si="146"/>
        <v>0</v>
      </c>
      <c r="N1151" s="3"/>
    </row>
    <row r="1152" spans="1:14" x14ac:dyDescent="0.25">
      <c r="A1152" s="2">
        <v>1230221</v>
      </c>
      <c r="B1152" s="3">
        <v>64312.5</v>
      </c>
      <c r="C1152" s="3">
        <v>73040</v>
      </c>
      <c r="D1152" s="3">
        <v>78618.75</v>
      </c>
      <c r="E1152" s="3">
        <v>74765.600000000006</v>
      </c>
      <c r="F1152">
        <f t="shared" si="139"/>
        <v>1230221</v>
      </c>
      <c r="G1152" s="3">
        <f t="shared" si="140"/>
        <v>64312.5</v>
      </c>
      <c r="H1152" s="3">
        <f t="shared" si="141"/>
        <v>73040</v>
      </c>
      <c r="I1152" s="3">
        <f t="shared" si="142"/>
        <v>78618.75</v>
      </c>
      <c r="J1152" s="3">
        <f t="shared" si="143"/>
        <v>74765.600000000006</v>
      </c>
      <c r="K1152" s="5">
        <f t="shared" si="144"/>
        <v>290736.84999999998</v>
      </c>
      <c r="L1152" s="5">
        <f t="shared" si="145"/>
        <v>290809.34999999998</v>
      </c>
      <c r="M1152" s="5">
        <f t="shared" si="146"/>
        <v>-72.5</v>
      </c>
      <c r="N1152" s="3"/>
    </row>
    <row r="1153" spans="1:14" x14ac:dyDescent="0.25">
      <c r="A1153" s="2">
        <v>1230222</v>
      </c>
      <c r="B1153" s="3">
        <v>65806.25</v>
      </c>
      <c r="C1153" s="3">
        <v>72530</v>
      </c>
      <c r="D1153" s="3">
        <v>78975</v>
      </c>
      <c r="E1153" s="3">
        <v>78125</v>
      </c>
      <c r="F1153">
        <f t="shared" si="139"/>
        <v>1230222</v>
      </c>
      <c r="G1153" s="3">
        <f t="shared" si="140"/>
        <v>65806.25</v>
      </c>
      <c r="H1153" s="3">
        <f t="shared" si="141"/>
        <v>72530</v>
      </c>
      <c r="I1153" s="3">
        <f t="shared" si="142"/>
        <v>78975</v>
      </c>
      <c r="J1153" s="3">
        <f t="shared" si="143"/>
        <v>78125</v>
      </c>
      <c r="K1153" s="5">
        <f t="shared" si="144"/>
        <v>295436.25</v>
      </c>
      <c r="L1153" s="5">
        <f t="shared" si="145"/>
        <v>295436.25</v>
      </c>
      <c r="M1153" s="5">
        <f t="shared" si="146"/>
        <v>0</v>
      </c>
      <c r="N1153" s="3"/>
    </row>
    <row r="1154" spans="1:14" x14ac:dyDescent="0.25">
      <c r="A1154" s="2">
        <v>1230223</v>
      </c>
      <c r="B1154" s="3">
        <v>64031.25</v>
      </c>
      <c r="C1154" s="3">
        <v>70810</v>
      </c>
      <c r="D1154" s="3">
        <v>78693.75</v>
      </c>
      <c r="E1154" s="3">
        <v>77109.399999999994</v>
      </c>
      <c r="F1154">
        <f t="shared" si="139"/>
        <v>1230223</v>
      </c>
      <c r="G1154" s="3">
        <f t="shared" si="140"/>
        <v>64031.25</v>
      </c>
      <c r="H1154" s="3">
        <f t="shared" si="141"/>
        <v>70810</v>
      </c>
      <c r="I1154" s="3">
        <f t="shared" si="142"/>
        <v>78693.75</v>
      </c>
      <c r="J1154" s="3">
        <f t="shared" si="143"/>
        <v>77109.399999999994</v>
      </c>
      <c r="K1154" s="5">
        <f t="shared" si="144"/>
        <v>290644.40000000002</v>
      </c>
      <c r="L1154" s="5">
        <f t="shared" si="145"/>
        <v>295436.25</v>
      </c>
      <c r="M1154" s="5">
        <f t="shared" si="146"/>
        <v>-4791.8499999999767</v>
      </c>
      <c r="N1154" s="3"/>
    </row>
    <row r="1155" spans="1:14" x14ac:dyDescent="0.25">
      <c r="A1155" s="2">
        <v>1230224</v>
      </c>
      <c r="B1155" s="3">
        <v>62800</v>
      </c>
      <c r="C1155" s="3">
        <v>70560</v>
      </c>
      <c r="D1155" s="3">
        <v>78543.75</v>
      </c>
      <c r="E1155" s="3">
        <v>76015.600000000006</v>
      </c>
      <c r="F1155">
        <f t="shared" si="139"/>
        <v>1230224</v>
      </c>
      <c r="G1155" s="3">
        <f t="shared" si="140"/>
        <v>62800</v>
      </c>
      <c r="H1155" s="3">
        <f t="shared" si="141"/>
        <v>70560</v>
      </c>
      <c r="I1155" s="3">
        <f t="shared" si="142"/>
        <v>78543.75</v>
      </c>
      <c r="J1155" s="3">
        <f t="shared" si="143"/>
        <v>76015.600000000006</v>
      </c>
      <c r="K1155" s="5">
        <f t="shared" si="144"/>
        <v>287919.34999999998</v>
      </c>
      <c r="L1155" s="5">
        <f t="shared" si="145"/>
        <v>290644.40000000002</v>
      </c>
      <c r="M1155" s="5">
        <f t="shared" si="146"/>
        <v>-2725.0500000000466</v>
      </c>
      <c r="N1155" s="3"/>
    </row>
    <row r="1156" spans="1:14" x14ac:dyDescent="0.25">
      <c r="A1156" s="2">
        <v>1230226</v>
      </c>
      <c r="B1156" s="3">
        <v>63925</v>
      </c>
      <c r="C1156" s="3">
        <v>71750</v>
      </c>
      <c r="D1156" s="3">
        <v>78637.5</v>
      </c>
      <c r="E1156" s="3">
        <v>75781.25</v>
      </c>
      <c r="F1156">
        <f t="shared" si="139"/>
        <v>1230226</v>
      </c>
      <c r="G1156" s="3">
        <f t="shared" si="140"/>
        <v>63925</v>
      </c>
      <c r="H1156" s="3">
        <f t="shared" si="141"/>
        <v>71750</v>
      </c>
      <c r="I1156" s="3">
        <f t="shared" si="142"/>
        <v>78637.5</v>
      </c>
      <c r="J1156" s="3">
        <f t="shared" si="143"/>
        <v>75781.25</v>
      </c>
      <c r="K1156" s="5">
        <f t="shared" si="144"/>
        <v>290093.75</v>
      </c>
      <c r="L1156" s="5">
        <f t="shared" si="145"/>
        <v>290093.75</v>
      </c>
      <c r="M1156" s="5">
        <f t="shared" si="146"/>
        <v>0</v>
      </c>
      <c r="N1156" s="3"/>
    </row>
    <row r="1157" spans="1:14" x14ac:dyDescent="0.25">
      <c r="A1157" s="2">
        <v>1230227</v>
      </c>
      <c r="B1157" s="3">
        <v>63925</v>
      </c>
      <c r="C1157" s="3">
        <v>72010</v>
      </c>
      <c r="D1157" s="3">
        <v>78581.25</v>
      </c>
      <c r="E1157" s="3">
        <v>76171.899999999994</v>
      </c>
      <c r="F1157">
        <f t="shared" si="139"/>
        <v>1230227</v>
      </c>
      <c r="G1157" s="3">
        <f t="shared" si="140"/>
        <v>63925</v>
      </c>
      <c r="H1157" s="3">
        <f t="shared" si="141"/>
        <v>72010</v>
      </c>
      <c r="I1157" s="3">
        <f t="shared" si="142"/>
        <v>78581.25</v>
      </c>
      <c r="J1157" s="3">
        <f t="shared" si="143"/>
        <v>76171.899999999994</v>
      </c>
      <c r="K1157" s="5">
        <f t="shared" si="144"/>
        <v>290688.15000000002</v>
      </c>
      <c r="L1157" s="5">
        <f t="shared" si="145"/>
        <v>290688.15000000002</v>
      </c>
      <c r="M1157" s="5">
        <f t="shared" si="146"/>
        <v>0</v>
      </c>
      <c r="N1157" s="3"/>
    </row>
    <row r="1158" spans="1:14" x14ac:dyDescent="0.25">
      <c r="A1158" s="2">
        <v>1230228</v>
      </c>
      <c r="B1158" s="3">
        <v>63237.5</v>
      </c>
      <c r="C1158" s="3">
        <v>71810</v>
      </c>
      <c r="D1158" s="3">
        <v>78125</v>
      </c>
      <c r="E1158" s="3">
        <v>75781.25</v>
      </c>
      <c r="F1158">
        <f t="shared" si="139"/>
        <v>1230228</v>
      </c>
      <c r="G1158" s="3">
        <f t="shared" si="140"/>
        <v>63237.5</v>
      </c>
      <c r="H1158" s="3">
        <f t="shared" si="141"/>
        <v>71810</v>
      </c>
      <c r="I1158" s="3">
        <f t="shared" si="142"/>
        <v>78125</v>
      </c>
      <c r="J1158" s="3">
        <f t="shared" si="143"/>
        <v>75781.25</v>
      </c>
      <c r="K1158" s="5">
        <f t="shared" si="144"/>
        <v>288953.75</v>
      </c>
      <c r="L1158" s="5">
        <f t="shared" si="145"/>
        <v>290688.15000000002</v>
      </c>
      <c r="M1158" s="5">
        <f t="shared" si="146"/>
        <v>-1734.4000000000233</v>
      </c>
      <c r="N1158" s="3"/>
    </row>
    <row r="1159" spans="1:14" x14ac:dyDescent="0.25">
      <c r="A1159" s="2">
        <v>1230301</v>
      </c>
      <c r="B1159" s="3">
        <v>63162.5</v>
      </c>
      <c r="C1159" s="3">
        <v>72280</v>
      </c>
      <c r="D1159" s="3">
        <v>77712.5</v>
      </c>
      <c r="E1159" s="3">
        <v>74140.600000000006</v>
      </c>
      <c r="F1159">
        <f t="shared" si="139"/>
        <v>1230301</v>
      </c>
      <c r="G1159" s="3">
        <f t="shared" si="140"/>
        <v>63162.5</v>
      </c>
      <c r="H1159" s="3">
        <f t="shared" si="141"/>
        <v>72280</v>
      </c>
      <c r="I1159" s="3">
        <f t="shared" si="142"/>
        <v>77712.5</v>
      </c>
      <c r="J1159" s="3">
        <f t="shared" si="143"/>
        <v>74140.600000000006</v>
      </c>
      <c r="K1159" s="5">
        <f t="shared" si="144"/>
        <v>287295.59999999998</v>
      </c>
      <c r="L1159" s="5">
        <f t="shared" si="145"/>
        <v>288953.75</v>
      </c>
      <c r="M1159" s="5">
        <f t="shared" si="146"/>
        <v>-1658.1500000000233</v>
      </c>
      <c r="N1159" s="3"/>
    </row>
    <row r="1160" spans="1:14" x14ac:dyDescent="0.25">
      <c r="A1160" s="2">
        <v>1230302</v>
      </c>
      <c r="B1160" s="3">
        <v>63743.75</v>
      </c>
      <c r="C1160" s="3">
        <v>71960</v>
      </c>
      <c r="D1160" s="3">
        <v>78368.75</v>
      </c>
      <c r="E1160" s="3">
        <v>77265.600000000006</v>
      </c>
      <c r="F1160">
        <f t="shared" si="139"/>
        <v>1230302</v>
      </c>
      <c r="G1160" s="3">
        <f t="shared" si="140"/>
        <v>63743.75</v>
      </c>
      <c r="H1160" s="3">
        <f t="shared" si="141"/>
        <v>71960</v>
      </c>
      <c r="I1160" s="3">
        <f t="shared" si="142"/>
        <v>78368.75</v>
      </c>
      <c r="J1160" s="3">
        <f t="shared" si="143"/>
        <v>77265.600000000006</v>
      </c>
      <c r="K1160" s="5">
        <f t="shared" si="144"/>
        <v>291338.09999999998</v>
      </c>
      <c r="L1160" s="5">
        <f t="shared" si="145"/>
        <v>291338.09999999998</v>
      </c>
      <c r="M1160" s="5">
        <f t="shared" si="146"/>
        <v>0</v>
      </c>
      <c r="N1160" s="3"/>
    </row>
    <row r="1161" spans="1:14" x14ac:dyDescent="0.25">
      <c r="A1161" s="2">
        <v>1230303</v>
      </c>
      <c r="B1161" s="3">
        <v>64262.5</v>
      </c>
      <c r="C1161" s="3">
        <v>70370</v>
      </c>
      <c r="D1161" s="3">
        <v>78393.75</v>
      </c>
      <c r="E1161" s="3">
        <v>78281.25</v>
      </c>
      <c r="F1161">
        <f t="shared" si="139"/>
        <v>1230303</v>
      </c>
      <c r="G1161" s="3">
        <f t="shared" si="140"/>
        <v>64262.5</v>
      </c>
      <c r="H1161" s="3">
        <f t="shared" si="141"/>
        <v>70370</v>
      </c>
      <c r="I1161" s="3">
        <f t="shared" si="142"/>
        <v>78393.75</v>
      </c>
      <c r="J1161" s="3">
        <f t="shared" si="143"/>
        <v>78281.25</v>
      </c>
      <c r="K1161" s="5">
        <f t="shared" si="144"/>
        <v>291307.5</v>
      </c>
      <c r="L1161" s="5">
        <f t="shared" si="145"/>
        <v>291338.09999999998</v>
      </c>
      <c r="M1161" s="5">
        <f t="shared" si="146"/>
        <v>-30.599999999976717</v>
      </c>
      <c r="N1161" s="3"/>
    </row>
    <row r="1162" spans="1:14" x14ac:dyDescent="0.25">
      <c r="A1162" s="2">
        <v>1230305</v>
      </c>
      <c r="B1162" s="3">
        <v>65893.75</v>
      </c>
      <c r="C1162" s="3">
        <v>70270</v>
      </c>
      <c r="D1162" s="3">
        <v>77918.75</v>
      </c>
      <c r="E1162" s="3">
        <v>77265.600000000006</v>
      </c>
      <c r="F1162">
        <f t="shared" si="139"/>
        <v>1230305</v>
      </c>
      <c r="G1162" s="3">
        <f t="shared" si="140"/>
        <v>65893.75</v>
      </c>
      <c r="H1162" s="3">
        <f t="shared" si="141"/>
        <v>70270</v>
      </c>
      <c r="I1162" s="3">
        <f t="shared" si="142"/>
        <v>77918.75</v>
      </c>
      <c r="J1162" s="3">
        <f t="shared" si="143"/>
        <v>77265.600000000006</v>
      </c>
      <c r="K1162" s="5">
        <f t="shared" si="144"/>
        <v>291348.09999999998</v>
      </c>
      <c r="L1162" s="5">
        <f t="shared" si="145"/>
        <v>291348.09999999998</v>
      </c>
      <c r="M1162" s="5">
        <f t="shared" si="146"/>
        <v>0</v>
      </c>
      <c r="N1162" s="3"/>
    </row>
    <row r="1163" spans="1:14" x14ac:dyDescent="0.25">
      <c r="A1163" s="2">
        <v>1230306</v>
      </c>
      <c r="B1163" s="3">
        <v>66168.75</v>
      </c>
      <c r="C1163" s="3">
        <v>70420</v>
      </c>
      <c r="D1163" s="3">
        <v>78081.25</v>
      </c>
      <c r="E1163" s="3">
        <v>78125</v>
      </c>
      <c r="F1163">
        <f t="shared" si="139"/>
        <v>1230306</v>
      </c>
      <c r="G1163" s="3">
        <f t="shared" si="140"/>
        <v>66168.75</v>
      </c>
      <c r="H1163" s="3">
        <f t="shared" si="141"/>
        <v>70420</v>
      </c>
      <c r="I1163" s="3">
        <f t="shared" si="142"/>
        <v>78081.25</v>
      </c>
      <c r="J1163" s="3">
        <f t="shared" si="143"/>
        <v>78125</v>
      </c>
      <c r="K1163" s="5">
        <f t="shared" si="144"/>
        <v>292795</v>
      </c>
      <c r="L1163" s="5">
        <f t="shared" si="145"/>
        <v>292795</v>
      </c>
      <c r="M1163" s="5">
        <f t="shared" si="146"/>
        <v>0</v>
      </c>
      <c r="N1163" s="3"/>
    </row>
    <row r="1164" spans="1:14" x14ac:dyDescent="0.25">
      <c r="A1164" s="2">
        <v>1230307</v>
      </c>
      <c r="B1164" s="3">
        <v>66181.25</v>
      </c>
      <c r="C1164" s="3">
        <v>70860</v>
      </c>
      <c r="D1164" s="3">
        <v>77681.25</v>
      </c>
      <c r="E1164" s="3">
        <v>76640.600000000006</v>
      </c>
      <c r="F1164">
        <f t="shared" si="139"/>
        <v>1230307</v>
      </c>
      <c r="G1164" s="3">
        <f t="shared" si="140"/>
        <v>66181.25</v>
      </c>
      <c r="H1164" s="3">
        <f t="shared" si="141"/>
        <v>70860</v>
      </c>
      <c r="I1164" s="3">
        <f t="shared" si="142"/>
        <v>77681.25</v>
      </c>
      <c r="J1164" s="3">
        <f t="shared" si="143"/>
        <v>76640.600000000006</v>
      </c>
      <c r="K1164" s="5">
        <f t="shared" si="144"/>
        <v>291363.09999999998</v>
      </c>
      <c r="L1164" s="5">
        <f t="shared" si="145"/>
        <v>292795</v>
      </c>
      <c r="M1164" s="5">
        <f t="shared" si="146"/>
        <v>-1431.9000000000233</v>
      </c>
      <c r="N1164" s="3"/>
    </row>
    <row r="1165" spans="1:14" x14ac:dyDescent="0.25">
      <c r="A1165" s="2">
        <v>1230308</v>
      </c>
      <c r="B1165" s="3">
        <v>67687.5</v>
      </c>
      <c r="C1165" s="3">
        <v>74550</v>
      </c>
      <c r="D1165" s="3">
        <v>78850</v>
      </c>
      <c r="E1165" s="3">
        <v>75156.25</v>
      </c>
      <c r="F1165">
        <f t="shared" si="139"/>
        <v>1230308</v>
      </c>
      <c r="G1165" s="3">
        <f t="shared" si="140"/>
        <v>67687.5</v>
      </c>
      <c r="H1165" s="3">
        <f t="shared" si="141"/>
        <v>74550</v>
      </c>
      <c r="I1165" s="3">
        <f t="shared" si="142"/>
        <v>78850</v>
      </c>
      <c r="J1165" s="3">
        <f t="shared" si="143"/>
        <v>75156.25</v>
      </c>
      <c r="K1165" s="5">
        <f t="shared" si="144"/>
        <v>296243.75</v>
      </c>
      <c r="L1165" s="5">
        <f t="shared" si="145"/>
        <v>296243.75</v>
      </c>
      <c r="M1165" s="5">
        <f t="shared" si="146"/>
        <v>0</v>
      </c>
      <c r="N1165" s="3"/>
    </row>
    <row r="1166" spans="1:14" x14ac:dyDescent="0.25">
      <c r="A1166" s="2">
        <v>1230309</v>
      </c>
      <c r="B1166" s="3">
        <v>65743.75</v>
      </c>
      <c r="C1166" s="3">
        <v>73990</v>
      </c>
      <c r="D1166" s="3">
        <v>78731.25</v>
      </c>
      <c r="E1166" s="3">
        <v>73125</v>
      </c>
      <c r="F1166">
        <f t="shared" si="139"/>
        <v>1230309</v>
      </c>
      <c r="G1166" s="3">
        <f t="shared" si="140"/>
        <v>65743.75</v>
      </c>
      <c r="H1166" s="3">
        <f t="shared" si="141"/>
        <v>73990</v>
      </c>
      <c r="I1166" s="3">
        <f t="shared" si="142"/>
        <v>78731.25</v>
      </c>
      <c r="J1166" s="3">
        <f t="shared" si="143"/>
        <v>73125</v>
      </c>
      <c r="K1166" s="5">
        <f t="shared" si="144"/>
        <v>291590</v>
      </c>
      <c r="L1166" s="5">
        <f t="shared" si="145"/>
        <v>296243.75</v>
      </c>
      <c r="M1166" s="5">
        <f t="shared" si="146"/>
        <v>-4653.75</v>
      </c>
      <c r="N1166" s="3"/>
    </row>
    <row r="1167" spans="1:14" x14ac:dyDescent="0.25">
      <c r="A1167" s="2">
        <v>1230310</v>
      </c>
      <c r="B1167" s="3">
        <v>68250</v>
      </c>
      <c r="C1167" s="3">
        <v>75450</v>
      </c>
      <c r="D1167" s="3">
        <v>78512.5</v>
      </c>
      <c r="E1167" s="3">
        <v>78046.899999999994</v>
      </c>
      <c r="F1167">
        <f t="shared" si="139"/>
        <v>1230310</v>
      </c>
      <c r="G1167" s="3">
        <f t="shared" si="140"/>
        <v>68250</v>
      </c>
      <c r="H1167" s="3">
        <f t="shared" si="141"/>
        <v>75450</v>
      </c>
      <c r="I1167" s="3">
        <f t="shared" si="142"/>
        <v>78512.5</v>
      </c>
      <c r="J1167" s="3">
        <f t="shared" si="143"/>
        <v>78046.899999999994</v>
      </c>
      <c r="K1167" s="5">
        <f t="shared" si="144"/>
        <v>300259.40000000002</v>
      </c>
      <c r="L1167" s="5">
        <f t="shared" si="145"/>
        <v>300259.40000000002</v>
      </c>
      <c r="M1167" s="5">
        <f t="shared" si="146"/>
        <v>0</v>
      </c>
      <c r="N1167" s="3"/>
    </row>
    <row r="1168" spans="1:14" x14ac:dyDescent="0.25">
      <c r="A1168" s="2">
        <v>1230312</v>
      </c>
      <c r="B1168" s="3">
        <v>68975</v>
      </c>
      <c r="C1168" s="3">
        <v>69490</v>
      </c>
      <c r="D1168" s="3">
        <v>79268.75</v>
      </c>
      <c r="E1168" s="3">
        <v>83828.099999999991</v>
      </c>
      <c r="F1168">
        <f t="shared" si="139"/>
        <v>1230312</v>
      </c>
      <c r="G1168" s="3">
        <f t="shared" si="140"/>
        <v>68975</v>
      </c>
      <c r="H1168" s="3">
        <f t="shared" si="141"/>
        <v>69490</v>
      </c>
      <c r="I1168" s="3">
        <f t="shared" si="142"/>
        <v>79268.75</v>
      </c>
      <c r="J1168" s="3">
        <f t="shared" si="143"/>
        <v>83828.099999999991</v>
      </c>
      <c r="K1168" s="5">
        <f t="shared" si="144"/>
        <v>301561.84999999998</v>
      </c>
      <c r="L1168" s="5">
        <f t="shared" si="145"/>
        <v>301561.84999999998</v>
      </c>
      <c r="M1168" s="5">
        <f t="shared" si="146"/>
        <v>0</v>
      </c>
      <c r="N1168" s="3"/>
    </row>
    <row r="1169" spans="1:14" x14ac:dyDescent="0.25">
      <c r="A1169" s="2">
        <v>1230313</v>
      </c>
      <c r="B1169" s="3">
        <v>68975</v>
      </c>
      <c r="C1169" s="3">
        <v>69660</v>
      </c>
      <c r="D1169" s="3">
        <v>79450</v>
      </c>
      <c r="E1169" s="3">
        <v>82578.099999999991</v>
      </c>
      <c r="F1169">
        <f t="shared" si="139"/>
        <v>1230313</v>
      </c>
      <c r="G1169" s="3">
        <f t="shared" si="140"/>
        <v>68975</v>
      </c>
      <c r="H1169" s="3">
        <f t="shared" si="141"/>
        <v>69660</v>
      </c>
      <c r="I1169" s="3">
        <f t="shared" si="142"/>
        <v>79450</v>
      </c>
      <c r="J1169" s="3">
        <f t="shared" si="143"/>
        <v>82578.099999999991</v>
      </c>
      <c r="K1169" s="5">
        <f t="shared" si="144"/>
        <v>300663.09999999998</v>
      </c>
      <c r="L1169" s="5">
        <f t="shared" si="145"/>
        <v>301561.84999999998</v>
      </c>
      <c r="M1169" s="5">
        <f t="shared" si="146"/>
        <v>-898.75</v>
      </c>
      <c r="N1169" s="3"/>
    </row>
    <row r="1170" spans="1:14" x14ac:dyDescent="0.25">
      <c r="A1170" s="2">
        <v>1230314</v>
      </c>
      <c r="B1170" s="3">
        <v>68975</v>
      </c>
      <c r="C1170" s="3">
        <v>70330</v>
      </c>
      <c r="D1170" s="3">
        <v>79631.25</v>
      </c>
      <c r="E1170" s="3">
        <v>87343.75</v>
      </c>
      <c r="F1170">
        <f t="shared" si="139"/>
        <v>1230314</v>
      </c>
      <c r="G1170" s="3">
        <f t="shared" si="140"/>
        <v>68975</v>
      </c>
      <c r="H1170" s="3">
        <f t="shared" si="141"/>
        <v>70330</v>
      </c>
      <c r="I1170" s="3">
        <f t="shared" si="142"/>
        <v>79631.25</v>
      </c>
      <c r="J1170" s="3">
        <f t="shared" si="143"/>
        <v>87343.75</v>
      </c>
      <c r="K1170" s="5">
        <f t="shared" si="144"/>
        <v>306280</v>
      </c>
      <c r="L1170" s="5">
        <f t="shared" si="145"/>
        <v>306280</v>
      </c>
      <c r="M1170" s="5">
        <f t="shared" si="146"/>
        <v>0</v>
      </c>
      <c r="N1170" s="3"/>
    </row>
    <row r="1171" spans="1:14" x14ac:dyDescent="0.25">
      <c r="A1171" s="2">
        <v>1230315</v>
      </c>
      <c r="B1171" s="3">
        <v>68993.75</v>
      </c>
      <c r="C1171" s="3">
        <v>70060</v>
      </c>
      <c r="D1171" s="3">
        <v>79481.25</v>
      </c>
      <c r="E1171" s="3">
        <v>85703.099999999991</v>
      </c>
      <c r="F1171">
        <f t="shared" si="139"/>
        <v>1230315</v>
      </c>
      <c r="G1171" s="3">
        <f t="shared" si="140"/>
        <v>68993.75</v>
      </c>
      <c r="H1171" s="3">
        <f t="shared" si="141"/>
        <v>70060</v>
      </c>
      <c r="I1171" s="3">
        <f t="shared" si="142"/>
        <v>79481.25</v>
      </c>
      <c r="J1171" s="3">
        <f t="shared" si="143"/>
        <v>85703.099999999991</v>
      </c>
      <c r="K1171" s="5">
        <f t="shared" si="144"/>
        <v>304238.09999999998</v>
      </c>
      <c r="L1171" s="5">
        <f t="shared" si="145"/>
        <v>306280</v>
      </c>
      <c r="M1171" s="5">
        <f t="shared" si="146"/>
        <v>-2041.9000000000233</v>
      </c>
      <c r="N1171" s="3"/>
    </row>
    <row r="1172" spans="1:14" x14ac:dyDescent="0.25">
      <c r="A1172" s="2">
        <v>1230316</v>
      </c>
      <c r="B1172" s="3">
        <v>67287.5</v>
      </c>
      <c r="C1172" s="3">
        <v>71340</v>
      </c>
      <c r="D1172" s="3">
        <v>79062.5</v>
      </c>
      <c r="E1172" s="3">
        <v>79218.75</v>
      </c>
      <c r="F1172">
        <f t="shared" si="139"/>
        <v>1230316</v>
      </c>
      <c r="G1172" s="3">
        <f t="shared" si="140"/>
        <v>67287.5</v>
      </c>
      <c r="H1172" s="3">
        <f t="shared" si="141"/>
        <v>71340</v>
      </c>
      <c r="I1172" s="3">
        <f t="shared" si="142"/>
        <v>79062.5</v>
      </c>
      <c r="J1172" s="3">
        <f t="shared" si="143"/>
        <v>79218.75</v>
      </c>
      <c r="K1172" s="5">
        <f t="shared" si="144"/>
        <v>296908.75</v>
      </c>
      <c r="L1172" s="5">
        <f t="shared" si="145"/>
        <v>304238.09999999998</v>
      </c>
      <c r="M1172" s="5">
        <f t="shared" si="146"/>
        <v>-7329.3499999999767</v>
      </c>
      <c r="N1172" s="3"/>
    </row>
    <row r="1173" spans="1:14" x14ac:dyDescent="0.25">
      <c r="A1173" s="2">
        <v>1230317</v>
      </c>
      <c r="B1173" s="3">
        <v>68625</v>
      </c>
      <c r="C1173" s="3">
        <v>72850</v>
      </c>
      <c r="D1173" s="3">
        <v>78662.5</v>
      </c>
      <c r="E1173" s="3">
        <v>80625</v>
      </c>
      <c r="F1173">
        <f t="shared" si="139"/>
        <v>1230317</v>
      </c>
      <c r="G1173" s="3">
        <f t="shared" si="140"/>
        <v>68625</v>
      </c>
      <c r="H1173" s="3">
        <f t="shared" si="141"/>
        <v>72850</v>
      </c>
      <c r="I1173" s="3">
        <f t="shared" si="142"/>
        <v>78662.5</v>
      </c>
      <c r="J1173" s="3">
        <f t="shared" si="143"/>
        <v>80625</v>
      </c>
      <c r="K1173" s="5">
        <f t="shared" si="144"/>
        <v>300762.5</v>
      </c>
      <c r="L1173" s="5">
        <f t="shared" si="145"/>
        <v>300762.5</v>
      </c>
      <c r="M1173" s="5">
        <f t="shared" si="146"/>
        <v>0</v>
      </c>
      <c r="N1173" s="3"/>
    </row>
    <row r="1174" spans="1:14" x14ac:dyDescent="0.25">
      <c r="A1174" s="2">
        <v>1230319</v>
      </c>
      <c r="B1174" s="3">
        <v>67318.75</v>
      </c>
      <c r="C1174" s="3">
        <v>75210</v>
      </c>
      <c r="D1174" s="3">
        <v>78837.5</v>
      </c>
      <c r="E1174" s="3">
        <v>81562.5</v>
      </c>
      <c r="F1174">
        <f t="shared" si="139"/>
        <v>1230319</v>
      </c>
      <c r="G1174" s="3">
        <f t="shared" si="140"/>
        <v>67318.75</v>
      </c>
      <c r="H1174" s="3">
        <f t="shared" si="141"/>
        <v>75210</v>
      </c>
      <c r="I1174" s="3">
        <f t="shared" si="142"/>
        <v>78837.5</v>
      </c>
      <c r="J1174" s="3">
        <f t="shared" si="143"/>
        <v>81562.5</v>
      </c>
      <c r="K1174" s="5">
        <f t="shared" si="144"/>
        <v>302928.75</v>
      </c>
      <c r="L1174" s="5">
        <f t="shared" si="145"/>
        <v>302928.75</v>
      </c>
      <c r="M1174" s="5">
        <f t="shared" si="146"/>
        <v>0</v>
      </c>
      <c r="N1174" s="3"/>
    </row>
    <row r="1175" spans="1:14" x14ac:dyDescent="0.25">
      <c r="A1175" s="2">
        <v>1230320</v>
      </c>
      <c r="B1175" s="3">
        <v>67825</v>
      </c>
      <c r="C1175" s="3">
        <v>75210</v>
      </c>
      <c r="D1175" s="3">
        <v>79081.25</v>
      </c>
      <c r="E1175" s="3">
        <v>83671.900000000009</v>
      </c>
      <c r="F1175">
        <f t="shared" si="139"/>
        <v>1230320</v>
      </c>
      <c r="G1175" s="3">
        <f t="shared" si="140"/>
        <v>67825</v>
      </c>
      <c r="H1175" s="3">
        <f t="shared" si="141"/>
        <v>75210</v>
      </c>
      <c r="I1175" s="3">
        <f t="shared" si="142"/>
        <v>79081.25</v>
      </c>
      <c r="J1175" s="3">
        <f t="shared" si="143"/>
        <v>83671.900000000009</v>
      </c>
      <c r="K1175" s="5">
        <f t="shared" si="144"/>
        <v>305788.15000000002</v>
      </c>
      <c r="L1175" s="5">
        <f t="shared" si="145"/>
        <v>305788.15000000002</v>
      </c>
      <c r="M1175" s="5">
        <f t="shared" si="146"/>
        <v>0</v>
      </c>
      <c r="N1175" s="3"/>
    </row>
    <row r="1176" spans="1:14" x14ac:dyDescent="0.25">
      <c r="A1176" s="2">
        <v>1230321</v>
      </c>
      <c r="B1176" s="3">
        <v>67762.5</v>
      </c>
      <c r="C1176" s="3">
        <v>75210</v>
      </c>
      <c r="D1176" s="3">
        <v>79225</v>
      </c>
      <c r="E1176" s="3">
        <v>82343.75</v>
      </c>
      <c r="F1176">
        <f t="shared" si="139"/>
        <v>1230321</v>
      </c>
      <c r="G1176" s="3">
        <f t="shared" si="140"/>
        <v>67762.5</v>
      </c>
      <c r="H1176" s="3">
        <f t="shared" si="141"/>
        <v>75210</v>
      </c>
      <c r="I1176" s="3">
        <f t="shared" si="142"/>
        <v>79225</v>
      </c>
      <c r="J1176" s="3">
        <f t="shared" si="143"/>
        <v>82343.75</v>
      </c>
      <c r="K1176" s="5">
        <f t="shared" si="144"/>
        <v>304541.25</v>
      </c>
      <c r="L1176" s="5">
        <f t="shared" si="145"/>
        <v>305788.15000000002</v>
      </c>
      <c r="M1176" s="5">
        <f t="shared" si="146"/>
        <v>-1246.9000000000233</v>
      </c>
      <c r="N1176" s="3"/>
    </row>
    <row r="1177" spans="1:14" x14ac:dyDescent="0.25">
      <c r="A1177" s="2">
        <v>1230322</v>
      </c>
      <c r="B1177" s="3">
        <v>68581.25</v>
      </c>
      <c r="C1177" s="3">
        <v>78360</v>
      </c>
      <c r="D1177" s="3">
        <v>80143.75</v>
      </c>
      <c r="E1177" s="3">
        <v>80234.399999999994</v>
      </c>
      <c r="F1177">
        <f t="shared" ref="F1177:F1240" si="147">+A1177</f>
        <v>1230322</v>
      </c>
      <c r="G1177" s="3">
        <f t="shared" si="140"/>
        <v>68581.25</v>
      </c>
      <c r="H1177" s="3">
        <f t="shared" si="141"/>
        <v>78360</v>
      </c>
      <c r="I1177" s="3">
        <f t="shared" si="142"/>
        <v>80143.75</v>
      </c>
      <c r="J1177" s="3">
        <f t="shared" si="143"/>
        <v>80234.399999999994</v>
      </c>
      <c r="K1177" s="5">
        <f t="shared" si="144"/>
        <v>307319.40000000002</v>
      </c>
      <c r="L1177" s="5">
        <f t="shared" si="145"/>
        <v>307319.40000000002</v>
      </c>
      <c r="M1177" s="5">
        <f t="shared" si="146"/>
        <v>0</v>
      </c>
      <c r="N1177" s="3"/>
    </row>
    <row r="1178" spans="1:14" x14ac:dyDescent="0.25">
      <c r="A1178" s="2">
        <v>1230323</v>
      </c>
      <c r="B1178" s="3">
        <v>66400</v>
      </c>
      <c r="C1178" s="3">
        <v>81160</v>
      </c>
      <c r="D1178" s="3">
        <v>81131.25</v>
      </c>
      <c r="E1178" s="3">
        <v>73750</v>
      </c>
      <c r="F1178">
        <f t="shared" si="147"/>
        <v>1230323</v>
      </c>
      <c r="G1178" s="3">
        <f t="shared" ref="G1178:G1241" si="148">+IF(B1178&lt;&gt;0,B1178,B1177)</f>
        <v>66400</v>
      </c>
      <c r="H1178" s="3">
        <f t="shared" ref="H1178:H1241" si="149">+IF(C1178&lt;&gt;0,C1178,C1177)</f>
        <v>81160</v>
      </c>
      <c r="I1178" s="3">
        <f t="shared" ref="I1178:I1241" si="150">+IF(D1178&lt;&gt;0,D1178,D1177)</f>
        <v>81131.25</v>
      </c>
      <c r="J1178" s="3">
        <f t="shared" ref="J1178:J1241" si="151">+IF(E1178&lt;&gt;0,E1178,E1177)</f>
        <v>73750</v>
      </c>
      <c r="K1178" s="5">
        <f t="shared" ref="K1178:K1241" si="152">+SUM(G1178:J1178)</f>
        <v>302441.25</v>
      </c>
      <c r="L1178" s="5">
        <f t="shared" si="145"/>
        <v>307319.40000000002</v>
      </c>
      <c r="M1178" s="5">
        <f t="shared" si="146"/>
        <v>-4878.1500000000233</v>
      </c>
      <c r="N1178" s="3"/>
    </row>
    <row r="1179" spans="1:14" x14ac:dyDescent="0.25">
      <c r="A1179" s="2">
        <v>1230324</v>
      </c>
      <c r="B1179" s="3">
        <v>65987.5</v>
      </c>
      <c r="C1179" s="3">
        <v>78880</v>
      </c>
      <c r="D1179" s="3">
        <v>80481.25</v>
      </c>
      <c r="E1179" s="3">
        <v>70546.899999999994</v>
      </c>
      <c r="F1179">
        <f t="shared" si="147"/>
        <v>1230324</v>
      </c>
      <c r="G1179" s="3">
        <f t="shared" si="148"/>
        <v>65987.5</v>
      </c>
      <c r="H1179" s="3">
        <f t="shared" si="149"/>
        <v>78880</v>
      </c>
      <c r="I1179" s="3">
        <f t="shared" si="150"/>
        <v>80481.25</v>
      </c>
      <c r="J1179" s="3">
        <f t="shared" si="151"/>
        <v>70546.899999999994</v>
      </c>
      <c r="K1179" s="5">
        <f t="shared" si="152"/>
        <v>295895.65000000002</v>
      </c>
      <c r="L1179" s="5">
        <f t="shared" ref="L1179:L1242" si="153">+IF(K1179&gt;K1178,K1179,K1178)</f>
        <v>302441.25</v>
      </c>
      <c r="M1179" s="5">
        <f t="shared" ref="M1179:M1242" si="154">+K1179-L1179</f>
        <v>-6545.5999999999767</v>
      </c>
      <c r="N1179" s="3"/>
    </row>
    <row r="1180" spans="1:14" x14ac:dyDescent="0.25">
      <c r="A1180" s="2">
        <v>1230326</v>
      </c>
      <c r="B1180" s="3">
        <v>65443.75</v>
      </c>
      <c r="C1180" s="3">
        <v>76900</v>
      </c>
      <c r="D1180" s="3">
        <v>80456.25</v>
      </c>
      <c r="E1180" s="3">
        <v>71328.100000000006</v>
      </c>
      <c r="F1180">
        <f t="shared" si="147"/>
        <v>1230326</v>
      </c>
      <c r="G1180" s="3">
        <f t="shared" si="148"/>
        <v>65443.75</v>
      </c>
      <c r="H1180" s="3">
        <f t="shared" si="149"/>
        <v>76900</v>
      </c>
      <c r="I1180" s="3">
        <f t="shared" si="150"/>
        <v>80456.25</v>
      </c>
      <c r="J1180" s="3">
        <f t="shared" si="151"/>
        <v>71328.100000000006</v>
      </c>
      <c r="K1180" s="5">
        <f t="shared" si="152"/>
        <v>294128.09999999998</v>
      </c>
      <c r="L1180" s="5">
        <f t="shared" si="153"/>
        <v>295895.65000000002</v>
      </c>
      <c r="M1180" s="5">
        <f t="shared" si="154"/>
        <v>-1767.5500000000466</v>
      </c>
      <c r="N1180" s="3"/>
    </row>
    <row r="1181" spans="1:14" x14ac:dyDescent="0.25">
      <c r="A1181" s="2">
        <v>1230327</v>
      </c>
      <c r="B1181" s="3">
        <v>65443.75</v>
      </c>
      <c r="C1181" s="3">
        <v>76860</v>
      </c>
      <c r="D1181" s="3">
        <v>80393.75</v>
      </c>
      <c r="E1181" s="3">
        <v>71015.600000000006</v>
      </c>
      <c r="F1181">
        <f t="shared" si="147"/>
        <v>1230327</v>
      </c>
      <c r="G1181" s="3">
        <f t="shared" si="148"/>
        <v>65443.75</v>
      </c>
      <c r="H1181" s="3">
        <f t="shared" si="149"/>
        <v>76860</v>
      </c>
      <c r="I1181" s="3">
        <f t="shared" si="150"/>
        <v>80393.75</v>
      </c>
      <c r="J1181" s="3">
        <f t="shared" si="151"/>
        <v>71015.600000000006</v>
      </c>
      <c r="K1181" s="5">
        <f t="shared" si="152"/>
        <v>293713.09999999998</v>
      </c>
      <c r="L1181" s="5">
        <f t="shared" si="153"/>
        <v>294128.09999999998</v>
      </c>
      <c r="M1181" s="5">
        <f t="shared" si="154"/>
        <v>-415</v>
      </c>
      <c r="N1181" s="3"/>
    </row>
    <row r="1182" spans="1:14" x14ac:dyDescent="0.25">
      <c r="A1182" s="2">
        <v>1230328</v>
      </c>
      <c r="B1182" s="3">
        <v>65443.75</v>
      </c>
      <c r="C1182" s="3">
        <v>76730</v>
      </c>
      <c r="D1182" s="3">
        <v>80687.5</v>
      </c>
      <c r="E1182" s="3">
        <v>75703.100000000006</v>
      </c>
      <c r="F1182">
        <f t="shared" si="147"/>
        <v>1230328</v>
      </c>
      <c r="G1182" s="3">
        <f t="shared" si="148"/>
        <v>65443.75</v>
      </c>
      <c r="H1182" s="3">
        <f t="shared" si="149"/>
        <v>76730</v>
      </c>
      <c r="I1182" s="3">
        <f t="shared" si="150"/>
        <v>80687.5</v>
      </c>
      <c r="J1182" s="3">
        <f t="shared" si="151"/>
        <v>75703.100000000006</v>
      </c>
      <c r="K1182" s="5">
        <f t="shared" si="152"/>
        <v>298564.34999999998</v>
      </c>
      <c r="L1182" s="5">
        <f t="shared" si="153"/>
        <v>298564.34999999998</v>
      </c>
      <c r="M1182" s="5">
        <f t="shared" si="154"/>
        <v>0</v>
      </c>
      <c r="N1182" s="3"/>
    </row>
    <row r="1183" spans="1:14" x14ac:dyDescent="0.25">
      <c r="A1183" s="2">
        <v>1230329</v>
      </c>
      <c r="B1183" s="3">
        <v>64781.25</v>
      </c>
      <c r="C1183" s="3">
        <v>77420</v>
      </c>
      <c r="D1183" s="3">
        <v>80493.75</v>
      </c>
      <c r="E1183" s="3">
        <v>78593.75</v>
      </c>
      <c r="F1183">
        <f t="shared" si="147"/>
        <v>1230329</v>
      </c>
      <c r="G1183" s="3">
        <f t="shared" si="148"/>
        <v>64781.25</v>
      </c>
      <c r="H1183" s="3">
        <f t="shared" si="149"/>
        <v>77420</v>
      </c>
      <c r="I1183" s="3">
        <f t="shared" si="150"/>
        <v>80493.75</v>
      </c>
      <c r="J1183" s="3">
        <f t="shared" si="151"/>
        <v>78593.75</v>
      </c>
      <c r="K1183" s="5">
        <f t="shared" si="152"/>
        <v>301288.75</v>
      </c>
      <c r="L1183" s="5">
        <f t="shared" si="153"/>
        <v>301288.75</v>
      </c>
      <c r="M1183" s="5">
        <f t="shared" si="154"/>
        <v>0</v>
      </c>
      <c r="N1183" s="3"/>
    </row>
    <row r="1184" spans="1:14" x14ac:dyDescent="0.25">
      <c r="A1184" s="2">
        <v>1230330</v>
      </c>
      <c r="B1184" s="3">
        <v>64418.75</v>
      </c>
      <c r="C1184" s="3">
        <v>77360</v>
      </c>
      <c r="D1184" s="3">
        <v>81168.75</v>
      </c>
      <c r="E1184" s="3">
        <v>78984.399999999994</v>
      </c>
      <c r="F1184">
        <f t="shared" si="147"/>
        <v>1230330</v>
      </c>
      <c r="G1184" s="3">
        <f t="shared" si="148"/>
        <v>64418.75</v>
      </c>
      <c r="H1184" s="3">
        <f t="shared" si="149"/>
        <v>77360</v>
      </c>
      <c r="I1184" s="3">
        <f t="shared" si="150"/>
        <v>81168.75</v>
      </c>
      <c r="J1184" s="3">
        <f t="shared" si="151"/>
        <v>78984.399999999994</v>
      </c>
      <c r="K1184" s="5">
        <f t="shared" si="152"/>
        <v>301931.90000000002</v>
      </c>
      <c r="L1184" s="5">
        <f t="shared" si="153"/>
        <v>301931.90000000002</v>
      </c>
      <c r="M1184" s="5">
        <f t="shared" si="154"/>
        <v>0</v>
      </c>
      <c r="N1184" s="3"/>
    </row>
    <row r="1185" spans="1:14" x14ac:dyDescent="0.25">
      <c r="A1185" s="2">
        <v>1230331</v>
      </c>
      <c r="B1185" s="3">
        <v>64831.25</v>
      </c>
      <c r="C1185" s="3">
        <v>78350</v>
      </c>
      <c r="D1185" s="3">
        <v>81306.25</v>
      </c>
      <c r="E1185" s="3">
        <v>78281.25</v>
      </c>
      <c r="F1185">
        <f t="shared" si="147"/>
        <v>1230331</v>
      </c>
      <c r="G1185" s="3">
        <f t="shared" si="148"/>
        <v>64831.25</v>
      </c>
      <c r="H1185" s="3">
        <f t="shared" si="149"/>
        <v>78350</v>
      </c>
      <c r="I1185" s="3">
        <f t="shared" si="150"/>
        <v>81306.25</v>
      </c>
      <c r="J1185" s="3">
        <f t="shared" si="151"/>
        <v>78281.25</v>
      </c>
      <c r="K1185" s="5">
        <f t="shared" si="152"/>
        <v>302768.75</v>
      </c>
      <c r="L1185" s="5">
        <f t="shared" si="153"/>
        <v>302768.75</v>
      </c>
      <c r="M1185" s="5">
        <f t="shared" si="154"/>
        <v>0</v>
      </c>
      <c r="N1185" s="3"/>
    </row>
    <row r="1186" spans="1:14" x14ac:dyDescent="0.25">
      <c r="A1186" s="2">
        <v>1230402</v>
      </c>
      <c r="B1186" s="3">
        <v>65637.5</v>
      </c>
      <c r="C1186" s="3">
        <v>74300</v>
      </c>
      <c r="D1186" s="3">
        <v>80981.25</v>
      </c>
      <c r="E1186" s="3">
        <v>78046.899999999994</v>
      </c>
      <c r="F1186">
        <f t="shared" si="147"/>
        <v>1230402</v>
      </c>
      <c r="G1186" s="3">
        <f t="shared" si="148"/>
        <v>65637.5</v>
      </c>
      <c r="H1186" s="3">
        <f t="shared" si="149"/>
        <v>74300</v>
      </c>
      <c r="I1186" s="3">
        <f t="shared" si="150"/>
        <v>80981.25</v>
      </c>
      <c r="J1186" s="3">
        <f t="shared" si="151"/>
        <v>78046.899999999994</v>
      </c>
      <c r="K1186" s="5">
        <f t="shared" si="152"/>
        <v>298965.65000000002</v>
      </c>
      <c r="L1186" s="5">
        <f t="shared" si="153"/>
        <v>302768.75</v>
      </c>
      <c r="M1186" s="5">
        <f t="shared" si="154"/>
        <v>-3803.0999999999767</v>
      </c>
      <c r="N1186" s="3"/>
    </row>
    <row r="1187" spans="1:14" x14ac:dyDescent="0.25">
      <c r="A1187" s="2">
        <v>1230403</v>
      </c>
      <c r="B1187" s="3">
        <v>65468.75</v>
      </c>
      <c r="C1187" s="3">
        <v>73160</v>
      </c>
      <c r="D1187" s="3">
        <v>80843.75</v>
      </c>
      <c r="E1187" s="3">
        <v>78203.100000000006</v>
      </c>
      <c r="F1187">
        <f t="shared" si="147"/>
        <v>1230403</v>
      </c>
      <c r="G1187" s="3">
        <f t="shared" si="148"/>
        <v>65468.75</v>
      </c>
      <c r="H1187" s="3">
        <f t="shared" si="149"/>
        <v>73160</v>
      </c>
      <c r="I1187" s="3">
        <f t="shared" si="150"/>
        <v>80843.75</v>
      </c>
      <c r="J1187" s="3">
        <f t="shared" si="151"/>
        <v>78203.100000000006</v>
      </c>
      <c r="K1187" s="5">
        <f t="shared" si="152"/>
        <v>297675.59999999998</v>
      </c>
      <c r="L1187" s="5">
        <f t="shared" si="153"/>
        <v>298965.65000000002</v>
      </c>
      <c r="M1187" s="5">
        <f t="shared" si="154"/>
        <v>-1290.0500000000466</v>
      </c>
      <c r="N1187" s="3"/>
    </row>
    <row r="1188" spans="1:14" x14ac:dyDescent="0.25">
      <c r="A1188" s="2">
        <v>1230404</v>
      </c>
      <c r="B1188" s="3">
        <v>65756.25</v>
      </c>
      <c r="C1188" s="3">
        <v>75880</v>
      </c>
      <c r="D1188" s="3">
        <v>81356.25</v>
      </c>
      <c r="E1188" s="3">
        <v>82343.75</v>
      </c>
      <c r="F1188">
        <f t="shared" si="147"/>
        <v>1230404</v>
      </c>
      <c r="G1188" s="3">
        <f t="shared" si="148"/>
        <v>65756.25</v>
      </c>
      <c r="H1188" s="3">
        <f t="shared" si="149"/>
        <v>75880</v>
      </c>
      <c r="I1188" s="3">
        <f t="shared" si="150"/>
        <v>81356.25</v>
      </c>
      <c r="J1188" s="3">
        <f t="shared" si="151"/>
        <v>82343.75</v>
      </c>
      <c r="K1188" s="5">
        <f t="shared" si="152"/>
        <v>305336.25</v>
      </c>
      <c r="L1188" s="5">
        <f t="shared" si="153"/>
        <v>305336.25</v>
      </c>
      <c r="M1188" s="5">
        <f t="shared" si="154"/>
        <v>0</v>
      </c>
      <c r="N1188" s="3"/>
    </row>
    <row r="1189" spans="1:14" x14ac:dyDescent="0.25">
      <c r="A1189" s="2">
        <v>1230405</v>
      </c>
      <c r="B1189" s="3">
        <v>66206.25</v>
      </c>
      <c r="C1189" s="3">
        <v>79740</v>
      </c>
      <c r="D1189" s="3">
        <v>81287.5</v>
      </c>
      <c r="E1189" s="3">
        <v>81328.100000000006</v>
      </c>
      <c r="F1189">
        <f t="shared" si="147"/>
        <v>1230405</v>
      </c>
      <c r="G1189" s="3">
        <f t="shared" si="148"/>
        <v>66206.25</v>
      </c>
      <c r="H1189" s="3">
        <f t="shared" si="149"/>
        <v>79740</v>
      </c>
      <c r="I1189" s="3">
        <f t="shared" si="150"/>
        <v>81287.5</v>
      </c>
      <c r="J1189" s="3">
        <f t="shared" si="151"/>
        <v>81328.100000000006</v>
      </c>
      <c r="K1189" s="5">
        <f t="shared" si="152"/>
        <v>308561.84999999998</v>
      </c>
      <c r="L1189" s="5">
        <f t="shared" si="153"/>
        <v>308561.84999999998</v>
      </c>
      <c r="M1189" s="5">
        <f t="shared" si="154"/>
        <v>0</v>
      </c>
      <c r="N1189" s="3"/>
    </row>
    <row r="1190" spans="1:14" x14ac:dyDescent="0.25">
      <c r="A1190" s="2">
        <v>1230406</v>
      </c>
      <c r="B1190" s="3">
        <v>66775</v>
      </c>
      <c r="C1190" s="3">
        <v>78150</v>
      </c>
      <c r="D1190" s="3">
        <v>81631.25</v>
      </c>
      <c r="E1190" s="3">
        <v>83671.900000000009</v>
      </c>
      <c r="F1190">
        <f t="shared" si="147"/>
        <v>1230406</v>
      </c>
      <c r="G1190" s="3">
        <f t="shared" si="148"/>
        <v>66775</v>
      </c>
      <c r="H1190" s="3">
        <f t="shared" si="149"/>
        <v>78150</v>
      </c>
      <c r="I1190" s="3">
        <f t="shared" si="150"/>
        <v>81631.25</v>
      </c>
      <c r="J1190" s="3">
        <f t="shared" si="151"/>
        <v>83671.900000000009</v>
      </c>
      <c r="K1190" s="5">
        <f t="shared" si="152"/>
        <v>310228.15000000002</v>
      </c>
      <c r="L1190" s="5">
        <f t="shared" si="153"/>
        <v>310228.15000000002</v>
      </c>
      <c r="M1190" s="5">
        <f t="shared" si="154"/>
        <v>0</v>
      </c>
      <c r="N1190" s="3"/>
    </row>
    <row r="1191" spans="1:14" x14ac:dyDescent="0.25">
      <c r="A1191" s="2">
        <v>1230407</v>
      </c>
      <c r="B1191" s="3">
        <v>66487.5</v>
      </c>
      <c r="C1191" s="3"/>
      <c r="D1191" s="3">
        <v>80856.25</v>
      </c>
      <c r="E1191" s="3">
        <v>82734.400000000009</v>
      </c>
      <c r="F1191">
        <f t="shared" si="147"/>
        <v>1230407</v>
      </c>
      <c r="G1191" s="3">
        <f t="shared" si="148"/>
        <v>66487.5</v>
      </c>
      <c r="H1191" s="3">
        <f t="shared" si="149"/>
        <v>78150</v>
      </c>
      <c r="I1191" s="3">
        <f t="shared" si="150"/>
        <v>80856.25</v>
      </c>
      <c r="J1191" s="3">
        <f t="shared" si="151"/>
        <v>82734.400000000009</v>
      </c>
      <c r="K1191" s="5">
        <f t="shared" si="152"/>
        <v>308228.15000000002</v>
      </c>
      <c r="L1191" s="5">
        <f t="shared" si="153"/>
        <v>310228.15000000002</v>
      </c>
      <c r="M1191" s="5">
        <f t="shared" si="154"/>
        <v>-2000</v>
      </c>
      <c r="N1191" s="3"/>
    </row>
    <row r="1192" spans="1:14" x14ac:dyDescent="0.25">
      <c r="A1192" s="2">
        <v>1230409</v>
      </c>
      <c r="B1192" s="3">
        <v>66781.25</v>
      </c>
      <c r="C1192" s="3">
        <v>77290</v>
      </c>
      <c r="D1192" s="3">
        <v>80493.75</v>
      </c>
      <c r="E1192" s="3">
        <v>84843.75</v>
      </c>
      <c r="F1192">
        <f t="shared" si="147"/>
        <v>1230409</v>
      </c>
      <c r="G1192" s="3">
        <f t="shared" si="148"/>
        <v>66781.25</v>
      </c>
      <c r="H1192" s="3">
        <f t="shared" si="149"/>
        <v>77290</v>
      </c>
      <c r="I1192" s="3">
        <f t="shared" si="150"/>
        <v>80493.75</v>
      </c>
      <c r="J1192" s="3">
        <f t="shared" si="151"/>
        <v>84843.75</v>
      </c>
      <c r="K1192" s="5">
        <f t="shared" si="152"/>
        <v>309408.75</v>
      </c>
      <c r="L1192" s="5">
        <f t="shared" si="153"/>
        <v>309408.75</v>
      </c>
      <c r="M1192" s="5">
        <f t="shared" si="154"/>
        <v>0</v>
      </c>
      <c r="N1192" s="3"/>
    </row>
    <row r="1193" spans="1:14" x14ac:dyDescent="0.25">
      <c r="A1193" s="2">
        <v>1230410</v>
      </c>
      <c r="B1193" s="3">
        <v>66606.25</v>
      </c>
      <c r="C1193" s="3">
        <v>77290</v>
      </c>
      <c r="D1193" s="3">
        <v>80975</v>
      </c>
      <c r="E1193" s="3">
        <v>84765.599999999991</v>
      </c>
      <c r="F1193">
        <f t="shared" si="147"/>
        <v>1230410</v>
      </c>
      <c r="G1193" s="3">
        <f t="shared" si="148"/>
        <v>66606.25</v>
      </c>
      <c r="H1193" s="3">
        <f t="shared" si="149"/>
        <v>77290</v>
      </c>
      <c r="I1193" s="3">
        <f t="shared" si="150"/>
        <v>80975</v>
      </c>
      <c r="J1193" s="3">
        <f t="shared" si="151"/>
        <v>84765.599999999991</v>
      </c>
      <c r="K1193" s="5">
        <f t="shared" si="152"/>
        <v>309636.84999999998</v>
      </c>
      <c r="L1193" s="5">
        <f t="shared" si="153"/>
        <v>309636.84999999998</v>
      </c>
      <c r="M1193" s="5">
        <f t="shared" si="154"/>
        <v>0</v>
      </c>
      <c r="N1193" s="3"/>
    </row>
    <row r="1194" spans="1:14" x14ac:dyDescent="0.25">
      <c r="A1194" s="2">
        <v>1230411</v>
      </c>
      <c r="B1194" s="3">
        <v>66606.25</v>
      </c>
      <c r="C1194" s="3">
        <v>75590</v>
      </c>
      <c r="D1194" s="3">
        <v>81512.5</v>
      </c>
      <c r="E1194" s="3">
        <v>84140.599999999991</v>
      </c>
      <c r="F1194">
        <f t="shared" si="147"/>
        <v>1230411</v>
      </c>
      <c r="G1194" s="3">
        <f t="shared" si="148"/>
        <v>66606.25</v>
      </c>
      <c r="H1194" s="3">
        <f t="shared" si="149"/>
        <v>75590</v>
      </c>
      <c r="I1194" s="3">
        <f t="shared" si="150"/>
        <v>81512.5</v>
      </c>
      <c r="J1194" s="3">
        <f t="shared" si="151"/>
        <v>84140.599999999991</v>
      </c>
      <c r="K1194" s="5">
        <f t="shared" si="152"/>
        <v>307849.34999999998</v>
      </c>
      <c r="L1194" s="5">
        <f t="shared" si="153"/>
        <v>309636.84999999998</v>
      </c>
      <c r="M1194" s="5">
        <f t="shared" si="154"/>
        <v>-1787.5</v>
      </c>
      <c r="N1194" s="3"/>
    </row>
    <row r="1195" spans="1:14" x14ac:dyDescent="0.25">
      <c r="A1195" s="2">
        <v>1230412</v>
      </c>
      <c r="B1195" s="3">
        <v>65918.75</v>
      </c>
      <c r="C1195" s="3">
        <v>76310</v>
      </c>
      <c r="D1195" s="3">
        <v>80962.5</v>
      </c>
      <c r="E1195" s="3">
        <v>85234.400000000009</v>
      </c>
      <c r="F1195">
        <f t="shared" si="147"/>
        <v>1230412</v>
      </c>
      <c r="G1195" s="3">
        <f t="shared" si="148"/>
        <v>65918.75</v>
      </c>
      <c r="H1195" s="3">
        <f t="shared" si="149"/>
        <v>76310</v>
      </c>
      <c r="I1195" s="3">
        <f t="shared" si="150"/>
        <v>80962.5</v>
      </c>
      <c r="J1195" s="3">
        <f t="shared" si="151"/>
        <v>85234.400000000009</v>
      </c>
      <c r="K1195" s="5">
        <f t="shared" si="152"/>
        <v>308425.65000000002</v>
      </c>
      <c r="L1195" s="5">
        <f t="shared" si="153"/>
        <v>308425.65000000002</v>
      </c>
      <c r="M1195" s="5">
        <f t="shared" si="154"/>
        <v>0</v>
      </c>
      <c r="N1195" s="3"/>
    </row>
    <row r="1196" spans="1:14" x14ac:dyDescent="0.25">
      <c r="A1196" s="2">
        <v>1230413</v>
      </c>
      <c r="B1196" s="3">
        <v>66081.25</v>
      </c>
      <c r="C1196" s="3">
        <v>74340</v>
      </c>
      <c r="D1196" s="3">
        <v>80962.5</v>
      </c>
      <c r="E1196" s="3">
        <v>85859.400000000009</v>
      </c>
      <c r="F1196">
        <f t="shared" si="147"/>
        <v>1230413</v>
      </c>
      <c r="G1196" s="3">
        <f t="shared" si="148"/>
        <v>66081.25</v>
      </c>
      <c r="H1196" s="3">
        <f t="shared" si="149"/>
        <v>74340</v>
      </c>
      <c r="I1196" s="3">
        <f t="shared" si="150"/>
        <v>80962.5</v>
      </c>
      <c r="J1196" s="3">
        <f t="shared" si="151"/>
        <v>85859.400000000009</v>
      </c>
      <c r="K1196" s="5">
        <f t="shared" si="152"/>
        <v>307243.15000000002</v>
      </c>
      <c r="L1196" s="5">
        <f t="shared" si="153"/>
        <v>308425.65000000002</v>
      </c>
      <c r="M1196" s="5">
        <f t="shared" si="154"/>
        <v>-1182.5</v>
      </c>
      <c r="N1196" s="3"/>
    </row>
    <row r="1197" spans="1:14" x14ac:dyDescent="0.25">
      <c r="A1197" s="2">
        <v>1230414</v>
      </c>
      <c r="B1197" s="3">
        <v>66531.25</v>
      </c>
      <c r="C1197" s="3">
        <v>77300</v>
      </c>
      <c r="D1197" s="3">
        <v>80968.75</v>
      </c>
      <c r="E1197" s="3">
        <v>81484.399999999994</v>
      </c>
      <c r="F1197">
        <f t="shared" si="147"/>
        <v>1230414</v>
      </c>
      <c r="G1197" s="3">
        <f t="shared" si="148"/>
        <v>66531.25</v>
      </c>
      <c r="H1197" s="3">
        <f t="shared" si="149"/>
        <v>77300</v>
      </c>
      <c r="I1197" s="3">
        <f t="shared" si="150"/>
        <v>80968.75</v>
      </c>
      <c r="J1197" s="3">
        <f t="shared" si="151"/>
        <v>81484.399999999994</v>
      </c>
      <c r="K1197" s="5">
        <f t="shared" si="152"/>
        <v>306284.40000000002</v>
      </c>
      <c r="L1197" s="5">
        <f t="shared" si="153"/>
        <v>307243.15000000002</v>
      </c>
      <c r="M1197" s="5">
        <f t="shared" si="154"/>
        <v>-958.75</v>
      </c>
      <c r="N1197" s="3"/>
    </row>
    <row r="1198" spans="1:14" x14ac:dyDescent="0.25">
      <c r="A1198" s="2">
        <v>1230416</v>
      </c>
      <c r="B1198" s="3">
        <v>66031.25</v>
      </c>
      <c r="C1198" s="3">
        <v>80940</v>
      </c>
      <c r="D1198" s="3">
        <v>81806.25</v>
      </c>
      <c r="E1198" s="3">
        <v>83984.400000000009</v>
      </c>
      <c r="F1198">
        <f t="shared" si="147"/>
        <v>1230416</v>
      </c>
      <c r="G1198" s="3">
        <f t="shared" si="148"/>
        <v>66031.25</v>
      </c>
      <c r="H1198" s="3">
        <f t="shared" si="149"/>
        <v>80940</v>
      </c>
      <c r="I1198" s="3">
        <f t="shared" si="150"/>
        <v>81806.25</v>
      </c>
      <c r="J1198" s="3">
        <f t="shared" si="151"/>
        <v>83984.400000000009</v>
      </c>
      <c r="K1198" s="5">
        <f t="shared" si="152"/>
        <v>312761.90000000002</v>
      </c>
      <c r="L1198" s="5">
        <f t="shared" si="153"/>
        <v>312761.90000000002</v>
      </c>
      <c r="M1198" s="5">
        <f t="shared" si="154"/>
        <v>0</v>
      </c>
      <c r="N1198" s="3"/>
    </row>
    <row r="1199" spans="1:14" x14ac:dyDescent="0.25">
      <c r="A1199" s="2">
        <v>1230417</v>
      </c>
      <c r="B1199" s="3">
        <v>66106.25</v>
      </c>
      <c r="C1199" s="3">
        <v>80670</v>
      </c>
      <c r="D1199" s="3">
        <v>81925</v>
      </c>
      <c r="E1199" s="3">
        <v>83593.75</v>
      </c>
      <c r="F1199">
        <f t="shared" si="147"/>
        <v>1230417</v>
      </c>
      <c r="G1199" s="3">
        <f t="shared" si="148"/>
        <v>66106.25</v>
      </c>
      <c r="H1199" s="3">
        <f t="shared" si="149"/>
        <v>80670</v>
      </c>
      <c r="I1199" s="3">
        <f t="shared" si="150"/>
        <v>81925</v>
      </c>
      <c r="J1199" s="3">
        <f t="shared" si="151"/>
        <v>83593.75</v>
      </c>
      <c r="K1199" s="5">
        <f t="shared" si="152"/>
        <v>312295</v>
      </c>
      <c r="L1199" s="5">
        <f t="shared" si="153"/>
        <v>312761.90000000002</v>
      </c>
      <c r="M1199" s="5">
        <f t="shared" si="154"/>
        <v>-466.90000000002328</v>
      </c>
      <c r="N1199" s="3"/>
    </row>
    <row r="1200" spans="1:14" x14ac:dyDescent="0.25">
      <c r="A1200" s="2">
        <v>1230418</v>
      </c>
      <c r="B1200" s="3">
        <v>66031.25</v>
      </c>
      <c r="C1200" s="3">
        <v>80420</v>
      </c>
      <c r="D1200" s="3">
        <v>81725</v>
      </c>
      <c r="E1200" s="3">
        <v>86484.400000000009</v>
      </c>
      <c r="F1200">
        <f t="shared" si="147"/>
        <v>1230418</v>
      </c>
      <c r="G1200" s="3">
        <f t="shared" si="148"/>
        <v>66031.25</v>
      </c>
      <c r="H1200" s="3">
        <f t="shared" si="149"/>
        <v>80420</v>
      </c>
      <c r="I1200" s="3">
        <f t="shared" si="150"/>
        <v>81725</v>
      </c>
      <c r="J1200" s="3">
        <f t="shared" si="151"/>
        <v>86484.400000000009</v>
      </c>
      <c r="K1200" s="5">
        <f t="shared" si="152"/>
        <v>314660.65000000002</v>
      </c>
      <c r="L1200" s="5">
        <f t="shared" si="153"/>
        <v>314660.65000000002</v>
      </c>
      <c r="M1200" s="5">
        <f t="shared" si="154"/>
        <v>0</v>
      </c>
      <c r="N1200" s="3"/>
    </row>
    <row r="1201" spans="1:14" x14ac:dyDescent="0.25">
      <c r="A1201" s="2">
        <v>1230419</v>
      </c>
      <c r="B1201" s="3">
        <v>65900</v>
      </c>
      <c r="C1201" s="3">
        <v>79970</v>
      </c>
      <c r="D1201" s="3">
        <v>81175</v>
      </c>
      <c r="E1201" s="3">
        <v>85312.5</v>
      </c>
      <c r="F1201">
        <f t="shared" si="147"/>
        <v>1230419</v>
      </c>
      <c r="G1201" s="3">
        <f t="shared" si="148"/>
        <v>65900</v>
      </c>
      <c r="H1201" s="3">
        <f t="shared" si="149"/>
        <v>79970</v>
      </c>
      <c r="I1201" s="3">
        <f t="shared" si="150"/>
        <v>81175</v>
      </c>
      <c r="J1201" s="3">
        <f t="shared" si="151"/>
        <v>85312.5</v>
      </c>
      <c r="K1201" s="5">
        <f t="shared" si="152"/>
        <v>312357.5</v>
      </c>
      <c r="L1201" s="5">
        <f t="shared" si="153"/>
        <v>314660.65000000002</v>
      </c>
      <c r="M1201" s="5">
        <f t="shared" si="154"/>
        <v>-2303.1500000000233</v>
      </c>
      <c r="N1201" s="3"/>
    </row>
    <row r="1202" spans="1:14" x14ac:dyDescent="0.25">
      <c r="A1202" s="2">
        <v>1230420</v>
      </c>
      <c r="B1202" s="3">
        <v>65675</v>
      </c>
      <c r="C1202" s="3">
        <v>77700</v>
      </c>
      <c r="D1202" s="3">
        <v>80825</v>
      </c>
      <c r="E1202" s="3">
        <v>84609.400000000009</v>
      </c>
      <c r="F1202">
        <f t="shared" si="147"/>
        <v>1230420</v>
      </c>
      <c r="G1202" s="3">
        <f t="shared" si="148"/>
        <v>65675</v>
      </c>
      <c r="H1202" s="3">
        <f t="shared" si="149"/>
        <v>77700</v>
      </c>
      <c r="I1202" s="3">
        <f t="shared" si="150"/>
        <v>80825</v>
      </c>
      <c r="J1202" s="3">
        <f t="shared" si="151"/>
        <v>84609.400000000009</v>
      </c>
      <c r="K1202" s="5">
        <f t="shared" si="152"/>
        <v>308809.40000000002</v>
      </c>
      <c r="L1202" s="5">
        <f t="shared" si="153"/>
        <v>312357.5</v>
      </c>
      <c r="M1202" s="5">
        <f t="shared" si="154"/>
        <v>-3548.0999999999767</v>
      </c>
      <c r="N1202" s="3"/>
    </row>
    <row r="1203" spans="1:14" x14ac:dyDescent="0.25">
      <c r="A1203" s="2">
        <v>1230421</v>
      </c>
      <c r="B1203" s="3">
        <v>65631.25</v>
      </c>
      <c r="C1203" s="3">
        <v>76980</v>
      </c>
      <c r="D1203" s="3">
        <v>81437.5</v>
      </c>
      <c r="E1203" s="3">
        <v>87109.400000000009</v>
      </c>
      <c r="F1203">
        <f t="shared" si="147"/>
        <v>1230421</v>
      </c>
      <c r="G1203" s="3">
        <f t="shared" si="148"/>
        <v>65631.25</v>
      </c>
      <c r="H1203" s="3">
        <f t="shared" si="149"/>
        <v>76980</v>
      </c>
      <c r="I1203" s="3">
        <f t="shared" si="150"/>
        <v>81437.5</v>
      </c>
      <c r="J1203" s="3">
        <f t="shared" si="151"/>
        <v>87109.400000000009</v>
      </c>
      <c r="K1203" s="5">
        <f t="shared" si="152"/>
        <v>311158.15000000002</v>
      </c>
      <c r="L1203" s="5">
        <f t="shared" si="153"/>
        <v>311158.15000000002</v>
      </c>
      <c r="M1203" s="5">
        <f t="shared" si="154"/>
        <v>0</v>
      </c>
      <c r="N1203" s="3"/>
    </row>
    <row r="1204" spans="1:14" x14ac:dyDescent="0.25">
      <c r="A1204" s="2">
        <v>1230423</v>
      </c>
      <c r="B1204" s="3">
        <v>64956.25</v>
      </c>
      <c r="C1204" s="3">
        <v>75520</v>
      </c>
      <c r="D1204" s="3">
        <v>81262.5</v>
      </c>
      <c r="E1204" s="3">
        <v>86328.099999999991</v>
      </c>
      <c r="F1204">
        <f t="shared" si="147"/>
        <v>1230423</v>
      </c>
      <c r="G1204" s="3">
        <f t="shared" si="148"/>
        <v>64956.25</v>
      </c>
      <c r="H1204" s="3">
        <f t="shared" si="149"/>
        <v>75520</v>
      </c>
      <c r="I1204" s="3">
        <f t="shared" si="150"/>
        <v>81262.5</v>
      </c>
      <c r="J1204" s="3">
        <f t="shared" si="151"/>
        <v>86328.099999999991</v>
      </c>
      <c r="K1204" s="5">
        <f t="shared" si="152"/>
        <v>308066.84999999998</v>
      </c>
      <c r="L1204" s="5">
        <f t="shared" si="153"/>
        <v>311158.15000000002</v>
      </c>
      <c r="M1204" s="5">
        <f t="shared" si="154"/>
        <v>-3091.3000000000466</v>
      </c>
      <c r="N1204" s="3"/>
    </row>
    <row r="1205" spans="1:14" x14ac:dyDescent="0.25">
      <c r="A1205" s="2">
        <v>1230424</v>
      </c>
      <c r="B1205" s="3">
        <v>64750</v>
      </c>
      <c r="C1205" s="3">
        <v>75520</v>
      </c>
      <c r="D1205" s="3">
        <v>81462.5</v>
      </c>
      <c r="E1205" s="3">
        <v>86093.75</v>
      </c>
      <c r="F1205">
        <f t="shared" si="147"/>
        <v>1230424</v>
      </c>
      <c r="G1205" s="3">
        <f t="shared" si="148"/>
        <v>64750</v>
      </c>
      <c r="H1205" s="3">
        <f t="shared" si="149"/>
        <v>75520</v>
      </c>
      <c r="I1205" s="3">
        <f t="shared" si="150"/>
        <v>81462.5</v>
      </c>
      <c r="J1205" s="3">
        <f t="shared" si="151"/>
        <v>86093.75</v>
      </c>
      <c r="K1205" s="5">
        <f t="shared" si="152"/>
        <v>307826.25</v>
      </c>
      <c r="L1205" s="5">
        <f t="shared" si="153"/>
        <v>308066.84999999998</v>
      </c>
      <c r="M1205" s="5">
        <f t="shared" si="154"/>
        <v>-240.59999999997672</v>
      </c>
      <c r="N1205" s="3"/>
    </row>
    <row r="1206" spans="1:14" x14ac:dyDescent="0.25">
      <c r="A1206" s="2">
        <v>1230425</v>
      </c>
      <c r="B1206" s="3">
        <v>65187.5</v>
      </c>
      <c r="C1206" s="3">
        <v>76420</v>
      </c>
      <c r="D1206" s="3">
        <v>81175</v>
      </c>
      <c r="E1206" s="3">
        <v>87109.400000000009</v>
      </c>
      <c r="F1206">
        <f t="shared" si="147"/>
        <v>1230425</v>
      </c>
      <c r="G1206" s="3">
        <f t="shared" si="148"/>
        <v>65187.5</v>
      </c>
      <c r="H1206" s="3">
        <f t="shared" si="149"/>
        <v>76420</v>
      </c>
      <c r="I1206" s="3">
        <f t="shared" si="150"/>
        <v>81175</v>
      </c>
      <c r="J1206" s="3">
        <f t="shared" si="151"/>
        <v>87109.400000000009</v>
      </c>
      <c r="K1206" s="5">
        <f t="shared" si="152"/>
        <v>309891.90000000002</v>
      </c>
      <c r="L1206" s="5">
        <f t="shared" si="153"/>
        <v>309891.90000000002</v>
      </c>
      <c r="M1206" s="5">
        <f t="shared" si="154"/>
        <v>0</v>
      </c>
      <c r="N1206" s="3"/>
    </row>
    <row r="1207" spans="1:14" x14ac:dyDescent="0.25">
      <c r="A1207" s="2">
        <v>1230426</v>
      </c>
      <c r="B1207" s="3">
        <v>65668.75</v>
      </c>
      <c r="C1207" s="3">
        <v>75240</v>
      </c>
      <c r="D1207" s="3">
        <v>81662.5</v>
      </c>
      <c r="E1207" s="3">
        <v>89453.099999999991</v>
      </c>
      <c r="F1207">
        <f t="shared" si="147"/>
        <v>1230426</v>
      </c>
      <c r="G1207" s="3">
        <f t="shared" si="148"/>
        <v>65668.75</v>
      </c>
      <c r="H1207" s="3">
        <f t="shared" si="149"/>
        <v>75240</v>
      </c>
      <c r="I1207" s="3">
        <f t="shared" si="150"/>
        <v>81662.5</v>
      </c>
      <c r="J1207" s="3">
        <f t="shared" si="151"/>
        <v>89453.099999999991</v>
      </c>
      <c r="K1207" s="5">
        <f t="shared" si="152"/>
        <v>312024.34999999998</v>
      </c>
      <c r="L1207" s="5">
        <f t="shared" si="153"/>
        <v>312024.34999999998</v>
      </c>
      <c r="M1207" s="5">
        <f t="shared" si="154"/>
        <v>0</v>
      </c>
      <c r="N1207" s="3"/>
    </row>
    <row r="1208" spans="1:14" x14ac:dyDescent="0.25">
      <c r="A1208" s="2">
        <v>1230427</v>
      </c>
      <c r="B1208" s="3">
        <v>65837.5</v>
      </c>
      <c r="C1208" s="3">
        <v>73570</v>
      </c>
      <c r="D1208" s="3">
        <v>80987.5</v>
      </c>
      <c r="E1208" s="3">
        <v>87421.900000000009</v>
      </c>
      <c r="F1208">
        <f t="shared" si="147"/>
        <v>1230427</v>
      </c>
      <c r="G1208" s="3">
        <f t="shared" si="148"/>
        <v>65837.5</v>
      </c>
      <c r="H1208" s="3">
        <f t="shared" si="149"/>
        <v>73570</v>
      </c>
      <c r="I1208" s="3">
        <f t="shared" si="150"/>
        <v>80987.5</v>
      </c>
      <c r="J1208" s="3">
        <f t="shared" si="151"/>
        <v>87421.900000000009</v>
      </c>
      <c r="K1208" s="5">
        <f t="shared" si="152"/>
        <v>307816.90000000002</v>
      </c>
      <c r="L1208" s="5">
        <f t="shared" si="153"/>
        <v>312024.34999999998</v>
      </c>
      <c r="M1208" s="5">
        <f t="shared" si="154"/>
        <v>-4207.4499999999534</v>
      </c>
      <c r="N1208" s="3"/>
    </row>
    <row r="1209" spans="1:14" x14ac:dyDescent="0.25">
      <c r="A1209" s="2">
        <v>1230428</v>
      </c>
      <c r="B1209" s="3">
        <v>66362.5</v>
      </c>
      <c r="C1209" s="3">
        <v>72320</v>
      </c>
      <c r="D1209" s="3">
        <v>80687.5</v>
      </c>
      <c r="E1209" s="3">
        <v>90312.5</v>
      </c>
      <c r="F1209">
        <f t="shared" si="147"/>
        <v>1230428</v>
      </c>
      <c r="G1209" s="3">
        <f t="shared" si="148"/>
        <v>66362.5</v>
      </c>
      <c r="H1209" s="3">
        <f t="shared" si="149"/>
        <v>72320</v>
      </c>
      <c r="I1209" s="3">
        <f t="shared" si="150"/>
        <v>80687.5</v>
      </c>
      <c r="J1209" s="3">
        <f t="shared" si="151"/>
        <v>90312.5</v>
      </c>
      <c r="K1209" s="5">
        <f t="shared" si="152"/>
        <v>309682.5</v>
      </c>
      <c r="L1209" s="5">
        <f t="shared" si="153"/>
        <v>309682.5</v>
      </c>
      <c r="M1209" s="5">
        <f t="shared" si="154"/>
        <v>0</v>
      </c>
      <c r="N1209" s="3"/>
    </row>
    <row r="1210" spans="1:14" x14ac:dyDescent="0.25">
      <c r="A1210" s="2">
        <v>1230430</v>
      </c>
      <c r="B1210" s="3">
        <v>67237.5</v>
      </c>
      <c r="C1210" s="3">
        <v>72590</v>
      </c>
      <c r="D1210" s="3">
        <v>81743.75</v>
      </c>
      <c r="E1210" s="3">
        <v>88203.099999999991</v>
      </c>
      <c r="F1210">
        <f t="shared" si="147"/>
        <v>1230430</v>
      </c>
      <c r="G1210" s="3">
        <f t="shared" si="148"/>
        <v>67237.5</v>
      </c>
      <c r="H1210" s="3">
        <f t="shared" si="149"/>
        <v>72590</v>
      </c>
      <c r="I1210" s="3">
        <f t="shared" si="150"/>
        <v>81743.75</v>
      </c>
      <c r="J1210" s="3">
        <f t="shared" si="151"/>
        <v>88203.099999999991</v>
      </c>
      <c r="K1210" s="5">
        <f t="shared" si="152"/>
        <v>309774.34999999998</v>
      </c>
      <c r="L1210" s="5">
        <f t="shared" si="153"/>
        <v>309774.34999999998</v>
      </c>
      <c r="M1210" s="5">
        <f t="shared" si="154"/>
        <v>0</v>
      </c>
      <c r="N1210" s="3"/>
    </row>
    <row r="1211" spans="1:14" x14ac:dyDescent="0.25">
      <c r="A1211" s="2">
        <v>1230501</v>
      </c>
      <c r="B1211" s="3">
        <v>67412.5</v>
      </c>
      <c r="C1211" s="3">
        <v>72590</v>
      </c>
      <c r="D1211" s="3">
        <v>82181.25</v>
      </c>
      <c r="E1211" s="3">
        <v>87890.599999999991</v>
      </c>
      <c r="F1211">
        <f t="shared" si="147"/>
        <v>1230501</v>
      </c>
      <c r="G1211" s="3">
        <f t="shared" si="148"/>
        <v>67412.5</v>
      </c>
      <c r="H1211" s="3">
        <f t="shared" si="149"/>
        <v>72590</v>
      </c>
      <c r="I1211" s="3">
        <f t="shared" si="150"/>
        <v>82181.25</v>
      </c>
      <c r="J1211" s="3">
        <f t="shared" si="151"/>
        <v>87890.599999999991</v>
      </c>
      <c r="K1211" s="5">
        <f t="shared" si="152"/>
        <v>310074.34999999998</v>
      </c>
      <c r="L1211" s="5">
        <f t="shared" si="153"/>
        <v>310074.34999999998</v>
      </c>
      <c r="M1211" s="5">
        <f t="shared" si="154"/>
        <v>0</v>
      </c>
      <c r="N1211" s="3"/>
    </row>
    <row r="1212" spans="1:14" x14ac:dyDescent="0.25">
      <c r="A1212" s="2">
        <v>1230502</v>
      </c>
      <c r="B1212" s="3">
        <v>67231.25</v>
      </c>
      <c r="C1212" s="3">
        <v>71420</v>
      </c>
      <c r="D1212" s="3">
        <v>82750</v>
      </c>
      <c r="E1212" s="3">
        <v>89531.25</v>
      </c>
      <c r="F1212">
        <f t="shared" si="147"/>
        <v>1230502</v>
      </c>
      <c r="G1212" s="3">
        <f t="shared" si="148"/>
        <v>67231.25</v>
      </c>
      <c r="H1212" s="3">
        <f t="shared" si="149"/>
        <v>71420</v>
      </c>
      <c r="I1212" s="3">
        <f t="shared" si="150"/>
        <v>82750</v>
      </c>
      <c r="J1212" s="3">
        <f t="shared" si="151"/>
        <v>89531.25</v>
      </c>
      <c r="K1212" s="5">
        <f t="shared" si="152"/>
        <v>310932.5</v>
      </c>
      <c r="L1212" s="5">
        <f t="shared" si="153"/>
        <v>310932.5</v>
      </c>
      <c r="M1212" s="5">
        <f t="shared" si="154"/>
        <v>0</v>
      </c>
      <c r="N1212" s="3"/>
    </row>
    <row r="1213" spans="1:14" x14ac:dyDescent="0.25">
      <c r="A1213" s="2">
        <v>1230503</v>
      </c>
      <c r="B1213" s="3">
        <v>67306.25</v>
      </c>
      <c r="C1213" s="3">
        <v>73970</v>
      </c>
      <c r="D1213" s="3">
        <v>83381.25</v>
      </c>
      <c r="E1213" s="3">
        <v>91093.75</v>
      </c>
      <c r="F1213">
        <f t="shared" si="147"/>
        <v>1230503</v>
      </c>
      <c r="G1213" s="3">
        <f t="shared" si="148"/>
        <v>67306.25</v>
      </c>
      <c r="H1213" s="3">
        <f t="shared" si="149"/>
        <v>73970</v>
      </c>
      <c r="I1213" s="3">
        <f t="shared" si="150"/>
        <v>83381.25</v>
      </c>
      <c r="J1213" s="3">
        <f t="shared" si="151"/>
        <v>91093.75</v>
      </c>
      <c r="K1213" s="5">
        <f t="shared" si="152"/>
        <v>315751.25</v>
      </c>
      <c r="L1213" s="5">
        <f t="shared" si="153"/>
        <v>315751.25</v>
      </c>
      <c r="M1213" s="5">
        <f t="shared" si="154"/>
        <v>0</v>
      </c>
      <c r="N1213" s="3"/>
    </row>
    <row r="1214" spans="1:14" x14ac:dyDescent="0.25">
      <c r="A1214" s="2">
        <v>1230504</v>
      </c>
      <c r="B1214" s="3">
        <v>67081.25</v>
      </c>
      <c r="C1214" s="3">
        <v>70970</v>
      </c>
      <c r="D1214" s="3">
        <v>84412.5</v>
      </c>
      <c r="E1214" s="3">
        <v>94921.900000000009</v>
      </c>
      <c r="F1214">
        <f t="shared" si="147"/>
        <v>1230504</v>
      </c>
      <c r="G1214" s="3">
        <f t="shared" si="148"/>
        <v>67081.25</v>
      </c>
      <c r="H1214" s="3">
        <f t="shared" si="149"/>
        <v>70970</v>
      </c>
      <c r="I1214" s="3">
        <f t="shared" si="150"/>
        <v>84412.5</v>
      </c>
      <c r="J1214" s="3">
        <f t="shared" si="151"/>
        <v>94921.900000000009</v>
      </c>
      <c r="K1214" s="5">
        <f t="shared" si="152"/>
        <v>317385.65000000002</v>
      </c>
      <c r="L1214" s="5">
        <f t="shared" si="153"/>
        <v>317385.65000000002</v>
      </c>
      <c r="M1214" s="5">
        <f t="shared" si="154"/>
        <v>0</v>
      </c>
      <c r="N1214" s="3"/>
    </row>
    <row r="1215" spans="1:14" x14ac:dyDescent="0.25">
      <c r="A1215" s="2">
        <v>1230505</v>
      </c>
      <c r="B1215" s="3">
        <v>68037.5</v>
      </c>
      <c r="C1215" s="3">
        <v>70680</v>
      </c>
      <c r="D1215" s="3">
        <v>84156.25</v>
      </c>
      <c r="E1215" s="3">
        <v>89296.900000000009</v>
      </c>
      <c r="F1215">
        <f t="shared" si="147"/>
        <v>1230505</v>
      </c>
      <c r="G1215" s="3">
        <f t="shared" si="148"/>
        <v>68037.5</v>
      </c>
      <c r="H1215" s="3">
        <f t="shared" si="149"/>
        <v>70680</v>
      </c>
      <c r="I1215" s="3">
        <f t="shared" si="150"/>
        <v>84156.25</v>
      </c>
      <c r="J1215" s="3">
        <f t="shared" si="151"/>
        <v>89296.900000000009</v>
      </c>
      <c r="K1215" s="5">
        <f t="shared" si="152"/>
        <v>312170.65000000002</v>
      </c>
      <c r="L1215" s="5">
        <f t="shared" si="153"/>
        <v>317385.65000000002</v>
      </c>
      <c r="M1215" s="5">
        <f t="shared" si="154"/>
        <v>-5215</v>
      </c>
      <c r="N1215" s="3"/>
    </row>
    <row r="1216" spans="1:14" x14ac:dyDescent="0.25">
      <c r="A1216" s="2">
        <v>1230507</v>
      </c>
      <c r="B1216" s="3">
        <v>68600</v>
      </c>
      <c r="C1216" s="3">
        <v>73180</v>
      </c>
      <c r="D1216" s="3">
        <v>84468.75</v>
      </c>
      <c r="E1216" s="3">
        <v>90312.5</v>
      </c>
      <c r="F1216">
        <f t="shared" si="147"/>
        <v>1230507</v>
      </c>
      <c r="G1216" s="3">
        <f t="shared" si="148"/>
        <v>68600</v>
      </c>
      <c r="H1216" s="3">
        <f t="shared" si="149"/>
        <v>73180</v>
      </c>
      <c r="I1216" s="3">
        <f t="shared" si="150"/>
        <v>84468.75</v>
      </c>
      <c r="J1216" s="3">
        <f t="shared" si="151"/>
        <v>90312.5</v>
      </c>
      <c r="K1216" s="5">
        <f t="shared" si="152"/>
        <v>316561.25</v>
      </c>
      <c r="L1216" s="5">
        <f t="shared" si="153"/>
        <v>316561.25</v>
      </c>
      <c r="M1216" s="5">
        <f t="shared" si="154"/>
        <v>0</v>
      </c>
      <c r="N1216" s="3"/>
    </row>
    <row r="1217" spans="1:14" x14ac:dyDescent="0.25">
      <c r="A1217" s="2">
        <v>1230508</v>
      </c>
      <c r="B1217" s="3">
        <v>68481.25</v>
      </c>
      <c r="C1217" s="3">
        <v>72340</v>
      </c>
      <c r="D1217" s="3">
        <v>84250</v>
      </c>
      <c r="E1217" s="3">
        <v>89843.75</v>
      </c>
      <c r="F1217">
        <f t="shared" si="147"/>
        <v>1230508</v>
      </c>
      <c r="G1217" s="3">
        <f t="shared" si="148"/>
        <v>68481.25</v>
      </c>
      <c r="H1217" s="3">
        <f t="shared" si="149"/>
        <v>72340</v>
      </c>
      <c r="I1217" s="3">
        <f t="shared" si="150"/>
        <v>84250</v>
      </c>
      <c r="J1217" s="3">
        <f t="shared" si="151"/>
        <v>89843.75</v>
      </c>
      <c r="K1217" s="5">
        <f t="shared" si="152"/>
        <v>314915</v>
      </c>
      <c r="L1217" s="5">
        <f t="shared" si="153"/>
        <v>316561.25</v>
      </c>
      <c r="M1217" s="5">
        <f t="shared" si="154"/>
        <v>-1646.25</v>
      </c>
      <c r="N1217" s="3"/>
    </row>
    <row r="1218" spans="1:14" x14ac:dyDescent="0.25">
      <c r="A1218" s="2">
        <v>1230509</v>
      </c>
      <c r="B1218" s="3">
        <v>68218.75</v>
      </c>
      <c r="C1218" s="3">
        <v>72450</v>
      </c>
      <c r="D1218" s="3">
        <v>84012.5</v>
      </c>
      <c r="E1218" s="3">
        <v>92265.599999999991</v>
      </c>
      <c r="F1218">
        <f t="shared" si="147"/>
        <v>1230509</v>
      </c>
      <c r="G1218" s="3">
        <f t="shared" si="148"/>
        <v>68218.75</v>
      </c>
      <c r="H1218" s="3">
        <f t="shared" si="149"/>
        <v>72450</v>
      </c>
      <c r="I1218" s="3">
        <f t="shared" si="150"/>
        <v>84012.5</v>
      </c>
      <c r="J1218" s="3">
        <f t="shared" si="151"/>
        <v>92265.599999999991</v>
      </c>
      <c r="K1218" s="5">
        <f t="shared" si="152"/>
        <v>316946.84999999998</v>
      </c>
      <c r="L1218" s="5">
        <f t="shared" si="153"/>
        <v>316946.84999999998</v>
      </c>
      <c r="M1218" s="5">
        <f t="shared" si="154"/>
        <v>0</v>
      </c>
      <c r="N1218" s="3"/>
    </row>
    <row r="1219" spans="1:14" x14ac:dyDescent="0.25">
      <c r="A1219" s="2">
        <v>1230510</v>
      </c>
      <c r="B1219" s="3">
        <v>68643.75</v>
      </c>
      <c r="C1219" s="3">
        <v>73080</v>
      </c>
      <c r="D1219" s="3">
        <v>83743.75</v>
      </c>
      <c r="E1219" s="3">
        <v>92968.75</v>
      </c>
      <c r="F1219">
        <f t="shared" si="147"/>
        <v>1230510</v>
      </c>
      <c r="G1219" s="3">
        <f t="shared" si="148"/>
        <v>68643.75</v>
      </c>
      <c r="H1219" s="3">
        <f t="shared" si="149"/>
        <v>73080</v>
      </c>
      <c r="I1219" s="3">
        <f t="shared" si="150"/>
        <v>83743.75</v>
      </c>
      <c r="J1219" s="3">
        <f t="shared" si="151"/>
        <v>92968.75</v>
      </c>
      <c r="K1219" s="5">
        <f t="shared" si="152"/>
        <v>318436.25</v>
      </c>
      <c r="L1219" s="5">
        <f t="shared" si="153"/>
        <v>318436.25</v>
      </c>
      <c r="M1219" s="5">
        <f t="shared" si="154"/>
        <v>0</v>
      </c>
      <c r="N1219" s="3"/>
    </row>
    <row r="1220" spans="1:14" x14ac:dyDescent="0.25">
      <c r="A1220" s="2">
        <v>1230511</v>
      </c>
      <c r="B1220" s="3">
        <v>67612.5</v>
      </c>
      <c r="C1220" s="3">
        <v>71760</v>
      </c>
      <c r="D1220" s="3">
        <v>84237.5</v>
      </c>
      <c r="E1220" s="3">
        <v>94843.75</v>
      </c>
      <c r="F1220">
        <f t="shared" si="147"/>
        <v>1230511</v>
      </c>
      <c r="G1220" s="3">
        <f t="shared" si="148"/>
        <v>67612.5</v>
      </c>
      <c r="H1220" s="3">
        <f t="shared" si="149"/>
        <v>71760</v>
      </c>
      <c r="I1220" s="3">
        <f t="shared" si="150"/>
        <v>84237.5</v>
      </c>
      <c r="J1220" s="3">
        <f t="shared" si="151"/>
        <v>94843.75</v>
      </c>
      <c r="K1220" s="5">
        <f t="shared" si="152"/>
        <v>318453.75</v>
      </c>
      <c r="L1220" s="5">
        <f t="shared" si="153"/>
        <v>318453.75</v>
      </c>
      <c r="M1220" s="5">
        <f t="shared" si="154"/>
        <v>0</v>
      </c>
      <c r="N1220" s="3"/>
    </row>
    <row r="1221" spans="1:14" x14ac:dyDescent="0.25">
      <c r="A1221" s="2">
        <v>1230512</v>
      </c>
      <c r="B1221" s="3">
        <v>68043.75</v>
      </c>
      <c r="C1221" s="3">
        <v>67070</v>
      </c>
      <c r="D1221" s="3">
        <v>83993.75</v>
      </c>
      <c r="E1221" s="3">
        <v>96875</v>
      </c>
      <c r="F1221">
        <f t="shared" si="147"/>
        <v>1230512</v>
      </c>
      <c r="G1221" s="3">
        <f t="shared" si="148"/>
        <v>68043.75</v>
      </c>
      <c r="H1221" s="3">
        <f t="shared" si="149"/>
        <v>67070</v>
      </c>
      <c r="I1221" s="3">
        <f t="shared" si="150"/>
        <v>83993.75</v>
      </c>
      <c r="J1221" s="3">
        <f t="shared" si="151"/>
        <v>96875</v>
      </c>
      <c r="K1221" s="5">
        <f t="shared" si="152"/>
        <v>315982.5</v>
      </c>
      <c r="L1221" s="5">
        <f t="shared" si="153"/>
        <v>318453.75</v>
      </c>
      <c r="M1221" s="5">
        <f t="shared" si="154"/>
        <v>-2471.25</v>
      </c>
      <c r="N1221" s="3"/>
    </row>
    <row r="1222" spans="1:14" x14ac:dyDescent="0.25">
      <c r="A1222" s="2">
        <v>1230514</v>
      </c>
      <c r="B1222" s="3">
        <v>68487.5</v>
      </c>
      <c r="C1222" s="3">
        <v>65500</v>
      </c>
      <c r="D1222" s="3">
        <v>84375</v>
      </c>
      <c r="E1222" s="3">
        <v>97578.099999999991</v>
      </c>
      <c r="F1222">
        <f t="shared" si="147"/>
        <v>1230514</v>
      </c>
      <c r="G1222" s="3">
        <f t="shared" si="148"/>
        <v>68487.5</v>
      </c>
      <c r="H1222" s="3">
        <f t="shared" si="149"/>
        <v>65500</v>
      </c>
      <c r="I1222" s="3">
        <f t="shared" si="150"/>
        <v>84375</v>
      </c>
      <c r="J1222" s="3">
        <f t="shared" si="151"/>
        <v>97578.099999999991</v>
      </c>
      <c r="K1222" s="5">
        <f t="shared" si="152"/>
        <v>315940.59999999998</v>
      </c>
      <c r="L1222" s="5">
        <f t="shared" si="153"/>
        <v>315982.5</v>
      </c>
      <c r="M1222" s="5">
        <f t="shared" si="154"/>
        <v>-41.900000000023283</v>
      </c>
      <c r="N1222" s="3"/>
    </row>
    <row r="1223" spans="1:14" x14ac:dyDescent="0.25">
      <c r="A1223" s="2">
        <v>1230515</v>
      </c>
      <c r="B1223" s="3">
        <v>68218.75</v>
      </c>
      <c r="C1223" s="3">
        <v>65800</v>
      </c>
      <c r="D1223" s="3">
        <v>84587.5</v>
      </c>
      <c r="E1223" s="3">
        <v>97578.099999999991</v>
      </c>
      <c r="F1223">
        <f t="shared" si="147"/>
        <v>1230515</v>
      </c>
      <c r="G1223" s="3">
        <f t="shared" si="148"/>
        <v>68218.75</v>
      </c>
      <c r="H1223" s="3">
        <f t="shared" si="149"/>
        <v>65800</v>
      </c>
      <c r="I1223" s="3">
        <f t="shared" si="150"/>
        <v>84587.5</v>
      </c>
      <c r="J1223" s="3">
        <f t="shared" si="151"/>
        <v>97578.099999999991</v>
      </c>
      <c r="K1223" s="5">
        <f t="shared" si="152"/>
        <v>316184.34999999998</v>
      </c>
      <c r="L1223" s="5">
        <f t="shared" si="153"/>
        <v>316184.34999999998</v>
      </c>
      <c r="M1223" s="5">
        <f t="shared" si="154"/>
        <v>0</v>
      </c>
      <c r="N1223" s="3"/>
    </row>
    <row r="1224" spans="1:14" x14ac:dyDescent="0.25">
      <c r="A1224" s="2">
        <v>1230516</v>
      </c>
      <c r="B1224" s="3">
        <v>68187.5</v>
      </c>
      <c r="C1224" s="3">
        <v>65330</v>
      </c>
      <c r="D1224" s="3">
        <v>84287.5</v>
      </c>
      <c r="E1224" s="3">
        <v>95781.25</v>
      </c>
      <c r="F1224">
        <f t="shared" si="147"/>
        <v>1230516</v>
      </c>
      <c r="G1224" s="3">
        <f t="shared" si="148"/>
        <v>68187.5</v>
      </c>
      <c r="H1224" s="3">
        <f t="shared" si="149"/>
        <v>65330</v>
      </c>
      <c r="I1224" s="3">
        <f t="shared" si="150"/>
        <v>84287.5</v>
      </c>
      <c r="J1224" s="3">
        <f t="shared" si="151"/>
        <v>95781.25</v>
      </c>
      <c r="K1224" s="5">
        <f t="shared" si="152"/>
        <v>313586.25</v>
      </c>
      <c r="L1224" s="5">
        <f t="shared" si="153"/>
        <v>316184.34999999998</v>
      </c>
      <c r="M1224" s="5">
        <f t="shared" si="154"/>
        <v>-2598.0999999999767</v>
      </c>
      <c r="N1224" s="3"/>
    </row>
    <row r="1225" spans="1:14" x14ac:dyDescent="0.25">
      <c r="A1225" s="2">
        <v>1230517</v>
      </c>
      <c r="B1225" s="3">
        <v>68237.5</v>
      </c>
      <c r="C1225" s="3">
        <v>65820</v>
      </c>
      <c r="D1225" s="3">
        <v>84825</v>
      </c>
      <c r="E1225" s="3">
        <v>97343.75</v>
      </c>
      <c r="F1225">
        <f t="shared" si="147"/>
        <v>1230517</v>
      </c>
      <c r="G1225" s="3">
        <f t="shared" si="148"/>
        <v>68237.5</v>
      </c>
      <c r="H1225" s="3">
        <f t="shared" si="149"/>
        <v>65820</v>
      </c>
      <c r="I1225" s="3">
        <f t="shared" si="150"/>
        <v>84825</v>
      </c>
      <c r="J1225" s="3">
        <f t="shared" si="151"/>
        <v>97343.75</v>
      </c>
      <c r="K1225" s="5">
        <f t="shared" si="152"/>
        <v>316226.25</v>
      </c>
      <c r="L1225" s="5">
        <f t="shared" si="153"/>
        <v>316226.25</v>
      </c>
      <c r="M1225" s="5">
        <f t="shared" si="154"/>
        <v>0</v>
      </c>
      <c r="N1225" s="3"/>
    </row>
    <row r="1226" spans="1:14" x14ac:dyDescent="0.25">
      <c r="A1226" s="2">
        <v>1230518</v>
      </c>
      <c r="B1226" s="3">
        <v>68525</v>
      </c>
      <c r="C1226" s="3">
        <v>66360</v>
      </c>
      <c r="D1226" s="3">
        <v>85550</v>
      </c>
      <c r="E1226" s="3">
        <v>97421.900000000009</v>
      </c>
      <c r="F1226">
        <f t="shared" si="147"/>
        <v>1230518</v>
      </c>
      <c r="G1226" s="3">
        <f t="shared" si="148"/>
        <v>68525</v>
      </c>
      <c r="H1226" s="3">
        <f t="shared" si="149"/>
        <v>66360</v>
      </c>
      <c r="I1226" s="3">
        <f t="shared" si="150"/>
        <v>85550</v>
      </c>
      <c r="J1226" s="3">
        <f t="shared" si="151"/>
        <v>97421.900000000009</v>
      </c>
      <c r="K1226" s="5">
        <f t="shared" si="152"/>
        <v>317856.90000000002</v>
      </c>
      <c r="L1226" s="5">
        <f t="shared" si="153"/>
        <v>317856.90000000002</v>
      </c>
      <c r="M1226" s="5">
        <f t="shared" si="154"/>
        <v>0</v>
      </c>
      <c r="N1226" s="3"/>
    </row>
    <row r="1227" spans="1:14" x14ac:dyDescent="0.25">
      <c r="A1227" s="2">
        <v>1230519</v>
      </c>
      <c r="B1227" s="3">
        <v>69650</v>
      </c>
      <c r="C1227" s="3">
        <v>67900</v>
      </c>
      <c r="D1227" s="3">
        <v>86125</v>
      </c>
      <c r="E1227" s="3">
        <v>100546.90000000001</v>
      </c>
      <c r="F1227">
        <f t="shared" si="147"/>
        <v>1230519</v>
      </c>
      <c r="G1227" s="3">
        <f t="shared" si="148"/>
        <v>69650</v>
      </c>
      <c r="H1227" s="3">
        <f t="shared" si="149"/>
        <v>67900</v>
      </c>
      <c r="I1227" s="3">
        <f t="shared" si="150"/>
        <v>86125</v>
      </c>
      <c r="J1227" s="3">
        <f t="shared" si="151"/>
        <v>100546.90000000001</v>
      </c>
      <c r="K1227" s="5">
        <f t="shared" si="152"/>
        <v>324221.90000000002</v>
      </c>
      <c r="L1227" s="5">
        <f t="shared" si="153"/>
        <v>324221.90000000002</v>
      </c>
      <c r="M1227" s="5">
        <f t="shared" si="154"/>
        <v>0</v>
      </c>
      <c r="N1227" s="3"/>
    </row>
    <row r="1228" spans="1:14" x14ac:dyDescent="0.25">
      <c r="A1228" s="2">
        <v>1230521</v>
      </c>
      <c r="B1228" s="3">
        <v>69887.5</v>
      </c>
      <c r="C1228" s="3">
        <v>68120</v>
      </c>
      <c r="D1228" s="3">
        <v>85987.5</v>
      </c>
      <c r="E1228" s="3">
        <v>101718.75</v>
      </c>
      <c r="F1228">
        <f t="shared" si="147"/>
        <v>1230521</v>
      </c>
      <c r="G1228" s="3">
        <f t="shared" si="148"/>
        <v>69887.5</v>
      </c>
      <c r="H1228" s="3">
        <f t="shared" si="149"/>
        <v>68120</v>
      </c>
      <c r="I1228" s="3">
        <f t="shared" si="150"/>
        <v>85987.5</v>
      </c>
      <c r="J1228" s="3">
        <f t="shared" si="151"/>
        <v>101718.75</v>
      </c>
      <c r="K1228" s="5">
        <f t="shared" si="152"/>
        <v>325713.75</v>
      </c>
      <c r="L1228" s="5">
        <f t="shared" si="153"/>
        <v>325713.75</v>
      </c>
      <c r="M1228" s="5">
        <f t="shared" si="154"/>
        <v>0</v>
      </c>
      <c r="N1228" s="3"/>
    </row>
    <row r="1229" spans="1:14" x14ac:dyDescent="0.25">
      <c r="A1229" s="2">
        <v>1230522</v>
      </c>
      <c r="B1229" s="3">
        <v>69687.5</v>
      </c>
      <c r="C1229" s="3">
        <v>68120</v>
      </c>
      <c r="D1229" s="3">
        <v>85925</v>
      </c>
      <c r="E1229" s="3">
        <v>101406.25</v>
      </c>
      <c r="F1229">
        <f t="shared" si="147"/>
        <v>1230522</v>
      </c>
      <c r="G1229" s="3">
        <f t="shared" si="148"/>
        <v>69687.5</v>
      </c>
      <c r="H1229" s="3">
        <f t="shared" si="149"/>
        <v>68120</v>
      </c>
      <c r="I1229" s="3">
        <f t="shared" si="150"/>
        <v>85925</v>
      </c>
      <c r="J1229" s="3">
        <f t="shared" si="151"/>
        <v>101406.25</v>
      </c>
      <c r="K1229" s="5">
        <f t="shared" si="152"/>
        <v>325138.75</v>
      </c>
      <c r="L1229" s="5">
        <f t="shared" si="153"/>
        <v>325713.75</v>
      </c>
      <c r="M1229" s="5">
        <f t="shared" si="154"/>
        <v>-575</v>
      </c>
      <c r="N1229" s="3"/>
    </row>
    <row r="1230" spans="1:14" x14ac:dyDescent="0.25">
      <c r="A1230" s="2">
        <v>1230523</v>
      </c>
      <c r="B1230" s="3">
        <v>69581.25</v>
      </c>
      <c r="C1230" s="3">
        <v>68080</v>
      </c>
      <c r="D1230" s="3">
        <v>86062.5</v>
      </c>
      <c r="E1230" s="3">
        <v>103125</v>
      </c>
      <c r="F1230">
        <f t="shared" si="147"/>
        <v>1230523</v>
      </c>
      <c r="G1230" s="3">
        <f t="shared" si="148"/>
        <v>69581.25</v>
      </c>
      <c r="H1230" s="3">
        <f t="shared" si="149"/>
        <v>68080</v>
      </c>
      <c r="I1230" s="3">
        <f t="shared" si="150"/>
        <v>86062.5</v>
      </c>
      <c r="J1230" s="3">
        <f t="shared" si="151"/>
        <v>103125</v>
      </c>
      <c r="K1230" s="5">
        <f t="shared" si="152"/>
        <v>326848.75</v>
      </c>
      <c r="L1230" s="5">
        <f t="shared" si="153"/>
        <v>326848.75</v>
      </c>
      <c r="M1230" s="5">
        <f t="shared" si="154"/>
        <v>0</v>
      </c>
      <c r="N1230" s="3"/>
    </row>
    <row r="1231" spans="1:14" x14ac:dyDescent="0.25">
      <c r="A1231" s="2">
        <v>1230524</v>
      </c>
      <c r="B1231" s="3">
        <v>70093.75</v>
      </c>
      <c r="C1231" s="3">
        <v>68480</v>
      </c>
      <c r="D1231" s="3">
        <v>86081.25</v>
      </c>
      <c r="E1231" s="3">
        <v>101953.09999999999</v>
      </c>
      <c r="F1231">
        <f t="shared" si="147"/>
        <v>1230524</v>
      </c>
      <c r="G1231" s="3">
        <f t="shared" si="148"/>
        <v>70093.75</v>
      </c>
      <c r="H1231" s="3">
        <f t="shared" si="149"/>
        <v>68480</v>
      </c>
      <c r="I1231" s="3">
        <f t="shared" si="150"/>
        <v>86081.25</v>
      </c>
      <c r="J1231" s="3">
        <f t="shared" si="151"/>
        <v>101953.09999999999</v>
      </c>
      <c r="K1231" s="5">
        <f t="shared" si="152"/>
        <v>326608.09999999998</v>
      </c>
      <c r="L1231" s="5">
        <f t="shared" si="153"/>
        <v>326848.75</v>
      </c>
      <c r="M1231" s="5">
        <f t="shared" si="154"/>
        <v>-240.65000000002328</v>
      </c>
      <c r="N1231" s="3"/>
    </row>
    <row r="1232" spans="1:14" x14ac:dyDescent="0.25">
      <c r="A1232" s="2">
        <v>1230525</v>
      </c>
      <c r="B1232" s="3">
        <v>70662.5</v>
      </c>
      <c r="C1232" s="3">
        <v>66000</v>
      </c>
      <c r="D1232" s="3">
        <v>86456.25</v>
      </c>
      <c r="E1232" s="3">
        <v>101562.5</v>
      </c>
      <c r="F1232">
        <f t="shared" si="147"/>
        <v>1230525</v>
      </c>
      <c r="G1232" s="3">
        <f t="shared" si="148"/>
        <v>70662.5</v>
      </c>
      <c r="H1232" s="3">
        <f t="shared" si="149"/>
        <v>66000</v>
      </c>
      <c r="I1232" s="3">
        <f t="shared" si="150"/>
        <v>86456.25</v>
      </c>
      <c r="J1232" s="3">
        <f t="shared" si="151"/>
        <v>101562.5</v>
      </c>
      <c r="K1232" s="5">
        <f t="shared" si="152"/>
        <v>324681.25</v>
      </c>
      <c r="L1232" s="5">
        <f t="shared" si="153"/>
        <v>326608.09999999998</v>
      </c>
      <c r="M1232" s="5">
        <f t="shared" si="154"/>
        <v>-1926.8499999999767</v>
      </c>
      <c r="N1232" s="3"/>
    </row>
    <row r="1233" spans="1:14" x14ac:dyDescent="0.25">
      <c r="A1233" s="2">
        <v>1230526</v>
      </c>
      <c r="B1233" s="3">
        <v>69637.5</v>
      </c>
      <c r="C1233" s="3">
        <v>66390</v>
      </c>
      <c r="D1233" s="3">
        <v>86118.75</v>
      </c>
      <c r="E1233" s="3">
        <v>104140.59999999999</v>
      </c>
      <c r="F1233">
        <f t="shared" si="147"/>
        <v>1230526</v>
      </c>
      <c r="G1233" s="3">
        <f t="shared" si="148"/>
        <v>69637.5</v>
      </c>
      <c r="H1233" s="3">
        <f t="shared" si="149"/>
        <v>66390</v>
      </c>
      <c r="I1233" s="3">
        <f t="shared" si="150"/>
        <v>86118.75</v>
      </c>
      <c r="J1233" s="3">
        <f t="shared" si="151"/>
        <v>104140.59999999999</v>
      </c>
      <c r="K1233" s="5">
        <f t="shared" si="152"/>
        <v>326286.84999999998</v>
      </c>
      <c r="L1233" s="5">
        <f t="shared" si="153"/>
        <v>326286.84999999998</v>
      </c>
      <c r="M1233" s="5">
        <f t="shared" si="154"/>
        <v>0</v>
      </c>
      <c r="N1233" s="3"/>
    </row>
    <row r="1234" spans="1:14" x14ac:dyDescent="0.25">
      <c r="A1234" s="2">
        <v>1230528</v>
      </c>
      <c r="B1234" s="3">
        <v>71162.5</v>
      </c>
      <c r="C1234" s="3">
        <v>66540</v>
      </c>
      <c r="D1234" s="3">
        <v>86812.5</v>
      </c>
      <c r="E1234" s="3">
        <v>101796.90000000001</v>
      </c>
      <c r="F1234">
        <f t="shared" si="147"/>
        <v>1230528</v>
      </c>
      <c r="G1234" s="3">
        <f t="shared" si="148"/>
        <v>71162.5</v>
      </c>
      <c r="H1234" s="3">
        <f t="shared" si="149"/>
        <v>66540</v>
      </c>
      <c r="I1234" s="3">
        <f t="shared" si="150"/>
        <v>86812.5</v>
      </c>
      <c r="J1234" s="3">
        <f t="shared" si="151"/>
        <v>101796.90000000001</v>
      </c>
      <c r="K1234" s="5">
        <f t="shared" si="152"/>
        <v>326311.90000000002</v>
      </c>
      <c r="L1234" s="5">
        <f t="shared" si="153"/>
        <v>326311.90000000002</v>
      </c>
      <c r="M1234" s="5">
        <f t="shared" si="154"/>
        <v>0</v>
      </c>
      <c r="N1234" s="3"/>
    </row>
    <row r="1235" spans="1:14" x14ac:dyDescent="0.25">
      <c r="A1235" s="2">
        <v>1230529</v>
      </c>
      <c r="B1235" s="3">
        <v>71162.5</v>
      </c>
      <c r="C1235" s="3">
        <v>66540</v>
      </c>
      <c r="D1235" s="3">
        <v>86581.25</v>
      </c>
      <c r="E1235" s="3">
        <v>102031.25</v>
      </c>
      <c r="F1235">
        <f t="shared" si="147"/>
        <v>1230529</v>
      </c>
      <c r="G1235" s="3">
        <f t="shared" si="148"/>
        <v>71162.5</v>
      </c>
      <c r="H1235" s="3">
        <f t="shared" si="149"/>
        <v>66540</v>
      </c>
      <c r="I1235" s="3">
        <f t="shared" si="150"/>
        <v>86581.25</v>
      </c>
      <c r="J1235" s="3">
        <f t="shared" si="151"/>
        <v>102031.25</v>
      </c>
      <c r="K1235" s="5">
        <f t="shared" si="152"/>
        <v>326315</v>
      </c>
      <c r="L1235" s="5">
        <f t="shared" si="153"/>
        <v>326315</v>
      </c>
      <c r="M1235" s="5">
        <f t="shared" si="154"/>
        <v>0</v>
      </c>
      <c r="N1235" s="3"/>
    </row>
    <row r="1236" spans="1:14" x14ac:dyDescent="0.25">
      <c r="A1236" s="2">
        <v>1230530</v>
      </c>
      <c r="B1236" s="3">
        <v>71162.5</v>
      </c>
      <c r="C1236" s="3">
        <v>64960</v>
      </c>
      <c r="D1236" s="3">
        <v>85875</v>
      </c>
      <c r="E1236" s="3">
        <v>100546.90000000001</v>
      </c>
      <c r="F1236">
        <f t="shared" si="147"/>
        <v>1230530</v>
      </c>
      <c r="G1236" s="3">
        <f t="shared" si="148"/>
        <v>71162.5</v>
      </c>
      <c r="H1236" s="3">
        <f t="shared" si="149"/>
        <v>64960</v>
      </c>
      <c r="I1236" s="3">
        <f t="shared" si="150"/>
        <v>85875</v>
      </c>
      <c r="J1236" s="3">
        <f t="shared" si="151"/>
        <v>100546.90000000001</v>
      </c>
      <c r="K1236" s="5">
        <f t="shared" si="152"/>
        <v>322544.40000000002</v>
      </c>
      <c r="L1236" s="5">
        <f t="shared" si="153"/>
        <v>326315</v>
      </c>
      <c r="M1236" s="5">
        <f t="shared" si="154"/>
        <v>-3770.5999999999767</v>
      </c>
      <c r="N1236" s="3"/>
    </row>
    <row r="1237" spans="1:14" x14ac:dyDescent="0.25">
      <c r="A1237" s="2">
        <v>1230531</v>
      </c>
      <c r="B1237" s="3">
        <v>71562.5</v>
      </c>
      <c r="C1237" s="3">
        <v>67270</v>
      </c>
      <c r="D1237" s="3">
        <v>86187.5</v>
      </c>
      <c r="E1237" s="3">
        <v>103750</v>
      </c>
      <c r="F1237">
        <f t="shared" si="147"/>
        <v>1230531</v>
      </c>
      <c r="G1237" s="3">
        <f t="shared" si="148"/>
        <v>71562.5</v>
      </c>
      <c r="H1237" s="3">
        <f t="shared" si="149"/>
        <v>67270</v>
      </c>
      <c r="I1237" s="3">
        <f t="shared" si="150"/>
        <v>86187.5</v>
      </c>
      <c r="J1237" s="3">
        <f t="shared" si="151"/>
        <v>103750</v>
      </c>
      <c r="K1237" s="5">
        <f t="shared" si="152"/>
        <v>328770</v>
      </c>
      <c r="L1237" s="5">
        <f t="shared" si="153"/>
        <v>328770</v>
      </c>
      <c r="M1237" s="5">
        <f t="shared" si="154"/>
        <v>0</v>
      </c>
      <c r="N1237" s="3"/>
    </row>
    <row r="1238" spans="1:14" x14ac:dyDescent="0.25">
      <c r="A1238" s="2">
        <v>1230601</v>
      </c>
      <c r="B1238" s="3">
        <v>71856.25</v>
      </c>
      <c r="C1238" s="3">
        <v>67270</v>
      </c>
      <c r="D1238" s="3">
        <v>85625</v>
      </c>
      <c r="E1238" s="3">
        <v>103906.25</v>
      </c>
      <c r="F1238">
        <f t="shared" si="147"/>
        <v>1230601</v>
      </c>
      <c r="G1238" s="3">
        <f t="shared" si="148"/>
        <v>71856.25</v>
      </c>
      <c r="H1238" s="3">
        <f t="shared" si="149"/>
        <v>67270</v>
      </c>
      <c r="I1238" s="3">
        <f t="shared" si="150"/>
        <v>85625</v>
      </c>
      <c r="J1238" s="3">
        <f t="shared" si="151"/>
        <v>103906.25</v>
      </c>
      <c r="K1238" s="5">
        <f t="shared" si="152"/>
        <v>328657.5</v>
      </c>
      <c r="L1238" s="5">
        <f t="shared" si="153"/>
        <v>328770</v>
      </c>
      <c r="M1238" s="5">
        <f t="shared" si="154"/>
        <v>-112.5</v>
      </c>
      <c r="N1238" s="3"/>
    </row>
    <row r="1239" spans="1:14" x14ac:dyDescent="0.25">
      <c r="A1239" s="2">
        <v>1230602</v>
      </c>
      <c r="B1239" s="3">
        <v>72400</v>
      </c>
      <c r="C1239" s="3">
        <v>67710</v>
      </c>
      <c r="D1239" s="3">
        <v>85400</v>
      </c>
      <c r="E1239" s="3">
        <v>106093.75</v>
      </c>
      <c r="F1239">
        <f t="shared" si="147"/>
        <v>1230602</v>
      </c>
      <c r="G1239" s="3">
        <f t="shared" si="148"/>
        <v>72400</v>
      </c>
      <c r="H1239" s="3">
        <f t="shared" si="149"/>
        <v>67710</v>
      </c>
      <c r="I1239" s="3">
        <f t="shared" si="150"/>
        <v>85400</v>
      </c>
      <c r="J1239" s="3">
        <f t="shared" si="151"/>
        <v>106093.75</v>
      </c>
      <c r="K1239" s="5">
        <f t="shared" si="152"/>
        <v>331603.75</v>
      </c>
      <c r="L1239" s="5">
        <f t="shared" si="153"/>
        <v>331603.75</v>
      </c>
      <c r="M1239" s="5">
        <f t="shared" si="154"/>
        <v>0</v>
      </c>
      <c r="N1239" s="3"/>
    </row>
    <row r="1240" spans="1:14" x14ac:dyDescent="0.25">
      <c r="A1240" s="2">
        <v>1230604</v>
      </c>
      <c r="B1240" s="3">
        <v>73806.25</v>
      </c>
      <c r="C1240" s="3">
        <v>69830</v>
      </c>
      <c r="D1240" s="3">
        <v>85868.75</v>
      </c>
      <c r="E1240" s="3">
        <v>110312.5</v>
      </c>
      <c r="F1240">
        <f t="shared" si="147"/>
        <v>1230604</v>
      </c>
      <c r="G1240" s="3">
        <f t="shared" si="148"/>
        <v>73806.25</v>
      </c>
      <c r="H1240" s="3">
        <f t="shared" si="149"/>
        <v>69830</v>
      </c>
      <c r="I1240" s="3">
        <f t="shared" si="150"/>
        <v>85868.75</v>
      </c>
      <c r="J1240" s="3">
        <f t="shared" si="151"/>
        <v>110312.5</v>
      </c>
      <c r="K1240" s="5">
        <f t="shared" si="152"/>
        <v>339817.5</v>
      </c>
      <c r="L1240" s="5">
        <f t="shared" si="153"/>
        <v>339817.5</v>
      </c>
      <c r="M1240" s="5">
        <f t="shared" si="154"/>
        <v>0</v>
      </c>
      <c r="N1240" s="3"/>
    </row>
    <row r="1241" spans="1:14" x14ac:dyDescent="0.25">
      <c r="A1241" s="2">
        <v>1230605</v>
      </c>
      <c r="B1241" s="3">
        <v>73593.75</v>
      </c>
      <c r="C1241" s="3">
        <v>70030</v>
      </c>
      <c r="D1241" s="3">
        <v>85887.5</v>
      </c>
      <c r="E1241" s="3">
        <v>111015.59999999999</v>
      </c>
      <c r="F1241">
        <f t="shared" ref="F1241:F1304" si="155">+A1241</f>
        <v>1230605</v>
      </c>
      <c r="G1241" s="3">
        <f t="shared" si="148"/>
        <v>73593.75</v>
      </c>
      <c r="H1241" s="3">
        <f t="shared" si="149"/>
        <v>70030</v>
      </c>
      <c r="I1241" s="3">
        <f t="shared" si="150"/>
        <v>85887.5</v>
      </c>
      <c r="J1241" s="3">
        <f t="shared" si="151"/>
        <v>111015.59999999999</v>
      </c>
      <c r="K1241" s="5">
        <f t="shared" si="152"/>
        <v>340526.85</v>
      </c>
      <c r="L1241" s="5">
        <f t="shared" si="153"/>
        <v>340526.85</v>
      </c>
      <c r="M1241" s="5">
        <f t="shared" si="154"/>
        <v>0</v>
      </c>
      <c r="N1241" s="3"/>
    </row>
    <row r="1242" spans="1:14" x14ac:dyDescent="0.25">
      <c r="A1242" s="2">
        <v>1230606</v>
      </c>
      <c r="B1242" s="3">
        <v>73856.25</v>
      </c>
      <c r="C1242" s="3">
        <v>68140</v>
      </c>
      <c r="D1242" s="3">
        <v>86425</v>
      </c>
      <c r="E1242" s="3">
        <v>110546.90000000001</v>
      </c>
      <c r="F1242">
        <f t="shared" si="155"/>
        <v>1230606</v>
      </c>
      <c r="G1242" s="3">
        <f t="shared" ref="G1242:G1305" si="156">+IF(B1242&lt;&gt;0,B1242,B1241)</f>
        <v>73856.25</v>
      </c>
      <c r="H1242" s="3">
        <f t="shared" ref="H1242:H1305" si="157">+IF(C1242&lt;&gt;0,C1242,C1241)</f>
        <v>68140</v>
      </c>
      <c r="I1242" s="3">
        <f t="shared" ref="I1242:I1305" si="158">+IF(D1242&lt;&gt;0,D1242,D1241)</f>
        <v>86425</v>
      </c>
      <c r="J1242" s="3">
        <f t="shared" ref="J1242:J1305" si="159">+IF(E1242&lt;&gt;0,E1242,E1241)</f>
        <v>110546.90000000001</v>
      </c>
      <c r="K1242" s="5">
        <f t="shared" ref="K1242:K1305" si="160">+SUM(G1242:J1242)</f>
        <v>338968.15</v>
      </c>
      <c r="L1242" s="5">
        <f t="shared" si="153"/>
        <v>340526.85</v>
      </c>
      <c r="M1242" s="5">
        <f t="shared" si="154"/>
        <v>-1558.6999999999534</v>
      </c>
      <c r="N1242" s="3"/>
    </row>
    <row r="1243" spans="1:14" x14ac:dyDescent="0.25">
      <c r="A1243" s="2">
        <v>1230607</v>
      </c>
      <c r="B1243" s="3">
        <v>73987.5</v>
      </c>
      <c r="C1243" s="3">
        <v>67430</v>
      </c>
      <c r="D1243" s="3">
        <v>86300</v>
      </c>
      <c r="E1243" s="3">
        <v>108750</v>
      </c>
      <c r="F1243">
        <f t="shared" si="155"/>
        <v>1230607</v>
      </c>
      <c r="G1243" s="3">
        <f t="shared" si="156"/>
        <v>73987.5</v>
      </c>
      <c r="H1243" s="3">
        <f t="shared" si="157"/>
        <v>67430</v>
      </c>
      <c r="I1243" s="3">
        <f t="shared" si="158"/>
        <v>86300</v>
      </c>
      <c r="J1243" s="3">
        <f t="shared" si="159"/>
        <v>108750</v>
      </c>
      <c r="K1243" s="5">
        <f t="shared" si="160"/>
        <v>336467.5</v>
      </c>
      <c r="L1243" s="5">
        <f t="shared" ref="L1243:L1306" si="161">+IF(K1243&gt;K1242,K1243,K1242)</f>
        <v>338968.15</v>
      </c>
      <c r="M1243" s="5">
        <f t="shared" ref="M1243:M1306" si="162">+K1243-L1243</f>
        <v>-2500.6500000000233</v>
      </c>
      <c r="N1243" s="3"/>
    </row>
    <row r="1244" spans="1:14" x14ac:dyDescent="0.25">
      <c r="A1244" s="2">
        <v>1230608</v>
      </c>
      <c r="B1244" s="3">
        <v>74106.25</v>
      </c>
      <c r="C1244" s="3">
        <v>67200</v>
      </c>
      <c r="D1244" s="3">
        <v>86256.25</v>
      </c>
      <c r="E1244" s="3">
        <v>112968.75</v>
      </c>
      <c r="F1244">
        <f t="shared" si="155"/>
        <v>1230608</v>
      </c>
      <c r="G1244" s="3">
        <f t="shared" si="156"/>
        <v>74106.25</v>
      </c>
      <c r="H1244" s="3">
        <f t="shared" si="157"/>
        <v>67200</v>
      </c>
      <c r="I1244" s="3">
        <f t="shared" si="158"/>
        <v>86256.25</v>
      </c>
      <c r="J1244" s="3">
        <f t="shared" si="159"/>
        <v>112968.75</v>
      </c>
      <c r="K1244" s="5">
        <f t="shared" si="160"/>
        <v>340531.25</v>
      </c>
      <c r="L1244" s="5">
        <f t="shared" si="161"/>
        <v>340531.25</v>
      </c>
      <c r="M1244" s="5">
        <f t="shared" si="162"/>
        <v>0</v>
      </c>
      <c r="N1244" s="3"/>
    </row>
    <row r="1245" spans="1:14" x14ac:dyDescent="0.25">
      <c r="A1245" s="2">
        <v>1230609</v>
      </c>
      <c r="B1245" s="3">
        <v>74100</v>
      </c>
      <c r="C1245" s="3">
        <v>68730</v>
      </c>
      <c r="D1245" s="3">
        <v>86400</v>
      </c>
      <c r="E1245" s="3">
        <v>114687.5</v>
      </c>
      <c r="F1245">
        <f t="shared" si="155"/>
        <v>1230609</v>
      </c>
      <c r="G1245" s="3">
        <f t="shared" si="156"/>
        <v>74100</v>
      </c>
      <c r="H1245" s="3">
        <f t="shared" si="157"/>
        <v>68730</v>
      </c>
      <c r="I1245" s="3">
        <f t="shared" si="158"/>
        <v>86400</v>
      </c>
      <c r="J1245" s="3">
        <f t="shared" si="159"/>
        <v>114687.5</v>
      </c>
      <c r="K1245" s="5">
        <f t="shared" si="160"/>
        <v>343917.5</v>
      </c>
      <c r="L1245" s="5">
        <f t="shared" si="161"/>
        <v>343917.5</v>
      </c>
      <c r="M1245" s="5">
        <f t="shared" si="162"/>
        <v>0</v>
      </c>
      <c r="N1245" s="3"/>
    </row>
    <row r="1246" spans="1:14" x14ac:dyDescent="0.25">
      <c r="A1246" s="2">
        <v>1230611</v>
      </c>
      <c r="B1246" s="3">
        <v>74281.25</v>
      </c>
      <c r="C1246" s="3">
        <v>66760</v>
      </c>
      <c r="D1246" s="3">
        <v>86287.5</v>
      </c>
      <c r="E1246" s="3">
        <v>110468.75</v>
      </c>
      <c r="F1246">
        <f t="shared" si="155"/>
        <v>1230611</v>
      </c>
      <c r="G1246" s="3">
        <f t="shared" si="156"/>
        <v>74281.25</v>
      </c>
      <c r="H1246" s="3">
        <f t="shared" si="157"/>
        <v>66760</v>
      </c>
      <c r="I1246" s="3">
        <f t="shared" si="158"/>
        <v>86287.5</v>
      </c>
      <c r="J1246" s="3">
        <f t="shared" si="159"/>
        <v>110468.75</v>
      </c>
      <c r="K1246" s="5">
        <f t="shared" si="160"/>
        <v>337797.5</v>
      </c>
      <c r="L1246" s="5">
        <f t="shared" si="161"/>
        <v>343917.5</v>
      </c>
      <c r="M1246" s="5">
        <f t="shared" si="162"/>
        <v>-6120</v>
      </c>
      <c r="N1246" s="3"/>
    </row>
    <row r="1247" spans="1:14" x14ac:dyDescent="0.25">
      <c r="A1247" s="2">
        <v>1230612</v>
      </c>
      <c r="B1247" s="3">
        <v>74281.25</v>
      </c>
      <c r="C1247" s="3">
        <v>66690</v>
      </c>
      <c r="D1247" s="3">
        <v>86262.5</v>
      </c>
      <c r="E1247" s="3">
        <v>110390.59999999999</v>
      </c>
      <c r="F1247">
        <f t="shared" si="155"/>
        <v>1230612</v>
      </c>
      <c r="G1247" s="3">
        <f t="shared" si="156"/>
        <v>74281.25</v>
      </c>
      <c r="H1247" s="3">
        <f t="shared" si="157"/>
        <v>66690</v>
      </c>
      <c r="I1247" s="3">
        <f t="shared" si="158"/>
        <v>86262.5</v>
      </c>
      <c r="J1247" s="3">
        <f t="shared" si="159"/>
        <v>110390.59999999999</v>
      </c>
      <c r="K1247" s="5">
        <f t="shared" si="160"/>
        <v>337624.35</v>
      </c>
      <c r="L1247" s="5">
        <f t="shared" si="161"/>
        <v>337797.5</v>
      </c>
      <c r="M1247" s="5">
        <f t="shared" si="162"/>
        <v>-173.15000000002328</v>
      </c>
      <c r="N1247" s="3"/>
    </row>
    <row r="1248" spans="1:14" x14ac:dyDescent="0.25">
      <c r="A1248" s="2">
        <v>1230613</v>
      </c>
      <c r="B1248" s="3">
        <v>74631.25</v>
      </c>
      <c r="C1248" s="3">
        <v>66020</v>
      </c>
      <c r="D1248" s="3">
        <v>86075</v>
      </c>
      <c r="E1248" s="3">
        <v>106718.75</v>
      </c>
      <c r="F1248">
        <f t="shared" si="155"/>
        <v>1230613</v>
      </c>
      <c r="G1248" s="3">
        <f t="shared" si="156"/>
        <v>74631.25</v>
      </c>
      <c r="H1248" s="3">
        <f t="shared" si="157"/>
        <v>66020</v>
      </c>
      <c r="I1248" s="3">
        <f t="shared" si="158"/>
        <v>86075</v>
      </c>
      <c r="J1248" s="3">
        <f t="shared" si="159"/>
        <v>106718.75</v>
      </c>
      <c r="K1248" s="5">
        <f t="shared" si="160"/>
        <v>333445</v>
      </c>
      <c r="L1248" s="5">
        <f t="shared" si="161"/>
        <v>337624.35</v>
      </c>
      <c r="M1248" s="5">
        <f t="shared" si="162"/>
        <v>-4179.3499999999767</v>
      </c>
      <c r="N1248" s="3"/>
    </row>
    <row r="1249" spans="1:14" x14ac:dyDescent="0.25">
      <c r="A1249" s="2">
        <v>1230614</v>
      </c>
      <c r="B1249" s="3">
        <v>74962.5</v>
      </c>
      <c r="C1249" s="3">
        <v>65850</v>
      </c>
      <c r="D1249" s="3">
        <v>86262.5</v>
      </c>
      <c r="E1249" s="3">
        <v>107890.59999999999</v>
      </c>
      <c r="F1249">
        <f t="shared" si="155"/>
        <v>1230614</v>
      </c>
      <c r="G1249" s="3">
        <f t="shared" si="156"/>
        <v>74962.5</v>
      </c>
      <c r="H1249" s="3">
        <f t="shared" si="157"/>
        <v>65850</v>
      </c>
      <c r="I1249" s="3">
        <f t="shared" si="158"/>
        <v>86262.5</v>
      </c>
      <c r="J1249" s="3">
        <f t="shared" si="159"/>
        <v>107890.59999999999</v>
      </c>
      <c r="K1249" s="5">
        <f t="shared" si="160"/>
        <v>334965.59999999998</v>
      </c>
      <c r="L1249" s="5">
        <f t="shared" si="161"/>
        <v>334965.59999999998</v>
      </c>
      <c r="M1249" s="5">
        <f t="shared" si="162"/>
        <v>0</v>
      </c>
      <c r="N1249" s="3"/>
    </row>
    <row r="1250" spans="1:14" x14ac:dyDescent="0.25">
      <c r="A1250" s="2">
        <v>1230615</v>
      </c>
      <c r="B1250" s="3">
        <v>74487.5</v>
      </c>
      <c r="C1250" s="3">
        <v>63810</v>
      </c>
      <c r="D1250" s="3">
        <v>86200</v>
      </c>
      <c r="E1250" s="3">
        <v>105703.09999999999</v>
      </c>
      <c r="F1250">
        <f t="shared" si="155"/>
        <v>1230615</v>
      </c>
      <c r="G1250" s="3">
        <f t="shared" si="156"/>
        <v>74487.5</v>
      </c>
      <c r="H1250" s="3">
        <f t="shared" si="157"/>
        <v>63810</v>
      </c>
      <c r="I1250" s="3">
        <f t="shared" si="158"/>
        <v>86200</v>
      </c>
      <c r="J1250" s="3">
        <f t="shared" si="159"/>
        <v>105703.09999999999</v>
      </c>
      <c r="K1250" s="5">
        <f t="shared" si="160"/>
        <v>330200.59999999998</v>
      </c>
      <c r="L1250" s="5">
        <f t="shared" si="161"/>
        <v>334965.59999999998</v>
      </c>
      <c r="M1250" s="5">
        <f t="shared" si="162"/>
        <v>-4765</v>
      </c>
      <c r="N1250" s="3"/>
    </row>
    <row r="1251" spans="1:14" x14ac:dyDescent="0.25">
      <c r="A1251" s="2">
        <v>1230616</v>
      </c>
      <c r="B1251" s="3">
        <v>74875</v>
      </c>
      <c r="C1251" s="3">
        <v>60810</v>
      </c>
      <c r="D1251" s="3">
        <v>86100</v>
      </c>
      <c r="E1251" s="3">
        <v>104687.5</v>
      </c>
      <c r="F1251">
        <f t="shared" si="155"/>
        <v>1230616</v>
      </c>
      <c r="G1251" s="3">
        <f t="shared" si="156"/>
        <v>74875</v>
      </c>
      <c r="H1251" s="3">
        <f t="shared" si="157"/>
        <v>60810</v>
      </c>
      <c r="I1251" s="3">
        <f t="shared" si="158"/>
        <v>86100</v>
      </c>
      <c r="J1251" s="3">
        <f t="shared" si="159"/>
        <v>104687.5</v>
      </c>
      <c r="K1251" s="5">
        <f t="shared" si="160"/>
        <v>326472.5</v>
      </c>
      <c r="L1251" s="5">
        <f t="shared" si="161"/>
        <v>330200.59999999998</v>
      </c>
      <c r="M1251" s="5">
        <f t="shared" si="162"/>
        <v>-3728.0999999999767</v>
      </c>
      <c r="N1251" s="3"/>
    </row>
    <row r="1252" spans="1:14" x14ac:dyDescent="0.25">
      <c r="A1252" s="2">
        <v>1230618</v>
      </c>
      <c r="B1252" s="3">
        <v>75100</v>
      </c>
      <c r="C1252" s="3">
        <v>59610</v>
      </c>
      <c r="D1252" s="3">
        <v>85906.25</v>
      </c>
      <c r="E1252" s="3">
        <v>103750</v>
      </c>
      <c r="F1252">
        <f t="shared" si="155"/>
        <v>1230618</v>
      </c>
      <c r="G1252" s="3">
        <f t="shared" si="156"/>
        <v>75100</v>
      </c>
      <c r="H1252" s="3">
        <f t="shared" si="157"/>
        <v>59610</v>
      </c>
      <c r="I1252" s="3">
        <f t="shared" si="158"/>
        <v>85906.25</v>
      </c>
      <c r="J1252" s="3">
        <f t="shared" si="159"/>
        <v>103750</v>
      </c>
      <c r="K1252" s="5">
        <f t="shared" si="160"/>
        <v>324366.25</v>
      </c>
      <c r="L1252" s="5">
        <f t="shared" si="161"/>
        <v>326472.5</v>
      </c>
      <c r="M1252" s="5">
        <f t="shared" si="162"/>
        <v>-2106.25</v>
      </c>
      <c r="N1252" s="3"/>
    </row>
    <row r="1253" spans="1:14" x14ac:dyDescent="0.25">
      <c r="A1253" s="2">
        <v>1230619</v>
      </c>
      <c r="B1253" s="3">
        <v>75100</v>
      </c>
      <c r="C1253" s="3">
        <v>59350</v>
      </c>
      <c r="D1253" s="3">
        <v>85681.25</v>
      </c>
      <c r="E1253" s="3">
        <v>103593.75</v>
      </c>
      <c r="F1253">
        <f t="shared" si="155"/>
        <v>1230619</v>
      </c>
      <c r="G1253" s="3">
        <f t="shared" si="156"/>
        <v>75100</v>
      </c>
      <c r="H1253" s="3">
        <f t="shared" si="157"/>
        <v>59350</v>
      </c>
      <c r="I1253" s="3">
        <f t="shared" si="158"/>
        <v>85681.25</v>
      </c>
      <c r="J1253" s="3">
        <f t="shared" si="159"/>
        <v>103593.75</v>
      </c>
      <c r="K1253" s="5">
        <f t="shared" si="160"/>
        <v>323725</v>
      </c>
      <c r="L1253" s="5">
        <f t="shared" si="161"/>
        <v>324366.25</v>
      </c>
      <c r="M1253" s="5">
        <f t="shared" si="162"/>
        <v>-641.25</v>
      </c>
      <c r="N1253" s="3"/>
    </row>
    <row r="1254" spans="1:14" x14ac:dyDescent="0.25">
      <c r="A1254" s="2">
        <v>1230620</v>
      </c>
      <c r="B1254" s="3">
        <v>75150</v>
      </c>
      <c r="C1254" s="3">
        <v>59340</v>
      </c>
      <c r="D1254" s="3">
        <v>85562.5</v>
      </c>
      <c r="E1254" s="3">
        <v>104765.59999999999</v>
      </c>
      <c r="F1254">
        <f t="shared" si="155"/>
        <v>1230620</v>
      </c>
      <c r="G1254" s="3">
        <f t="shared" si="156"/>
        <v>75150</v>
      </c>
      <c r="H1254" s="3">
        <f t="shared" si="157"/>
        <v>59340</v>
      </c>
      <c r="I1254" s="3">
        <f t="shared" si="158"/>
        <v>85562.5</v>
      </c>
      <c r="J1254" s="3">
        <f t="shared" si="159"/>
        <v>104765.59999999999</v>
      </c>
      <c r="K1254" s="5">
        <f t="shared" si="160"/>
        <v>324818.09999999998</v>
      </c>
      <c r="L1254" s="5">
        <f t="shared" si="161"/>
        <v>324818.09999999998</v>
      </c>
      <c r="M1254" s="5">
        <f t="shared" si="162"/>
        <v>0</v>
      </c>
      <c r="N1254" s="3"/>
    </row>
    <row r="1255" spans="1:14" x14ac:dyDescent="0.25">
      <c r="A1255" s="2">
        <v>1230621</v>
      </c>
      <c r="B1255" s="3">
        <v>75356.25</v>
      </c>
      <c r="C1255" s="3">
        <v>59900</v>
      </c>
      <c r="D1255" s="3">
        <v>84837.5</v>
      </c>
      <c r="E1255" s="3">
        <v>104843.75</v>
      </c>
      <c r="F1255">
        <f t="shared" si="155"/>
        <v>1230621</v>
      </c>
      <c r="G1255" s="3">
        <f t="shared" si="156"/>
        <v>75356.25</v>
      </c>
      <c r="H1255" s="3">
        <f t="shared" si="157"/>
        <v>59900</v>
      </c>
      <c r="I1255" s="3">
        <f t="shared" si="158"/>
        <v>84837.5</v>
      </c>
      <c r="J1255" s="3">
        <f t="shared" si="159"/>
        <v>104843.75</v>
      </c>
      <c r="K1255" s="5">
        <f t="shared" si="160"/>
        <v>324937.5</v>
      </c>
      <c r="L1255" s="5">
        <f t="shared" si="161"/>
        <v>324937.5</v>
      </c>
      <c r="M1255" s="5">
        <f t="shared" si="162"/>
        <v>0</v>
      </c>
      <c r="N1255" s="3"/>
    </row>
    <row r="1256" spans="1:14" x14ac:dyDescent="0.25">
      <c r="A1256" s="2">
        <v>1230622</v>
      </c>
      <c r="B1256" s="3">
        <v>75468.75</v>
      </c>
      <c r="C1256" s="3">
        <v>59850</v>
      </c>
      <c r="D1256" s="3">
        <v>84268.75</v>
      </c>
      <c r="E1256" s="3">
        <v>102421.90000000001</v>
      </c>
      <c r="F1256">
        <f t="shared" si="155"/>
        <v>1230622</v>
      </c>
      <c r="G1256" s="3">
        <f t="shared" si="156"/>
        <v>75468.75</v>
      </c>
      <c r="H1256" s="3">
        <f t="shared" si="157"/>
        <v>59850</v>
      </c>
      <c r="I1256" s="3">
        <f t="shared" si="158"/>
        <v>84268.75</v>
      </c>
      <c r="J1256" s="3">
        <f t="shared" si="159"/>
        <v>102421.90000000001</v>
      </c>
      <c r="K1256" s="5">
        <f t="shared" si="160"/>
        <v>322009.40000000002</v>
      </c>
      <c r="L1256" s="5">
        <f t="shared" si="161"/>
        <v>324937.5</v>
      </c>
      <c r="M1256" s="5">
        <f t="shared" si="162"/>
        <v>-2928.0999999999767</v>
      </c>
      <c r="N1256" s="3"/>
    </row>
    <row r="1257" spans="1:14" x14ac:dyDescent="0.25">
      <c r="A1257" s="2">
        <v>1230623</v>
      </c>
      <c r="B1257" s="3">
        <v>75181.25</v>
      </c>
      <c r="C1257" s="3">
        <v>60880</v>
      </c>
      <c r="D1257" s="3">
        <v>84681.25</v>
      </c>
      <c r="E1257" s="3">
        <v>101171.90000000001</v>
      </c>
      <c r="F1257">
        <f t="shared" si="155"/>
        <v>1230623</v>
      </c>
      <c r="G1257" s="3">
        <f t="shared" si="156"/>
        <v>75181.25</v>
      </c>
      <c r="H1257" s="3">
        <f t="shared" si="157"/>
        <v>60880</v>
      </c>
      <c r="I1257" s="3">
        <f t="shared" si="158"/>
        <v>84681.25</v>
      </c>
      <c r="J1257" s="3">
        <f t="shared" si="159"/>
        <v>101171.90000000001</v>
      </c>
      <c r="K1257" s="5">
        <f t="shared" si="160"/>
        <v>321914.40000000002</v>
      </c>
      <c r="L1257" s="5">
        <f t="shared" si="161"/>
        <v>322009.40000000002</v>
      </c>
      <c r="M1257" s="5">
        <f t="shared" si="162"/>
        <v>-95</v>
      </c>
      <c r="N1257" s="3"/>
    </row>
    <row r="1258" spans="1:14" x14ac:dyDescent="0.25">
      <c r="A1258" s="2">
        <v>1230625</v>
      </c>
      <c r="B1258" s="3">
        <v>74993.75</v>
      </c>
      <c r="C1258" s="3">
        <v>61450</v>
      </c>
      <c r="D1258" s="3">
        <v>84106.25</v>
      </c>
      <c r="E1258" s="3">
        <v>99218.75</v>
      </c>
      <c r="F1258">
        <f t="shared" si="155"/>
        <v>1230625</v>
      </c>
      <c r="G1258" s="3">
        <f t="shared" si="156"/>
        <v>74993.75</v>
      </c>
      <c r="H1258" s="3">
        <f t="shared" si="157"/>
        <v>61450</v>
      </c>
      <c r="I1258" s="3">
        <f t="shared" si="158"/>
        <v>84106.25</v>
      </c>
      <c r="J1258" s="3">
        <f t="shared" si="159"/>
        <v>99218.75</v>
      </c>
      <c r="K1258" s="5">
        <f t="shared" si="160"/>
        <v>319768.75</v>
      </c>
      <c r="L1258" s="5">
        <f t="shared" si="161"/>
        <v>321914.40000000002</v>
      </c>
      <c r="M1258" s="5">
        <f t="shared" si="162"/>
        <v>-2145.6500000000233</v>
      </c>
      <c r="N1258" s="3"/>
    </row>
    <row r="1259" spans="1:14" x14ac:dyDescent="0.25">
      <c r="A1259" s="2">
        <v>1230626</v>
      </c>
      <c r="B1259" s="3">
        <v>74993.75</v>
      </c>
      <c r="C1259" s="3">
        <v>61520</v>
      </c>
      <c r="D1259" s="3">
        <v>84050</v>
      </c>
      <c r="E1259" s="3">
        <v>99375</v>
      </c>
      <c r="F1259">
        <f t="shared" si="155"/>
        <v>1230626</v>
      </c>
      <c r="G1259" s="3">
        <f t="shared" si="156"/>
        <v>74993.75</v>
      </c>
      <c r="H1259" s="3">
        <f t="shared" si="157"/>
        <v>61520</v>
      </c>
      <c r="I1259" s="3">
        <f t="shared" si="158"/>
        <v>84050</v>
      </c>
      <c r="J1259" s="3">
        <f t="shared" si="159"/>
        <v>99375</v>
      </c>
      <c r="K1259" s="5">
        <f t="shared" si="160"/>
        <v>319938.75</v>
      </c>
      <c r="L1259" s="5">
        <f t="shared" si="161"/>
        <v>319938.75</v>
      </c>
      <c r="M1259" s="5">
        <f t="shared" si="162"/>
        <v>0</v>
      </c>
      <c r="N1259" s="3"/>
    </row>
    <row r="1260" spans="1:14" x14ac:dyDescent="0.25">
      <c r="A1260" s="2">
        <v>1230627</v>
      </c>
      <c r="B1260" s="3">
        <v>74218.75</v>
      </c>
      <c r="C1260" s="3">
        <v>61770</v>
      </c>
      <c r="D1260" s="3">
        <v>84137.5</v>
      </c>
      <c r="E1260" s="3">
        <v>98828.099999999991</v>
      </c>
      <c r="F1260">
        <f t="shared" si="155"/>
        <v>1230627</v>
      </c>
      <c r="G1260" s="3">
        <f t="shared" si="156"/>
        <v>74218.75</v>
      </c>
      <c r="H1260" s="3">
        <f t="shared" si="157"/>
        <v>61770</v>
      </c>
      <c r="I1260" s="3">
        <f t="shared" si="158"/>
        <v>84137.5</v>
      </c>
      <c r="J1260" s="3">
        <f t="shared" si="159"/>
        <v>98828.099999999991</v>
      </c>
      <c r="K1260" s="5">
        <f t="shared" si="160"/>
        <v>318954.34999999998</v>
      </c>
      <c r="L1260" s="5">
        <f t="shared" si="161"/>
        <v>319938.75</v>
      </c>
      <c r="M1260" s="5">
        <f t="shared" si="162"/>
        <v>-984.40000000002328</v>
      </c>
      <c r="N1260" s="3"/>
    </row>
    <row r="1261" spans="1:14" x14ac:dyDescent="0.25">
      <c r="A1261" s="2">
        <v>1230628</v>
      </c>
      <c r="B1261" s="3">
        <v>74518.75</v>
      </c>
      <c r="C1261" s="3">
        <v>59240</v>
      </c>
      <c r="D1261" s="3">
        <v>83793.75</v>
      </c>
      <c r="E1261" s="3">
        <v>97734.400000000009</v>
      </c>
      <c r="F1261">
        <f t="shared" si="155"/>
        <v>1230628</v>
      </c>
      <c r="G1261" s="3">
        <f t="shared" si="156"/>
        <v>74518.75</v>
      </c>
      <c r="H1261" s="3">
        <f t="shared" si="157"/>
        <v>59240</v>
      </c>
      <c r="I1261" s="3">
        <f t="shared" si="158"/>
        <v>83793.75</v>
      </c>
      <c r="J1261" s="3">
        <f t="shared" si="159"/>
        <v>97734.400000000009</v>
      </c>
      <c r="K1261" s="5">
        <f t="shared" si="160"/>
        <v>315286.90000000002</v>
      </c>
      <c r="L1261" s="5">
        <f t="shared" si="161"/>
        <v>318954.34999999998</v>
      </c>
      <c r="M1261" s="5">
        <f t="shared" si="162"/>
        <v>-3667.4499999999534</v>
      </c>
      <c r="N1261" s="3"/>
    </row>
    <row r="1262" spans="1:14" x14ac:dyDescent="0.25">
      <c r="A1262" s="2">
        <v>1230629</v>
      </c>
      <c r="B1262" s="3">
        <v>74775</v>
      </c>
      <c r="C1262" s="3">
        <v>58860</v>
      </c>
      <c r="D1262" s="3">
        <v>84200</v>
      </c>
      <c r="E1262" s="3">
        <v>94453.099999999991</v>
      </c>
      <c r="F1262">
        <f t="shared" si="155"/>
        <v>1230629</v>
      </c>
      <c r="G1262" s="3">
        <f t="shared" si="156"/>
        <v>74775</v>
      </c>
      <c r="H1262" s="3">
        <f t="shared" si="157"/>
        <v>58860</v>
      </c>
      <c r="I1262" s="3">
        <f t="shared" si="158"/>
        <v>84200</v>
      </c>
      <c r="J1262" s="3">
        <f t="shared" si="159"/>
        <v>94453.099999999991</v>
      </c>
      <c r="K1262" s="5">
        <f t="shared" si="160"/>
        <v>312288.09999999998</v>
      </c>
      <c r="L1262" s="5">
        <f t="shared" si="161"/>
        <v>315286.90000000002</v>
      </c>
      <c r="M1262" s="5">
        <f t="shared" si="162"/>
        <v>-2998.8000000000466</v>
      </c>
      <c r="N1262" s="3"/>
    </row>
    <row r="1263" spans="1:14" x14ac:dyDescent="0.25">
      <c r="A1263" s="2">
        <v>1230630</v>
      </c>
      <c r="B1263" s="3">
        <v>74906.25</v>
      </c>
      <c r="C1263" s="3">
        <v>57580</v>
      </c>
      <c r="D1263" s="3">
        <v>83643.75</v>
      </c>
      <c r="E1263" s="3">
        <v>96562.5</v>
      </c>
      <c r="F1263">
        <f t="shared" si="155"/>
        <v>1230630</v>
      </c>
      <c r="G1263" s="3">
        <f t="shared" si="156"/>
        <v>74906.25</v>
      </c>
      <c r="H1263" s="3">
        <f t="shared" si="157"/>
        <v>57580</v>
      </c>
      <c r="I1263" s="3">
        <f t="shared" si="158"/>
        <v>83643.75</v>
      </c>
      <c r="J1263" s="3">
        <f t="shared" si="159"/>
        <v>96562.5</v>
      </c>
      <c r="K1263" s="5">
        <f t="shared" si="160"/>
        <v>312692.5</v>
      </c>
      <c r="L1263" s="5">
        <f t="shared" si="161"/>
        <v>312692.5</v>
      </c>
      <c r="M1263" s="5">
        <f t="shared" si="162"/>
        <v>0</v>
      </c>
      <c r="N1263" s="3"/>
    </row>
    <row r="1264" spans="1:14" x14ac:dyDescent="0.25">
      <c r="A1264" s="2">
        <v>1230702</v>
      </c>
      <c r="B1264" s="3">
        <v>75043.75</v>
      </c>
      <c r="C1264" s="3">
        <v>58310</v>
      </c>
      <c r="D1264" s="3">
        <v>83668.75</v>
      </c>
      <c r="E1264" s="3">
        <v>95468.75</v>
      </c>
      <c r="F1264">
        <f t="shared" si="155"/>
        <v>1230702</v>
      </c>
      <c r="G1264" s="3">
        <f t="shared" si="156"/>
        <v>75043.75</v>
      </c>
      <c r="H1264" s="3">
        <f t="shared" si="157"/>
        <v>58310</v>
      </c>
      <c r="I1264" s="3">
        <f t="shared" si="158"/>
        <v>83668.75</v>
      </c>
      <c r="J1264" s="3">
        <f t="shared" si="159"/>
        <v>95468.75</v>
      </c>
      <c r="K1264" s="5">
        <f t="shared" si="160"/>
        <v>312491.25</v>
      </c>
      <c r="L1264" s="5">
        <f t="shared" si="161"/>
        <v>312692.5</v>
      </c>
      <c r="M1264" s="5">
        <f t="shared" si="162"/>
        <v>-201.25</v>
      </c>
      <c r="N1264" s="3"/>
    </row>
    <row r="1265" spans="1:14" x14ac:dyDescent="0.25">
      <c r="A1265" s="2">
        <v>1230703</v>
      </c>
      <c r="B1265" s="3">
        <v>75106.25</v>
      </c>
      <c r="C1265" s="3">
        <v>58240</v>
      </c>
      <c r="D1265" s="3">
        <v>83612.5</v>
      </c>
      <c r="E1265" s="3">
        <v>95312.5</v>
      </c>
      <c r="F1265">
        <f t="shared" si="155"/>
        <v>1230703</v>
      </c>
      <c r="G1265" s="3">
        <f t="shared" si="156"/>
        <v>75106.25</v>
      </c>
      <c r="H1265" s="3">
        <f t="shared" si="157"/>
        <v>58240</v>
      </c>
      <c r="I1265" s="3">
        <f t="shared" si="158"/>
        <v>83612.5</v>
      </c>
      <c r="J1265" s="3">
        <f t="shared" si="159"/>
        <v>95312.5</v>
      </c>
      <c r="K1265" s="5">
        <f t="shared" si="160"/>
        <v>312271.25</v>
      </c>
      <c r="L1265" s="5">
        <f t="shared" si="161"/>
        <v>312491.25</v>
      </c>
      <c r="M1265" s="5">
        <f t="shared" si="162"/>
        <v>-220</v>
      </c>
      <c r="N1265" s="3"/>
    </row>
    <row r="1266" spans="1:14" x14ac:dyDescent="0.25">
      <c r="A1266" s="2">
        <v>1230704</v>
      </c>
      <c r="B1266" s="3">
        <v>75075</v>
      </c>
      <c r="C1266" s="3">
        <v>56990</v>
      </c>
      <c r="D1266" s="3">
        <v>83050</v>
      </c>
      <c r="E1266" s="3">
        <v>91640.599999999991</v>
      </c>
      <c r="F1266">
        <f t="shared" si="155"/>
        <v>1230704</v>
      </c>
      <c r="G1266" s="3">
        <f t="shared" si="156"/>
        <v>75075</v>
      </c>
      <c r="H1266" s="3">
        <f t="shared" si="157"/>
        <v>56990</v>
      </c>
      <c r="I1266" s="3">
        <f t="shared" si="158"/>
        <v>83050</v>
      </c>
      <c r="J1266" s="3">
        <f t="shared" si="159"/>
        <v>91640.599999999991</v>
      </c>
      <c r="K1266" s="5">
        <f t="shared" si="160"/>
        <v>306755.59999999998</v>
      </c>
      <c r="L1266" s="5">
        <f t="shared" si="161"/>
        <v>312271.25</v>
      </c>
      <c r="M1266" s="5">
        <f t="shared" si="162"/>
        <v>-5515.6500000000233</v>
      </c>
      <c r="N1266" s="3"/>
    </row>
    <row r="1267" spans="1:14" x14ac:dyDescent="0.25">
      <c r="A1267" s="2">
        <v>1230705</v>
      </c>
      <c r="B1267" s="3">
        <v>75075</v>
      </c>
      <c r="C1267" s="3">
        <v>57520</v>
      </c>
      <c r="D1267" s="3">
        <v>83118.75</v>
      </c>
      <c r="E1267" s="3">
        <v>91796.900000000009</v>
      </c>
      <c r="F1267">
        <f t="shared" si="155"/>
        <v>1230705</v>
      </c>
      <c r="G1267" s="3">
        <f t="shared" si="156"/>
        <v>75075</v>
      </c>
      <c r="H1267" s="3">
        <f t="shared" si="157"/>
        <v>57520</v>
      </c>
      <c r="I1267" s="3">
        <f t="shared" si="158"/>
        <v>83118.75</v>
      </c>
      <c r="J1267" s="3">
        <f t="shared" si="159"/>
        <v>91796.900000000009</v>
      </c>
      <c r="K1267" s="5">
        <f t="shared" si="160"/>
        <v>307510.65000000002</v>
      </c>
      <c r="L1267" s="5">
        <f t="shared" si="161"/>
        <v>307510.65000000002</v>
      </c>
      <c r="M1267" s="5">
        <f t="shared" si="162"/>
        <v>0</v>
      </c>
      <c r="N1267" s="3"/>
    </row>
    <row r="1268" spans="1:14" x14ac:dyDescent="0.25">
      <c r="A1268" s="2">
        <v>1230706</v>
      </c>
      <c r="B1268" s="3">
        <v>75075</v>
      </c>
      <c r="C1268" s="3">
        <v>56460</v>
      </c>
      <c r="D1268" s="3">
        <v>83043.75</v>
      </c>
      <c r="E1268" s="3">
        <v>94140.599999999991</v>
      </c>
      <c r="F1268">
        <f t="shared" si="155"/>
        <v>1230706</v>
      </c>
      <c r="G1268" s="3">
        <f t="shared" si="156"/>
        <v>75075</v>
      </c>
      <c r="H1268" s="3">
        <f t="shared" si="157"/>
        <v>56460</v>
      </c>
      <c r="I1268" s="3">
        <f t="shared" si="158"/>
        <v>83043.75</v>
      </c>
      <c r="J1268" s="3">
        <f t="shared" si="159"/>
        <v>94140.599999999991</v>
      </c>
      <c r="K1268" s="5">
        <f t="shared" si="160"/>
        <v>308719.34999999998</v>
      </c>
      <c r="L1268" s="5">
        <f t="shared" si="161"/>
        <v>308719.34999999998</v>
      </c>
      <c r="M1268" s="5">
        <f t="shared" si="162"/>
        <v>0</v>
      </c>
      <c r="N1268" s="3"/>
    </row>
    <row r="1269" spans="1:14" x14ac:dyDescent="0.25">
      <c r="A1269" s="2">
        <v>1230707</v>
      </c>
      <c r="B1269" s="3">
        <v>74731.25</v>
      </c>
      <c r="C1269" s="3">
        <v>56070</v>
      </c>
      <c r="D1269" s="3">
        <v>82775</v>
      </c>
      <c r="E1269" s="3">
        <v>97187.5</v>
      </c>
      <c r="F1269">
        <f t="shared" si="155"/>
        <v>1230707</v>
      </c>
      <c r="G1269" s="3">
        <f t="shared" si="156"/>
        <v>74731.25</v>
      </c>
      <c r="H1269" s="3">
        <f t="shared" si="157"/>
        <v>56070</v>
      </c>
      <c r="I1269" s="3">
        <f t="shared" si="158"/>
        <v>82775</v>
      </c>
      <c r="J1269" s="3">
        <f t="shared" si="159"/>
        <v>97187.5</v>
      </c>
      <c r="K1269" s="5">
        <f t="shared" si="160"/>
        <v>310763.75</v>
      </c>
      <c r="L1269" s="5">
        <f t="shared" si="161"/>
        <v>310763.75</v>
      </c>
      <c r="M1269" s="5">
        <f t="shared" si="162"/>
        <v>0</v>
      </c>
      <c r="N1269" s="3"/>
    </row>
    <row r="1270" spans="1:14" x14ac:dyDescent="0.25">
      <c r="A1270" s="2">
        <v>1230709</v>
      </c>
      <c r="B1270" s="3">
        <v>74118.75</v>
      </c>
      <c r="C1270" s="3">
        <v>56420</v>
      </c>
      <c r="D1270" s="3">
        <v>82587.5</v>
      </c>
      <c r="E1270" s="3">
        <v>92109.400000000009</v>
      </c>
      <c r="F1270">
        <f t="shared" si="155"/>
        <v>1230709</v>
      </c>
      <c r="G1270" s="3">
        <f t="shared" si="156"/>
        <v>74118.75</v>
      </c>
      <c r="H1270" s="3">
        <f t="shared" si="157"/>
        <v>56420</v>
      </c>
      <c r="I1270" s="3">
        <f t="shared" si="158"/>
        <v>82587.5</v>
      </c>
      <c r="J1270" s="3">
        <f t="shared" si="159"/>
        <v>92109.400000000009</v>
      </c>
      <c r="K1270" s="5">
        <f t="shared" si="160"/>
        <v>305235.65000000002</v>
      </c>
      <c r="L1270" s="5">
        <f t="shared" si="161"/>
        <v>310763.75</v>
      </c>
      <c r="M1270" s="5">
        <f t="shared" si="162"/>
        <v>-5528.0999999999767</v>
      </c>
      <c r="N1270" s="3"/>
    </row>
    <row r="1271" spans="1:14" x14ac:dyDescent="0.25">
      <c r="A1271" s="2">
        <v>1230710</v>
      </c>
      <c r="B1271" s="3">
        <v>73806.25</v>
      </c>
      <c r="C1271" s="3">
        <v>56230</v>
      </c>
      <c r="D1271" s="3">
        <v>82100</v>
      </c>
      <c r="E1271" s="3">
        <v>91718.75</v>
      </c>
      <c r="F1271">
        <f t="shared" si="155"/>
        <v>1230710</v>
      </c>
      <c r="G1271" s="3">
        <f t="shared" si="156"/>
        <v>73806.25</v>
      </c>
      <c r="H1271" s="3">
        <f t="shared" si="157"/>
        <v>56230</v>
      </c>
      <c r="I1271" s="3">
        <f t="shared" si="158"/>
        <v>82100</v>
      </c>
      <c r="J1271" s="3">
        <f t="shared" si="159"/>
        <v>91718.75</v>
      </c>
      <c r="K1271" s="5">
        <f t="shared" si="160"/>
        <v>303855</v>
      </c>
      <c r="L1271" s="5">
        <f t="shared" si="161"/>
        <v>305235.65000000002</v>
      </c>
      <c r="M1271" s="5">
        <f t="shared" si="162"/>
        <v>-1380.6500000000233</v>
      </c>
      <c r="N1271" s="3"/>
    </row>
    <row r="1272" spans="1:14" x14ac:dyDescent="0.25">
      <c r="A1272" s="2">
        <v>1230711</v>
      </c>
      <c r="B1272" s="3">
        <v>74218.75</v>
      </c>
      <c r="C1272" s="3">
        <v>54810</v>
      </c>
      <c r="D1272" s="3">
        <v>83487.5</v>
      </c>
      <c r="E1272" s="3">
        <v>95546.900000000009</v>
      </c>
      <c r="F1272">
        <f t="shared" si="155"/>
        <v>1230711</v>
      </c>
      <c r="G1272" s="3">
        <f t="shared" si="156"/>
        <v>74218.75</v>
      </c>
      <c r="H1272" s="3">
        <f t="shared" si="157"/>
        <v>54810</v>
      </c>
      <c r="I1272" s="3">
        <f t="shared" si="158"/>
        <v>83487.5</v>
      </c>
      <c r="J1272" s="3">
        <f t="shared" si="159"/>
        <v>95546.900000000009</v>
      </c>
      <c r="K1272" s="5">
        <f t="shared" si="160"/>
        <v>308063.15000000002</v>
      </c>
      <c r="L1272" s="5">
        <f t="shared" si="161"/>
        <v>308063.15000000002</v>
      </c>
      <c r="M1272" s="5">
        <f t="shared" si="162"/>
        <v>0</v>
      </c>
      <c r="N1272" s="3"/>
    </row>
    <row r="1273" spans="1:14" x14ac:dyDescent="0.25">
      <c r="A1273" s="2">
        <v>1230712</v>
      </c>
      <c r="B1273" s="3">
        <v>74868.75</v>
      </c>
      <c r="C1273" s="3">
        <v>54140</v>
      </c>
      <c r="D1273" s="3">
        <v>83431.25</v>
      </c>
      <c r="E1273" s="3">
        <v>93593.75</v>
      </c>
      <c r="F1273">
        <f t="shared" si="155"/>
        <v>1230712</v>
      </c>
      <c r="G1273" s="3">
        <f t="shared" si="156"/>
        <v>74868.75</v>
      </c>
      <c r="H1273" s="3">
        <f t="shared" si="157"/>
        <v>54140</v>
      </c>
      <c r="I1273" s="3">
        <f t="shared" si="158"/>
        <v>83431.25</v>
      </c>
      <c r="J1273" s="3">
        <f t="shared" si="159"/>
        <v>93593.75</v>
      </c>
      <c r="K1273" s="5">
        <f t="shared" si="160"/>
        <v>306033.75</v>
      </c>
      <c r="L1273" s="5">
        <f t="shared" si="161"/>
        <v>308063.15000000002</v>
      </c>
      <c r="M1273" s="5">
        <f t="shared" si="162"/>
        <v>-2029.4000000000233</v>
      </c>
      <c r="N1273" s="3"/>
    </row>
    <row r="1274" spans="1:14" x14ac:dyDescent="0.25">
      <c r="A1274" s="2">
        <v>1230713</v>
      </c>
      <c r="B1274" s="3">
        <v>74812.5</v>
      </c>
      <c r="C1274" s="3">
        <v>55280</v>
      </c>
      <c r="D1274" s="3">
        <v>84018.75</v>
      </c>
      <c r="E1274" s="3">
        <v>96250</v>
      </c>
      <c r="F1274">
        <f t="shared" si="155"/>
        <v>1230713</v>
      </c>
      <c r="G1274" s="3">
        <f t="shared" si="156"/>
        <v>74812.5</v>
      </c>
      <c r="H1274" s="3">
        <f t="shared" si="157"/>
        <v>55280</v>
      </c>
      <c r="I1274" s="3">
        <f t="shared" si="158"/>
        <v>84018.75</v>
      </c>
      <c r="J1274" s="3">
        <f t="shared" si="159"/>
        <v>96250</v>
      </c>
      <c r="K1274" s="5">
        <f t="shared" si="160"/>
        <v>310361.25</v>
      </c>
      <c r="L1274" s="5">
        <f t="shared" si="161"/>
        <v>310361.25</v>
      </c>
      <c r="M1274" s="5">
        <f t="shared" si="162"/>
        <v>0</v>
      </c>
      <c r="N1274" s="3"/>
    </row>
    <row r="1275" spans="1:14" x14ac:dyDescent="0.25">
      <c r="A1275" s="2">
        <v>1230714</v>
      </c>
      <c r="B1275" s="3">
        <v>75387.5</v>
      </c>
      <c r="C1275" s="3">
        <v>54090</v>
      </c>
      <c r="D1275" s="3">
        <v>84037.5</v>
      </c>
      <c r="E1275" s="3">
        <v>99062.5</v>
      </c>
      <c r="F1275">
        <f t="shared" si="155"/>
        <v>1230714</v>
      </c>
      <c r="G1275" s="3">
        <f t="shared" si="156"/>
        <v>75387.5</v>
      </c>
      <c r="H1275" s="3">
        <f t="shared" si="157"/>
        <v>54090</v>
      </c>
      <c r="I1275" s="3">
        <f t="shared" si="158"/>
        <v>84037.5</v>
      </c>
      <c r="J1275" s="3">
        <f t="shared" si="159"/>
        <v>99062.5</v>
      </c>
      <c r="K1275" s="5">
        <f t="shared" si="160"/>
        <v>312577.5</v>
      </c>
      <c r="L1275" s="5">
        <f t="shared" si="161"/>
        <v>312577.5</v>
      </c>
      <c r="M1275" s="5">
        <f t="shared" si="162"/>
        <v>0</v>
      </c>
      <c r="N1275" s="3"/>
    </row>
    <row r="1276" spans="1:14" x14ac:dyDescent="0.25">
      <c r="A1276" s="2">
        <v>1230716</v>
      </c>
      <c r="B1276" s="3">
        <v>75500</v>
      </c>
      <c r="C1276" s="3">
        <v>54310</v>
      </c>
      <c r="D1276" s="3">
        <v>83231.25</v>
      </c>
      <c r="E1276" s="3">
        <v>98750</v>
      </c>
      <c r="F1276">
        <f t="shared" si="155"/>
        <v>1230716</v>
      </c>
      <c r="G1276" s="3">
        <f t="shared" si="156"/>
        <v>75500</v>
      </c>
      <c r="H1276" s="3">
        <f t="shared" si="157"/>
        <v>54310</v>
      </c>
      <c r="I1276" s="3">
        <f t="shared" si="158"/>
        <v>83231.25</v>
      </c>
      <c r="J1276" s="3">
        <f t="shared" si="159"/>
        <v>98750</v>
      </c>
      <c r="K1276" s="5">
        <f t="shared" si="160"/>
        <v>311791.25</v>
      </c>
      <c r="L1276" s="5">
        <f t="shared" si="161"/>
        <v>312577.5</v>
      </c>
      <c r="M1276" s="5">
        <f t="shared" si="162"/>
        <v>-786.25</v>
      </c>
      <c r="N1276" s="3"/>
    </row>
    <row r="1277" spans="1:14" x14ac:dyDescent="0.25">
      <c r="A1277" s="2">
        <v>1230717</v>
      </c>
      <c r="B1277" s="3">
        <v>75500</v>
      </c>
      <c r="C1277" s="3">
        <v>54310</v>
      </c>
      <c r="D1277" s="3">
        <v>83143.75</v>
      </c>
      <c r="E1277" s="3">
        <v>98359.400000000009</v>
      </c>
      <c r="F1277">
        <f t="shared" si="155"/>
        <v>1230717</v>
      </c>
      <c r="G1277" s="3">
        <f t="shared" si="156"/>
        <v>75500</v>
      </c>
      <c r="H1277" s="3">
        <f t="shared" si="157"/>
        <v>54310</v>
      </c>
      <c r="I1277" s="3">
        <f t="shared" si="158"/>
        <v>83143.75</v>
      </c>
      <c r="J1277" s="3">
        <f t="shared" si="159"/>
        <v>98359.400000000009</v>
      </c>
      <c r="K1277" s="5">
        <f t="shared" si="160"/>
        <v>311313.15000000002</v>
      </c>
      <c r="L1277" s="5">
        <f t="shared" si="161"/>
        <v>311791.25</v>
      </c>
      <c r="M1277" s="5">
        <f t="shared" si="162"/>
        <v>-478.09999999997672</v>
      </c>
      <c r="N1277" s="3"/>
    </row>
    <row r="1278" spans="1:14" x14ac:dyDescent="0.25">
      <c r="A1278" s="2">
        <v>1230718</v>
      </c>
      <c r="B1278" s="3">
        <v>75675</v>
      </c>
      <c r="C1278" s="3">
        <v>52820</v>
      </c>
      <c r="D1278" s="3">
        <v>83043.75</v>
      </c>
      <c r="E1278" s="3">
        <v>97421.900000000009</v>
      </c>
      <c r="F1278">
        <f t="shared" si="155"/>
        <v>1230718</v>
      </c>
      <c r="G1278" s="3">
        <f t="shared" si="156"/>
        <v>75675</v>
      </c>
      <c r="H1278" s="3">
        <f t="shared" si="157"/>
        <v>52820</v>
      </c>
      <c r="I1278" s="3">
        <f t="shared" si="158"/>
        <v>83043.75</v>
      </c>
      <c r="J1278" s="3">
        <f t="shared" si="159"/>
        <v>97421.900000000009</v>
      </c>
      <c r="K1278" s="5">
        <f t="shared" si="160"/>
        <v>308960.65000000002</v>
      </c>
      <c r="L1278" s="5">
        <f t="shared" si="161"/>
        <v>311313.15000000002</v>
      </c>
      <c r="M1278" s="5">
        <f t="shared" si="162"/>
        <v>-2352.5</v>
      </c>
      <c r="N1278" s="3"/>
    </row>
    <row r="1279" spans="1:14" x14ac:dyDescent="0.25">
      <c r="A1279" s="2">
        <v>1230719</v>
      </c>
      <c r="B1279" s="3">
        <v>76556.25</v>
      </c>
      <c r="C1279" s="3">
        <v>53510</v>
      </c>
      <c r="D1279" s="3">
        <v>83243.75</v>
      </c>
      <c r="E1279" s="3">
        <v>94687.5</v>
      </c>
      <c r="F1279">
        <f t="shared" si="155"/>
        <v>1230719</v>
      </c>
      <c r="G1279" s="3">
        <f t="shared" si="156"/>
        <v>76556.25</v>
      </c>
      <c r="H1279" s="3">
        <f t="shared" si="157"/>
        <v>53510</v>
      </c>
      <c r="I1279" s="3">
        <f t="shared" si="158"/>
        <v>83243.75</v>
      </c>
      <c r="J1279" s="3">
        <f t="shared" si="159"/>
        <v>94687.5</v>
      </c>
      <c r="K1279" s="5">
        <f t="shared" si="160"/>
        <v>307997.5</v>
      </c>
      <c r="L1279" s="5">
        <f t="shared" si="161"/>
        <v>308960.65000000002</v>
      </c>
      <c r="M1279" s="5">
        <f t="shared" si="162"/>
        <v>-963.15000000002328</v>
      </c>
      <c r="N1279" s="3"/>
    </row>
    <row r="1280" spans="1:14" x14ac:dyDescent="0.25">
      <c r="A1280" s="2">
        <v>1230720</v>
      </c>
      <c r="B1280" s="3">
        <v>76793.75</v>
      </c>
      <c r="C1280" s="3">
        <v>52100</v>
      </c>
      <c r="D1280" s="3">
        <v>82993.75</v>
      </c>
      <c r="E1280" s="3">
        <v>93203.099999999991</v>
      </c>
      <c r="F1280">
        <f t="shared" si="155"/>
        <v>1230720</v>
      </c>
      <c r="G1280" s="3">
        <f t="shared" si="156"/>
        <v>76793.75</v>
      </c>
      <c r="H1280" s="3">
        <f t="shared" si="157"/>
        <v>52100</v>
      </c>
      <c r="I1280" s="3">
        <f t="shared" si="158"/>
        <v>82993.75</v>
      </c>
      <c r="J1280" s="3">
        <f t="shared" si="159"/>
        <v>93203.099999999991</v>
      </c>
      <c r="K1280" s="5">
        <f t="shared" si="160"/>
        <v>305090.59999999998</v>
      </c>
      <c r="L1280" s="5">
        <f t="shared" si="161"/>
        <v>307997.5</v>
      </c>
      <c r="M1280" s="5">
        <f t="shared" si="162"/>
        <v>-2906.9000000000233</v>
      </c>
      <c r="N1280" s="3"/>
    </row>
    <row r="1281" spans="1:14" x14ac:dyDescent="0.25">
      <c r="A1281" s="2">
        <v>1230721</v>
      </c>
      <c r="B1281" s="3">
        <v>77018.75</v>
      </c>
      <c r="C1281" s="3">
        <v>53200</v>
      </c>
      <c r="D1281" s="3">
        <v>83075</v>
      </c>
      <c r="E1281" s="3">
        <v>96796.900000000009</v>
      </c>
      <c r="F1281">
        <f t="shared" si="155"/>
        <v>1230721</v>
      </c>
      <c r="G1281" s="3">
        <f t="shared" si="156"/>
        <v>77018.75</v>
      </c>
      <c r="H1281" s="3">
        <f t="shared" si="157"/>
        <v>53200</v>
      </c>
      <c r="I1281" s="3">
        <f t="shared" si="158"/>
        <v>83075</v>
      </c>
      <c r="J1281" s="3">
        <f t="shared" si="159"/>
        <v>96796.900000000009</v>
      </c>
      <c r="K1281" s="5">
        <f t="shared" si="160"/>
        <v>310090.65000000002</v>
      </c>
      <c r="L1281" s="5">
        <f t="shared" si="161"/>
        <v>310090.65000000002</v>
      </c>
      <c r="M1281" s="5">
        <f t="shared" si="162"/>
        <v>0</v>
      </c>
      <c r="N1281" s="3"/>
    </row>
    <row r="1282" spans="1:14" x14ac:dyDescent="0.25">
      <c r="A1282" s="2">
        <v>1230723</v>
      </c>
      <c r="B1282" s="3">
        <v>76793.75</v>
      </c>
      <c r="C1282" s="3">
        <v>53460</v>
      </c>
      <c r="D1282" s="3">
        <v>84131.25</v>
      </c>
      <c r="E1282" s="3">
        <v>95859.400000000009</v>
      </c>
      <c r="F1282">
        <f t="shared" si="155"/>
        <v>1230723</v>
      </c>
      <c r="G1282" s="3">
        <f t="shared" si="156"/>
        <v>76793.75</v>
      </c>
      <c r="H1282" s="3">
        <f t="shared" si="157"/>
        <v>53460</v>
      </c>
      <c r="I1282" s="3">
        <f t="shared" si="158"/>
        <v>84131.25</v>
      </c>
      <c r="J1282" s="3">
        <f t="shared" si="159"/>
        <v>95859.400000000009</v>
      </c>
      <c r="K1282" s="5">
        <f t="shared" si="160"/>
        <v>310244.40000000002</v>
      </c>
      <c r="L1282" s="5">
        <f t="shared" si="161"/>
        <v>310244.40000000002</v>
      </c>
      <c r="M1282" s="5">
        <f t="shared" si="162"/>
        <v>0</v>
      </c>
      <c r="N1282" s="3"/>
    </row>
    <row r="1283" spans="1:14" x14ac:dyDescent="0.25">
      <c r="A1283" s="2">
        <v>1230724</v>
      </c>
      <c r="B1283" s="3">
        <v>76793.75</v>
      </c>
      <c r="C1283" s="3">
        <v>53660</v>
      </c>
      <c r="D1283" s="3">
        <v>83937.5</v>
      </c>
      <c r="E1283" s="3">
        <v>95546.900000000009</v>
      </c>
      <c r="F1283">
        <f t="shared" si="155"/>
        <v>1230724</v>
      </c>
      <c r="G1283" s="3">
        <f t="shared" si="156"/>
        <v>76793.75</v>
      </c>
      <c r="H1283" s="3">
        <f t="shared" si="157"/>
        <v>53660</v>
      </c>
      <c r="I1283" s="3">
        <f t="shared" si="158"/>
        <v>83937.5</v>
      </c>
      <c r="J1283" s="3">
        <f t="shared" si="159"/>
        <v>95546.900000000009</v>
      </c>
      <c r="K1283" s="5">
        <f t="shared" si="160"/>
        <v>309938.15000000002</v>
      </c>
      <c r="L1283" s="5">
        <f t="shared" si="161"/>
        <v>310244.40000000002</v>
      </c>
      <c r="M1283" s="5">
        <f t="shared" si="162"/>
        <v>-306.25</v>
      </c>
      <c r="N1283" s="3"/>
    </row>
    <row r="1284" spans="1:14" x14ac:dyDescent="0.25">
      <c r="A1284" s="2">
        <v>1230725</v>
      </c>
      <c r="B1284" s="3">
        <v>76700</v>
      </c>
      <c r="C1284" s="3">
        <v>52690</v>
      </c>
      <c r="D1284" s="3">
        <v>83268.75</v>
      </c>
      <c r="E1284" s="3">
        <v>94609.400000000009</v>
      </c>
      <c r="F1284">
        <f t="shared" si="155"/>
        <v>1230725</v>
      </c>
      <c r="G1284" s="3">
        <f t="shared" si="156"/>
        <v>76700</v>
      </c>
      <c r="H1284" s="3">
        <f t="shared" si="157"/>
        <v>52690</v>
      </c>
      <c r="I1284" s="3">
        <f t="shared" si="158"/>
        <v>83268.75</v>
      </c>
      <c r="J1284" s="3">
        <f t="shared" si="159"/>
        <v>94609.400000000009</v>
      </c>
      <c r="K1284" s="5">
        <f t="shared" si="160"/>
        <v>307268.15000000002</v>
      </c>
      <c r="L1284" s="5">
        <f t="shared" si="161"/>
        <v>309938.15000000002</v>
      </c>
      <c r="M1284" s="5">
        <f t="shared" si="162"/>
        <v>-2670</v>
      </c>
      <c r="N1284" s="3"/>
    </row>
    <row r="1285" spans="1:14" x14ac:dyDescent="0.25">
      <c r="A1285" s="2">
        <v>1230726</v>
      </c>
      <c r="B1285" s="3">
        <v>77000</v>
      </c>
      <c r="C1285" s="3">
        <v>52080</v>
      </c>
      <c r="D1285" s="3">
        <v>82750</v>
      </c>
      <c r="E1285" s="3">
        <v>93281.25</v>
      </c>
      <c r="F1285">
        <f t="shared" si="155"/>
        <v>1230726</v>
      </c>
      <c r="G1285" s="3">
        <f t="shared" si="156"/>
        <v>77000</v>
      </c>
      <c r="H1285" s="3">
        <f t="shared" si="157"/>
        <v>52080</v>
      </c>
      <c r="I1285" s="3">
        <f t="shared" si="158"/>
        <v>82750</v>
      </c>
      <c r="J1285" s="3">
        <f t="shared" si="159"/>
        <v>93281.25</v>
      </c>
      <c r="K1285" s="5">
        <f t="shared" si="160"/>
        <v>305111.25</v>
      </c>
      <c r="L1285" s="5">
        <f t="shared" si="161"/>
        <v>307268.15000000002</v>
      </c>
      <c r="M1285" s="5">
        <f t="shared" si="162"/>
        <v>-2156.9000000000233</v>
      </c>
      <c r="N1285" s="3"/>
    </row>
    <row r="1286" spans="1:14" x14ac:dyDescent="0.25">
      <c r="A1286" s="2">
        <v>1230727</v>
      </c>
      <c r="B1286" s="3">
        <v>76475</v>
      </c>
      <c r="C1286" s="3">
        <v>51930</v>
      </c>
      <c r="D1286" s="3">
        <v>83375</v>
      </c>
      <c r="E1286" s="3">
        <v>93359.400000000009</v>
      </c>
      <c r="F1286">
        <f t="shared" si="155"/>
        <v>1230727</v>
      </c>
      <c r="G1286" s="3">
        <f t="shared" si="156"/>
        <v>76475</v>
      </c>
      <c r="H1286" s="3">
        <f t="shared" si="157"/>
        <v>51930</v>
      </c>
      <c r="I1286" s="3">
        <f t="shared" si="158"/>
        <v>83375</v>
      </c>
      <c r="J1286" s="3">
        <f t="shared" si="159"/>
        <v>93359.400000000009</v>
      </c>
      <c r="K1286" s="5">
        <f t="shared" si="160"/>
        <v>305139.40000000002</v>
      </c>
      <c r="L1286" s="5">
        <f t="shared" si="161"/>
        <v>305139.40000000002</v>
      </c>
      <c r="M1286" s="5">
        <f t="shared" si="162"/>
        <v>0</v>
      </c>
      <c r="N1286" s="3"/>
    </row>
    <row r="1287" spans="1:14" x14ac:dyDescent="0.25">
      <c r="A1287" s="2">
        <v>1230728</v>
      </c>
      <c r="B1287" s="3">
        <v>77106.25</v>
      </c>
      <c r="C1287" s="3">
        <v>53750</v>
      </c>
      <c r="D1287" s="3">
        <v>83062.5</v>
      </c>
      <c r="E1287" s="3">
        <v>96093.75</v>
      </c>
      <c r="F1287">
        <f t="shared" si="155"/>
        <v>1230728</v>
      </c>
      <c r="G1287" s="3">
        <f t="shared" si="156"/>
        <v>77106.25</v>
      </c>
      <c r="H1287" s="3">
        <f t="shared" si="157"/>
        <v>53750</v>
      </c>
      <c r="I1287" s="3">
        <f t="shared" si="158"/>
        <v>83062.5</v>
      </c>
      <c r="J1287" s="3">
        <f t="shared" si="159"/>
        <v>96093.75</v>
      </c>
      <c r="K1287" s="5">
        <f t="shared" si="160"/>
        <v>310012.5</v>
      </c>
      <c r="L1287" s="5">
        <f t="shared" si="161"/>
        <v>310012.5</v>
      </c>
      <c r="M1287" s="5">
        <f t="shared" si="162"/>
        <v>0</v>
      </c>
      <c r="N1287" s="3"/>
    </row>
    <row r="1288" spans="1:14" x14ac:dyDescent="0.25">
      <c r="A1288" s="2">
        <v>1230730</v>
      </c>
      <c r="B1288" s="3">
        <v>76575</v>
      </c>
      <c r="C1288" s="3">
        <v>54200</v>
      </c>
      <c r="D1288" s="3">
        <v>82700</v>
      </c>
      <c r="E1288" s="3">
        <v>94609.400000000009</v>
      </c>
      <c r="F1288">
        <f t="shared" si="155"/>
        <v>1230730</v>
      </c>
      <c r="G1288" s="3">
        <f t="shared" si="156"/>
        <v>76575</v>
      </c>
      <c r="H1288" s="3">
        <f t="shared" si="157"/>
        <v>54200</v>
      </c>
      <c r="I1288" s="3">
        <f t="shared" si="158"/>
        <v>82700</v>
      </c>
      <c r="J1288" s="3">
        <f t="shared" si="159"/>
        <v>94609.400000000009</v>
      </c>
      <c r="K1288" s="5">
        <f t="shared" si="160"/>
        <v>308084.40000000002</v>
      </c>
      <c r="L1288" s="5">
        <f t="shared" si="161"/>
        <v>310012.5</v>
      </c>
      <c r="M1288" s="5">
        <f t="shared" si="162"/>
        <v>-1928.0999999999767</v>
      </c>
      <c r="N1288" s="3"/>
    </row>
    <row r="1289" spans="1:14" x14ac:dyDescent="0.25">
      <c r="A1289" s="2">
        <v>1230731</v>
      </c>
      <c r="B1289" s="3">
        <v>76143.75</v>
      </c>
      <c r="C1289" s="3">
        <v>53620</v>
      </c>
      <c r="D1289" s="3">
        <v>83362.5</v>
      </c>
      <c r="E1289" s="3">
        <v>93281.25</v>
      </c>
      <c r="F1289">
        <f t="shared" si="155"/>
        <v>1230731</v>
      </c>
      <c r="G1289" s="3">
        <f t="shared" si="156"/>
        <v>76143.75</v>
      </c>
      <c r="H1289" s="3">
        <f t="shared" si="157"/>
        <v>53620</v>
      </c>
      <c r="I1289" s="3">
        <f t="shared" si="158"/>
        <v>83362.5</v>
      </c>
      <c r="J1289" s="3">
        <f t="shared" si="159"/>
        <v>93281.25</v>
      </c>
      <c r="K1289" s="5">
        <f t="shared" si="160"/>
        <v>306407.5</v>
      </c>
      <c r="L1289" s="5">
        <f t="shared" si="161"/>
        <v>308084.40000000002</v>
      </c>
      <c r="M1289" s="5">
        <f t="shared" si="162"/>
        <v>-1676.9000000000233</v>
      </c>
      <c r="N1289" s="3"/>
    </row>
    <row r="1290" spans="1:14" x14ac:dyDescent="0.25">
      <c r="A1290" s="2">
        <v>1230801</v>
      </c>
      <c r="B1290" s="3">
        <v>76362.5</v>
      </c>
      <c r="C1290" s="3">
        <v>53200</v>
      </c>
      <c r="D1290" s="3">
        <v>83900</v>
      </c>
      <c r="E1290" s="3">
        <v>94609.400000000009</v>
      </c>
      <c r="F1290">
        <f t="shared" si="155"/>
        <v>1230801</v>
      </c>
      <c r="G1290" s="3">
        <f t="shared" si="156"/>
        <v>76362.5</v>
      </c>
      <c r="H1290" s="3">
        <f t="shared" si="157"/>
        <v>53200</v>
      </c>
      <c r="I1290" s="3">
        <f t="shared" si="158"/>
        <v>83900</v>
      </c>
      <c r="J1290" s="3">
        <f t="shared" si="159"/>
        <v>94609.400000000009</v>
      </c>
      <c r="K1290" s="5">
        <f t="shared" si="160"/>
        <v>308071.90000000002</v>
      </c>
      <c r="L1290" s="5">
        <f t="shared" si="161"/>
        <v>308071.90000000002</v>
      </c>
      <c r="M1290" s="5">
        <f t="shared" si="162"/>
        <v>0</v>
      </c>
      <c r="N1290" s="3"/>
    </row>
    <row r="1291" spans="1:14" x14ac:dyDescent="0.25">
      <c r="A1291" s="2">
        <v>1230802</v>
      </c>
      <c r="B1291" s="3">
        <v>76693.75</v>
      </c>
      <c r="C1291" s="3">
        <v>53030</v>
      </c>
      <c r="D1291" s="3">
        <v>84081.25</v>
      </c>
      <c r="E1291" s="3">
        <v>95000</v>
      </c>
      <c r="F1291">
        <f t="shared" si="155"/>
        <v>1230802</v>
      </c>
      <c r="G1291" s="3">
        <f t="shared" si="156"/>
        <v>76693.75</v>
      </c>
      <c r="H1291" s="3">
        <f t="shared" si="157"/>
        <v>53030</v>
      </c>
      <c r="I1291" s="3">
        <f t="shared" si="158"/>
        <v>84081.25</v>
      </c>
      <c r="J1291" s="3">
        <f t="shared" si="159"/>
        <v>95000</v>
      </c>
      <c r="K1291" s="5">
        <f t="shared" si="160"/>
        <v>308805</v>
      </c>
      <c r="L1291" s="5">
        <f t="shared" si="161"/>
        <v>308805</v>
      </c>
      <c r="M1291" s="5">
        <f t="shared" si="162"/>
        <v>0</v>
      </c>
      <c r="N1291" s="3"/>
    </row>
    <row r="1292" spans="1:14" x14ac:dyDescent="0.25">
      <c r="A1292" s="2">
        <v>1230803</v>
      </c>
      <c r="B1292" s="3">
        <v>77737.5</v>
      </c>
      <c r="C1292" s="3">
        <v>53350</v>
      </c>
      <c r="D1292" s="3">
        <v>84550</v>
      </c>
      <c r="E1292" s="3">
        <v>95000</v>
      </c>
      <c r="F1292">
        <f t="shared" si="155"/>
        <v>1230803</v>
      </c>
      <c r="G1292" s="3">
        <f t="shared" si="156"/>
        <v>77737.5</v>
      </c>
      <c r="H1292" s="3">
        <f t="shared" si="157"/>
        <v>53350</v>
      </c>
      <c r="I1292" s="3">
        <f t="shared" si="158"/>
        <v>84550</v>
      </c>
      <c r="J1292" s="3">
        <f t="shared" si="159"/>
        <v>95000</v>
      </c>
      <c r="K1292" s="5">
        <f t="shared" si="160"/>
        <v>310637.5</v>
      </c>
      <c r="L1292" s="5">
        <f t="shared" si="161"/>
        <v>310637.5</v>
      </c>
      <c r="M1292" s="5">
        <f t="shared" si="162"/>
        <v>0</v>
      </c>
      <c r="N1292" s="3"/>
    </row>
    <row r="1293" spans="1:14" x14ac:dyDescent="0.25">
      <c r="A1293" s="2">
        <v>1230804</v>
      </c>
      <c r="B1293" s="3">
        <v>77975</v>
      </c>
      <c r="C1293" s="3">
        <v>53820</v>
      </c>
      <c r="D1293" s="3">
        <v>84131.25</v>
      </c>
      <c r="E1293" s="3">
        <v>96562.5</v>
      </c>
      <c r="F1293">
        <f t="shared" si="155"/>
        <v>1230804</v>
      </c>
      <c r="G1293" s="3">
        <f t="shared" si="156"/>
        <v>77975</v>
      </c>
      <c r="H1293" s="3">
        <f t="shared" si="157"/>
        <v>53820</v>
      </c>
      <c r="I1293" s="3">
        <f t="shared" si="158"/>
        <v>84131.25</v>
      </c>
      <c r="J1293" s="3">
        <f t="shared" si="159"/>
        <v>96562.5</v>
      </c>
      <c r="K1293" s="5">
        <f t="shared" si="160"/>
        <v>312488.75</v>
      </c>
      <c r="L1293" s="5">
        <f t="shared" si="161"/>
        <v>312488.75</v>
      </c>
      <c r="M1293" s="5">
        <f t="shared" si="162"/>
        <v>0</v>
      </c>
      <c r="N1293" s="3"/>
    </row>
    <row r="1294" spans="1:14" x14ac:dyDescent="0.25">
      <c r="A1294" s="2">
        <v>1230806</v>
      </c>
      <c r="B1294" s="3">
        <v>77250</v>
      </c>
      <c r="C1294" s="3">
        <v>51380</v>
      </c>
      <c r="D1294" s="3">
        <v>84087.5</v>
      </c>
      <c r="E1294" s="3">
        <v>96484.400000000009</v>
      </c>
      <c r="F1294">
        <f t="shared" si="155"/>
        <v>1230806</v>
      </c>
      <c r="G1294" s="3">
        <f t="shared" si="156"/>
        <v>77250</v>
      </c>
      <c r="H1294" s="3">
        <f t="shared" si="157"/>
        <v>51380</v>
      </c>
      <c r="I1294" s="3">
        <f t="shared" si="158"/>
        <v>84087.5</v>
      </c>
      <c r="J1294" s="3">
        <f t="shared" si="159"/>
        <v>96484.400000000009</v>
      </c>
      <c r="K1294" s="5">
        <f t="shared" si="160"/>
        <v>309201.90000000002</v>
      </c>
      <c r="L1294" s="5">
        <f t="shared" si="161"/>
        <v>312488.75</v>
      </c>
      <c r="M1294" s="5">
        <f t="shared" si="162"/>
        <v>-3286.8499999999767</v>
      </c>
      <c r="N1294" s="3"/>
    </row>
    <row r="1295" spans="1:14" x14ac:dyDescent="0.25">
      <c r="A1295" s="2">
        <v>1230807</v>
      </c>
      <c r="B1295" s="3">
        <v>77075</v>
      </c>
      <c r="C1295" s="3">
        <v>51830</v>
      </c>
      <c r="D1295" s="3">
        <v>83906.25</v>
      </c>
      <c r="E1295" s="3">
        <v>96328.099999999991</v>
      </c>
      <c r="F1295">
        <f t="shared" si="155"/>
        <v>1230807</v>
      </c>
      <c r="G1295" s="3">
        <f t="shared" si="156"/>
        <v>77075</v>
      </c>
      <c r="H1295" s="3">
        <f t="shared" si="157"/>
        <v>51830</v>
      </c>
      <c r="I1295" s="3">
        <f t="shared" si="158"/>
        <v>83906.25</v>
      </c>
      <c r="J1295" s="3">
        <f t="shared" si="159"/>
        <v>96328.099999999991</v>
      </c>
      <c r="K1295" s="5">
        <f t="shared" si="160"/>
        <v>309139.34999999998</v>
      </c>
      <c r="L1295" s="5">
        <f t="shared" si="161"/>
        <v>309201.90000000002</v>
      </c>
      <c r="M1295" s="5">
        <f t="shared" si="162"/>
        <v>-62.550000000046566</v>
      </c>
      <c r="N1295" s="3"/>
    </row>
    <row r="1296" spans="1:14" x14ac:dyDescent="0.25">
      <c r="A1296" s="2">
        <v>1230808</v>
      </c>
      <c r="B1296" s="3">
        <v>76762.5</v>
      </c>
      <c r="C1296" s="3">
        <v>52390</v>
      </c>
      <c r="D1296" s="3">
        <v>84193.75</v>
      </c>
      <c r="E1296" s="3">
        <v>97187.5</v>
      </c>
      <c r="F1296">
        <f t="shared" si="155"/>
        <v>1230808</v>
      </c>
      <c r="G1296" s="3">
        <f t="shared" si="156"/>
        <v>76762.5</v>
      </c>
      <c r="H1296" s="3">
        <f t="shared" si="157"/>
        <v>52390</v>
      </c>
      <c r="I1296" s="3">
        <f t="shared" si="158"/>
        <v>84193.75</v>
      </c>
      <c r="J1296" s="3">
        <f t="shared" si="159"/>
        <v>97187.5</v>
      </c>
      <c r="K1296" s="5">
        <f t="shared" si="160"/>
        <v>310533.75</v>
      </c>
      <c r="L1296" s="5">
        <f t="shared" si="161"/>
        <v>310533.75</v>
      </c>
      <c r="M1296" s="5">
        <f t="shared" si="162"/>
        <v>0</v>
      </c>
      <c r="N1296" s="3"/>
    </row>
    <row r="1297" spans="1:14" x14ac:dyDescent="0.25">
      <c r="A1297" s="2">
        <v>1230809</v>
      </c>
      <c r="B1297" s="3">
        <v>74981.25</v>
      </c>
      <c r="C1297" s="3">
        <v>51930</v>
      </c>
      <c r="D1297" s="3">
        <v>84225</v>
      </c>
      <c r="E1297" s="3">
        <v>98203.099999999991</v>
      </c>
      <c r="F1297">
        <f t="shared" si="155"/>
        <v>1230809</v>
      </c>
      <c r="G1297" s="3">
        <f t="shared" si="156"/>
        <v>74981.25</v>
      </c>
      <c r="H1297" s="3">
        <f t="shared" si="157"/>
        <v>51930</v>
      </c>
      <c r="I1297" s="3">
        <f t="shared" si="158"/>
        <v>84225</v>
      </c>
      <c r="J1297" s="3">
        <f t="shared" si="159"/>
        <v>98203.099999999991</v>
      </c>
      <c r="K1297" s="5">
        <f t="shared" si="160"/>
        <v>309339.34999999998</v>
      </c>
      <c r="L1297" s="5">
        <f t="shared" si="161"/>
        <v>310533.75</v>
      </c>
      <c r="M1297" s="5">
        <f t="shared" si="162"/>
        <v>-1194.4000000000233</v>
      </c>
      <c r="N1297" s="3"/>
    </row>
    <row r="1298" spans="1:14" x14ac:dyDescent="0.25">
      <c r="A1298" s="2">
        <v>1230810</v>
      </c>
      <c r="B1298" s="3">
        <v>75518.75</v>
      </c>
      <c r="C1298" s="3">
        <v>52460</v>
      </c>
      <c r="D1298" s="3">
        <v>84750</v>
      </c>
      <c r="E1298" s="3">
        <v>97578.099999999991</v>
      </c>
      <c r="F1298">
        <f t="shared" si="155"/>
        <v>1230810</v>
      </c>
      <c r="G1298" s="3">
        <f t="shared" si="156"/>
        <v>75518.75</v>
      </c>
      <c r="H1298" s="3">
        <f t="shared" si="157"/>
        <v>52460</v>
      </c>
      <c r="I1298" s="3">
        <f t="shared" si="158"/>
        <v>84750</v>
      </c>
      <c r="J1298" s="3">
        <f t="shared" si="159"/>
        <v>97578.099999999991</v>
      </c>
      <c r="K1298" s="5">
        <f t="shared" si="160"/>
        <v>310306.84999999998</v>
      </c>
      <c r="L1298" s="5">
        <f t="shared" si="161"/>
        <v>310306.84999999998</v>
      </c>
      <c r="M1298" s="5">
        <f t="shared" si="162"/>
        <v>0</v>
      </c>
      <c r="N1298" s="3"/>
    </row>
    <row r="1299" spans="1:14" x14ac:dyDescent="0.25">
      <c r="A1299" s="2">
        <v>1230811</v>
      </c>
      <c r="B1299" s="3">
        <v>73650</v>
      </c>
      <c r="C1299" s="3">
        <v>51800</v>
      </c>
      <c r="D1299" s="3">
        <v>84868.75</v>
      </c>
      <c r="E1299" s="3">
        <v>98203.099999999991</v>
      </c>
      <c r="F1299">
        <f t="shared" si="155"/>
        <v>1230811</v>
      </c>
      <c r="G1299" s="3">
        <f t="shared" si="156"/>
        <v>73650</v>
      </c>
      <c r="H1299" s="3">
        <f t="shared" si="157"/>
        <v>51800</v>
      </c>
      <c r="I1299" s="3">
        <f t="shared" si="158"/>
        <v>84868.75</v>
      </c>
      <c r="J1299" s="3">
        <f t="shared" si="159"/>
        <v>98203.099999999991</v>
      </c>
      <c r="K1299" s="5">
        <f t="shared" si="160"/>
        <v>308521.84999999998</v>
      </c>
      <c r="L1299" s="5">
        <f t="shared" si="161"/>
        <v>310306.84999999998</v>
      </c>
      <c r="M1299" s="5">
        <f t="shared" si="162"/>
        <v>-1785</v>
      </c>
      <c r="N1299" s="3"/>
    </row>
    <row r="1300" spans="1:14" x14ac:dyDescent="0.25">
      <c r="A1300" s="2">
        <v>1230813</v>
      </c>
      <c r="B1300" s="3">
        <v>73868.75</v>
      </c>
      <c r="C1300" s="3">
        <v>51690</v>
      </c>
      <c r="D1300" s="3">
        <v>84500</v>
      </c>
      <c r="E1300" s="3">
        <v>98906.25</v>
      </c>
      <c r="F1300">
        <f t="shared" si="155"/>
        <v>1230813</v>
      </c>
      <c r="G1300" s="3">
        <f t="shared" si="156"/>
        <v>73868.75</v>
      </c>
      <c r="H1300" s="3">
        <f t="shared" si="157"/>
        <v>51690</v>
      </c>
      <c r="I1300" s="3">
        <f t="shared" si="158"/>
        <v>84500</v>
      </c>
      <c r="J1300" s="3">
        <f t="shared" si="159"/>
        <v>98906.25</v>
      </c>
      <c r="K1300" s="5">
        <f t="shared" si="160"/>
        <v>308965</v>
      </c>
      <c r="L1300" s="5">
        <f t="shared" si="161"/>
        <v>308965</v>
      </c>
      <c r="M1300" s="5">
        <f t="shared" si="162"/>
        <v>0</v>
      </c>
      <c r="N1300" s="3"/>
    </row>
    <row r="1301" spans="1:14" x14ac:dyDescent="0.25">
      <c r="A1301" s="2">
        <v>1230814</v>
      </c>
      <c r="B1301" s="3">
        <v>73868.75</v>
      </c>
      <c r="C1301" s="3">
        <v>51590</v>
      </c>
      <c r="D1301" s="3">
        <v>84487.5</v>
      </c>
      <c r="E1301" s="3">
        <v>98750</v>
      </c>
      <c r="F1301">
        <f t="shared" si="155"/>
        <v>1230814</v>
      </c>
      <c r="G1301" s="3">
        <f t="shared" si="156"/>
        <v>73868.75</v>
      </c>
      <c r="H1301" s="3">
        <f t="shared" si="157"/>
        <v>51590</v>
      </c>
      <c r="I1301" s="3">
        <f t="shared" si="158"/>
        <v>84487.5</v>
      </c>
      <c r="J1301" s="3">
        <f t="shared" si="159"/>
        <v>98750</v>
      </c>
      <c r="K1301" s="5">
        <f t="shared" si="160"/>
        <v>308696.25</v>
      </c>
      <c r="L1301" s="5">
        <f t="shared" si="161"/>
        <v>308965</v>
      </c>
      <c r="M1301" s="5">
        <f t="shared" si="162"/>
        <v>-268.75</v>
      </c>
      <c r="N1301" s="3"/>
    </row>
    <row r="1302" spans="1:14" x14ac:dyDescent="0.25">
      <c r="A1302" s="2">
        <v>1230815</v>
      </c>
      <c r="B1302" s="3">
        <v>74193.75</v>
      </c>
      <c r="C1302" s="3">
        <v>52080</v>
      </c>
      <c r="D1302" s="3">
        <v>84875</v>
      </c>
      <c r="E1302" s="3">
        <v>97421.900000000009</v>
      </c>
      <c r="F1302">
        <f t="shared" si="155"/>
        <v>1230815</v>
      </c>
      <c r="G1302" s="3">
        <f t="shared" si="156"/>
        <v>74193.75</v>
      </c>
      <c r="H1302" s="3">
        <f t="shared" si="157"/>
        <v>52080</v>
      </c>
      <c r="I1302" s="3">
        <f t="shared" si="158"/>
        <v>84875</v>
      </c>
      <c r="J1302" s="3">
        <f t="shared" si="159"/>
        <v>97421.900000000009</v>
      </c>
      <c r="K1302" s="5">
        <f t="shared" si="160"/>
        <v>308570.65000000002</v>
      </c>
      <c r="L1302" s="5">
        <f t="shared" si="161"/>
        <v>308696.25</v>
      </c>
      <c r="M1302" s="5">
        <f t="shared" si="162"/>
        <v>-125.59999999997672</v>
      </c>
      <c r="N1302" s="3"/>
    </row>
    <row r="1303" spans="1:14" x14ac:dyDescent="0.25">
      <c r="A1303" s="2">
        <v>1230816</v>
      </c>
      <c r="B1303" s="3">
        <v>73493.75</v>
      </c>
      <c r="C1303" s="3">
        <v>52420</v>
      </c>
      <c r="D1303" s="3">
        <v>84881.25</v>
      </c>
      <c r="E1303" s="3">
        <v>96640.599999999991</v>
      </c>
      <c r="F1303">
        <f t="shared" si="155"/>
        <v>1230816</v>
      </c>
      <c r="G1303" s="3">
        <f t="shared" si="156"/>
        <v>73493.75</v>
      </c>
      <c r="H1303" s="3">
        <f t="shared" si="157"/>
        <v>52420</v>
      </c>
      <c r="I1303" s="3">
        <f t="shared" si="158"/>
        <v>84881.25</v>
      </c>
      <c r="J1303" s="3">
        <f t="shared" si="159"/>
        <v>96640.599999999991</v>
      </c>
      <c r="K1303" s="5">
        <f t="shared" si="160"/>
        <v>307435.59999999998</v>
      </c>
      <c r="L1303" s="5">
        <f t="shared" si="161"/>
        <v>308570.65000000002</v>
      </c>
      <c r="M1303" s="5">
        <f t="shared" si="162"/>
        <v>-1135.0500000000466</v>
      </c>
      <c r="N1303" s="3"/>
    </row>
    <row r="1304" spans="1:14" x14ac:dyDescent="0.25">
      <c r="A1304" s="2">
        <v>1230817</v>
      </c>
      <c r="B1304" s="3">
        <v>74187.5</v>
      </c>
      <c r="C1304" s="3">
        <v>53150</v>
      </c>
      <c r="D1304" s="3">
        <v>85231.25</v>
      </c>
      <c r="E1304" s="3">
        <v>98203.099999999991</v>
      </c>
      <c r="F1304">
        <f t="shared" si="155"/>
        <v>1230817</v>
      </c>
      <c r="G1304" s="3">
        <f t="shared" si="156"/>
        <v>74187.5</v>
      </c>
      <c r="H1304" s="3">
        <f t="shared" si="157"/>
        <v>53150</v>
      </c>
      <c r="I1304" s="3">
        <f t="shared" si="158"/>
        <v>85231.25</v>
      </c>
      <c r="J1304" s="3">
        <f t="shared" si="159"/>
        <v>98203.099999999991</v>
      </c>
      <c r="K1304" s="5">
        <f t="shared" si="160"/>
        <v>310771.84999999998</v>
      </c>
      <c r="L1304" s="5">
        <f t="shared" si="161"/>
        <v>310771.84999999998</v>
      </c>
      <c r="M1304" s="5">
        <f t="shared" si="162"/>
        <v>0</v>
      </c>
      <c r="N1304" s="3"/>
    </row>
    <row r="1305" spans="1:14" x14ac:dyDescent="0.25">
      <c r="A1305" s="2">
        <v>1230818</v>
      </c>
      <c r="B1305" s="3">
        <v>75118.75</v>
      </c>
      <c r="C1305" s="3">
        <v>52150</v>
      </c>
      <c r="D1305" s="3">
        <v>85193.75</v>
      </c>
      <c r="E1305" s="3">
        <v>96484.400000000009</v>
      </c>
      <c r="F1305">
        <f t="shared" ref="F1305:F1368" si="163">+A1305</f>
        <v>1230818</v>
      </c>
      <c r="G1305" s="3">
        <f t="shared" si="156"/>
        <v>75118.75</v>
      </c>
      <c r="H1305" s="3">
        <f t="shared" si="157"/>
        <v>52150</v>
      </c>
      <c r="I1305" s="3">
        <f t="shared" si="158"/>
        <v>85193.75</v>
      </c>
      <c r="J1305" s="3">
        <f t="shared" si="159"/>
        <v>96484.400000000009</v>
      </c>
      <c r="K1305" s="5">
        <f t="shared" si="160"/>
        <v>308946.90000000002</v>
      </c>
      <c r="L1305" s="5">
        <f t="shared" si="161"/>
        <v>310771.84999999998</v>
      </c>
      <c r="M1305" s="5">
        <f t="shared" si="162"/>
        <v>-1824.9499999999534</v>
      </c>
      <c r="N1305" s="3"/>
    </row>
    <row r="1306" spans="1:14" x14ac:dyDescent="0.25">
      <c r="A1306" s="2">
        <v>1230820</v>
      </c>
      <c r="B1306" s="3">
        <v>75112.5</v>
      </c>
      <c r="C1306" s="3">
        <v>51400</v>
      </c>
      <c r="D1306" s="3">
        <v>84706.25</v>
      </c>
      <c r="E1306" s="3">
        <v>96718.75</v>
      </c>
      <c r="F1306">
        <f t="shared" si="163"/>
        <v>1230820</v>
      </c>
      <c r="G1306" s="3">
        <f t="shared" ref="G1306:G1369" si="164">+IF(B1306&lt;&gt;0,B1306,B1305)</f>
        <v>75112.5</v>
      </c>
      <c r="H1306" s="3">
        <f t="shared" ref="H1306:H1369" si="165">+IF(C1306&lt;&gt;0,C1306,C1305)</f>
        <v>51400</v>
      </c>
      <c r="I1306" s="3">
        <f t="shared" ref="I1306:I1369" si="166">+IF(D1306&lt;&gt;0,D1306,D1305)</f>
        <v>84706.25</v>
      </c>
      <c r="J1306" s="3">
        <f t="shared" ref="J1306:J1369" si="167">+IF(E1306&lt;&gt;0,E1306,E1305)</f>
        <v>96718.75</v>
      </c>
      <c r="K1306" s="5">
        <f t="shared" ref="K1306:K1369" si="168">+SUM(G1306:J1306)</f>
        <v>307937.5</v>
      </c>
      <c r="L1306" s="5">
        <f t="shared" si="161"/>
        <v>308946.90000000002</v>
      </c>
      <c r="M1306" s="5">
        <f t="shared" si="162"/>
        <v>-1009.4000000000233</v>
      </c>
      <c r="N1306" s="3"/>
    </row>
    <row r="1307" spans="1:14" x14ac:dyDescent="0.25">
      <c r="A1307" s="2">
        <v>1230821</v>
      </c>
      <c r="B1307" s="3">
        <v>75112.5</v>
      </c>
      <c r="C1307" s="3">
        <v>51280</v>
      </c>
      <c r="D1307" s="3">
        <v>84375</v>
      </c>
      <c r="E1307" s="3">
        <v>97421.900000000009</v>
      </c>
      <c r="F1307">
        <f t="shared" si="163"/>
        <v>1230821</v>
      </c>
      <c r="G1307" s="3">
        <f t="shared" si="164"/>
        <v>75112.5</v>
      </c>
      <c r="H1307" s="3">
        <f t="shared" si="165"/>
        <v>51280</v>
      </c>
      <c r="I1307" s="3">
        <f t="shared" si="166"/>
        <v>84375</v>
      </c>
      <c r="J1307" s="3">
        <f t="shared" si="167"/>
        <v>97421.900000000009</v>
      </c>
      <c r="K1307" s="5">
        <f t="shared" si="168"/>
        <v>308189.40000000002</v>
      </c>
      <c r="L1307" s="5">
        <f t="shared" ref="L1307:L1370" si="169">+IF(K1307&gt;K1306,K1307,K1306)</f>
        <v>308189.40000000002</v>
      </c>
      <c r="M1307" s="5">
        <f t="shared" ref="M1307:M1370" si="170">+K1307-L1307</f>
        <v>0</v>
      </c>
      <c r="N1307" s="3"/>
    </row>
    <row r="1308" spans="1:14" x14ac:dyDescent="0.25">
      <c r="A1308" s="2">
        <v>1230822</v>
      </c>
      <c r="B1308" s="3">
        <v>73531.25</v>
      </c>
      <c r="C1308" s="3">
        <v>51230</v>
      </c>
      <c r="D1308" s="3">
        <v>84756.25</v>
      </c>
      <c r="E1308" s="3">
        <v>99453.099999999991</v>
      </c>
      <c r="F1308">
        <f t="shared" si="163"/>
        <v>1230822</v>
      </c>
      <c r="G1308" s="3">
        <f t="shared" si="164"/>
        <v>73531.25</v>
      </c>
      <c r="H1308" s="3">
        <f t="shared" si="165"/>
        <v>51230</v>
      </c>
      <c r="I1308" s="3">
        <f t="shared" si="166"/>
        <v>84756.25</v>
      </c>
      <c r="J1308" s="3">
        <f t="shared" si="167"/>
        <v>99453.099999999991</v>
      </c>
      <c r="K1308" s="5">
        <f t="shared" si="168"/>
        <v>308970.59999999998</v>
      </c>
      <c r="L1308" s="5">
        <f t="shared" si="169"/>
        <v>308970.59999999998</v>
      </c>
      <c r="M1308" s="5">
        <f t="shared" si="170"/>
        <v>0</v>
      </c>
      <c r="N1308" s="3"/>
    </row>
    <row r="1309" spans="1:14" x14ac:dyDescent="0.25">
      <c r="A1309" s="2">
        <v>1230823</v>
      </c>
      <c r="B1309" s="3">
        <v>73331.25</v>
      </c>
      <c r="C1309" s="3">
        <v>50670</v>
      </c>
      <c r="D1309" s="3">
        <v>84556.25</v>
      </c>
      <c r="E1309" s="3">
        <v>98828.099999999991</v>
      </c>
      <c r="F1309">
        <f t="shared" si="163"/>
        <v>1230823</v>
      </c>
      <c r="G1309" s="3">
        <f t="shared" si="164"/>
        <v>73331.25</v>
      </c>
      <c r="H1309" s="3">
        <f t="shared" si="165"/>
        <v>50670</v>
      </c>
      <c r="I1309" s="3">
        <f t="shared" si="166"/>
        <v>84556.25</v>
      </c>
      <c r="J1309" s="3">
        <f t="shared" si="167"/>
        <v>98828.099999999991</v>
      </c>
      <c r="K1309" s="5">
        <f t="shared" si="168"/>
        <v>307385.59999999998</v>
      </c>
      <c r="L1309" s="5">
        <f t="shared" si="169"/>
        <v>308970.59999999998</v>
      </c>
      <c r="M1309" s="5">
        <f t="shared" si="170"/>
        <v>-1585</v>
      </c>
      <c r="N1309" s="3"/>
    </row>
    <row r="1310" spans="1:14" x14ac:dyDescent="0.25">
      <c r="A1310" s="2">
        <v>1230824</v>
      </c>
      <c r="B1310" s="3">
        <v>74343.75</v>
      </c>
      <c r="C1310" s="3">
        <v>52200</v>
      </c>
      <c r="D1310" s="3">
        <v>84337.5</v>
      </c>
      <c r="E1310" s="3">
        <v>98203.099999999991</v>
      </c>
      <c r="F1310">
        <f t="shared" si="163"/>
        <v>1230824</v>
      </c>
      <c r="G1310" s="3">
        <f t="shared" si="164"/>
        <v>74343.75</v>
      </c>
      <c r="H1310" s="3">
        <f t="shared" si="165"/>
        <v>52200</v>
      </c>
      <c r="I1310" s="3">
        <f t="shared" si="166"/>
        <v>84337.5</v>
      </c>
      <c r="J1310" s="3">
        <f t="shared" si="167"/>
        <v>98203.099999999991</v>
      </c>
      <c r="K1310" s="5">
        <f t="shared" si="168"/>
        <v>309084.34999999998</v>
      </c>
      <c r="L1310" s="5">
        <f t="shared" si="169"/>
        <v>309084.34999999998</v>
      </c>
      <c r="M1310" s="5">
        <f t="shared" si="170"/>
        <v>0</v>
      </c>
      <c r="N1310" s="3"/>
    </row>
    <row r="1311" spans="1:14" x14ac:dyDescent="0.25">
      <c r="A1311" s="2">
        <v>1230825</v>
      </c>
      <c r="B1311" s="3">
        <v>75225</v>
      </c>
      <c r="C1311" s="3">
        <v>52620</v>
      </c>
      <c r="D1311" s="3">
        <v>84506.25</v>
      </c>
      <c r="E1311" s="3">
        <v>99609.400000000009</v>
      </c>
      <c r="F1311">
        <f t="shared" si="163"/>
        <v>1230825</v>
      </c>
      <c r="G1311" s="3">
        <f t="shared" si="164"/>
        <v>75225</v>
      </c>
      <c r="H1311" s="3">
        <f t="shared" si="165"/>
        <v>52620</v>
      </c>
      <c r="I1311" s="3">
        <f t="shared" si="166"/>
        <v>84506.25</v>
      </c>
      <c r="J1311" s="3">
        <f t="shared" si="167"/>
        <v>99609.400000000009</v>
      </c>
      <c r="K1311" s="5">
        <f t="shared" si="168"/>
        <v>311960.65000000002</v>
      </c>
      <c r="L1311" s="5">
        <f t="shared" si="169"/>
        <v>311960.65000000002</v>
      </c>
      <c r="M1311" s="5">
        <f t="shared" si="170"/>
        <v>0</v>
      </c>
      <c r="N1311" s="3"/>
    </row>
    <row r="1312" spans="1:14" x14ac:dyDescent="0.25">
      <c r="A1312" s="2">
        <v>1230827</v>
      </c>
      <c r="B1312" s="3">
        <v>73350</v>
      </c>
      <c r="C1312" s="3">
        <v>51950</v>
      </c>
      <c r="D1312" s="3">
        <v>84231.25</v>
      </c>
      <c r="E1312" s="3">
        <v>97500</v>
      </c>
      <c r="F1312">
        <f t="shared" si="163"/>
        <v>1230827</v>
      </c>
      <c r="G1312" s="3">
        <f t="shared" si="164"/>
        <v>73350</v>
      </c>
      <c r="H1312" s="3">
        <f t="shared" si="165"/>
        <v>51950</v>
      </c>
      <c r="I1312" s="3">
        <f t="shared" si="166"/>
        <v>84231.25</v>
      </c>
      <c r="J1312" s="3">
        <f t="shared" si="167"/>
        <v>97500</v>
      </c>
      <c r="K1312" s="5">
        <f t="shared" si="168"/>
        <v>307031.25</v>
      </c>
      <c r="L1312" s="5">
        <f t="shared" si="169"/>
        <v>311960.65000000002</v>
      </c>
      <c r="M1312" s="5">
        <f t="shared" si="170"/>
        <v>-4929.4000000000233</v>
      </c>
      <c r="N1312" s="3"/>
    </row>
    <row r="1313" spans="1:14" x14ac:dyDescent="0.25">
      <c r="A1313" s="2">
        <v>1230828</v>
      </c>
      <c r="B1313" s="3">
        <v>73268.75</v>
      </c>
      <c r="C1313" s="3">
        <v>52110</v>
      </c>
      <c r="D1313" s="3">
        <v>84187.5</v>
      </c>
      <c r="E1313" s="3">
        <v>97109.400000000009</v>
      </c>
      <c r="F1313">
        <f t="shared" si="163"/>
        <v>1230828</v>
      </c>
      <c r="G1313" s="3">
        <f t="shared" si="164"/>
        <v>73268.75</v>
      </c>
      <c r="H1313" s="3">
        <f t="shared" si="165"/>
        <v>52110</v>
      </c>
      <c r="I1313" s="3">
        <f t="shared" si="166"/>
        <v>84187.5</v>
      </c>
      <c r="J1313" s="3">
        <f t="shared" si="167"/>
        <v>97109.400000000009</v>
      </c>
      <c r="K1313" s="5">
        <f t="shared" si="168"/>
        <v>306675.65000000002</v>
      </c>
      <c r="L1313" s="5">
        <f t="shared" si="169"/>
        <v>307031.25</v>
      </c>
      <c r="M1313" s="5">
        <f t="shared" si="170"/>
        <v>-355.59999999997672</v>
      </c>
      <c r="N1313" s="3"/>
    </row>
    <row r="1314" spans="1:14" x14ac:dyDescent="0.25">
      <c r="A1314" s="2">
        <v>1230829</v>
      </c>
      <c r="B1314" s="3">
        <v>73868.75</v>
      </c>
      <c r="C1314" s="3">
        <v>50690</v>
      </c>
      <c r="D1314" s="3">
        <v>84212.5</v>
      </c>
      <c r="E1314" s="3">
        <v>97421.900000000009</v>
      </c>
      <c r="F1314">
        <f t="shared" si="163"/>
        <v>1230829</v>
      </c>
      <c r="G1314" s="3">
        <f t="shared" si="164"/>
        <v>73868.75</v>
      </c>
      <c r="H1314" s="3">
        <f t="shared" si="165"/>
        <v>50690</v>
      </c>
      <c r="I1314" s="3">
        <f t="shared" si="166"/>
        <v>84212.5</v>
      </c>
      <c r="J1314" s="3">
        <f t="shared" si="167"/>
        <v>97421.900000000009</v>
      </c>
      <c r="K1314" s="5">
        <f t="shared" si="168"/>
        <v>306193.15000000002</v>
      </c>
      <c r="L1314" s="5">
        <f t="shared" si="169"/>
        <v>306675.65000000002</v>
      </c>
      <c r="M1314" s="5">
        <f t="shared" si="170"/>
        <v>-482.5</v>
      </c>
      <c r="N1314" s="3"/>
    </row>
    <row r="1315" spans="1:14" x14ac:dyDescent="0.25">
      <c r="A1315" s="2">
        <v>1230830</v>
      </c>
      <c r="B1315" s="3">
        <v>75243.75</v>
      </c>
      <c r="C1315" s="3">
        <v>49270</v>
      </c>
      <c r="D1315" s="3">
        <v>84187.5</v>
      </c>
      <c r="E1315" s="3">
        <v>96953.099999999991</v>
      </c>
      <c r="F1315">
        <f t="shared" si="163"/>
        <v>1230830</v>
      </c>
      <c r="G1315" s="3">
        <f t="shared" si="164"/>
        <v>75243.75</v>
      </c>
      <c r="H1315" s="3">
        <f t="shared" si="165"/>
        <v>49270</v>
      </c>
      <c r="I1315" s="3">
        <f t="shared" si="166"/>
        <v>84187.5</v>
      </c>
      <c r="J1315" s="3">
        <f t="shared" si="167"/>
        <v>96953.099999999991</v>
      </c>
      <c r="K1315" s="5">
        <f t="shared" si="168"/>
        <v>305654.34999999998</v>
      </c>
      <c r="L1315" s="5">
        <f t="shared" si="169"/>
        <v>306193.15000000002</v>
      </c>
      <c r="M1315" s="5">
        <f t="shared" si="170"/>
        <v>-538.80000000004657</v>
      </c>
      <c r="N1315" s="3"/>
    </row>
    <row r="1316" spans="1:14" x14ac:dyDescent="0.25">
      <c r="A1316" s="2">
        <v>1230831</v>
      </c>
      <c r="B1316" s="3">
        <v>75575</v>
      </c>
      <c r="C1316" s="3">
        <v>49820</v>
      </c>
      <c r="D1316" s="3">
        <v>84337.5</v>
      </c>
      <c r="E1316" s="3">
        <v>94843.75</v>
      </c>
      <c r="F1316">
        <f t="shared" si="163"/>
        <v>1230831</v>
      </c>
      <c r="G1316" s="3">
        <f t="shared" si="164"/>
        <v>75575</v>
      </c>
      <c r="H1316" s="3">
        <f t="shared" si="165"/>
        <v>49820</v>
      </c>
      <c r="I1316" s="3">
        <f t="shared" si="166"/>
        <v>84337.5</v>
      </c>
      <c r="J1316" s="3">
        <f t="shared" si="167"/>
        <v>94843.75</v>
      </c>
      <c r="K1316" s="5">
        <f t="shared" si="168"/>
        <v>304576.25</v>
      </c>
      <c r="L1316" s="5">
        <f t="shared" si="169"/>
        <v>305654.34999999998</v>
      </c>
      <c r="M1316" s="5">
        <f t="shared" si="170"/>
        <v>-1078.0999999999767</v>
      </c>
      <c r="N1316" s="3"/>
    </row>
    <row r="1317" spans="1:14" x14ac:dyDescent="0.25">
      <c r="A1317" s="2">
        <v>1230901</v>
      </c>
      <c r="B1317" s="3">
        <v>75487.5</v>
      </c>
      <c r="C1317" s="3">
        <v>49700</v>
      </c>
      <c r="D1317" s="3">
        <v>84175</v>
      </c>
      <c r="E1317" s="3">
        <v>95156.25</v>
      </c>
      <c r="F1317">
        <f t="shared" si="163"/>
        <v>1230901</v>
      </c>
      <c r="G1317" s="3">
        <f t="shared" si="164"/>
        <v>75487.5</v>
      </c>
      <c r="H1317" s="3">
        <f t="shared" si="165"/>
        <v>49700</v>
      </c>
      <c r="I1317" s="3">
        <f t="shared" si="166"/>
        <v>84175</v>
      </c>
      <c r="J1317" s="3">
        <f t="shared" si="167"/>
        <v>95156.25</v>
      </c>
      <c r="K1317" s="5">
        <f t="shared" si="168"/>
        <v>304518.75</v>
      </c>
      <c r="L1317" s="5">
        <f t="shared" si="169"/>
        <v>304576.25</v>
      </c>
      <c r="M1317" s="5">
        <f t="shared" si="170"/>
        <v>-57.5</v>
      </c>
      <c r="N1317" s="3"/>
    </row>
    <row r="1318" spans="1:14" x14ac:dyDescent="0.25">
      <c r="A1318" s="2">
        <v>1230903</v>
      </c>
      <c r="B1318" s="3">
        <v>75493.75</v>
      </c>
      <c r="C1318" s="3">
        <v>48830</v>
      </c>
      <c r="D1318" s="3">
        <v>84293.75</v>
      </c>
      <c r="E1318" s="3">
        <v>95156.25</v>
      </c>
      <c r="F1318">
        <f t="shared" si="163"/>
        <v>1230903</v>
      </c>
      <c r="G1318" s="3">
        <f t="shared" si="164"/>
        <v>75493.75</v>
      </c>
      <c r="H1318" s="3">
        <f t="shared" si="165"/>
        <v>48830</v>
      </c>
      <c r="I1318" s="3">
        <f t="shared" si="166"/>
        <v>84293.75</v>
      </c>
      <c r="J1318" s="3">
        <f t="shared" si="167"/>
        <v>95156.25</v>
      </c>
      <c r="K1318" s="5">
        <f t="shared" si="168"/>
        <v>303773.75</v>
      </c>
      <c r="L1318" s="5">
        <f t="shared" si="169"/>
        <v>304518.75</v>
      </c>
      <c r="M1318" s="5">
        <f t="shared" si="170"/>
        <v>-745</v>
      </c>
      <c r="N1318" s="3"/>
    </row>
    <row r="1319" spans="1:14" x14ac:dyDescent="0.25">
      <c r="A1319" s="2">
        <v>1230904</v>
      </c>
      <c r="B1319" s="3">
        <v>75387.5</v>
      </c>
      <c r="C1319" s="3">
        <v>49380</v>
      </c>
      <c r="D1319" s="3">
        <v>84287.5</v>
      </c>
      <c r="E1319" s="3">
        <v>95312.5</v>
      </c>
      <c r="F1319">
        <f t="shared" si="163"/>
        <v>1230904</v>
      </c>
      <c r="G1319" s="3">
        <f t="shared" si="164"/>
        <v>75387.5</v>
      </c>
      <c r="H1319" s="3">
        <f t="shared" si="165"/>
        <v>49380</v>
      </c>
      <c r="I1319" s="3">
        <f t="shared" si="166"/>
        <v>84287.5</v>
      </c>
      <c r="J1319" s="3">
        <f t="shared" si="167"/>
        <v>95312.5</v>
      </c>
      <c r="K1319" s="5">
        <f t="shared" si="168"/>
        <v>304367.5</v>
      </c>
      <c r="L1319" s="5">
        <f t="shared" si="169"/>
        <v>304367.5</v>
      </c>
      <c r="M1319" s="5">
        <f t="shared" si="170"/>
        <v>0</v>
      </c>
      <c r="N1319" s="3"/>
    </row>
    <row r="1320" spans="1:14" x14ac:dyDescent="0.25">
      <c r="A1320" s="2">
        <v>1230905</v>
      </c>
      <c r="B1320" s="3">
        <v>75606.25</v>
      </c>
      <c r="C1320" s="3">
        <v>49810</v>
      </c>
      <c r="D1320" s="3">
        <v>84606.25</v>
      </c>
      <c r="E1320" s="3">
        <v>95781.25</v>
      </c>
      <c r="F1320">
        <f t="shared" si="163"/>
        <v>1230905</v>
      </c>
      <c r="G1320" s="3">
        <f t="shared" si="164"/>
        <v>75606.25</v>
      </c>
      <c r="H1320" s="3">
        <f t="shared" si="165"/>
        <v>49810</v>
      </c>
      <c r="I1320" s="3">
        <f t="shared" si="166"/>
        <v>84606.25</v>
      </c>
      <c r="J1320" s="3">
        <f t="shared" si="167"/>
        <v>95781.25</v>
      </c>
      <c r="K1320" s="5">
        <f t="shared" si="168"/>
        <v>305803.75</v>
      </c>
      <c r="L1320" s="5">
        <f t="shared" si="169"/>
        <v>305803.75</v>
      </c>
      <c r="M1320" s="5">
        <f t="shared" si="170"/>
        <v>0</v>
      </c>
      <c r="N1320" s="3"/>
    </row>
    <row r="1321" spans="1:14" x14ac:dyDescent="0.25">
      <c r="A1321" s="2">
        <v>1230906</v>
      </c>
      <c r="B1321" s="3">
        <v>75056.25</v>
      </c>
      <c r="C1321" s="3">
        <v>50930</v>
      </c>
      <c r="D1321" s="3">
        <v>85043.75</v>
      </c>
      <c r="E1321" s="3">
        <v>96953.099999999991</v>
      </c>
      <c r="F1321">
        <f t="shared" si="163"/>
        <v>1230906</v>
      </c>
      <c r="G1321" s="3">
        <f t="shared" si="164"/>
        <v>75056.25</v>
      </c>
      <c r="H1321" s="3">
        <f t="shared" si="165"/>
        <v>50930</v>
      </c>
      <c r="I1321" s="3">
        <f t="shared" si="166"/>
        <v>85043.75</v>
      </c>
      <c r="J1321" s="3">
        <f t="shared" si="167"/>
        <v>96953.099999999991</v>
      </c>
      <c r="K1321" s="5">
        <f t="shared" si="168"/>
        <v>307983.09999999998</v>
      </c>
      <c r="L1321" s="5">
        <f t="shared" si="169"/>
        <v>307983.09999999998</v>
      </c>
      <c r="M1321" s="5">
        <f t="shared" si="170"/>
        <v>0</v>
      </c>
      <c r="N1321" s="3"/>
    </row>
    <row r="1322" spans="1:14" x14ac:dyDescent="0.25">
      <c r="A1322" s="2">
        <v>1230907</v>
      </c>
      <c r="B1322" s="3">
        <v>75156.25</v>
      </c>
      <c r="C1322" s="3">
        <v>50770</v>
      </c>
      <c r="D1322" s="3">
        <v>84762.5</v>
      </c>
      <c r="E1322" s="3">
        <v>98828.099999999991</v>
      </c>
      <c r="F1322">
        <f t="shared" si="163"/>
        <v>1230907</v>
      </c>
      <c r="G1322" s="3">
        <f t="shared" si="164"/>
        <v>75156.25</v>
      </c>
      <c r="H1322" s="3">
        <f t="shared" si="165"/>
        <v>50770</v>
      </c>
      <c r="I1322" s="3">
        <f t="shared" si="166"/>
        <v>84762.5</v>
      </c>
      <c r="J1322" s="3">
        <f t="shared" si="167"/>
        <v>98828.099999999991</v>
      </c>
      <c r="K1322" s="5">
        <f t="shared" si="168"/>
        <v>309516.84999999998</v>
      </c>
      <c r="L1322" s="5">
        <f t="shared" si="169"/>
        <v>309516.84999999998</v>
      </c>
      <c r="M1322" s="5">
        <f t="shared" si="170"/>
        <v>0</v>
      </c>
      <c r="N1322" s="3"/>
    </row>
    <row r="1323" spans="1:14" x14ac:dyDescent="0.25">
      <c r="A1323" s="2">
        <v>1230908</v>
      </c>
      <c r="B1323" s="3">
        <v>75581.25</v>
      </c>
      <c r="C1323" s="3">
        <v>50480</v>
      </c>
      <c r="D1323" s="3">
        <v>84456.25</v>
      </c>
      <c r="E1323" s="3">
        <v>99453.099999999991</v>
      </c>
      <c r="F1323">
        <f t="shared" si="163"/>
        <v>1230908</v>
      </c>
      <c r="G1323" s="3">
        <f t="shared" si="164"/>
        <v>75581.25</v>
      </c>
      <c r="H1323" s="3">
        <f t="shared" si="165"/>
        <v>50480</v>
      </c>
      <c r="I1323" s="3">
        <f t="shared" si="166"/>
        <v>84456.25</v>
      </c>
      <c r="J1323" s="3">
        <f t="shared" si="167"/>
        <v>99453.099999999991</v>
      </c>
      <c r="K1323" s="5">
        <f t="shared" si="168"/>
        <v>309970.59999999998</v>
      </c>
      <c r="L1323" s="5">
        <f t="shared" si="169"/>
        <v>309970.59999999998</v>
      </c>
      <c r="M1323" s="5">
        <f t="shared" si="170"/>
        <v>0</v>
      </c>
      <c r="N1323" s="3"/>
    </row>
    <row r="1324" spans="1:14" x14ac:dyDescent="0.25">
      <c r="A1324" s="2">
        <v>1230910</v>
      </c>
      <c r="B1324" s="3">
        <v>75468.75</v>
      </c>
      <c r="C1324" s="3">
        <v>50870</v>
      </c>
      <c r="D1324" s="3">
        <v>83675</v>
      </c>
      <c r="E1324" s="3">
        <v>98984.400000000009</v>
      </c>
      <c r="F1324">
        <f t="shared" si="163"/>
        <v>1230910</v>
      </c>
      <c r="G1324" s="3">
        <f t="shared" si="164"/>
        <v>75468.75</v>
      </c>
      <c r="H1324" s="3">
        <f t="shared" si="165"/>
        <v>50870</v>
      </c>
      <c r="I1324" s="3">
        <f t="shared" si="166"/>
        <v>83675</v>
      </c>
      <c r="J1324" s="3">
        <f t="shared" si="167"/>
        <v>98984.400000000009</v>
      </c>
      <c r="K1324" s="5">
        <f t="shared" si="168"/>
        <v>308998.15000000002</v>
      </c>
      <c r="L1324" s="5">
        <f t="shared" si="169"/>
        <v>309970.59999999998</v>
      </c>
      <c r="M1324" s="5">
        <f t="shared" si="170"/>
        <v>-972.44999999995343</v>
      </c>
      <c r="N1324" s="3"/>
    </row>
    <row r="1325" spans="1:14" x14ac:dyDescent="0.25">
      <c r="A1325" s="2">
        <v>1230911</v>
      </c>
      <c r="B1325" s="3">
        <v>75593.75</v>
      </c>
      <c r="C1325" s="3">
        <v>50390</v>
      </c>
      <c r="D1325" s="3">
        <v>84212.5</v>
      </c>
      <c r="E1325" s="3">
        <v>100000</v>
      </c>
      <c r="F1325">
        <f t="shared" si="163"/>
        <v>1230911</v>
      </c>
      <c r="G1325" s="3">
        <f t="shared" si="164"/>
        <v>75593.75</v>
      </c>
      <c r="H1325" s="3">
        <f t="shared" si="165"/>
        <v>50390</v>
      </c>
      <c r="I1325" s="3">
        <f t="shared" si="166"/>
        <v>84212.5</v>
      </c>
      <c r="J1325" s="3">
        <f t="shared" si="167"/>
        <v>100000</v>
      </c>
      <c r="K1325" s="5">
        <f t="shared" si="168"/>
        <v>310196.25</v>
      </c>
      <c r="L1325" s="5">
        <f t="shared" si="169"/>
        <v>310196.25</v>
      </c>
      <c r="M1325" s="5">
        <f t="shared" si="170"/>
        <v>0</v>
      </c>
      <c r="N1325" s="3"/>
    </row>
    <row r="1326" spans="1:14" x14ac:dyDescent="0.25">
      <c r="A1326" s="2">
        <v>1230912</v>
      </c>
      <c r="B1326" s="3">
        <v>75718.75</v>
      </c>
      <c r="C1326" s="3">
        <v>50150</v>
      </c>
      <c r="D1326" s="3">
        <v>83668.75</v>
      </c>
      <c r="E1326" s="3">
        <v>98593.75</v>
      </c>
      <c r="F1326">
        <f t="shared" si="163"/>
        <v>1230912</v>
      </c>
      <c r="G1326" s="3">
        <f t="shared" si="164"/>
        <v>75718.75</v>
      </c>
      <c r="H1326" s="3">
        <f t="shared" si="165"/>
        <v>50150</v>
      </c>
      <c r="I1326" s="3">
        <f t="shared" si="166"/>
        <v>83668.75</v>
      </c>
      <c r="J1326" s="3">
        <f t="shared" si="167"/>
        <v>98593.75</v>
      </c>
      <c r="K1326" s="5">
        <f t="shared" si="168"/>
        <v>308131.25</v>
      </c>
      <c r="L1326" s="5">
        <f t="shared" si="169"/>
        <v>310196.25</v>
      </c>
      <c r="M1326" s="5">
        <f t="shared" si="170"/>
        <v>-2065</v>
      </c>
      <c r="N1326" s="3"/>
    </row>
    <row r="1327" spans="1:14" x14ac:dyDescent="0.25">
      <c r="A1327" s="2">
        <v>1230913</v>
      </c>
      <c r="B1327" s="3">
        <v>75031.25</v>
      </c>
      <c r="C1327" s="3">
        <v>51120</v>
      </c>
      <c r="D1327" s="3">
        <v>84062.5</v>
      </c>
      <c r="E1327" s="3">
        <v>96640.599999999991</v>
      </c>
      <c r="F1327">
        <f t="shared" si="163"/>
        <v>1230913</v>
      </c>
      <c r="G1327" s="3">
        <f t="shared" si="164"/>
        <v>75031.25</v>
      </c>
      <c r="H1327" s="3">
        <f t="shared" si="165"/>
        <v>51120</v>
      </c>
      <c r="I1327" s="3">
        <f t="shared" si="166"/>
        <v>84062.5</v>
      </c>
      <c r="J1327" s="3">
        <f t="shared" si="167"/>
        <v>96640.599999999991</v>
      </c>
      <c r="K1327" s="5">
        <f t="shared" si="168"/>
        <v>306854.34999999998</v>
      </c>
      <c r="L1327" s="5">
        <f t="shared" si="169"/>
        <v>308131.25</v>
      </c>
      <c r="M1327" s="5">
        <f t="shared" si="170"/>
        <v>-1276.9000000000233</v>
      </c>
      <c r="N1327" s="3"/>
    </row>
    <row r="1328" spans="1:14" x14ac:dyDescent="0.25">
      <c r="A1328" s="2">
        <v>1230914</v>
      </c>
      <c r="B1328" s="3">
        <v>74768.75</v>
      </c>
      <c r="C1328" s="3">
        <v>50390</v>
      </c>
      <c r="D1328" s="3">
        <v>83406.25</v>
      </c>
      <c r="E1328" s="3">
        <v>96640.599999999991</v>
      </c>
      <c r="F1328">
        <f t="shared" si="163"/>
        <v>1230914</v>
      </c>
      <c r="G1328" s="3">
        <f t="shared" si="164"/>
        <v>74768.75</v>
      </c>
      <c r="H1328" s="3">
        <f t="shared" si="165"/>
        <v>50390</v>
      </c>
      <c r="I1328" s="3">
        <f t="shared" si="166"/>
        <v>83406.25</v>
      </c>
      <c r="J1328" s="3">
        <f t="shared" si="167"/>
        <v>96640.599999999991</v>
      </c>
      <c r="K1328" s="5">
        <f t="shared" si="168"/>
        <v>305205.59999999998</v>
      </c>
      <c r="L1328" s="5">
        <f t="shared" si="169"/>
        <v>306854.34999999998</v>
      </c>
      <c r="M1328" s="5">
        <f t="shared" si="170"/>
        <v>-1648.75</v>
      </c>
      <c r="N1328" s="3"/>
    </row>
    <row r="1329" spans="1:14" x14ac:dyDescent="0.25">
      <c r="A1329" s="2">
        <v>1230915</v>
      </c>
      <c r="B1329" s="3">
        <v>75643.75</v>
      </c>
      <c r="C1329" s="3">
        <v>51090</v>
      </c>
      <c r="D1329" s="3">
        <v>82525</v>
      </c>
      <c r="E1329" s="3">
        <v>90078.099999999991</v>
      </c>
      <c r="F1329">
        <f t="shared" si="163"/>
        <v>1230915</v>
      </c>
      <c r="G1329" s="3">
        <f t="shared" si="164"/>
        <v>75643.75</v>
      </c>
      <c r="H1329" s="3">
        <f t="shared" si="165"/>
        <v>51090</v>
      </c>
      <c r="I1329" s="3">
        <f t="shared" si="166"/>
        <v>82525</v>
      </c>
      <c r="J1329" s="3">
        <f t="shared" si="167"/>
        <v>90078.099999999991</v>
      </c>
      <c r="K1329" s="5">
        <f t="shared" si="168"/>
        <v>299336.84999999998</v>
      </c>
      <c r="L1329" s="5">
        <f t="shared" si="169"/>
        <v>305205.59999999998</v>
      </c>
      <c r="M1329" s="5">
        <f t="shared" si="170"/>
        <v>-5868.75</v>
      </c>
      <c r="N1329" s="3"/>
    </row>
    <row r="1330" spans="1:14" x14ac:dyDescent="0.25">
      <c r="A1330" s="2">
        <v>1230917</v>
      </c>
      <c r="B1330" s="3">
        <v>75181.25</v>
      </c>
      <c r="C1330" s="3">
        <v>51470</v>
      </c>
      <c r="D1330" s="3">
        <v>82512.5</v>
      </c>
      <c r="E1330" s="3">
        <v>91796.900000000009</v>
      </c>
      <c r="F1330">
        <f t="shared" si="163"/>
        <v>1230917</v>
      </c>
      <c r="G1330" s="3">
        <f t="shared" si="164"/>
        <v>75181.25</v>
      </c>
      <c r="H1330" s="3">
        <f t="shared" si="165"/>
        <v>51470</v>
      </c>
      <c r="I1330" s="3">
        <f t="shared" si="166"/>
        <v>82512.5</v>
      </c>
      <c r="J1330" s="3">
        <f t="shared" si="167"/>
        <v>91796.900000000009</v>
      </c>
      <c r="K1330" s="5">
        <f t="shared" si="168"/>
        <v>300960.65000000002</v>
      </c>
      <c r="L1330" s="5">
        <f t="shared" si="169"/>
        <v>300960.65000000002</v>
      </c>
      <c r="M1330" s="5">
        <f t="shared" si="170"/>
        <v>0</v>
      </c>
      <c r="N1330" s="3"/>
    </row>
    <row r="1331" spans="1:14" x14ac:dyDescent="0.25">
      <c r="A1331" s="2">
        <v>1230918</v>
      </c>
      <c r="B1331" s="3">
        <v>75137.5</v>
      </c>
      <c r="C1331" s="3">
        <v>51960</v>
      </c>
      <c r="D1331" s="3">
        <v>82600</v>
      </c>
      <c r="E1331" s="3">
        <v>92500</v>
      </c>
      <c r="F1331">
        <f t="shared" si="163"/>
        <v>1230918</v>
      </c>
      <c r="G1331" s="3">
        <f t="shared" si="164"/>
        <v>75137.5</v>
      </c>
      <c r="H1331" s="3">
        <f t="shared" si="165"/>
        <v>51960</v>
      </c>
      <c r="I1331" s="3">
        <f t="shared" si="166"/>
        <v>82600</v>
      </c>
      <c r="J1331" s="3">
        <f t="shared" si="167"/>
        <v>92500</v>
      </c>
      <c r="K1331" s="5">
        <f t="shared" si="168"/>
        <v>302197.5</v>
      </c>
      <c r="L1331" s="5">
        <f t="shared" si="169"/>
        <v>302197.5</v>
      </c>
      <c r="M1331" s="5">
        <f t="shared" si="170"/>
        <v>0</v>
      </c>
      <c r="N1331" s="3"/>
    </row>
    <row r="1332" spans="1:14" x14ac:dyDescent="0.25">
      <c r="A1332" s="2">
        <v>1230919</v>
      </c>
      <c r="B1332" s="3">
        <v>74881.25</v>
      </c>
      <c r="C1332" s="3">
        <v>50860</v>
      </c>
      <c r="D1332" s="3">
        <v>81825</v>
      </c>
      <c r="E1332" s="3">
        <v>91953.099999999991</v>
      </c>
      <c r="F1332">
        <f t="shared" si="163"/>
        <v>1230919</v>
      </c>
      <c r="G1332" s="3">
        <f t="shared" si="164"/>
        <v>74881.25</v>
      </c>
      <c r="H1332" s="3">
        <f t="shared" si="165"/>
        <v>50860</v>
      </c>
      <c r="I1332" s="3">
        <f t="shared" si="166"/>
        <v>81825</v>
      </c>
      <c r="J1332" s="3">
        <f t="shared" si="167"/>
        <v>91953.099999999991</v>
      </c>
      <c r="K1332" s="5">
        <f t="shared" si="168"/>
        <v>299519.34999999998</v>
      </c>
      <c r="L1332" s="5">
        <f t="shared" si="169"/>
        <v>302197.5</v>
      </c>
      <c r="M1332" s="5">
        <f t="shared" si="170"/>
        <v>-2678.1500000000233</v>
      </c>
      <c r="N1332" s="3"/>
    </row>
    <row r="1333" spans="1:14" x14ac:dyDescent="0.25">
      <c r="A1333" s="2">
        <v>1230920</v>
      </c>
      <c r="B1333" s="3">
        <v>74518.75</v>
      </c>
      <c r="C1333" s="3">
        <v>50110</v>
      </c>
      <c r="D1333" s="3">
        <v>81881.25</v>
      </c>
      <c r="E1333" s="3">
        <v>92812.5</v>
      </c>
      <c r="F1333">
        <f t="shared" si="163"/>
        <v>1230920</v>
      </c>
      <c r="G1333" s="3">
        <f t="shared" si="164"/>
        <v>74518.75</v>
      </c>
      <c r="H1333" s="3">
        <f t="shared" si="165"/>
        <v>50110</v>
      </c>
      <c r="I1333" s="3">
        <f t="shared" si="166"/>
        <v>81881.25</v>
      </c>
      <c r="J1333" s="3">
        <f t="shared" si="167"/>
        <v>92812.5</v>
      </c>
      <c r="K1333" s="5">
        <f t="shared" si="168"/>
        <v>299322.5</v>
      </c>
      <c r="L1333" s="5">
        <f t="shared" si="169"/>
        <v>299519.34999999998</v>
      </c>
      <c r="M1333" s="5">
        <f t="shared" si="170"/>
        <v>-196.84999999997672</v>
      </c>
      <c r="N1333" s="3"/>
    </row>
    <row r="1334" spans="1:14" x14ac:dyDescent="0.25">
      <c r="A1334" s="2">
        <v>1230921</v>
      </c>
      <c r="B1334" s="3">
        <v>75393.75</v>
      </c>
      <c r="C1334" s="3">
        <v>49770</v>
      </c>
      <c r="D1334" s="3">
        <v>81800</v>
      </c>
      <c r="E1334" s="3">
        <v>88203.099999999991</v>
      </c>
      <c r="F1334">
        <f t="shared" si="163"/>
        <v>1230921</v>
      </c>
      <c r="G1334" s="3">
        <f t="shared" si="164"/>
        <v>75393.75</v>
      </c>
      <c r="H1334" s="3">
        <f t="shared" si="165"/>
        <v>49770</v>
      </c>
      <c r="I1334" s="3">
        <f t="shared" si="166"/>
        <v>81800</v>
      </c>
      <c r="J1334" s="3">
        <f t="shared" si="167"/>
        <v>88203.099999999991</v>
      </c>
      <c r="K1334" s="5">
        <f t="shared" si="168"/>
        <v>295166.84999999998</v>
      </c>
      <c r="L1334" s="5">
        <f t="shared" si="169"/>
        <v>299322.5</v>
      </c>
      <c r="M1334" s="5">
        <f t="shared" si="170"/>
        <v>-4155.6500000000233</v>
      </c>
      <c r="N1334" s="3"/>
    </row>
    <row r="1335" spans="1:14" x14ac:dyDescent="0.25">
      <c r="A1335" s="2">
        <v>1230922</v>
      </c>
      <c r="B1335" s="3">
        <v>76925</v>
      </c>
      <c r="C1335" s="3">
        <v>49750</v>
      </c>
      <c r="D1335" s="3">
        <v>81256.25</v>
      </c>
      <c r="E1335" s="3">
        <v>88359.400000000009</v>
      </c>
      <c r="F1335">
        <f t="shared" si="163"/>
        <v>1230922</v>
      </c>
      <c r="G1335" s="3">
        <f t="shared" si="164"/>
        <v>76925</v>
      </c>
      <c r="H1335" s="3">
        <f t="shared" si="165"/>
        <v>49750</v>
      </c>
      <c r="I1335" s="3">
        <f t="shared" si="166"/>
        <v>81256.25</v>
      </c>
      <c r="J1335" s="3">
        <f t="shared" si="167"/>
        <v>88359.400000000009</v>
      </c>
      <c r="K1335" s="5">
        <f t="shared" si="168"/>
        <v>296290.65000000002</v>
      </c>
      <c r="L1335" s="5">
        <f t="shared" si="169"/>
        <v>296290.65000000002</v>
      </c>
      <c r="M1335" s="5">
        <f t="shared" si="170"/>
        <v>0</v>
      </c>
      <c r="N1335" s="3"/>
    </row>
    <row r="1336" spans="1:14" x14ac:dyDescent="0.25">
      <c r="A1336" s="2">
        <v>1230924</v>
      </c>
      <c r="B1336" s="3">
        <v>76618.75</v>
      </c>
      <c r="C1336" s="3">
        <v>49560</v>
      </c>
      <c r="D1336" s="3">
        <v>81006.25</v>
      </c>
      <c r="E1336" s="3">
        <v>87812.5</v>
      </c>
      <c r="F1336">
        <f t="shared" si="163"/>
        <v>1230924</v>
      </c>
      <c r="G1336" s="3">
        <f t="shared" si="164"/>
        <v>76618.75</v>
      </c>
      <c r="H1336" s="3">
        <f t="shared" si="165"/>
        <v>49560</v>
      </c>
      <c r="I1336" s="3">
        <f t="shared" si="166"/>
        <v>81006.25</v>
      </c>
      <c r="J1336" s="3">
        <f t="shared" si="167"/>
        <v>87812.5</v>
      </c>
      <c r="K1336" s="5">
        <f t="shared" si="168"/>
        <v>294997.5</v>
      </c>
      <c r="L1336" s="5">
        <f t="shared" si="169"/>
        <v>296290.65000000002</v>
      </c>
      <c r="M1336" s="5">
        <f t="shared" si="170"/>
        <v>-1293.1500000000233</v>
      </c>
      <c r="N1336" s="3"/>
    </row>
    <row r="1337" spans="1:14" x14ac:dyDescent="0.25">
      <c r="A1337" s="2">
        <v>1230925</v>
      </c>
      <c r="B1337" s="3">
        <v>76481.25</v>
      </c>
      <c r="C1337" s="3">
        <v>49560</v>
      </c>
      <c r="D1337" s="3">
        <v>80987.5</v>
      </c>
      <c r="E1337" s="3">
        <v>87031.25</v>
      </c>
      <c r="F1337">
        <f t="shared" si="163"/>
        <v>1230925</v>
      </c>
      <c r="G1337" s="3">
        <f t="shared" si="164"/>
        <v>76481.25</v>
      </c>
      <c r="H1337" s="3">
        <f t="shared" si="165"/>
        <v>49560</v>
      </c>
      <c r="I1337" s="3">
        <f t="shared" si="166"/>
        <v>80987.5</v>
      </c>
      <c r="J1337" s="3">
        <f t="shared" si="167"/>
        <v>87031.25</v>
      </c>
      <c r="K1337" s="5">
        <f t="shared" si="168"/>
        <v>294060</v>
      </c>
      <c r="L1337" s="5">
        <f t="shared" si="169"/>
        <v>294997.5</v>
      </c>
      <c r="M1337" s="5">
        <f t="shared" si="170"/>
        <v>-937.5</v>
      </c>
      <c r="N1337" s="3"/>
    </row>
    <row r="1338" spans="1:14" x14ac:dyDescent="0.25">
      <c r="A1338" s="2">
        <v>1230926</v>
      </c>
      <c r="B1338" s="3">
        <v>76662.5</v>
      </c>
      <c r="C1338" s="3">
        <v>49560</v>
      </c>
      <c r="D1338" s="3">
        <v>81300</v>
      </c>
      <c r="E1338" s="3">
        <v>86718.75</v>
      </c>
      <c r="F1338">
        <f t="shared" si="163"/>
        <v>1230926</v>
      </c>
      <c r="G1338" s="3">
        <f t="shared" si="164"/>
        <v>76662.5</v>
      </c>
      <c r="H1338" s="3">
        <f t="shared" si="165"/>
        <v>49560</v>
      </c>
      <c r="I1338" s="3">
        <f t="shared" si="166"/>
        <v>81300</v>
      </c>
      <c r="J1338" s="3">
        <f t="shared" si="167"/>
        <v>86718.75</v>
      </c>
      <c r="K1338" s="5">
        <f t="shared" si="168"/>
        <v>294241.25</v>
      </c>
      <c r="L1338" s="5">
        <f t="shared" si="169"/>
        <v>294241.25</v>
      </c>
      <c r="M1338" s="5">
        <f t="shared" si="170"/>
        <v>0</v>
      </c>
      <c r="N1338" s="3"/>
    </row>
    <row r="1339" spans="1:14" x14ac:dyDescent="0.25">
      <c r="A1339" s="2">
        <v>1230927</v>
      </c>
      <c r="B1339" s="3">
        <v>77025</v>
      </c>
      <c r="C1339" s="3">
        <v>50060</v>
      </c>
      <c r="D1339" s="3">
        <v>81393.75</v>
      </c>
      <c r="E1339" s="3">
        <v>84765.599999999991</v>
      </c>
      <c r="F1339">
        <f t="shared" si="163"/>
        <v>1230927</v>
      </c>
      <c r="G1339" s="3">
        <f t="shared" si="164"/>
        <v>77025</v>
      </c>
      <c r="H1339" s="3">
        <f t="shared" si="165"/>
        <v>50060</v>
      </c>
      <c r="I1339" s="3">
        <f t="shared" si="166"/>
        <v>81393.75</v>
      </c>
      <c r="J1339" s="3">
        <f t="shared" si="167"/>
        <v>84765.599999999991</v>
      </c>
      <c r="K1339" s="5">
        <f t="shared" si="168"/>
        <v>293244.34999999998</v>
      </c>
      <c r="L1339" s="5">
        <f t="shared" si="169"/>
        <v>294241.25</v>
      </c>
      <c r="M1339" s="5">
        <f t="shared" si="170"/>
        <v>-996.90000000002328</v>
      </c>
      <c r="N1339" s="3"/>
    </row>
    <row r="1340" spans="1:14" x14ac:dyDescent="0.25">
      <c r="A1340" s="2">
        <v>1230928</v>
      </c>
      <c r="B1340" s="3">
        <v>77300</v>
      </c>
      <c r="C1340" s="3">
        <v>51290</v>
      </c>
      <c r="D1340" s="3">
        <v>81606.25</v>
      </c>
      <c r="E1340" s="3">
        <v>86640.599999999991</v>
      </c>
      <c r="F1340">
        <f t="shared" si="163"/>
        <v>1230928</v>
      </c>
      <c r="G1340" s="3">
        <f t="shared" si="164"/>
        <v>77300</v>
      </c>
      <c r="H1340" s="3">
        <f t="shared" si="165"/>
        <v>51290</v>
      </c>
      <c r="I1340" s="3">
        <f t="shared" si="166"/>
        <v>81606.25</v>
      </c>
      <c r="J1340" s="3">
        <f t="shared" si="167"/>
        <v>86640.599999999991</v>
      </c>
      <c r="K1340" s="5">
        <f t="shared" si="168"/>
        <v>296836.84999999998</v>
      </c>
      <c r="L1340" s="5">
        <f t="shared" si="169"/>
        <v>296836.84999999998</v>
      </c>
      <c r="M1340" s="5">
        <f t="shared" si="170"/>
        <v>0</v>
      </c>
      <c r="N1340" s="3"/>
    </row>
    <row r="1341" spans="1:14" x14ac:dyDescent="0.25">
      <c r="A1341" s="2">
        <v>1230929</v>
      </c>
      <c r="B1341" s="3">
        <v>77206.25</v>
      </c>
      <c r="C1341" s="3">
        <v>51870</v>
      </c>
      <c r="D1341" s="3">
        <v>81118.75</v>
      </c>
      <c r="E1341" s="3">
        <v>86015.599999999991</v>
      </c>
      <c r="F1341">
        <f t="shared" si="163"/>
        <v>1230929</v>
      </c>
      <c r="G1341" s="3">
        <f t="shared" si="164"/>
        <v>77206.25</v>
      </c>
      <c r="H1341" s="3">
        <f t="shared" si="165"/>
        <v>51870</v>
      </c>
      <c r="I1341" s="3">
        <f t="shared" si="166"/>
        <v>81118.75</v>
      </c>
      <c r="J1341" s="3">
        <f t="shared" si="167"/>
        <v>86015.599999999991</v>
      </c>
      <c r="K1341" s="5">
        <f t="shared" si="168"/>
        <v>296210.59999999998</v>
      </c>
      <c r="L1341" s="5">
        <f t="shared" si="169"/>
        <v>296836.84999999998</v>
      </c>
      <c r="M1341" s="5">
        <f t="shared" si="170"/>
        <v>-626.25</v>
      </c>
      <c r="N1341" s="3"/>
    </row>
    <row r="1342" spans="1:14" x14ac:dyDescent="0.25">
      <c r="A1342" s="2">
        <v>1231001</v>
      </c>
      <c r="B1342" s="3">
        <v>77143.75</v>
      </c>
      <c r="C1342" s="3">
        <v>47950</v>
      </c>
      <c r="D1342" s="3">
        <v>81256.25</v>
      </c>
      <c r="E1342" s="3">
        <v>81484.399999999994</v>
      </c>
      <c r="F1342">
        <f t="shared" si="163"/>
        <v>1231001</v>
      </c>
      <c r="G1342" s="3">
        <f t="shared" si="164"/>
        <v>77143.75</v>
      </c>
      <c r="H1342" s="3">
        <f t="shared" si="165"/>
        <v>47950</v>
      </c>
      <c r="I1342" s="3">
        <f t="shared" si="166"/>
        <v>81256.25</v>
      </c>
      <c r="J1342" s="3">
        <f t="shared" si="167"/>
        <v>81484.399999999994</v>
      </c>
      <c r="K1342" s="5">
        <f t="shared" si="168"/>
        <v>287834.40000000002</v>
      </c>
      <c r="L1342" s="5">
        <f t="shared" si="169"/>
        <v>296210.59999999998</v>
      </c>
      <c r="M1342" s="5">
        <f t="shared" si="170"/>
        <v>-8376.1999999999534</v>
      </c>
      <c r="N1342" s="3"/>
    </row>
    <row r="1343" spans="1:14" x14ac:dyDescent="0.25">
      <c r="A1343" s="2">
        <v>1231002</v>
      </c>
      <c r="B1343" s="3">
        <v>77012.5</v>
      </c>
      <c r="C1343" s="3">
        <v>47660</v>
      </c>
      <c r="D1343" s="3">
        <v>81331.25</v>
      </c>
      <c r="E1343" s="3">
        <v>81718.75</v>
      </c>
      <c r="F1343">
        <f t="shared" si="163"/>
        <v>1231002</v>
      </c>
      <c r="G1343" s="3">
        <f t="shared" si="164"/>
        <v>77012.5</v>
      </c>
      <c r="H1343" s="3">
        <f t="shared" si="165"/>
        <v>47660</v>
      </c>
      <c r="I1343" s="3">
        <f t="shared" si="166"/>
        <v>81331.25</v>
      </c>
      <c r="J1343" s="3">
        <f t="shared" si="167"/>
        <v>81718.75</v>
      </c>
      <c r="K1343" s="5">
        <f t="shared" si="168"/>
        <v>287722.5</v>
      </c>
      <c r="L1343" s="5">
        <f t="shared" si="169"/>
        <v>287834.40000000002</v>
      </c>
      <c r="M1343" s="5">
        <f t="shared" si="170"/>
        <v>-111.90000000002328</v>
      </c>
      <c r="N1343" s="3"/>
    </row>
    <row r="1344" spans="1:14" x14ac:dyDescent="0.25">
      <c r="A1344" s="2">
        <v>1231003</v>
      </c>
      <c r="B1344" s="3">
        <v>77762.5</v>
      </c>
      <c r="C1344" s="3">
        <v>49100</v>
      </c>
      <c r="D1344" s="3">
        <v>81431.25</v>
      </c>
      <c r="E1344" s="3">
        <v>82109.400000000009</v>
      </c>
      <c r="F1344">
        <f t="shared" si="163"/>
        <v>1231003</v>
      </c>
      <c r="G1344" s="3">
        <f t="shared" si="164"/>
        <v>77762.5</v>
      </c>
      <c r="H1344" s="3">
        <f t="shared" si="165"/>
        <v>49100</v>
      </c>
      <c r="I1344" s="3">
        <f t="shared" si="166"/>
        <v>81431.25</v>
      </c>
      <c r="J1344" s="3">
        <f t="shared" si="167"/>
        <v>82109.400000000009</v>
      </c>
      <c r="K1344" s="5">
        <f t="shared" si="168"/>
        <v>290403.15000000002</v>
      </c>
      <c r="L1344" s="5">
        <f t="shared" si="169"/>
        <v>290403.15000000002</v>
      </c>
      <c r="M1344" s="5">
        <f t="shared" si="170"/>
        <v>0</v>
      </c>
      <c r="N1344" s="3"/>
    </row>
    <row r="1345" spans="1:14" x14ac:dyDescent="0.25">
      <c r="A1345" s="2">
        <v>1231004</v>
      </c>
      <c r="B1345" s="3">
        <v>79006.25</v>
      </c>
      <c r="C1345" s="3">
        <v>48280</v>
      </c>
      <c r="D1345" s="3">
        <v>80581.25</v>
      </c>
      <c r="E1345" s="3">
        <v>86484.400000000009</v>
      </c>
      <c r="F1345">
        <f t="shared" si="163"/>
        <v>1231004</v>
      </c>
      <c r="G1345" s="3">
        <f t="shared" si="164"/>
        <v>79006.25</v>
      </c>
      <c r="H1345" s="3">
        <f t="shared" si="165"/>
        <v>48280</v>
      </c>
      <c r="I1345" s="3">
        <f t="shared" si="166"/>
        <v>80581.25</v>
      </c>
      <c r="J1345" s="3">
        <f t="shared" si="167"/>
        <v>86484.400000000009</v>
      </c>
      <c r="K1345" s="5">
        <f t="shared" si="168"/>
        <v>294351.90000000002</v>
      </c>
      <c r="L1345" s="5">
        <f t="shared" si="169"/>
        <v>294351.90000000002</v>
      </c>
      <c r="M1345" s="5">
        <f t="shared" si="170"/>
        <v>0</v>
      </c>
      <c r="N1345" s="3"/>
    </row>
    <row r="1346" spans="1:14" x14ac:dyDescent="0.25">
      <c r="A1346" s="2">
        <v>1231005</v>
      </c>
      <c r="B1346" s="3">
        <v>79412.5</v>
      </c>
      <c r="C1346" s="3">
        <v>48800</v>
      </c>
      <c r="D1346" s="3">
        <v>80881.25</v>
      </c>
      <c r="E1346" s="3">
        <v>87812.5</v>
      </c>
      <c r="F1346">
        <f t="shared" si="163"/>
        <v>1231005</v>
      </c>
      <c r="G1346" s="3">
        <f t="shared" si="164"/>
        <v>79412.5</v>
      </c>
      <c r="H1346" s="3">
        <f t="shared" si="165"/>
        <v>48800</v>
      </c>
      <c r="I1346" s="3">
        <f t="shared" si="166"/>
        <v>80881.25</v>
      </c>
      <c r="J1346" s="3">
        <f t="shared" si="167"/>
        <v>87812.5</v>
      </c>
      <c r="K1346" s="5">
        <f t="shared" si="168"/>
        <v>296906.25</v>
      </c>
      <c r="L1346" s="5">
        <f t="shared" si="169"/>
        <v>296906.25</v>
      </c>
      <c r="M1346" s="5">
        <f t="shared" si="170"/>
        <v>0</v>
      </c>
      <c r="N1346" s="3"/>
    </row>
    <row r="1347" spans="1:14" x14ac:dyDescent="0.25">
      <c r="A1347" s="2">
        <v>1231006</v>
      </c>
      <c r="B1347" s="3">
        <v>78631.25</v>
      </c>
      <c r="C1347" s="3">
        <v>47500</v>
      </c>
      <c r="D1347" s="3">
        <v>80362.5</v>
      </c>
      <c r="E1347" s="3">
        <v>85078.099999999991</v>
      </c>
      <c r="F1347">
        <f t="shared" si="163"/>
        <v>1231006</v>
      </c>
      <c r="G1347" s="3">
        <f t="shared" si="164"/>
        <v>78631.25</v>
      </c>
      <c r="H1347" s="3">
        <f t="shared" si="165"/>
        <v>47500</v>
      </c>
      <c r="I1347" s="3">
        <f t="shared" si="166"/>
        <v>80362.5</v>
      </c>
      <c r="J1347" s="3">
        <f t="shared" si="167"/>
        <v>85078.099999999991</v>
      </c>
      <c r="K1347" s="5">
        <f t="shared" si="168"/>
        <v>291571.84999999998</v>
      </c>
      <c r="L1347" s="5">
        <f t="shared" si="169"/>
        <v>296906.25</v>
      </c>
      <c r="M1347" s="5">
        <f t="shared" si="170"/>
        <v>-5334.4000000000233</v>
      </c>
      <c r="N1347" s="3"/>
    </row>
    <row r="1348" spans="1:14" x14ac:dyDescent="0.25">
      <c r="A1348" s="2">
        <v>1231008</v>
      </c>
      <c r="B1348" s="3">
        <v>78212.5</v>
      </c>
      <c r="C1348" s="3">
        <v>44110</v>
      </c>
      <c r="D1348" s="3">
        <v>80231.25</v>
      </c>
      <c r="E1348" s="3">
        <v>82265.599999999991</v>
      </c>
      <c r="F1348">
        <f t="shared" si="163"/>
        <v>1231008</v>
      </c>
      <c r="G1348" s="3">
        <f t="shared" si="164"/>
        <v>78212.5</v>
      </c>
      <c r="H1348" s="3">
        <f t="shared" si="165"/>
        <v>44110</v>
      </c>
      <c r="I1348" s="3">
        <f t="shared" si="166"/>
        <v>80231.25</v>
      </c>
      <c r="J1348" s="3">
        <f t="shared" si="167"/>
        <v>82265.599999999991</v>
      </c>
      <c r="K1348" s="5">
        <f t="shared" si="168"/>
        <v>284819.34999999998</v>
      </c>
      <c r="L1348" s="5">
        <f t="shared" si="169"/>
        <v>291571.84999999998</v>
      </c>
      <c r="M1348" s="5">
        <f t="shared" si="170"/>
        <v>-6752.5</v>
      </c>
      <c r="N1348" s="3"/>
    </row>
    <row r="1349" spans="1:14" x14ac:dyDescent="0.25">
      <c r="A1349" s="2">
        <v>1231009</v>
      </c>
      <c r="B1349" s="3">
        <v>78243.75</v>
      </c>
      <c r="C1349" s="3">
        <v>43970</v>
      </c>
      <c r="D1349" s="3">
        <v>80243.75</v>
      </c>
      <c r="E1349" s="3">
        <v>83593.75</v>
      </c>
      <c r="F1349">
        <f t="shared" si="163"/>
        <v>1231009</v>
      </c>
      <c r="G1349" s="3">
        <f t="shared" si="164"/>
        <v>78243.75</v>
      </c>
      <c r="H1349" s="3">
        <f t="shared" si="165"/>
        <v>43970</v>
      </c>
      <c r="I1349" s="3">
        <f t="shared" si="166"/>
        <v>80243.75</v>
      </c>
      <c r="J1349" s="3">
        <f t="shared" si="167"/>
        <v>83593.75</v>
      </c>
      <c r="K1349" s="5">
        <f t="shared" si="168"/>
        <v>286051.25</v>
      </c>
      <c r="L1349" s="5">
        <f t="shared" si="169"/>
        <v>286051.25</v>
      </c>
      <c r="M1349" s="5">
        <f t="shared" si="170"/>
        <v>0</v>
      </c>
      <c r="N1349" s="3"/>
    </row>
    <row r="1350" spans="1:14" x14ac:dyDescent="0.25">
      <c r="A1350" s="2">
        <v>1231010</v>
      </c>
      <c r="B1350" s="3">
        <v>79793.75</v>
      </c>
      <c r="C1350" s="3">
        <v>44580</v>
      </c>
      <c r="D1350" s="3">
        <v>80356.25</v>
      </c>
      <c r="E1350" s="3">
        <v>83828.099999999991</v>
      </c>
      <c r="F1350">
        <f t="shared" si="163"/>
        <v>1231010</v>
      </c>
      <c r="G1350" s="3">
        <f t="shared" si="164"/>
        <v>79793.75</v>
      </c>
      <c r="H1350" s="3">
        <f t="shared" si="165"/>
        <v>44580</v>
      </c>
      <c r="I1350" s="3">
        <f t="shared" si="166"/>
        <v>80356.25</v>
      </c>
      <c r="J1350" s="3">
        <f t="shared" si="167"/>
        <v>83828.099999999991</v>
      </c>
      <c r="K1350" s="5">
        <f t="shared" si="168"/>
        <v>288558.09999999998</v>
      </c>
      <c r="L1350" s="5">
        <f t="shared" si="169"/>
        <v>288558.09999999998</v>
      </c>
      <c r="M1350" s="5">
        <f t="shared" si="170"/>
        <v>0</v>
      </c>
      <c r="N1350" s="3"/>
    </row>
    <row r="1351" spans="1:14" x14ac:dyDescent="0.25">
      <c r="A1351" s="2">
        <v>1231011</v>
      </c>
      <c r="B1351" s="3">
        <v>80318.75</v>
      </c>
      <c r="C1351" s="3">
        <v>44080</v>
      </c>
      <c r="D1351" s="3">
        <v>79875</v>
      </c>
      <c r="E1351" s="3">
        <v>79218.75</v>
      </c>
      <c r="F1351">
        <f t="shared" si="163"/>
        <v>1231011</v>
      </c>
      <c r="G1351" s="3">
        <f t="shared" si="164"/>
        <v>80318.75</v>
      </c>
      <c r="H1351" s="3">
        <f t="shared" si="165"/>
        <v>44080</v>
      </c>
      <c r="I1351" s="3">
        <f t="shared" si="166"/>
        <v>79875</v>
      </c>
      <c r="J1351" s="3">
        <f t="shared" si="167"/>
        <v>79218.75</v>
      </c>
      <c r="K1351" s="5">
        <f t="shared" si="168"/>
        <v>283492.5</v>
      </c>
      <c r="L1351" s="5">
        <f t="shared" si="169"/>
        <v>288558.09999999998</v>
      </c>
      <c r="M1351" s="5">
        <f t="shared" si="170"/>
        <v>-5065.5999999999767</v>
      </c>
      <c r="N1351" s="3"/>
    </row>
    <row r="1352" spans="1:14" x14ac:dyDescent="0.25">
      <c r="A1352" s="2">
        <v>1231012</v>
      </c>
      <c r="B1352" s="3">
        <v>79443.75</v>
      </c>
      <c r="C1352" s="3">
        <v>44100</v>
      </c>
      <c r="D1352" s="3">
        <v>80000</v>
      </c>
      <c r="E1352" s="3">
        <v>80859.399999999994</v>
      </c>
      <c r="F1352">
        <f t="shared" si="163"/>
        <v>1231012</v>
      </c>
      <c r="G1352" s="3">
        <f t="shared" si="164"/>
        <v>79443.75</v>
      </c>
      <c r="H1352" s="3">
        <f t="shared" si="165"/>
        <v>44100</v>
      </c>
      <c r="I1352" s="3">
        <f t="shared" si="166"/>
        <v>80000</v>
      </c>
      <c r="J1352" s="3">
        <f t="shared" si="167"/>
        <v>80859.399999999994</v>
      </c>
      <c r="K1352" s="5">
        <f t="shared" si="168"/>
        <v>284403.15000000002</v>
      </c>
      <c r="L1352" s="5">
        <f t="shared" si="169"/>
        <v>284403.15000000002</v>
      </c>
      <c r="M1352" s="5">
        <f t="shared" si="170"/>
        <v>0</v>
      </c>
      <c r="N1352" s="3"/>
    </row>
    <row r="1353" spans="1:14" x14ac:dyDescent="0.25">
      <c r="A1353" s="2">
        <v>1231013</v>
      </c>
      <c r="B1353" s="3">
        <v>80050</v>
      </c>
      <c r="C1353" s="3">
        <v>43960</v>
      </c>
      <c r="D1353" s="3">
        <v>80112.5</v>
      </c>
      <c r="E1353" s="3">
        <v>82968.75</v>
      </c>
      <c r="F1353">
        <f t="shared" si="163"/>
        <v>1231013</v>
      </c>
      <c r="G1353" s="3">
        <f t="shared" si="164"/>
        <v>80050</v>
      </c>
      <c r="H1353" s="3">
        <f t="shared" si="165"/>
        <v>43960</v>
      </c>
      <c r="I1353" s="3">
        <f t="shared" si="166"/>
        <v>80112.5</v>
      </c>
      <c r="J1353" s="3">
        <f t="shared" si="167"/>
        <v>82968.75</v>
      </c>
      <c r="K1353" s="5">
        <f t="shared" si="168"/>
        <v>287091.25</v>
      </c>
      <c r="L1353" s="5">
        <f t="shared" si="169"/>
        <v>287091.25</v>
      </c>
      <c r="M1353" s="5">
        <f t="shared" si="170"/>
        <v>0</v>
      </c>
      <c r="N1353" s="3"/>
    </row>
    <row r="1354" spans="1:14" x14ac:dyDescent="0.25">
      <c r="A1354" s="2">
        <v>1231015</v>
      </c>
      <c r="B1354" s="3">
        <v>80687.5</v>
      </c>
      <c r="C1354" s="3">
        <v>47170</v>
      </c>
      <c r="D1354" s="3">
        <v>80037.5</v>
      </c>
      <c r="E1354" s="3">
        <v>79765.600000000006</v>
      </c>
      <c r="F1354">
        <f t="shared" si="163"/>
        <v>1231015</v>
      </c>
      <c r="G1354" s="3">
        <f t="shared" si="164"/>
        <v>80687.5</v>
      </c>
      <c r="H1354" s="3">
        <f t="shared" si="165"/>
        <v>47170</v>
      </c>
      <c r="I1354" s="3">
        <f t="shared" si="166"/>
        <v>80037.5</v>
      </c>
      <c r="J1354" s="3">
        <f t="shared" si="167"/>
        <v>79765.600000000006</v>
      </c>
      <c r="K1354" s="5">
        <f t="shared" si="168"/>
        <v>287660.59999999998</v>
      </c>
      <c r="L1354" s="5">
        <f t="shared" si="169"/>
        <v>287660.59999999998</v>
      </c>
      <c r="M1354" s="5">
        <f t="shared" si="170"/>
        <v>0</v>
      </c>
      <c r="N1354" s="3"/>
    </row>
    <row r="1355" spans="1:14" x14ac:dyDescent="0.25">
      <c r="A1355" s="2">
        <v>1231016</v>
      </c>
      <c r="B1355" s="3">
        <v>80687.5</v>
      </c>
      <c r="C1355" s="3">
        <v>46740</v>
      </c>
      <c r="D1355" s="3">
        <v>80131.25</v>
      </c>
      <c r="E1355" s="3">
        <v>79843.75</v>
      </c>
      <c r="F1355">
        <f t="shared" si="163"/>
        <v>1231016</v>
      </c>
      <c r="G1355" s="3">
        <f t="shared" si="164"/>
        <v>80687.5</v>
      </c>
      <c r="H1355" s="3">
        <f t="shared" si="165"/>
        <v>46740</v>
      </c>
      <c r="I1355" s="3">
        <f t="shared" si="166"/>
        <v>80131.25</v>
      </c>
      <c r="J1355" s="3">
        <f t="shared" si="167"/>
        <v>79843.75</v>
      </c>
      <c r="K1355" s="5">
        <f t="shared" si="168"/>
        <v>287402.5</v>
      </c>
      <c r="L1355" s="5">
        <f t="shared" si="169"/>
        <v>287660.59999999998</v>
      </c>
      <c r="M1355" s="5">
        <f t="shared" si="170"/>
        <v>-258.09999999997672</v>
      </c>
      <c r="N1355" s="3"/>
    </row>
    <row r="1356" spans="1:14" x14ac:dyDescent="0.25">
      <c r="A1356" s="2">
        <v>1231017</v>
      </c>
      <c r="B1356" s="3">
        <v>80793.75</v>
      </c>
      <c r="C1356" s="3">
        <v>45790</v>
      </c>
      <c r="D1356" s="3">
        <v>80000</v>
      </c>
      <c r="E1356" s="3">
        <v>80000</v>
      </c>
      <c r="F1356">
        <f t="shared" si="163"/>
        <v>1231017</v>
      </c>
      <c r="G1356" s="3">
        <f t="shared" si="164"/>
        <v>80793.75</v>
      </c>
      <c r="H1356" s="3">
        <f t="shared" si="165"/>
        <v>45790</v>
      </c>
      <c r="I1356" s="3">
        <f t="shared" si="166"/>
        <v>80000</v>
      </c>
      <c r="J1356" s="3">
        <f t="shared" si="167"/>
        <v>80000</v>
      </c>
      <c r="K1356" s="5">
        <f t="shared" si="168"/>
        <v>286583.75</v>
      </c>
      <c r="L1356" s="5">
        <f t="shared" si="169"/>
        <v>287402.5</v>
      </c>
      <c r="M1356" s="5">
        <f t="shared" si="170"/>
        <v>-818.75</v>
      </c>
      <c r="N1356" s="3"/>
    </row>
    <row r="1357" spans="1:14" x14ac:dyDescent="0.25">
      <c r="A1357" s="2">
        <v>1231018</v>
      </c>
      <c r="B1357" s="3">
        <v>80818.75</v>
      </c>
      <c r="C1357" s="3">
        <v>46910</v>
      </c>
      <c r="D1357" s="3">
        <v>80087.5</v>
      </c>
      <c r="E1357" s="3">
        <v>83437.5</v>
      </c>
      <c r="F1357">
        <f t="shared" si="163"/>
        <v>1231018</v>
      </c>
      <c r="G1357" s="3">
        <f t="shared" si="164"/>
        <v>80818.75</v>
      </c>
      <c r="H1357" s="3">
        <f t="shared" si="165"/>
        <v>46910</v>
      </c>
      <c r="I1357" s="3">
        <f t="shared" si="166"/>
        <v>80087.5</v>
      </c>
      <c r="J1357" s="3">
        <f t="shared" si="167"/>
        <v>83437.5</v>
      </c>
      <c r="K1357" s="5">
        <f t="shared" si="168"/>
        <v>291253.75</v>
      </c>
      <c r="L1357" s="5">
        <f t="shared" si="169"/>
        <v>291253.75</v>
      </c>
      <c r="M1357" s="5">
        <f t="shared" si="170"/>
        <v>0</v>
      </c>
      <c r="N1357" s="3"/>
    </row>
    <row r="1358" spans="1:14" x14ac:dyDescent="0.25">
      <c r="A1358" s="2">
        <v>1231019</v>
      </c>
      <c r="B1358" s="3">
        <v>81331.25</v>
      </c>
      <c r="C1358" s="3">
        <v>47130</v>
      </c>
      <c r="D1358" s="3">
        <v>80206.25</v>
      </c>
      <c r="E1358" s="3">
        <v>84218.75</v>
      </c>
      <c r="F1358">
        <f t="shared" si="163"/>
        <v>1231019</v>
      </c>
      <c r="G1358" s="3">
        <f t="shared" si="164"/>
        <v>81331.25</v>
      </c>
      <c r="H1358" s="3">
        <f t="shared" si="165"/>
        <v>47130</v>
      </c>
      <c r="I1358" s="3">
        <f t="shared" si="166"/>
        <v>80206.25</v>
      </c>
      <c r="J1358" s="3">
        <f t="shared" si="167"/>
        <v>84218.75</v>
      </c>
      <c r="K1358" s="5">
        <f t="shared" si="168"/>
        <v>292886.25</v>
      </c>
      <c r="L1358" s="5">
        <f t="shared" si="169"/>
        <v>292886.25</v>
      </c>
      <c r="M1358" s="5">
        <f t="shared" si="170"/>
        <v>0</v>
      </c>
      <c r="N1358" s="3"/>
    </row>
    <row r="1359" spans="1:14" x14ac:dyDescent="0.25">
      <c r="A1359" s="2">
        <v>1231020</v>
      </c>
      <c r="B1359" s="3">
        <v>80262.5</v>
      </c>
      <c r="C1359" s="3">
        <v>50100</v>
      </c>
      <c r="D1359" s="3">
        <v>80081.25</v>
      </c>
      <c r="E1359" s="3">
        <v>82500</v>
      </c>
      <c r="F1359">
        <f t="shared" si="163"/>
        <v>1231020</v>
      </c>
      <c r="G1359" s="3">
        <f t="shared" si="164"/>
        <v>80262.5</v>
      </c>
      <c r="H1359" s="3">
        <f t="shared" si="165"/>
        <v>50100</v>
      </c>
      <c r="I1359" s="3">
        <f t="shared" si="166"/>
        <v>80081.25</v>
      </c>
      <c r="J1359" s="3">
        <f t="shared" si="167"/>
        <v>82500</v>
      </c>
      <c r="K1359" s="5">
        <f t="shared" si="168"/>
        <v>292943.75</v>
      </c>
      <c r="L1359" s="5">
        <f t="shared" si="169"/>
        <v>292943.75</v>
      </c>
      <c r="M1359" s="5">
        <f t="shared" si="170"/>
        <v>0</v>
      </c>
      <c r="N1359" s="3"/>
    </row>
    <row r="1360" spans="1:14" x14ac:dyDescent="0.25">
      <c r="A1360" s="2">
        <v>1231022</v>
      </c>
      <c r="B1360" s="3">
        <v>81487.5</v>
      </c>
      <c r="C1360" s="3">
        <v>49560</v>
      </c>
      <c r="D1360" s="3">
        <v>80087.5</v>
      </c>
      <c r="E1360" s="3">
        <v>82890.599999999991</v>
      </c>
      <c r="F1360">
        <f t="shared" si="163"/>
        <v>1231022</v>
      </c>
      <c r="G1360" s="3">
        <f t="shared" si="164"/>
        <v>81487.5</v>
      </c>
      <c r="H1360" s="3">
        <f t="shared" si="165"/>
        <v>49560</v>
      </c>
      <c r="I1360" s="3">
        <f t="shared" si="166"/>
        <v>80087.5</v>
      </c>
      <c r="J1360" s="3">
        <f t="shared" si="167"/>
        <v>82890.599999999991</v>
      </c>
      <c r="K1360" s="5">
        <f t="shared" si="168"/>
        <v>294025.59999999998</v>
      </c>
      <c r="L1360" s="5">
        <f t="shared" si="169"/>
        <v>294025.59999999998</v>
      </c>
      <c r="M1360" s="5">
        <f t="shared" si="170"/>
        <v>0</v>
      </c>
      <c r="N1360" s="3"/>
    </row>
    <row r="1361" spans="1:14" x14ac:dyDescent="0.25">
      <c r="A1361" s="2">
        <v>1231023</v>
      </c>
      <c r="B1361" s="3">
        <v>81487.5</v>
      </c>
      <c r="C1361" s="3">
        <v>49830</v>
      </c>
      <c r="D1361" s="3">
        <v>80131.25</v>
      </c>
      <c r="E1361" s="3">
        <v>81953.099999999991</v>
      </c>
      <c r="F1361">
        <f t="shared" si="163"/>
        <v>1231023</v>
      </c>
      <c r="G1361" s="3">
        <f t="shared" si="164"/>
        <v>81487.5</v>
      </c>
      <c r="H1361" s="3">
        <f t="shared" si="165"/>
        <v>49830</v>
      </c>
      <c r="I1361" s="3">
        <f t="shared" si="166"/>
        <v>80131.25</v>
      </c>
      <c r="J1361" s="3">
        <f t="shared" si="167"/>
        <v>81953.099999999991</v>
      </c>
      <c r="K1361" s="5">
        <f t="shared" si="168"/>
        <v>293401.84999999998</v>
      </c>
      <c r="L1361" s="5">
        <f t="shared" si="169"/>
        <v>294025.59999999998</v>
      </c>
      <c r="M1361" s="5">
        <f t="shared" si="170"/>
        <v>-623.75</v>
      </c>
      <c r="N1361" s="3"/>
    </row>
    <row r="1362" spans="1:14" x14ac:dyDescent="0.25">
      <c r="A1362" s="2">
        <v>1231024</v>
      </c>
      <c r="B1362" s="3">
        <v>81343.75</v>
      </c>
      <c r="C1362" s="3">
        <v>48850</v>
      </c>
      <c r="D1362" s="3">
        <v>80193.75</v>
      </c>
      <c r="E1362" s="3">
        <v>86015.599999999991</v>
      </c>
      <c r="F1362">
        <f t="shared" si="163"/>
        <v>1231024</v>
      </c>
      <c r="G1362" s="3">
        <f t="shared" si="164"/>
        <v>81343.75</v>
      </c>
      <c r="H1362" s="3">
        <f t="shared" si="165"/>
        <v>48850</v>
      </c>
      <c r="I1362" s="3">
        <f t="shared" si="166"/>
        <v>80193.75</v>
      </c>
      <c r="J1362" s="3">
        <f t="shared" si="167"/>
        <v>86015.599999999991</v>
      </c>
      <c r="K1362" s="5">
        <f t="shared" si="168"/>
        <v>296403.09999999998</v>
      </c>
      <c r="L1362" s="5">
        <f t="shared" si="169"/>
        <v>296403.09999999998</v>
      </c>
      <c r="M1362" s="5">
        <f t="shared" si="170"/>
        <v>0</v>
      </c>
      <c r="N1362" s="3"/>
    </row>
    <row r="1363" spans="1:14" x14ac:dyDescent="0.25">
      <c r="A1363" s="2">
        <v>1231025</v>
      </c>
      <c r="B1363" s="3">
        <v>80600</v>
      </c>
      <c r="C1363" s="3">
        <v>48750</v>
      </c>
      <c r="D1363" s="3">
        <v>80131.25</v>
      </c>
      <c r="E1363" s="3">
        <v>84687.5</v>
      </c>
      <c r="F1363">
        <f t="shared" si="163"/>
        <v>1231025</v>
      </c>
      <c r="G1363" s="3">
        <f t="shared" si="164"/>
        <v>80600</v>
      </c>
      <c r="H1363" s="3">
        <f t="shared" si="165"/>
        <v>48750</v>
      </c>
      <c r="I1363" s="3">
        <f t="shared" si="166"/>
        <v>80131.25</v>
      </c>
      <c r="J1363" s="3">
        <f t="shared" si="167"/>
        <v>84687.5</v>
      </c>
      <c r="K1363" s="5">
        <f t="shared" si="168"/>
        <v>294168.75</v>
      </c>
      <c r="L1363" s="5">
        <f t="shared" si="169"/>
        <v>296403.09999999998</v>
      </c>
      <c r="M1363" s="5">
        <f t="shared" si="170"/>
        <v>-2234.3499999999767</v>
      </c>
      <c r="N1363" s="3"/>
    </row>
    <row r="1364" spans="1:14" x14ac:dyDescent="0.25">
      <c r="A1364" s="2">
        <v>1231026</v>
      </c>
      <c r="B1364" s="3">
        <v>82631.25</v>
      </c>
      <c r="C1364" s="3">
        <v>50060</v>
      </c>
      <c r="D1364" s="3">
        <v>80400</v>
      </c>
      <c r="E1364" s="3">
        <v>88593.75</v>
      </c>
      <c r="F1364">
        <f t="shared" si="163"/>
        <v>1231026</v>
      </c>
      <c r="G1364" s="3">
        <f t="shared" si="164"/>
        <v>82631.25</v>
      </c>
      <c r="H1364" s="3">
        <f t="shared" si="165"/>
        <v>50060</v>
      </c>
      <c r="I1364" s="3">
        <f t="shared" si="166"/>
        <v>80400</v>
      </c>
      <c r="J1364" s="3">
        <f t="shared" si="167"/>
        <v>88593.75</v>
      </c>
      <c r="K1364" s="5">
        <f t="shared" si="168"/>
        <v>301685</v>
      </c>
      <c r="L1364" s="5">
        <f t="shared" si="169"/>
        <v>301685</v>
      </c>
      <c r="M1364" s="5">
        <f t="shared" si="170"/>
        <v>0</v>
      </c>
      <c r="N1364" s="3"/>
    </row>
    <row r="1365" spans="1:14" x14ac:dyDescent="0.25">
      <c r="A1365" s="2">
        <v>1231027</v>
      </c>
      <c r="B1365" s="3">
        <v>83243.75</v>
      </c>
      <c r="C1365" s="3">
        <v>49270</v>
      </c>
      <c r="D1365" s="3">
        <v>80268.75</v>
      </c>
      <c r="E1365" s="3">
        <v>90312.5</v>
      </c>
      <c r="F1365">
        <f t="shared" si="163"/>
        <v>1231027</v>
      </c>
      <c r="G1365" s="3">
        <f t="shared" si="164"/>
        <v>83243.75</v>
      </c>
      <c r="H1365" s="3">
        <f t="shared" si="165"/>
        <v>49270</v>
      </c>
      <c r="I1365" s="3">
        <f t="shared" si="166"/>
        <v>80268.75</v>
      </c>
      <c r="J1365" s="3">
        <f t="shared" si="167"/>
        <v>90312.5</v>
      </c>
      <c r="K1365" s="5">
        <f t="shared" si="168"/>
        <v>303095</v>
      </c>
      <c r="L1365" s="5">
        <f t="shared" si="169"/>
        <v>303095</v>
      </c>
      <c r="M1365" s="5">
        <f t="shared" si="170"/>
        <v>0</v>
      </c>
      <c r="N1365" s="3"/>
    </row>
    <row r="1366" spans="1:14" x14ac:dyDescent="0.25">
      <c r="A1366" s="2">
        <v>1231029</v>
      </c>
      <c r="B1366" s="3">
        <v>83387.5</v>
      </c>
      <c r="C1366" s="3">
        <v>50050</v>
      </c>
      <c r="D1366" s="3">
        <v>80518.75</v>
      </c>
      <c r="E1366" s="3">
        <v>87656.25</v>
      </c>
      <c r="F1366">
        <f t="shared" si="163"/>
        <v>1231029</v>
      </c>
      <c r="G1366" s="3">
        <f t="shared" si="164"/>
        <v>83387.5</v>
      </c>
      <c r="H1366" s="3">
        <f t="shared" si="165"/>
        <v>50050</v>
      </c>
      <c r="I1366" s="3">
        <f t="shared" si="166"/>
        <v>80518.75</v>
      </c>
      <c r="J1366" s="3">
        <f t="shared" si="167"/>
        <v>87656.25</v>
      </c>
      <c r="K1366" s="5">
        <f t="shared" si="168"/>
        <v>301612.5</v>
      </c>
      <c r="L1366" s="5">
        <f t="shared" si="169"/>
        <v>303095</v>
      </c>
      <c r="M1366" s="5">
        <f t="shared" si="170"/>
        <v>-1482.5</v>
      </c>
      <c r="N1366" s="3"/>
    </row>
    <row r="1367" spans="1:14" x14ac:dyDescent="0.25">
      <c r="A1367" s="2">
        <v>1231030</v>
      </c>
      <c r="B1367" s="3">
        <v>83381.25</v>
      </c>
      <c r="C1367" s="3">
        <v>50050</v>
      </c>
      <c r="D1367" s="3">
        <v>80600</v>
      </c>
      <c r="E1367" s="3">
        <v>87500</v>
      </c>
      <c r="F1367">
        <f t="shared" si="163"/>
        <v>1231030</v>
      </c>
      <c r="G1367" s="3">
        <f t="shared" si="164"/>
        <v>83381.25</v>
      </c>
      <c r="H1367" s="3">
        <f t="shared" si="165"/>
        <v>50050</v>
      </c>
      <c r="I1367" s="3">
        <f t="shared" si="166"/>
        <v>80600</v>
      </c>
      <c r="J1367" s="3">
        <f t="shared" si="167"/>
        <v>87500</v>
      </c>
      <c r="K1367" s="5">
        <f t="shared" si="168"/>
        <v>301531.25</v>
      </c>
      <c r="L1367" s="5">
        <f t="shared" si="169"/>
        <v>301612.5</v>
      </c>
      <c r="M1367" s="5">
        <f t="shared" si="170"/>
        <v>-81.25</v>
      </c>
      <c r="N1367" s="3"/>
    </row>
    <row r="1368" spans="1:14" x14ac:dyDescent="0.25">
      <c r="A1368" s="2">
        <v>1231031</v>
      </c>
      <c r="B1368" s="3">
        <v>82593.75</v>
      </c>
      <c r="C1368" s="3">
        <v>50180</v>
      </c>
      <c r="D1368" s="3">
        <v>80318.75</v>
      </c>
      <c r="E1368" s="3">
        <v>86328.099999999991</v>
      </c>
      <c r="F1368">
        <f t="shared" si="163"/>
        <v>1231031</v>
      </c>
      <c r="G1368" s="3">
        <f t="shared" si="164"/>
        <v>82593.75</v>
      </c>
      <c r="H1368" s="3">
        <f t="shared" si="165"/>
        <v>50180</v>
      </c>
      <c r="I1368" s="3">
        <f t="shared" si="166"/>
        <v>80318.75</v>
      </c>
      <c r="J1368" s="3">
        <f t="shared" si="167"/>
        <v>86328.099999999991</v>
      </c>
      <c r="K1368" s="5">
        <f t="shared" si="168"/>
        <v>299420.59999999998</v>
      </c>
      <c r="L1368" s="5">
        <f t="shared" si="169"/>
        <v>301531.25</v>
      </c>
      <c r="M1368" s="5">
        <f t="shared" si="170"/>
        <v>-2110.6500000000233</v>
      </c>
      <c r="N1368" s="3"/>
    </row>
    <row r="1369" spans="1:14" x14ac:dyDescent="0.25">
      <c r="A1369" s="2">
        <v>1231101</v>
      </c>
      <c r="B1369" s="3">
        <v>83587.5</v>
      </c>
      <c r="C1369" s="3">
        <v>47490</v>
      </c>
      <c r="D1369" s="3">
        <v>81025</v>
      </c>
      <c r="E1369" s="3">
        <v>81171.899999999994</v>
      </c>
      <c r="F1369">
        <f t="shared" ref="F1369:F1432" si="171">+A1369</f>
        <v>1231101</v>
      </c>
      <c r="G1369" s="3">
        <f t="shared" si="164"/>
        <v>83587.5</v>
      </c>
      <c r="H1369" s="3">
        <f t="shared" si="165"/>
        <v>47490</v>
      </c>
      <c r="I1369" s="3">
        <f t="shared" si="166"/>
        <v>81025</v>
      </c>
      <c r="J1369" s="3">
        <f t="shared" si="167"/>
        <v>81171.899999999994</v>
      </c>
      <c r="K1369" s="5">
        <f t="shared" si="168"/>
        <v>293274.40000000002</v>
      </c>
      <c r="L1369" s="5">
        <f t="shared" si="169"/>
        <v>299420.59999999998</v>
      </c>
      <c r="M1369" s="5">
        <f t="shared" si="170"/>
        <v>-6146.1999999999534</v>
      </c>
      <c r="N1369" s="3"/>
    </row>
    <row r="1370" spans="1:14" x14ac:dyDescent="0.25">
      <c r="A1370" s="2">
        <v>1231102</v>
      </c>
      <c r="B1370" s="3">
        <v>84531.25</v>
      </c>
      <c r="C1370" s="3">
        <v>48250</v>
      </c>
      <c r="D1370" s="3">
        <v>81300</v>
      </c>
      <c r="E1370" s="3">
        <v>87656.25</v>
      </c>
      <c r="F1370">
        <f t="shared" si="171"/>
        <v>1231102</v>
      </c>
      <c r="G1370" s="3">
        <f t="shared" ref="G1370:G1433" si="172">+IF(B1370&lt;&gt;0,B1370,B1369)</f>
        <v>84531.25</v>
      </c>
      <c r="H1370" s="3">
        <f t="shared" ref="H1370:H1433" si="173">+IF(C1370&lt;&gt;0,C1370,C1369)</f>
        <v>48250</v>
      </c>
      <c r="I1370" s="3">
        <f t="shared" ref="I1370:I1433" si="174">+IF(D1370&lt;&gt;0,D1370,D1369)</f>
        <v>81300</v>
      </c>
      <c r="J1370" s="3">
        <f t="shared" ref="J1370:J1433" si="175">+IF(E1370&lt;&gt;0,E1370,E1369)</f>
        <v>87656.25</v>
      </c>
      <c r="K1370" s="5">
        <f t="shared" ref="K1370:K1433" si="176">+SUM(G1370:J1370)</f>
        <v>301737.5</v>
      </c>
      <c r="L1370" s="5">
        <f t="shared" si="169"/>
        <v>301737.5</v>
      </c>
      <c r="M1370" s="5">
        <f t="shared" si="170"/>
        <v>0</v>
      </c>
      <c r="N1370" s="3"/>
    </row>
    <row r="1371" spans="1:14" x14ac:dyDescent="0.25">
      <c r="A1371" s="2">
        <v>1231103</v>
      </c>
      <c r="B1371" s="3">
        <v>86193.75</v>
      </c>
      <c r="C1371" s="3">
        <v>48240</v>
      </c>
      <c r="D1371" s="3">
        <v>81387.5</v>
      </c>
      <c r="E1371" s="3">
        <v>88828.099999999991</v>
      </c>
      <c r="F1371">
        <f t="shared" si="171"/>
        <v>1231103</v>
      </c>
      <c r="G1371" s="3">
        <f t="shared" si="172"/>
        <v>86193.75</v>
      </c>
      <c r="H1371" s="3">
        <f t="shared" si="173"/>
        <v>48240</v>
      </c>
      <c r="I1371" s="3">
        <f t="shared" si="174"/>
        <v>81387.5</v>
      </c>
      <c r="J1371" s="3">
        <f t="shared" si="175"/>
        <v>88828.099999999991</v>
      </c>
      <c r="K1371" s="5">
        <f t="shared" si="176"/>
        <v>304649.34999999998</v>
      </c>
      <c r="L1371" s="5">
        <f t="shared" ref="L1371:L1434" si="177">+IF(K1371&gt;K1370,K1371,K1370)</f>
        <v>304649.34999999998</v>
      </c>
      <c r="M1371" s="5">
        <f t="shared" ref="M1371:M1434" si="178">+K1371-L1371</f>
        <v>0</v>
      </c>
      <c r="N1371" s="3"/>
    </row>
    <row r="1372" spans="1:14" x14ac:dyDescent="0.25">
      <c r="A1372" s="2">
        <v>1231105</v>
      </c>
      <c r="B1372" s="3">
        <v>87306.25</v>
      </c>
      <c r="C1372" s="3">
        <v>47390</v>
      </c>
      <c r="D1372" s="3">
        <v>81831.25</v>
      </c>
      <c r="E1372" s="3">
        <v>92109.400000000009</v>
      </c>
      <c r="F1372">
        <f t="shared" si="171"/>
        <v>1231105</v>
      </c>
      <c r="G1372" s="3">
        <f t="shared" si="172"/>
        <v>87306.25</v>
      </c>
      <c r="H1372" s="3">
        <f t="shared" si="173"/>
        <v>47390</v>
      </c>
      <c r="I1372" s="3">
        <f t="shared" si="174"/>
        <v>81831.25</v>
      </c>
      <c r="J1372" s="3">
        <f t="shared" si="175"/>
        <v>92109.400000000009</v>
      </c>
      <c r="K1372" s="5">
        <f t="shared" si="176"/>
        <v>308636.90000000002</v>
      </c>
      <c r="L1372" s="5">
        <f t="shared" si="177"/>
        <v>308636.90000000002</v>
      </c>
      <c r="M1372" s="5">
        <f t="shared" si="178"/>
        <v>0</v>
      </c>
      <c r="N1372" s="3"/>
    </row>
    <row r="1373" spans="1:14" x14ac:dyDescent="0.25">
      <c r="A1373" s="2">
        <v>1231106</v>
      </c>
      <c r="B1373" s="3">
        <v>87325</v>
      </c>
      <c r="C1373" s="3">
        <v>46910</v>
      </c>
      <c r="D1373" s="3">
        <v>81787.5</v>
      </c>
      <c r="E1373" s="3">
        <v>92187.5</v>
      </c>
      <c r="F1373">
        <f t="shared" si="171"/>
        <v>1231106</v>
      </c>
      <c r="G1373" s="3">
        <f t="shared" si="172"/>
        <v>87325</v>
      </c>
      <c r="H1373" s="3">
        <f t="shared" si="173"/>
        <v>46910</v>
      </c>
      <c r="I1373" s="3">
        <f t="shared" si="174"/>
        <v>81787.5</v>
      </c>
      <c r="J1373" s="3">
        <f t="shared" si="175"/>
        <v>92187.5</v>
      </c>
      <c r="K1373" s="5">
        <f t="shared" si="176"/>
        <v>308210</v>
      </c>
      <c r="L1373" s="5">
        <f t="shared" si="177"/>
        <v>308636.90000000002</v>
      </c>
      <c r="M1373" s="5">
        <f t="shared" si="178"/>
        <v>-426.90000000002328</v>
      </c>
      <c r="N1373" s="3"/>
    </row>
    <row r="1374" spans="1:14" x14ac:dyDescent="0.25">
      <c r="A1374" s="2">
        <v>1231107</v>
      </c>
      <c r="B1374" s="3">
        <v>87331.25</v>
      </c>
      <c r="C1374" s="3">
        <v>47000</v>
      </c>
      <c r="D1374" s="3">
        <v>82006.25</v>
      </c>
      <c r="E1374" s="3">
        <v>93046.900000000009</v>
      </c>
      <c r="F1374">
        <f t="shared" si="171"/>
        <v>1231107</v>
      </c>
      <c r="G1374" s="3">
        <f t="shared" si="172"/>
        <v>87331.25</v>
      </c>
      <c r="H1374" s="3">
        <f t="shared" si="173"/>
        <v>47000</v>
      </c>
      <c r="I1374" s="3">
        <f t="shared" si="174"/>
        <v>82006.25</v>
      </c>
      <c r="J1374" s="3">
        <f t="shared" si="175"/>
        <v>93046.900000000009</v>
      </c>
      <c r="K1374" s="5">
        <f t="shared" si="176"/>
        <v>309384.40000000002</v>
      </c>
      <c r="L1374" s="5">
        <f t="shared" si="177"/>
        <v>309384.40000000002</v>
      </c>
      <c r="M1374" s="5">
        <f t="shared" si="178"/>
        <v>0</v>
      </c>
      <c r="N1374" s="3"/>
    </row>
    <row r="1375" spans="1:14" x14ac:dyDescent="0.25">
      <c r="A1375" s="2">
        <v>1231108</v>
      </c>
      <c r="B1375" s="3">
        <v>87212.5</v>
      </c>
      <c r="C1375" s="3">
        <v>46880</v>
      </c>
      <c r="D1375" s="3">
        <v>82218.75</v>
      </c>
      <c r="E1375" s="3">
        <v>92187.5</v>
      </c>
      <c r="F1375">
        <f t="shared" si="171"/>
        <v>1231108</v>
      </c>
      <c r="G1375" s="3">
        <f t="shared" si="172"/>
        <v>87212.5</v>
      </c>
      <c r="H1375" s="3">
        <f t="shared" si="173"/>
        <v>46880</v>
      </c>
      <c r="I1375" s="3">
        <f t="shared" si="174"/>
        <v>82218.75</v>
      </c>
      <c r="J1375" s="3">
        <f t="shared" si="175"/>
        <v>92187.5</v>
      </c>
      <c r="K1375" s="5">
        <f t="shared" si="176"/>
        <v>308498.75</v>
      </c>
      <c r="L1375" s="5">
        <f t="shared" si="177"/>
        <v>309384.40000000002</v>
      </c>
      <c r="M1375" s="5">
        <f t="shared" si="178"/>
        <v>-885.65000000002328</v>
      </c>
      <c r="N1375" s="3"/>
    </row>
    <row r="1376" spans="1:14" x14ac:dyDescent="0.25">
      <c r="A1376" s="2">
        <v>1231109</v>
      </c>
      <c r="B1376" s="3">
        <v>86950</v>
      </c>
      <c r="C1376" s="3">
        <v>48810</v>
      </c>
      <c r="D1376" s="3">
        <v>82481.25</v>
      </c>
      <c r="E1376" s="3">
        <v>91640.599999999991</v>
      </c>
      <c r="F1376">
        <f t="shared" si="171"/>
        <v>1231109</v>
      </c>
      <c r="G1376" s="3">
        <f t="shared" si="172"/>
        <v>86950</v>
      </c>
      <c r="H1376" s="3">
        <f t="shared" si="173"/>
        <v>48810</v>
      </c>
      <c r="I1376" s="3">
        <f t="shared" si="174"/>
        <v>82481.25</v>
      </c>
      <c r="J1376" s="3">
        <f t="shared" si="175"/>
        <v>91640.599999999991</v>
      </c>
      <c r="K1376" s="5">
        <f t="shared" si="176"/>
        <v>309881.84999999998</v>
      </c>
      <c r="L1376" s="5">
        <f t="shared" si="177"/>
        <v>309881.84999999998</v>
      </c>
      <c r="M1376" s="5">
        <f t="shared" si="178"/>
        <v>0</v>
      </c>
      <c r="N1376" s="3"/>
    </row>
    <row r="1377" spans="1:14" x14ac:dyDescent="0.25">
      <c r="A1377" s="2">
        <v>1231110</v>
      </c>
      <c r="B1377" s="3">
        <v>87487.5</v>
      </c>
      <c r="C1377" s="3">
        <v>49870</v>
      </c>
      <c r="D1377" s="3">
        <v>82337.5</v>
      </c>
      <c r="E1377" s="3">
        <v>93203.099999999991</v>
      </c>
      <c r="F1377">
        <f t="shared" si="171"/>
        <v>1231110</v>
      </c>
      <c r="G1377" s="3">
        <f t="shared" si="172"/>
        <v>87487.5</v>
      </c>
      <c r="H1377" s="3">
        <f t="shared" si="173"/>
        <v>49870</v>
      </c>
      <c r="I1377" s="3">
        <f t="shared" si="174"/>
        <v>82337.5</v>
      </c>
      <c r="J1377" s="3">
        <f t="shared" si="175"/>
        <v>93203.099999999991</v>
      </c>
      <c r="K1377" s="5">
        <f t="shared" si="176"/>
        <v>312898.09999999998</v>
      </c>
      <c r="L1377" s="5">
        <f t="shared" si="177"/>
        <v>312898.09999999998</v>
      </c>
      <c r="M1377" s="5">
        <f t="shared" si="178"/>
        <v>0</v>
      </c>
      <c r="N1377" s="3"/>
    </row>
    <row r="1378" spans="1:14" x14ac:dyDescent="0.25">
      <c r="A1378" s="2">
        <v>1231112</v>
      </c>
      <c r="B1378" s="3">
        <v>87850</v>
      </c>
      <c r="C1378" s="3">
        <v>50780</v>
      </c>
      <c r="D1378" s="3">
        <v>82200</v>
      </c>
      <c r="E1378" s="3">
        <v>90546.900000000009</v>
      </c>
      <c r="F1378">
        <f t="shared" si="171"/>
        <v>1231112</v>
      </c>
      <c r="G1378" s="3">
        <f t="shared" si="172"/>
        <v>87850</v>
      </c>
      <c r="H1378" s="3">
        <f t="shared" si="173"/>
        <v>50780</v>
      </c>
      <c r="I1378" s="3">
        <f t="shared" si="174"/>
        <v>82200</v>
      </c>
      <c r="J1378" s="3">
        <f t="shared" si="175"/>
        <v>90546.900000000009</v>
      </c>
      <c r="K1378" s="5">
        <f t="shared" si="176"/>
        <v>311376.90000000002</v>
      </c>
      <c r="L1378" s="5">
        <f t="shared" si="177"/>
        <v>312898.09999999998</v>
      </c>
      <c r="M1378" s="5">
        <f t="shared" si="178"/>
        <v>-1521.1999999999534</v>
      </c>
      <c r="N1378" s="3"/>
    </row>
    <row r="1379" spans="1:14" x14ac:dyDescent="0.25">
      <c r="A1379" s="2">
        <v>1231113</v>
      </c>
      <c r="B1379" s="3">
        <v>87593.75</v>
      </c>
      <c r="C1379" s="3">
        <v>51240</v>
      </c>
      <c r="D1379" s="3">
        <v>82368.75</v>
      </c>
      <c r="E1379" s="3">
        <v>90625</v>
      </c>
      <c r="F1379">
        <f t="shared" si="171"/>
        <v>1231113</v>
      </c>
      <c r="G1379" s="3">
        <f t="shared" si="172"/>
        <v>87593.75</v>
      </c>
      <c r="H1379" s="3">
        <f t="shared" si="173"/>
        <v>51240</v>
      </c>
      <c r="I1379" s="3">
        <f t="shared" si="174"/>
        <v>82368.75</v>
      </c>
      <c r="J1379" s="3">
        <f t="shared" si="175"/>
        <v>90625</v>
      </c>
      <c r="K1379" s="5">
        <f t="shared" si="176"/>
        <v>311827.5</v>
      </c>
      <c r="L1379" s="5">
        <f t="shared" si="177"/>
        <v>311827.5</v>
      </c>
      <c r="M1379" s="5">
        <f t="shared" si="178"/>
        <v>0</v>
      </c>
      <c r="N1379" s="3"/>
    </row>
    <row r="1380" spans="1:14" x14ac:dyDescent="0.25">
      <c r="A1380" s="2">
        <v>1231114</v>
      </c>
      <c r="B1380" s="3">
        <v>87981.25</v>
      </c>
      <c r="C1380" s="3">
        <v>49830</v>
      </c>
      <c r="D1380" s="3">
        <v>82293.75</v>
      </c>
      <c r="E1380" s="3">
        <v>89296.900000000009</v>
      </c>
      <c r="F1380">
        <f t="shared" si="171"/>
        <v>1231114</v>
      </c>
      <c r="G1380" s="3">
        <f t="shared" si="172"/>
        <v>87981.25</v>
      </c>
      <c r="H1380" s="3">
        <f t="shared" si="173"/>
        <v>49830</v>
      </c>
      <c r="I1380" s="3">
        <f t="shared" si="174"/>
        <v>82293.75</v>
      </c>
      <c r="J1380" s="3">
        <f t="shared" si="175"/>
        <v>89296.900000000009</v>
      </c>
      <c r="K1380" s="5">
        <f t="shared" si="176"/>
        <v>309401.90000000002</v>
      </c>
      <c r="L1380" s="5">
        <f t="shared" si="177"/>
        <v>311827.5</v>
      </c>
      <c r="M1380" s="5">
        <f t="shared" si="178"/>
        <v>-2425.5999999999767</v>
      </c>
      <c r="N1380" s="3"/>
    </row>
    <row r="1381" spans="1:14" x14ac:dyDescent="0.25">
      <c r="A1381" s="2">
        <v>1231115</v>
      </c>
      <c r="B1381" s="3">
        <v>90262.5</v>
      </c>
      <c r="C1381" s="3">
        <v>51070</v>
      </c>
      <c r="D1381" s="3">
        <v>82706.25</v>
      </c>
      <c r="E1381" s="3">
        <v>94921.900000000009</v>
      </c>
      <c r="F1381">
        <f t="shared" si="171"/>
        <v>1231115</v>
      </c>
      <c r="G1381" s="3">
        <f t="shared" si="172"/>
        <v>90262.5</v>
      </c>
      <c r="H1381" s="3">
        <f t="shared" si="173"/>
        <v>51070</v>
      </c>
      <c r="I1381" s="3">
        <f t="shared" si="174"/>
        <v>82706.25</v>
      </c>
      <c r="J1381" s="3">
        <f t="shared" si="175"/>
        <v>94921.900000000009</v>
      </c>
      <c r="K1381" s="5">
        <f t="shared" si="176"/>
        <v>318960.65000000002</v>
      </c>
      <c r="L1381" s="5">
        <f t="shared" si="177"/>
        <v>318960.65000000002</v>
      </c>
      <c r="M1381" s="5">
        <f t="shared" si="178"/>
        <v>0</v>
      </c>
      <c r="N1381" s="3"/>
    </row>
    <row r="1382" spans="1:14" x14ac:dyDescent="0.25">
      <c r="A1382" s="2">
        <v>1231116</v>
      </c>
      <c r="B1382" s="3">
        <v>90306.25</v>
      </c>
      <c r="C1382" s="3">
        <v>51030</v>
      </c>
      <c r="D1382" s="3">
        <v>83056.25</v>
      </c>
      <c r="E1382" s="3">
        <v>91484.400000000009</v>
      </c>
      <c r="F1382">
        <f t="shared" si="171"/>
        <v>1231116</v>
      </c>
      <c r="G1382" s="3">
        <f t="shared" si="172"/>
        <v>90306.25</v>
      </c>
      <c r="H1382" s="3">
        <f t="shared" si="173"/>
        <v>51030</v>
      </c>
      <c r="I1382" s="3">
        <f t="shared" si="174"/>
        <v>83056.25</v>
      </c>
      <c r="J1382" s="3">
        <f t="shared" si="175"/>
        <v>91484.400000000009</v>
      </c>
      <c r="K1382" s="5">
        <f t="shared" si="176"/>
        <v>315876.90000000002</v>
      </c>
      <c r="L1382" s="5">
        <f t="shared" si="177"/>
        <v>318960.65000000002</v>
      </c>
      <c r="M1382" s="5">
        <f t="shared" si="178"/>
        <v>-3083.75</v>
      </c>
      <c r="N1382" s="3"/>
    </row>
    <row r="1383" spans="1:14" x14ac:dyDescent="0.25">
      <c r="A1383" s="2">
        <v>1231117</v>
      </c>
      <c r="B1383" s="3">
        <v>89131.25</v>
      </c>
      <c r="C1383" s="3">
        <v>52340</v>
      </c>
      <c r="D1383" s="3">
        <v>83237.5</v>
      </c>
      <c r="E1383" s="3">
        <v>91796.900000000009</v>
      </c>
      <c r="F1383">
        <f t="shared" si="171"/>
        <v>1231117</v>
      </c>
      <c r="G1383" s="3">
        <f t="shared" si="172"/>
        <v>89131.25</v>
      </c>
      <c r="H1383" s="3">
        <f t="shared" si="173"/>
        <v>52340</v>
      </c>
      <c r="I1383" s="3">
        <f t="shared" si="174"/>
        <v>83237.5</v>
      </c>
      <c r="J1383" s="3">
        <f t="shared" si="175"/>
        <v>91796.900000000009</v>
      </c>
      <c r="K1383" s="5">
        <f t="shared" si="176"/>
        <v>316505.65000000002</v>
      </c>
      <c r="L1383" s="5">
        <f t="shared" si="177"/>
        <v>316505.65000000002</v>
      </c>
      <c r="M1383" s="5">
        <f t="shared" si="178"/>
        <v>0</v>
      </c>
      <c r="N1383" s="3"/>
    </row>
    <row r="1384" spans="1:14" x14ac:dyDescent="0.25">
      <c r="A1384" s="2">
        <v>1231119</v>
      </c>
      <c r="B1384" s="3">
        <v>89181.25</v>
      </c>
      <c r="C1384" s="3">
        <v>51180</v>
      </c>
      <c r="D1384" s="3">
        <v>83600</v>
      </c>
      <c r="E1384" s="3">
        <v>91562.5</v>
      </c>
      <c r="F1384">
        <f t="shared" si="171"/>
        <v>1231119</v>
      </c>
      <c r="G1384" s="3">
        <f t="shared" si="172"/>
        <v>89181.25</v>
      </c>
      <c r="H1384" s="3">
        <f t="shared" si="173"/>
        <v>51180</v>
      </c>
      <c r="I1384" s="3">
        <f t="shared" si="174"/>
        <v>83600</v>
      </c>
      <c r="J1384" s="3">
        <f t="shared" si="175"/>
        <v>91562.5</v>
      </c>
      <c r="K1384" s="5">
        <f t="shared" si="176"/>
        <v>315523.75</v>
      </c>
      <c r="L1384" s="5">
        <f t="shared" si="177"/>
        <v>316505.65000000002</v>
      </c>
      <c r="M1384" s="5">
        <f t="shared" si="178"/>
        <v>-981.90000000002328</v>
      </c>
      <c r="N1384" s="3"/>
    </row>
    <row r="1385" spans="1:14" x14ac:dyDescent="0.25">
      <c r="A1385" s="2">
        <v>1231120</v>
      </c>
      <c r="B1385" s="3">
        <v>89181.25</v>
      </c>
      <c r="C1385" s="3">
        <v>51850</v>
      </c>
      <c r="D1385" s="3">
        <v>84100</v>
      </c>
      <c r="E1385" s="3">
        <v>91328.099999999991</v>
      </c>
      <c r="F1385">
        <f t="shared" si="171"/>
        <v>1231120</v>
      </c>
      <c r="G1385" s="3">
        <f t="shared" si="172"/>
        <v>89181.25</v>
      </c>
      <c r="H1385" s="3">
        <f t="shared" si="173"/>
        <v>51850</v>
      </c>
      <c r="I1385" s="3">
        <f t="shared" si="174"/>
        <v>84100</v>
      </c>
      <c r="J1385" s="3">
        <f t="shared" si="175"/>
        <v>91328.099999999991</v>
      </c>
      <c r="K1385" s="5">
        <f t="shared" si="176"/>
        <v>316459.34999999998</v>
      </c>
      <c r="L1385" s="5">
        <f t="shared" si="177"/>
        <v>316459.34999999998</v>
      </c>
      <c r="M1385" s="5">
        <f t="shared" si="178"/>
        <v>0</v>
      </c>
      <c r="N1385" s="3"/>
    </row>
    <row r="1386" spans="1:14" x14ac:dyDescent="0.25">
      <c r="A1386" s="2">
        <v>1231121</v>
      </c>
      <c r="B1386" s="3">
        <v>89725</v>
      </c>
      <c r="C1386" s="3">
        <v>49660</v>
      </c>
      <c r="D1386" s="3">
        <v>84812.5</v>
      </c>
      <c r="E1386" s="3">
        <v>89843.75</v>
      </c>
      <c r="F1386">
        <f t="shared" si="171"/>
        <v>1231121</v>
      </c>
      <c r="G1386" s="3">
        <f t="shared" si="172"/>
        <v>89725</v>
      </c>
      <c r="H1386" s="3">
        <f t="shared" si="173"/>
        <v>49660</v>
      </c>
      <c r="I1386" s="3">
        <f t="shared" si="174"/>
        <v>84812.5</v>
      </c>
      <c r="J1386" s="3">
        <f t="shared" si="175"/>
        <v>89843.75</v>
      </c>
      <c r="K1386" s="5">
        <f t="shared" si="176"/>
        <v>314041.25</v>
      </c>
      <c r="L1386" s="5">
        <f t="shared" si="177"/>
        <v>316459.34999999998</v>
      </c>
      <c r="M1386" s="5">
        <f t="shared" si="178"/>
        <v>-2418.0999999999767</v>
      </c>
      <c r="N1386" s="3"/>
    </row>
    <row r="1387" spans="1:14" x14ac:dyDescent="0.25">
      <c r="A1387" s="2">
        <v>1231122</v>
      </c>
      <c r="B1387" s="3">
        <v>89200</v>
      </c>
      <c r="C1387" s="3">
        <v>50610</v>
      </c>
      <c r="D1387" s="3">
        <v>85387.5</v>
      </c>
      <c r="E1387" s="3">
        <v>88750</v>
      </c>
      <c r="F1387">
        <f t="shared" si="171"/>
        <v>1231122</v>
      </c>
      <c r="G1387" s="3">
        <f t="shared" si="172"/>
        <v>89200</v>
      </c>
      <c r="H1387" s="3">
        <f t="shared" si="173"/>
        <v>50610</v>
      </c>
      <c r="I1387" s="3">
        <f t="shared" si="174"/>
        <v>85387.5</v>
      </c>
      <c r="J1387" s="3">
        <f t="shared" si="175"/>
        <v>88750</v>
      </c>
      <c r="K1387" s="5">
        <f t="shared" si="176"/>
        <v>313947.5</v>
      </c>
      <c r="L1387" s="5">
        <f t="shared" si="177"/>
        <v>314041.25</v>
      </c>
      <c r="M1387" s="5">
        <f t="shared" si="178"/>
        <v>-93.75</v>
      </c>
      <c r="N1387" s="3"/>
    </row>
    <row r="1388" spans="1:14" x14ac:dyDescent="0.25">
      <c r="A1388" s="2">
        <v>1231123</v>
      </c>
      <c r="B1388" s="3">
        <v>88625</v>
      </c>
      <c r="C1388" s="3">
        <v>50890</v>
      </c>
      <c r="D1388" s="3">
        <v>84781.25</v>
      </c>
      <c r="E1388" s="3">
        <v>88046.900000000009</v>
      </c>
      <c r="F1388">
        <f t="shared" si="171"/>
        <v>1231123</v>
      </c>
      <c r="G1388" s="3">
        <f t="shared" si="172"/>
        <v>88625</v>
      </c>
      <c r="H1388" s="3">
        <f t="shared" si="173"/>
        <v>50890</v>
      </c>
      <c r="I1388" s="3">
        <f t="shared" si="174"/>
        <v>84781.25</v>
      </c>
      <c r="J1388" s="3">
        <f t="shared" si="175"/>
        <v>88046.900000000009</v>
      </c>
      <c r="K1388" s="5">
        <f t="shared" si="176"/>
        <v>312343.15000000002</v>
      </c>
      <c r="L1388" s="5">
        <f t="shared" si="177"/>
        <v>313947.5</v>
      </c>
      <c r="M1388" s="5">
        <f t="shared" si="178"/>
        <v>-1604.3499999999767</v>
      </c>
      <c r="N1388" s="3"/>
    </row>
    <row r="1389" spans="1:14" x14ac:dyDescent="0.25">
      <c r="A1389" s="2">
        <v>1231124</v>
      </c>
      <c r="B1389" s="3">
        <v>88562.5</v>
      </c>
      <c r="C1389" s="3">
        <v>50800</v>
      </c>
      <c r="D1389" s="3">
        <v>84943.75</v>
      </c>
      <c r="E1389" s="3">
        <v>90234.400000000009</v>
      </c>
      <c r="F1389">
        <f t="shared" si="171"/>
        <v>1231124</v>
      </c>
      <c r="G1389" s="3">
        <f t="shared" si="172"/>
        <v>88562.5</v>
      </c>
      <c r="H1389" s="3">
        <f t="shared" si="173"/>
        <v>50800</v>
      </c>
      <c r="I1389" s="3">
        <f t="shared" si="174"/>
        <v>84943.75</v>
      </c>
      <c r="J1389" s="3">
        <f t="shared" si="175"/>
        <v>90234.400000000009</v>
      </c>
      <c r="K1389" s="5">
        <f t="shared" si="176"/>
        <v>314540.65000000002</v>
      </c>
      <c r="L1389" s="5">
        <f t="shared" si="177"/>
        <v>314540.65000000002</v>
      </c>
      <c r="M1389" s="5">
        <f t="shared" si="178"/>
        <v>0</v>
      </c>
      <c r="N1389" s="3"/>
    </row>
    <row r="1390" spans="1:14" x14ac:dyDescent="0.25">
      <c r="A1390" s="2">
        <v>1231126</v>
      </c>
      <c r="B1390" s="3">
        <v>88412.5</v>
      </c>
      <c r="C1390" s="3">
        <v>51420</v>
      </c>
      <c r="D1390" s="3">
        <v>85143.75</v>
      </c>
      <c r="E1390" s="3">
        <v>91171.900000000009</v>
      </c>
      <c r="F1390">
        <f t="shared" si="171"/>
        <v>1231126</v>
      </c>
      <c r="G1390" s="3">
        <f t="shared" si="172"/>
        <v>88412.5</v>
      </c>
      <c r="H1390" s="3">
        <f t="shared" si="173"/>
        <v>51420</v>
      </c>
      <c r="I1390" s="3">
        <f t="shared" si="174"/>
        <v>85143.75</v>
      </c>
      <c r="J1390" s="3">
        <f t="shared" si="175"/>
        <v>91171.900000000009</v>
      </c>
      <c r="K1390" s="5">
        <f t="shared" si="176"/>
        <v>316148.15000000002</v>
      </c>
      <c r="L1390" s="5">
        <f t="shared" si="177"/>
        <v>316148.15000000002</v>
      </c>
      <c r="M1390" s="5">
        <f t="shared" si="178"/>
        <v>0</v>
      </c>
      <c r="N1390" s="3"/>
    </row>
    <row r="1391" spans="1:14" x14ac:dyDescent="0.25">
      <c r="A1391" s="2">
        <v>1231127</v>
      </c>
      <c r="B1391" s="3">
        <v>88662.5</v>
      </c>
      <c r="C1391" s="3">
        <v>52500</v>
      </c>
      <c r="D1391" s="3">
        <v>85137.5</v>
      </c>
      <c r="E1391" s="3">
        <v>91328.099999999991</v>
      </c>
      <c r="F1391">
        <f t="shared" si="171"/>
        <v>1231127</v>
      </c>
      <c r="G1391" s="3">
        <f t="shared" si="172"/>
        <v>88662.5</v>
      </c>
      <c r="H1391" s="3">
        <f t="shared" si="173"/>
        <v>52500</v>
      </c>
      <c r="I1391" s="3">
        <f t="shared" si="174"/>
        <v>85137.5</v>
      </c>
      <c r="J1391" s="3">
        <f t="shared" si="175"/>
        <v>91328.099999999991</v>
      </c>
      <c r="K1391" s="5">
        <f t="shared" si="176"/>
        <v>317628.09999999998</v>
      </c>
      <c r="L1391" s="5">
        <f t="shared" si="177"/>
        <v>317628.09999999998</v>
      </c>
      <c r="M1391" s="5">
        <f t="shared" si="178"/>
        <v>0</v>
      </c>
      <c r="N1391" s="3"/>
    </row>
    <row r="1392" spans="1:14" x14ac:dyDescent="0.25">
      <c r="A1392" s="2">
        <v>1231128</v>
      </c>
      <c r="B1392" s="3">
        <v>88156.25</v>
      </c>
      <c r="C1392" s="3">
        <v>52320</v>
      </c>
      <c r="D1392" s="3">
        <v>85600</v>
      </c>
      <c r="E1392" s="3">
        <v>92265.599999999991</v>
      </c>
      <c r="F1392">
        <f t="shared" si="171"/>
        <v>1231128</v>
      </c>
      <c r="G1392" s="3">
        <f t="shared" si="172"/>
        <v>88156.25</v>
      </c>
      <c r="H1392" s="3">
        <f t="shared" si="173"/>
        <v>52320</v>
      </c>
      <c r="I1392" s="3">
        <f t="shared" si="174"/>
        <v>85600</v>
      </c>
      <c r="J1392" s="3">
        <f t="shared" si="175"/>
        <v>92265.599999999991</v>
      </c>
      <c r="K1392" s="5">
        <f t="shared" si="176"/>
        <v>318341.84999999998</v>
      </c>
      <c r="L1392" s="5">
        <f t="shared" si="177"/>
        <v>318341.84999999998</v>
      </c>
      <c r="M1392" s="5">
        <f t="shared" si="178"/>
        <v>0</v>
      </c>
      <c r="N1392" s="3"/>
    </row>
    <row r="1393" spans="1:14" x14ac:dyDescent="0.25">
      <c r="A1393" s="2">
        <v>1231129</v>
      </c>
      <c r="B1393" s="3">
        <v>88337.5</v>
      </c>
      <c r="C1393" s="3">
        <v>54790</v>
      </c>
      <c r="D1393" s="3">
        <v>86243.75</v>
      </c>
      <c r="E1393" s="3">
        <v>94531.25</v>
      </c>
      <c r="F1393">
        <f t="shared" si="171"/>
        <v>1231129</v>
      </c>
      <c r="G1393" s="3">
        <f t="shared" si="172"/>
        <v>88337.5</v>
      </c>
      <c r="H1393" s="3">
        <f t="shared" si="173"/>
        <v>54790</v>
      </c>
      <c r="I1393" s="3">
        <f t="shared" si="174"/>
        <v>86243.75</v>
      </c>
      <c r="J1393" s="3">
        <f t="shared" si="175"/>
        <v>94531.25</v>
      </c>
      <c r="K1393" s="5">
        <f t="shared" si="176"/>
        <v>323902.5</v>
      </c>
      <c r="L1393" s="5">
        <f t="shared" si="177"/>
        <v>323902.5</v>
      </c>
      <c r="M1393" s="5">
        <f t="shared" si="178"/>
        <v>0</v>
      </c>
      <c r="N1393" s="3"/>
    </row>
    <row r="1394" spans="1:14" x14ac:dyDescent="0.25">
      <c r="A1394" s="2">
        <v>1231130</v>
      </c>
      <c r="B1394" s="3">
        <v>88243.75</v>
      </c>
      <c r="C1394" s="3">
        <v>53950</v>
      </c>
      <c r="D1394" s="3">
        <v>85525</v>
      </c>
      <c r="E1394" s="3">
        <v>94062.5</v>
      </c>
      <c r="F1394">
        <f t="shared" si="171"/>
        <v>1231130</v>
      </c>
      <c r="G1394" s="3">
        <f t="shared" si="172"/>
        <v>88243.75</v>
      </c>
      <c r="H1394" s="3">
        <f t="shared" si="173"/>
        <v>53950</v>
      </c>
      <c r="I1394" s="3">
        <f t="shared" si="174"/>
        <v>85525</v>
      </c>
      <c r="J1394" s="3">
        <f t="shared" si="175"/>
        <v>94062.5</v>
      </c>
      <c r="K1394" s="5">
        <f t="shared" si="176"/>
        <v>321781.25</v>
      </c>
      <c r="L1394" s="5">
        <f t="shared" si="177"/>
        <v>323902.5</v>
      </c>
      <c r="M1394" s="5">
        <f t="shared" si="178"/>
        <v>-2121.25</v>
      </c>
      <c r="N1394" s="3"/>
    </row>
    <row r="1395" spans="1:14" x14ac:dyDescent="0.25">
      <c r="A1395" s="2">
        <v>1231201</v>
      </c>
      <c r="B1395" s="3">
        <v>88068.75</v>
      </c>
      <c r="C1395" s="3">
        <v>54460</v>
      </c>
      <c r="D1395" s="3">
        <v>85281.25</v>
      </c>
      <c r="E1395" s="3">
        <v>91328.099999999991</v>
      </c>
      <c r="F1395">
        <f t="shared" si="171"/>
        <v>1231201</v>
      </c>
      <c r="G1395" s="3">
        <f t="shared" si="172"/>
        <v>88068.75</v>
      </c>
      <c r="H1395" s="3">
        <f t="shared" si="173"/>
        <v>54460</v>
      </c>
      <c r="I1395" s="3">
        <f t="shared" si="174"/>
        <v>85281.25</v>
      </c>
      <c r="J1395" s="3">
        <f t="shared" si="175"/>
        <v>91328.099999999991</v>
      </c>
      <c r="K1395" s="5">
        <f t="shared" si="176"/>
        <v>319138.09999999998</v>
      </c>
      <c r="L1395" s="5">
        <f t="shared" si="177"/>
        <v>321781.25</v>
      </c>
      <c r="M1395" s="5">
        <f t="shared" si="178"/>
        <v>-2643.1500000000233</v>
      </c>
      <c r="N1395" s="3"/>
    </row>
    <row r="1396" spans="1:14" x14ac:dyDescent="0.25">
      <c r="A1396" s="2">
        <v>1231203</v>
      </c>
      <c r="B1396" s="3">
        <v>88143.75</v>
      </c>
      <c r="C1396" s="3">
        <v>45260</v>
      </c>
      <c r="D1396" s="3">
        <v>85818.75</v>
      </c>
      <c r="E1396" s="3">
        <v>93046.900000000009</v>
      </c>
      <c r="F1396">
        <f t="shared" si="171"/>
        <v>1231203</v>
      </c>
      <c r="G1396" s="3">
        <f t="shared" si="172"/>
        <v>88143.75</v>
      </c>
      <c r="H1396" s="3">
        <f t="shared" si="173"/>
        <v>45260</v>
      </c>
      <c r="I1396" s="3">
        <f t="shared" si="174"/>
        <v>85818.75</v>
      </c>
      <c r="J1396" s="3">
        <f t="shared" si="175"/>
        <v>93046.900000000009</v>
      </c>
      <c r="K1396" s="5">
        <f t="shared" si="176"/>
        <v>312269.40000000002</v>
      </c>
      <c r="L1396" s="5">
        <f t="shared" si="177"/>
        <v>319138.09999999998</v>
      </c>
      <c r="M1396" s="5">
        <f t="shared" si="178"/>
        <v>-6868.6999999999534</v>
      </c>
      <c r="N1396" s="3"/>
    </row>
    <row r="1397" spans="1:14" x14ac:dyDescent="0.25">
      <c r="A1397" s="2">
        <v>1231204</v>
      </c>
      <c r="B1397" s="3">
        <v>88018.75</v>
      </c>
      <c r="C1397" s="3">
        <v>48380</v>
      </c>
      <c r="D1397" s="3">
        <v>85562.5</v>
      </c>
      <c r="E1397" s="3">
        <v>91875</v>
      </c>
      <c r="F1397">
        <f t="shared" si="171"/>
        <v>1231204</v>
      </c>
      <c r="G1397" s="3">
        <f t="shared" si="172"/>
        <v>88018.75</v>
      </c>
      <c r="H1397" s="3">
        <f t="shared" si="173"/>
        <v>48380</v>
      </c>
      <c r="I1397" s="3">
        <f t="shared" si="174"/>
        <v>85562.5</v>
      </c>
      <c r="J1397" s="3">
        <f t="shared" si="175"/>
        <v>91875</v>
      </c>
      <c r="K1397" s="5">
        <f t="shared" si="176"/>
        <v>313836.25</v>
      </c>
      <c r="L1397" s="5">
        <f t="shared" si="177"/>
        <v>313836.25</v>
      </c>
      <c r="M1397" s="5">
        <f t="shared" si="178"/>
        <v>0</v>
      </c>
      <c r="N1397" s="3"/>
    </row>
    <row r="1398" spans="1:14" x14ac:dyDescent="0.25">
      <c r="A1398" s="2">
        <v>1231205</v>
      </c>
      <c r="B1398" s="3">
        <v>87168.75</v>
      </c>
      <c r="C1398" s="3">
        <v>52750</v>
      </c>
      <c r="D1398" s="3">
        <v>85343.75</v>
      </c>
      <c r="E1398" s="3">
        <v>91171.900000000009</v>
      </c>
      <c r="F1398">
        <f t="shared" si="171"/>
        <v>1231205</v>
      </c>
      <c r="G1398" s="3">
        <f t="shared" si="172"/>
        <v>87168.75</v>
      </c>
      <c r="H1398" s="3">
        <f t="shared" si="173"/>
        <v>52750</v>
      </c>
      <c r="I1398" s="3">
        <f t="shared" si="174"/>
        <v>85343.75</v>
      </c>
      <c r="J1398" s="3">
        <f t="shared" si="175"/>
        <v>91171.900000000009</v>
      </c>
      <c r="K1398" s="5">
        <f t="shared" si="176"/>
        <v>316434.40000000002</v>
      </c>
      <c r="L1398" s="5">
        <f t="shared" si="177"/>
        <v>316434.40000000002</v>
      </c>
      <c r="M1398" s="5">
        <f t="shared" si="178"/>
        <v>0</v>
      </c>
      <c r="N1398" s="3"/>
    </row>
    <row r="1399" spans="1:14" x14ac:dyDescent="0.25">
      <c r="A1399" s="2">
        <v>1231206</v>
      </c>
      <c r="B1399" s="3">
        <v>87587.5</v>
      </c>
      <c r="C1399" s="3">
        <v>54300</v>
      </c>
      <c r="D1399" s="3">
        <v>84862.5</v>
      </c>
      <c r="E1399" s="3">
        <v>91406.25</v>
      </c>
      <c r="F1399">
        <f t="shared" si="171"/>
        <v>1231206</v>
      </c>
      <c r="G1399" s="3">
        <f t="shared" si="172"/>
        <v>87587.5</v>
      </c>
      <c r="H1399" s="3">
        <f t="shared" si="173"/>
        <v>54300</v>
      </c>
      <c r="I1399" s="3">
        <f t="shared" si="174"/>
        <v>84862.5</v>
      </c>
      <c r="J1399" s="3">
        <f t="shared" si="175"/>
        <v>91406.25</v>
      </c>
      <c r="K1399" s="5">
        <f t="shared" si="176"/>
        <v>318156.25</v>
      </c>
      <c r="L1399" s="5">
        <f t="shared" si="177"/>
        <v>318156.25</v>
      </c>
      <c r="M1399" s="5">
        <f t="shared" si="178"/>
        <v>0</v>
      </c>
      <c r="N1399" s="3"/>
    </row>
    <row r="1400" spans="1:14" x14ac:dyDescent="0.25">
      <c r="A1400" s="2">
        <v>1231207</v>
      </c>
      <c r="B1400" s="3">
        <v>88075</v>
      </c>
      <c r="C1400" s="3">
        <v>53800</v>
      </c>
      <c r="D1400" s="3">
        <v>84881.25</v>
      </c>
      <c r="E1400" s="3">
        <v>91796.900000000009</v>
      </c>
      <c r="F1400">
        <f t="shared" si="171"/>
        <v>1231207</v>
      </c>
      <c r="G1400" s="3">
        <f t="shared" si="172"/>
        <v>88075</v>
      </c>
      <c r="H1400" s="3">
        <f t="shared" si="173"/>
        <v>53800</v>
      </c>
      <c r="I1400" s="3">
        <f t="shared" si="174"/>
        <v>84881.25</v>
      </c>
      <c r="J1400" s="3">
        <f t="shared" si="175"/>
        <v>91796.900000000009</v>
      </c>
      <c r="K1400" s="5">
        <f t="shared" si="176"/>
        <v>318553.15000000002</v>
      </c>
      <c r="L1400" s="5">
        <f t="shared" si="177"/>
        <v>318553.15000000002</v>
      </c>
      <c r="M1400" s="5">
        <f t="shared" si="178"/>
        <v>0</v>
      </c>
      <c r="N1400" s="3"/>
    </row>
    <row r="1401" spans="1:14" x14ac:dyDescent="0.25">
      <c r="A1401" s="2">
        <v>1231208</v>
      </c>
      <c r="B1401" s="3">
        <v>87618.75</v>
      </c>
      <c r="C1401" s="3">
        <v>52520</v>
      </c>
      <c r="D1401" s="3">
        <v>86412.5</v>
      </c>
      <c r="E1401" s="3">
        <v>90312.5</v>
      </c>
      <c r="F1401">
        <f t="shared" si="171"/>
        <v>1231208</v>
      </c>
      <c r="G1401" s="3">
        <f t="shared" si="172"/>
        <v>87618.75</v>
      </c>
      <c r="H1401" s="3">
        <f t="shared" si="173"/>
        <v>52520</v>
      </c>
      <c r="I1401" s="3">
        <f t="shared" si="174"/>
        <v>86412.5</v>
      </c>
      <c r="J1401" s="3">
        <f t="shared" si="175"/>
        <v>90312.5</v>
      </c>
      <c r="K1401" s="5">
        <f t="shared" si="176"/>
        <v>316863.75</v>
      </c>
      <c r="L1401" s="5">
        <f t="shared" si="177"/>
        <v>318553.15000000002</v>
      </c>
      <c r="M1401" s="5">
        <f t="shared" si="178"/>
        <v>-1689.4000000000233</v>
      </c>
      <c r="N1401" s="3"/>
    </row>
    <row r="1402" spans="1:14" x14ac:dyDescent="0.25">
      <c r="A1402" s="2">
        <v>1231210</v>
      </c>
      <c r="B1402" s="3">
        <v>88056.25</v>
      </c>
      <c r="C1402" s="3">
        <v>54350</v>
      </c>
      <c r="D1402" s="3">
        <v>86168.75</v>
      </c>
      <c r="E1402" s="3">
        <v>93515.599999999991</v>
      </c>
      <c r="F1402">
        <f t="shared" si="171"/>
        <v>1231210</v>
      </c>
      <c r="G1402" s="3">
        <f t="shared" si="172"/>
        <v>88056.25</v>
      </c>
      <c r="H1402" s="3">
        <f t="shared" si="173"/>
        <v>54350</v>
      </c>
      <c r="I1402" s="3">
        <f t="shared" si="174"/>
        <v>86168.75</v>
      </c>
      <c r="J1402" s="3">
        <f t="shared" si="175"/>
        <v>93515.599999999991</v>
      </c>
      <c r="K1402" s="5">
        <f t="shared" si="176"/>
        <v>322090.59999999998</v>
      </c>
      <c r="L1402" s="5">
        <f t="shared" si="177"/>
        <v>322090.59999999998</v>
      </c>
      <c r="M1402" s="5">
        <f t="shared" si="178"/>
        <v>0</v>
      </c>
      <c r="N1402" s="3"/>
    </row>
    <row r="1403" spans="1:14" x14ac:dyDescent="0.25">
      <c r="A1403" s="2">
        <v>1231211</v>
      </c>
      <c r="B1403" s="3">
        <v>87937.5</v>
      </c>
      <c r="C1403" s="3">
        <v>55420</v>
      </c>
      <c r="D1403" s="3">
        <v>86512.5</v>
      </c>
      <c r="E1403" s="3">
        <v>93906.25</v>
      </c>
      <c r="F1403">
        <f t="shared" si="171"/>
        <v>1231211</v>
      </c>
      <c r="G1403" s="3">
        <f t="shared" si="172"/>
        <v>87937.5</v>
      </c>
      <c r="H1403" s="3">
        <f t="shared" si="173"/>
        <v>55420</v>
      </c>
      <c r="I1403" s="3">
        <f t="shared" si="174"/>
        <v>86512.5</v>
      </c>
      <c r="J1403" s="3">
        <f t="shared" si="175"/>
        <v>93906.25</v>
      </c>
      <c r="K1403" s="5">
        <f t="shared" si="176"/>
        <v>323776.25</v>
      </c>
      <c r="L1403" s="5">
        <f t="shared" si="177"/>
        <v>323776.25</v>
      </c>
      <c r="M1403" s="5">
        <f t="shared" si="178"/>
        <v>0</v>
      </c>
      <c r="N1403" s="3"/>
    </row>
    <row r="1404" spans="1:14" x14ac:dyDescent="0.25">
      <c r="A1404" s="2">
        <v>1231212</v>
      </c>
      <c r="B1404" s="3">
        <v>88487.5</v>
      </c>
      <c r="C1404" s="3">
        <v>56440</v>
      </c>
      <c r="D1404" s="3">
        <v>87100</v>
      </c>
      <c r="E1404" s="3">
        <v>92343.75</v>
      </c>
      <c r="F1404">
        <f t="shared" si="171"/>
        <v>1231212</v>
      </c>
      <c r="G1404" s="3">
        <f t="shared" si="172"/>
        <v>88487.5</v>
      </c>
      <c r="H1404" s="3">
        <f t="shared" si="173"/>
        <v>56440</v>
      </c>
      <c r="I1404" s="3">
        <f t="shared" si="174"/>
        <v>87100</v>
      </c>
      <c r="J1404" s="3">
        <f t="shared" si="175"/>
        <v>92343.75</v>
      </c>
      <c r="K1404" s="5">
        <f t="shared" si="176"/>
        <v>324371.25</v>
      </c>
      <c r="L1404" s="5">
        <f t="shared" si="177"/>
        <v>324371.25</v>
      </c>
      <c r="M1404" s="5">
        <f t="shared" si="178"/>
        <v>0</v>
      </c>
      <c r="N1404" s="3"/>
    </row>
    <row r="1405" spans="1:14" x14ac:dyDescent="0.25">
      <c r="A1405" s="2">
        <v>1231213</v>
      </c>
      <c r="B1405" s="3">
        <v>88912.5</v>
      </c>
      <c r="C1405" s="3">
        <v>55340</v>
      </c>
      <c r="D1405" s="3">
        <v>86925</v>
      </c>
      <c r="E1405" s="3">
        <v>88046.900000000009</v>
      </c>
      <c r="F1405">
        <f t="shared" si="171"/>
        <v>1231213</v>
      </c>
      <c r="G1405" s="3">
        <f t="shared" si="172"/>
        <v>88912.5</v>
      </c>
      <c r="H1405" s="3">
        <f t="shared" si="173"/>
        <v>55340</v>
      </c>
      <c r="I1405" s="3">
        <f t="shared" si="174"/>
        <v>86925</v>
      </c>
      <c r="J1405" s="3">
        <f t="shared" si="175"/>
        <v>88046.900000000009</v>
      </c>
      <c r="K1405" s="5">
        <f t="shared" si="176"/>
        <v>319224.40000000002</v>
      </c>
      <c r="L1405" s="5">
        <f t="shared" si="177"/>
        <v>324371.25</v>
      </c>
      <c r="M1405" s="5">
        <f t="shared" si="178"/>
        <v>-5146.8499999999767</v>
      </c>
      <c r="N1405" s="3"/>
    </row>
    <row r="1406" spans="1:14" x14ac:dyDescent="0.25">
      <c r="A1406" s="2">
        <v>1231214</v>
      </c>
      <c r="B1406" s="3">
        <v>90375</v>
      </c>
      <c r="C1406" s="3">
        <v>55990</v>
      </c>
      <c r="D1406" s="3">
        <v>89468.75</v>
      </c>
      <c r="E1406" s="3">
        <v>95781.25</v>
      </c>
      <c r="F1406">
        <f t="shared" si="171"/>
        <v>1231214</v>
      </c>
      <c r="G1406" s="3">
        <f t="shared" si="172"/>
        <v>90375</v>
      </c>
      <c r="H1406" s="3">
        <f t="shared" si="173"/>
        <v>55990</v>
      </c>
      <c r="I1406" s="3">
        <f t="shared" si="174"/>
        <v>89468.75</v>
      </c>
      <c r="J1406" s="3">
        <f t="shared" si="175"/>
        <v>95781.25</v>
      </c>
      <c r="K1406" s="5">
        <f t="shared" si="176"/>
        <v>331615</v>
      </c>
      <c r="L1406" s="5">
        <f t="shared" si="177"/>
        <v>331615</v>
      </c>
      <c r="M1406" s="5">
        <f t="shared" si="178"/>
        <v>0</v>
      </c>
      <c r="N1406" s="3"/>
    </row>
    <row r="1407" spans="1:14" x14ac:dyDescent="0.25">
      <c r="A1407" s="2">
        <v>1231215</v>
      </c>
      <c r="B1407" s="3">
        <v>89787.5</v>
      </c>
      <c r="C1407" s="3">
        <v>55260</v>
      </c>
      <c r="D1407" s="3">
        <v>88962.5</v>
      </c>
      <c r="E1407" s="3">
        <v>95625</v>
      </c>
      <c r="F1407">
        <f t="shared" si="171"/>
        <v>1231215</v>
      </c>
      <c r="G1407" s="3">
        <f t="shared" si="172"/>
        <v>89787.5</v>
      </c>
      <c r="H1407" s="3">
        <f t="shared" si="173"/>
        <v>55260</v>
      </c>
      <c r="I1407" s="3">
        <f t="shared" si="174"/>
        <v>88962.5</v>
      </c>
      <c r="J1407" s="3">
        <f t="shared" si="175"/>
        <v>95625</v>
      </c>
      <c r="K1407" s="5">
        <f t="shared" si="176"/>
        <v>329635</v>
      </c>
      <c r="L1407" s="5">
        <f t="shared" si="177"/>
        <v>331615</v>
      </c>
      <c r="M1407" s="5">
        <f t="shared" si="178"/>
        <v>-1980</v>
      </c>
      <c r="N1407" s="3"/>
    </row>
    <row r="1408" spans="1:14" x14ac:dyDescent="0.25">
      <c r="A1408" s="2">
        <v>1231217</v>
      </c>
      <c r="B1408" s="3">
        <v>90187.5</v>
      </c>
      <c r="C1408" s="3">
        <v>55800</v>
      </c>
      <c r="D1408" s="3">
        <v>88506.25</v>
      </c>
      <c r="E1408" s="3">
        <v>94218.75</v>
      </c>
      <c r="F1408">
        <f t="shared" si="171"/>
        <v>1231217</v>
      </c>
      <c r="G1408" s="3">
        <f t="shared" si="172"/>
        <v>90187.5</v>
      </c>
      <c r="H1408" s="3">
        <f t="shared" si="173"/>
        <v>55800</v>
      </c>
      <c r="I1408" s="3">
        <f t="shared" si="174"/>
        <v>88506.25</v>
      </c>
      <c r="J1408" s="3">
        <f t="shared" si="175"/>
        <v>94218.75</v>
      </c>
      <c r="K1408" s="5">
        <f t="shared" si="176"/>
        <v>328712.5</v>
      </c>
      <c r="L1408" s="5">
        <f t="shared" si="177"/>
        <v>329635</v>
      </c>
      <c r="M1408" s="5">
        <f t="shared" si="178"/>
        <v>-922.5</v>
      </c>
      <c r="N1408" s="3"/>
    </row>
    <row r="1409" spans="1:14" x14ac:dyDescent="0.25">
      <c r="A1409" s="2">
        <v>1231218</v>
      </c>
      <c r="B1409" s="3">
        <v>90187.5</v>
      </c>
      <c r="C1409" s="3">
        <v>55230</v>
      </c>
      <c r="D1409" s="3">
        <v>88418.75</v>
      </c>
      <c r="E1409" s="3">
        <v>93437.5</v>
      </c>
      <c r="F1409">
        <f t="shared" si="171"/>
        <v>1231218</v>
      </c>
      <c r="G1409" s="3">
        <f t="shared" si="172"/>
        <v>90187.5</v>
      </c>
      <c r="H1409" s="3">
        <f t="shared" si="173"/>
        <v>55230</v>
      </c>
      <c r="I1409" s="3">
        <f t="shared" si="174"/>
        <v>88418.75</v>
      </c>
      <c r="J1409" s="3">
        <f t="shared" si="175"/>
        <v>93437.5</v>
      </c>
      <c r="K1409" s="5">
        <f t="shared" si="176"/>
        <v>327273.75</v>
      </c>
      <c r="L1409" s="5">
        <f t="shared" si="177"/>
        <v>328712.5</v>
      </c>
      <c r="M1409" s="5">
        <f t="shared" si="178"/>
        <v>-1438.75</v>
      </c>
      <c r="N1409" s="3"/>
    </row>
    <row r="1410" spans="1:14" x14ac:dyDescent="0.25">
      <c r="A1410" s="2">
        <v>1231219</v>
      </c>
      <c r="B1410" s="3">
        <v>90381.25</v>
      </c>
      <c r="C1410" s="3">
        <v>54000</v>
      </c>
      <c r="D1410" s="3">
        <v>89243.75</v>
      </c>
      <c r="E1410" s="3">
        <v>94843.75</v>
      </c>
      <c r="F1410">
        <f t="shared" si="171"/>
        <v>1231219</v>
      </c>
      <c r="G1410" s="3">
        <f t="shared" si="172"/>
        <v>90381.25</v>
      </c>
      <c r="H1410" s="3">
        <f t="shared" si="173"/>
        <v>54000</v>
      </c>
      <c r="I1410" s="3">
        <f t="shared" si="174"/>
        <v>89243.75</v>
      </c>
      <c r="J1410" s="3">
        <f t="shared" si="175"/>
        <v>94843.75</v>
      </c>
      <c r="K1410" s="5">
        <f t="shared" si="176"/>
        <v>328468.75</v>
      </c>
      <c r="L1410" s="5">
        <f t="shared" si="177"/>
        <v>328468.75</v>
      </c>
      <c r="M1410" s="5">
        <f t="shared" si="178"/>
        <v>0</v>
      </c>
      <c r="N1410" s="3"/>
    </row>
    <row r="1411" spans="1:14" x14ac:dyDescent="0.25">
      <c r="A1411" s="2">
        <v>1231220</v>
      </c>
      <c r="B1411" s="3">
        <v>91081.25</v>
      </c>
      <c r="C1411" s="3">
        <v>54870</v>
      </c>
      <c r="D1411" s="3">
        <v>89987.5</v>
      </c>
      <c r="E1411" s="3">
        <v>93281.25</v>
      </c>
      <c r="F1411">
        <f t="shared" si="171"/>
        <v>1231220</v>
      </c>
      <c r="G1411" s="3">
        <f t="shared" si="172"/>
        <v>91081.25</v>
      </c>
      <c r="H1411" s="3">
        <f t="shared" si="173"/>
        <v>54870</v>
      </c>
      <c r="I1411" s="3">
        <f t="shared" si="174"/>
        <v>89987.5</v>
      </c>
      <c r="J1411" s="3">
        <f t="shared" si="175"/>
        <v>93281.25</v>
      </c>
      <c r="K1411" s="5">
        <f t="shared" si="176"/>
        <v>329220</v>
      </c>
      <c r="L1411" s="5">
        <f t="shared" si="177"/>
        <v>329220</v>
      </c>
      <c r="M1411" s="5">
        <f t="shared" si="178"/>
        <v>0</v>
      </c>
      <c r="N1411" s="3"/>
    </row>
    <row r="1412" spans="1:14" x14ac:dyDescent="0.25">
      <c r="A1412" s="2">
        <v>1231221</v>
      </c>
      <c r="B1412" s="3">
        <v>92068.75</v>
      </c>
      <c r="C1412" s="3">
        <v>55120</v>
      </c>
      <c r="D1412" s="3">
        <v>89837.5</v>
      </c>
      <c r="E1412" s="3">
        <v>94531.25</v>
      </c>
      <c r="F1412">
        <f t="shared" si="171"/>
        <v>1231221</v>
      </c>
      <c r="G1412" s="3">
        <f t="shared" si="172"/>
        <v>92068.75</v>
      </c>
      <c r="H1412" s="3">
        <f t="shared" si="173"/>
        <v>55120</v>
      </c>
      <c r="I1412" s="3">
        <f t="shared" si="174"/>
        <v>89837.5</v>
      </c>
      <c r="J1412" s="3">
        <f t="shared" si="175"/>
        <v>94531.25</v>
      </c>
      <c r="K1412" s="5">
        <f t="shared" si="176"/>
        <v>331557.5</v>
      </c>
      <c r="L1412" s="5">
        <f t="shared" si="177"/>
        <v>331557.5</v>
      </c>
      <c r="M1412" s="5">
        <f t="shared" si="178"/>
        <v>0</v>
      </c>
      <c r="N1412" s="3"/>
    </row>
    <row r="1413" spans="1:14" x14ac:dyDescent="0.25">
      <c r="A1413" s="2">
        <v>1231222</v>
      </c>
      <c r="B1413" s="3">
        <v>91381.25</v>
      </c>
      <c r="C1413" s="3">
        <v>55160</v>
      </c>
      <c r="D1413" s="3">
        <v>90187.5</v>
      </c>
      <c r="E1413" s="3">
        <v>94062.5</v>
      </c>
      <c r="F1413">
        <f t="shared" si="171"/>
        <v>1231222</v>
      </c>
      <c r="G1413" s="3">
        <f t="shared" si="172"/>
        <v>91381.25</v>
      </c>
      <c r="H1413" s="3">
        <f t="shared" si="173"/>
        <v>55160</v>
      </c>
      <c r="I1413" s="3">
        <f t="shared" si="174"/>
        <v>90187.5</v>
      </c>
      <c r="J1413" s="3">
        <f t="shared" si="175"/>
        <v>94062.5</v>
      </c>
      <c r="K1413" s="5">
        <f t="shared" si="176"/>
        <v>330791.25</v>
      </c>
      <c r="L1413" s="5">
        <f t="shared" si="177"/>
        <v>331557.5</v>
      </c>
      <c r="M1413" s="5">
        <f t="shared" si="178"/>
        <v>-766.25</v>
      </c>
      <c r="N1413" s="3"/>
    </row>
    <row r="1414" spans="1:14" x14ac:dyDescent="0.25">
      <c r="A1414" s="2">
        <v>1231225</v>
      </c>
      <c r="B1414" s="3">
        <v>90768.75</v>
      </c>
      <c r="C1414" s="3">
        <v>57130</v>
      </c>
      <c r="D1414" s="3">
        <v>89575</v>
      </c>
      <c r="E1414" s="3">
        <v>93125</v>
      </c>
      <c r="F1414">
        <f t="shared" si="171"/>
        <v>1231225</v>
      </c>
      <c r="G1414" s="3">
        <f t="shared" si="172"/>
        <v>90768.75</v>
      </c>
      <c r="H1414" s="3">
        <f t="shared" si="173"/>
        <v>57130</v>
      </c>
      <c r="I1414" s="3">
        <f t="shared" si="174"/>
        <v>89575</v>
      </c>
      <c r="J1414" s="3">
        <f t="shared" si="175"/>
        <v>93125</v>
      </c>
      <c r="K1414" s="5">
        <f t="shared" si="176"/>
        <v>330598.75</v>
      </c>
      <c r="L1414" s="5">
        <f t="shared" si="177"/>
        <v>330791.25</v>
      </c>
      <c r="M1414" s="5">
        <f t="shared" si="178"/>
        <v>-192.5</v>
      </c>
      <c r="N1414" s="3"/>
    </row>
    <row r="1415" spans="1:14" x14ac:dyDescent="0.25">
      <c r="A1415" s="2">
        <v>1231226</v>
      </c>
      <c r="B1415" s="3">
        <v>90731.25</v>
      </c>
      <c r="C1415" s="3">
        <v>57130</v>
      </c>
      <c r="D1415" s="3">
        <v>89606.25</v>
      </c>
      <c r="E1415" s="3">
        <v>92656.25</v>
      </c>
      <c r="F1415">
        <f t="shared" si="171"/>
        <v>1231226</v>
      </c>
      <c r="G1415" s="3">
        <f t="shared" si="172"/>
        <v>90731.25</v>
      </c>
      <c r="H1415" s="3">
        <f t="shared" si="173"/>
        <v>57130</v>
      </c>
      <c r="I1415" s="3">
        <f t="shared" si="174"/>
        <v>89606.25</v>
      </c>
      <c r="J1415" s="3">
        <f t="shared" si="175"/>
        <v>92656.25</v>
      </c>
      <c r="K1415" s="5">
        <f t="shared" si="176"/>
        <v>330123.75</v>
      </c>
      <c r="L1415" s="5">
        <f t="shared" si="177"/>
        <v>330598.75</v>
      </c>
      <c r="M1415" s="5">
        <f t="shared" si="178"/>
        <v>-475</v>
      </c>
      <c r="N1415" s="3"/>
    </row>
    <row r="1416" spans="1:14" x14ac:dyDescent="0.25">
      <c r="A1416" s="2">
        <v>1231227</v>
      </c>
      <c r="B1416" s="3">
        <v>90887.5</v>
      </c>
      <c r="C1416" s="3">
        <v>56660</v>
      </c>
      <c r="D1416" s="3">
        <v>89293.75</v>
      </c>
      <c r="E1416" s="3">
        <v>92656.25</v>
      </c>
      <c r="F1416">
        <f t="shared" si="171"/>
        <v>1231227</v>
      </c>
      <c r="G1416" s="3">
        <f t="shared" si="172"/>
        <v>90887.5</v>
      </c>
      <c r="H1416" s="3">
        <f t="shared" si="173"/>
        <v>56660</v>
      </c>
      <c r="I1416" s="3">
        <f t="shared" si="174"/>
        <v>89293.75</v>
      </c>
      <c r="J1416" s="3">
        <f t="shared" si="175"/>
        <v>92656.25</v>
      </c>
      <c r="K1416" s="5">
        <f t="shared" si="176"/>
        <v>329497.5</v>
      </c>
      <c r="L1416" s="5">
        <f t="shared" si="177"/>
        <v>330123.75</v>
      </c>
      <c r="M1416" s="5">
        <f t="shared" si="178"/>
        <v>-626.25</v>
      </c>
      <c r="N1416" s="3"/>
    </row>
    <row r="1417" spans="1:14" x14ac:dyDescent="0.25">
      <c r="A1417" s="2">
        <v>1231228</v>
      </c>
      <c r="B1417" s="3">
        <v>89768.75</v>
      </c>
      <c r="C1417" s="3">
        <v>57230</v>
      </c>
      <c r="D1417" s="3">
        <v>89943.75</v>
      </c>
      <c r="E1417" s="3">
        <v>94218.75</v>
      </c>
      <c r="F1417">
        <f t="shared" si="171"/>
        <v>1231228</v>
      </c>
      <c r="G1417" s="3">
        <f t="shared" si="172"/>
        <v>89768.75</v>
      </c>
      <c r="H1417" s="3">
        <f t="shared" si="173"/>
        <v>57230</v>
      </c>
      <c r="I1417" s="3">
        <f t="shared" si="174"/>
        <v>89943.75</v>
      </c>
      <c r="J1417" s="3">
        <f t="shared" si="175"/>
        <v>94218.75</v>
      </c>
      <c r="K1417" s="5">
        <f t="shared" si="176"/>
        <v>331161.25</v>
      </c>
      <c r="L1417" s="5">
        <f t="shared" si="177"/>
        <v>331161.25</v>
      </c>
      <c r="M1417" s="5">
        <f t="shared" si="178"/>
        <v>0</v>
      </c>
      <c r="N1417" s="3"/>
    </row>
    <row r="1418" spans="1:14" x14ac:dyDescent="0.25">
      <c r="A1418" s="2">
        <v>1231229</v>
      </c>
      <c r="B1418" s="3">
        <v>89937.5</v>
      </c>
      <c r="C1418" s="3">
        <v>57010</v>
      </c>
      <c r="D1418" s="3">
        <v>89612.5</v>
      </c>
      <c r="E1418" s="3">
        <v>94375</v>
      </c>
      <c r="F1418">
        <f t="shared" si="171"/>
        <v>1231229</v>
      </c>
      <c r="G1418" s="3">
        <f t="shared" si="172"/>
        <v>89937.5</v>
      </c>
      <c r="H1418" s="3">
        <f t="shared" si="173"/>
        <v>57010</v>
      </c>
      <c r="I1418" s="3">
        <f t="shared" si="174"/>
        <v>89612.5</v>
      </c>
      <c r="J1418" s="3">
        <f t="shared" si="175"/>
        <v>94375</v>
      </c>
      <c r="K1418" s="5">
        <f t="shared" si="176"/>
        <v>330935</v>
      </c>
      <c r="L1418" s="5">
        <f t="shared" si="177"/>
        <v>331161.25</v>
      </c>
      <c r="M1418" s="5">
        <f t="shared" si="178"/>
        <v>-226.25</v>
      </c>
      <c r="N1418" s="3"/>
    </row>
    <row r="1419" spans="1:14" x14ac:dyDescent="0.25">
      <c r="A1419" s="2">
        <v>1240101</v>
      </c>
      <c r="B1419" s="3">
        <v>90087.5</v>
      </c>
      <c r="C1419" s="3">
        <v>57640</v>
      </c>
      <c r="D1419" s="3">
        <v>89762.5</v>
      </c>
      <c r="E1419" s="3">
        <v>95781.25</v>
      </c>
      <c r="F1419">
        <f t="shared" si="171"/>
        <v>1240101</v>
      </c>
      <c r="G1419" s="3">
        <f t="shared" si="172"/>
        <v>90087.5</v>
      </c>
      <c r="H1419" s="3">
        <f t="shared" si="173"/>
        <v>57640</v>
      </c>
      <c r="I1419" s="3">
        <f t="shared" si="174"/>
        <v>89762.5</v>
      </c>
      <c r="J1419" s="3">
        <f t="shared" si="175"/>
        <v>95781.25</v>
      </c>
      <c r="K1419" s="5">
        <f t="shared" si="176"/>
        <v>333271.25</v>
      </c>
      <c r="L1419" s="5">
        <f t="shared" si="177"/>
        <v>333271.25</v>
      </c>
      <c r="M1419" s="5">
        <f t="shared" si="178"/>
        <v>0</v>
      </c>
      <c r="N1419" s="3"/>
    </row>
    <row r="1420" spans="1:14" x14ac:dyDescent="0.25">
      <c r="A1420" s="2">
        <v>1240102</v>
      </c>
      <c r="B1420" s="3">
        <v>90056.25</v>
      </c>
      <c r="C1420" s="3">
        <v>57070</v>
      </c>
      <c r="D1420" s="3">
        <v>89606.25</v>
      </c>
      <c r="E1420" s="3">
        <v>96640.599999999991</v>
      </c>
      <c r="F1420">
        <f t="shared" si="171"/>
        <v>1240102</v>
      </c>
      <c r="G1420" s="3">
        <f t="shared" si="172"/>
        <v>90056.25</v>
      </c>
      <c r="H1420" s="3">
        <f t="shared" si="173"/>
        <v>57070</v>
      </c>
      <c r="I1420" s="3">
        <f t="shared" si="174"/>
        <v>89606.25</v>
      </c>
      <c r="J1420" s="3">
        <f t="shared" si="175"/>
        <v>96640.599999999991</v>
      </c>
      <c r="K1420" s="5">
        <f t="shared" si="176"/>
        <v>333373.09999999998</v>
      </c>
      <c r="L1420" s="5">
        <f t="shared" si="177"/>
        <v>333373.09999999998</v>
      </c>
      <c r="M1420" s="5">
        <f t="shared" si="178"/>
        <v>0</v>
      </c>
      <c r="N1420" s="3"/>
    </row>
    <row r="1421" spans="1:14" x14ac:dyDescent="0.25">
      <c r="A1421" s="2">
        <v>1240103</v>
      </c>
      <c r="B1421" s="3">
        <v>90550</v>
      </c>
      <c r="C1421" s="3">
        <v>55510</v>
      </c>
      <c r="D1421" s="3">
        <v>89425</v>
      </c>
      <c r="E1421" s="3">
        <v>97968.75</v>
      </c>
      <c r="F1421">
        <f t="shared" si="171"/>
        <v>1240103</v>
      </c>
      <c r="G1421" s="3">
        <f t="shared" si="172"/>
        <v>90550</v>
      </c>
      <c r="H1421" s="3">
        <f t="shared" si="173"/>
        <v>55510</v>
      </c>
      <c r="I1421" s="3">
        <f t="shared" si="174"/>
        <v>89425</v>
      </c>
      <c r="J1421" s="3">
        <f t="shared" si="175"/>
        <v>97968.75</v>
      </c>
      <c r="K1421" s="5">
        <f t="shared" si="176"/>
        <v>333453.75</v>
      </c>
      <c r="L1421" s="5">
        <f t="shared" si="177"/>
        <v>333453.75</v>
      </c>
      <c r="M1421" s="5">
        <f t="shared" si="178"/>
        <v>0</v>
      </c>
      <c r="N1421" s="3"/>
    </row>
    <row r="1422" spans="1:14" x14ac:dyDescent="0.25">
      <c r="A1422" s="2">
        <v>1240104</v>
      </c>
      <c r="B1422" s="3">
        <v>91475</v>
      </c>
      <c r="C1422" s="3">
        <v>57900</v>
      </c>
      <c r="D1422" s="3">
        <v>90506.25</v>
      </c>
      <c r="E1422" s="3">
        <v>96953.099999999991</v>
      </c>
      <c r="F1422">
        <f t="shared" si="171"/>
        <v>1240104</v>
      </c>
      <c r="G1422" s="3">
        <f t="shared" si="172"/>
        <v>91475</v>
      </c>
      <c r="H1422" s="3">
        <f t="shared" si="173"/>
        <v>57900</v>
      </c>
      <c r="I1422" s="3">
        <f t="shared" si="174"/>
        <v>90506.25</v>
      </c>
      <c r="J1422" s="3">
        <f t="shared" si="175"/>
        <v>96953.099999999991</v>
      </c>
      <c r="K1422" s="5">
        <f t="shared" si="176"/>
        <v>336834.35</v>
      </c>
      <c r="L1422" s="5">
        <f t="shared" si="177"/>
        <v>336834.35</v>
      </c>
      <c r="M1422" s="5">
        <f t="shared" si="178"/>
        <v>0</v>
      </c>
      <c r="N1422" s="3"/>
    </row>
    <row r="1423" spans="1:14" x14ac:dyDescent="0.25">
      <c r="A1423" s="2">
        <v>1240105</v>
      </c>
      <c r="B1423" s="3">
        <v>90800</v>
      </c>
      <c r="C1423" s="3">
        <v>57030</v>
      </c>
      <c r="D1423" s="3">
        <v>91100</v>
      </c>
      <c r="E1423" s="3">
        <v>99453.099999999991</v>
      </c>
      <c r="F1423">
        <f t="shared" si="171"/>
        <v>1240105</v>
      </c>
      <c r="G1423" s="3">
        <f t="shared" si="172"/>
        <v>90800</v>
      </c>
      <c r="H1423" s="3">
        <f t="shared" si="173"/>
        <v>57030</v>
      </c>
      <c r="I1423" s="3">
        <f t="shared" si="174"/>
        <v>91100</v>
      </c>
      <c r="J1423" s="3">
        <f t="shared" si="175"/>
        <v>99453.099999999991</v>
      </c>
      <c r="K1423" s="5">
        <f t="shared" si="176"/>
        <v>338383.1</v>
      </c>
      <c r="L1423" s="5">
        <f t="shared" si="177"/>
        <v>338383.1</v>
      </c>
      <c r="M1423" s="5">
        <f t="shared" si="178"/>
        <v>0</v>
      </c>
      <c r="N1423" s="3"/>
    </row>
    <row r="1424" spans="1:14" x14ac:dyDescent="0.25">
      <c r="A1424" s="2">
        <v>1240107</v>
      </c>
      <c r="B1424" s="3">
        <v>91025</v>
      </c>
      <c r="C1424" s="3">
        <v>56560</v>
      </c>
      <c r="D1424" s="3">
        <v>91250</v>
      </c>
      <c r="E1424" s="3">
        <v>96484.400000000009</v>
      </c>
      <c r="F1424">
        <f t="shared" si="171"/>
        <v>1240107</v>
      </c>
      <c r="G1424" s="3">
        <f t="shared" si="172"/>
        <v>91025</v>
      </c>
      <c r="H1424" s="3">
        <f t="shared" si="173"/>
        <v>56560</v>
      </c>
      <c r="I1424" s="3">
        <f t="shared" si="174"/>
        <v>91250</v>
      </c>
      <c r="J1424" s="3">
        <f t="shared" si="175"/>
        <v>96484.400000000009</v>
      </c>
      <c r="K1424" s="5">
        <f t="shared" si="176"/>
        <v>335319.40000000002</v>
      </c>
      <c r="L1424" s="5">
        <f t="shared" si="177"/>
        <v>338383.1</v>
      </c>
      <c r="M1424" s="5">
        <f t="shared" si="178"/>
        <v>-3063.6999999999534</v>
      </c>
      <c r="N1424" s="3"/>
    </row>
    <row r="1425" spans="1:14" x14ac:dyDescent="0.25">
      <c r="A1425" s="2">
        <v>1240108</v>
      </c>
      <c r="B1425" s="3">
        <v>90812.5</v>
      </c>
      <c r="C1425" s="3">
        <v>56560</v>
      </c>
      <c r="D1425" s="3">
        <v>91475</v>
      </c>
      <c r="E1425" s="3">
        <v>96796.900000000009</v>
      </c>
      <c r="F1425">
        <f t="shared" si="171"/>
        <v>1240108</v>
      </c>
      <c r="G1425" s="3">
        <f t="shared" si="172"/>
        <v>90812.5</v>
      </c>
      <c r="H1425" s="3">
        <f t="shared" si="173"/>
        <v>56560</v>
      </c>
      <c r="I1425" s="3">
        <f t="shared" si="174"/>
        <v>91475</v>
      </c>
      <c r="J1425" s="3">
        <f t="shared" si="175"/>
        <v>96796.900000000009</v>
      </c>
      <c r="K1425" s="5">
        <f t="shared" si="176"/>
        <v>335644.4</v>
      </c>
      <c r="L1425" s="5">
        <f t="shared" si="177"/>
        <v>335644.4</v>
      </c>
      <c r="M1425" s="5">
        <f t="shared" si="178"/>
        <v>0</v>
      </c>
      <c r="N1425" s="3"/>
    </row>
    <row r="1426" spans="1:14" x14ac:dyDescent="0.25">
      <c r="A1426" s="2">
        <v>1240109</v>
      </c>
      <c r="B1426" s="3">
        <v>92418.75</v>
      </c>
      <c r="C1426" s="3">
        <v>56010</v>
      </c>
      <c r="D1426" s="3">
        <v>91287.5</v>
      </c>
      <c r="E1426" s="3">
        <v>98359.400000000009</v>
      </c>
      <c r="F1426">
        <f t="shared" si="171"/>
        <v>1240109</v>
      </c>
      <c r="G1426" s="3">
        <f t="shared" si="172"/>
        <v>92418.75</v>
      </c>
      <c r="H1426" s="3">
        <f t="shared" si="173"/>
        <v>56010</v>
      </c>
      <c r="I1426" s="3">
        <f t="shared" si="174"/>
        <v>91287.5</v>
      </c>
      <c r="J1426" s="3">
        <f t="shared" si="175"/>
        <v>98359.400000000009</v>
      </c>
      <c r="K1426" s="5">
        <f t="shared" si="176"/>
        <v>338075.65</v>
      </c>
      <c r="L1426" s="5">
        <f t="shared" si="177"/>
        <v>338075.65</v>
      </c>
      <c r="M1426" s="5">
        <f t="shared" si="178"/>
        <v>0</v>
      </c>
      <c r="N1426" s="3"/>
    </row>
    <row r="1427" spans="1:14" x14ac:dyDescent="0.25">
      <c r="A1427" s="2">
        <v>1240110</v>
      </c>
      <c r="B1427" s="3">
        <v>92375</v>
      </c>
      <c r="C1427" s="3">
        <v>54590</v>
      </c>
      <c r="D1427" s="3">
        <v>91262.5</v>
      </c>
      <c r="E1427" s="3">
        <v>95625</v>
      </c>
      <c r="F1427">
        <f t="shared" si="171"/>
        <v>1240110</v>
      </c>
      <c r="G1427" s="3">
        <f t="shared" si="172"/>
        <v>92375</v>
      </c>
      <c r="H1427" s="3">
        <f t="shared" si="173"/>
        <v>54590</v>
      </c>
      <c r="I1427" s="3">
        <f t="shared" si="174"/>
        <v>91262.5</v>
      </c>
      <c r="J1427" s="3">
        <f t="shared" si="175"/>
        <v>95625</v>
      </c>
      <c r="K1427" s="5">
        <f t="shared" si="176"/>
        <v>333852.5</v>
      </c>
      <c r="L1427" s="5">
        <f t="shared" si="177"/>
        <v>338075.65</v>
      </c>
      <c r="M1427" s="5">
        <f t="shared" si="178"/>
        <v>-4223.1500000000233</v>
      </c>
      <c r="N1427" s="3"/>
    </row>
    <row r="1428" spans="1:14" x14ac:dyDescent="0.25">
      <c r="A1428" s="2">
        <v>1240111</v>
      </c>
      <c r="B1428" s="3">
        <v>92893.75</v>
      </c>
      <c r="C1428" s="3">
        <v>55050</v>
      </c>
      <c r="D1428" s="3">
        <v>91737.5</v>
      </c>
      <c r="E1428" s="3">
        <v>95781.25</v>
      </c>
      <c r="F1428">
        <f t="shared" si="171"/>
        <v>1240111</v>
      </c>
      <c r="G1428" s="3">
        <f t="shared" si="172"/>
        <v>92893.75</v>
      </c>
      <c r="H1428" s="3">
        <f t="shared" si="173"/>
        <v>55050</v>
      </c>
      <c r="I1428" s="3">
        <f t="shared" si="174"/>
        <v>91737.5</v>
      </c>
      <c r="J1428" s="3">
        <f t="shared" si="175"/>
        <v>95781.25</v>
      </c>
      <c r="K1428" s="5">
        <f t="shared" si="176"/>
        <v>335462.5</v>
      </c>
      <c r="L1428" s="5">
        <f t="shared" si="177"/>
        <v>335462.5</v>
      </c>
      <c r="M1428" s="5">
        <f t="shared" si="178"/>
        <v>0</v>
      </c>
      <c r="N1428" s="3"/>
    </row>
    <row r="1429" spans="1:14" x14ac:dyDescent="0.25">
      <c r="A1429" s="2">
        <v>1240112</v>
      </c>
      <c r="B1429" s="3">
        <v>92143.75</v>
      </c>
      <c r="C1429" s="3">
        <v>54220</v>
      </c>
      <c r="D1429" s="3">
        <v>91381.25</v>
      </c>
      <c r="E1429" s="3">
        <v>93671.900000000009</v>
      </c>
      <c r="F1429">
        <f t="shared" si="171"/>
        <v>1240112</v>
      </c>
      <c r="G1429" s="3">
        <f t="shared" si="172"/>
        <v>92143.75</v>
      </c>
      <c r="H1429" s="3">
        <f t="shared" si="173"/>
        <v>54220</v>
      </c>
      <c r="I1429" s="3">
        <f t="shared" si="174"/>
        <v>91381.25</v>
      </c>
      <c r="J1429" s="3">
        <f t="shared" si="175"/>
        <v>93671.900000000009</v>
      </c>
      <c r="K1429" s="5">
        <f t="shared" si="176"/>
        <v>331416.90000000002</v>
      </c>
      <c r="L1429" s="5">
        <f t="shared" si="177"/>
        <v>335462.5</v>
      </c>
      <c r="M1429" s="5">
        <f t="shared" si="178"/>
        <v>-4045.5999999999767</v>
      </c>
      <c r="N1429" s="3"/>
    </row>
    <row r="1430" spans="1:14" x14ac:dyDescent="0.25">
      <c r="A1430" s="2">
        <v>1240114</v>
      </c>
      <c r="B1430" s="3">
        <v>92143.75</v>
      </c>
      <c r="C1430" s="3">
        <v>56390</v>
      </c>
      <c r="D1430" s="3">
        <v>90925</v>
      </c>
      <c r="E1430" s="3">
        <v>92578.099999999991</v>
      </c>
      <c r="F1430">
        <f t="shared" si="171"/>
        <v>1240114</v>
      </c>
      <c r="G1430" s="3">
        <f t="shared" si="172"/>
        <v>92143.75</v>
      </c>
      <c r="H1430" s="3">
        <f t="shared" si="173"/>
        <v>56390</v>
      </c>
      <c r="I1430" s="3">
        <f t="shared" si="174"/>
        <v>90925</v>
      </c>
      <c r="J1430" s="3">
        <f t="shared" si="175"/>
        <v>92578.099999999991</v>
      </c>
      <c r="K1430" s="5">
        <f t="shared" si="176"/>
        <v>332036.84999999998</v>
      </c>
      <c r="L1430" s="5">
        <f t="shared" si="177"/>
        <v>332036.84999999998</v>
      </c>
      <c r="M1430" s="5">
        <f t="shared" si="178"/>
        <v>0</v>
      </c>
      <c r="N1430" s="3"/>
    </row>
    <row r="1431" spans="1:14" x14ac:dyDescent="0.25">
      <c r="A1431" s="2">
        <v>1240115</v>
      </c>
      <c r="B1431" s="3">
        <v>92143.75</v>
      </c>
      <c r="C1431" s="3">
        <v>56390</v>
      </c>
      <c r="D1431" s="3">
        <v>90875</v>
      </c>
      <c r="E1431" s="3">
        <v>93125</v>
      </c>
      <c r="F1431">
        <f t="shared" si="171"/>
        <v>1240115</v>
      </c>
      <c r="G1431" s="3">
        <f t="shared" si="172"/>
        <v>92143.75</v>
      </c>
      <c r="H1431" s="3">
        <f t="shared" si="173"/>
        <v>56390</v>
      </c>
      <c r="I1431" s="3">
        <f t="shared" si="174"/>
        <v>90875</v>
      </c>
      <c r="J1431" s="3">
        <f t="shared" si="175"/>
        <v>93125</v>
      </c>
      <c r="K1431" s="5">
        <f t="shared" si="176"/>
        <v>332533.75</v>
      </c>
      <c r="L1431" s="5">
        <f t="shared" si="177"/>
        <v>332533.75</v>
      </c>
      <c r="M1431" s="5">
        <f t="shared" si="178"/>
        <v>0</v>
      </c>
      <c r="N1431" s="3"/>
    </row>
    <row r="1432" spans="1:14" x14ac:dyDescent="0.25">
      <c r="A1432" s="2">
        <v>1240116</v>
      </c>
      <c r="B1432" s="3">
        <v>92381.25</v>
      </c>
      <c r="C1432" s="3">
        <v>56780</v>
      </c>
      <c r="D1432" s="3">
        <v>91418.75</v>
      </c>
      <c r="E1432" s="3">
        <v>92265.599999999991</v>
      </c>
      <c r="F1432">
        <f t="shared" si="171"/>
        <v>1240116</v>
      </c>
      <c r="G1432" s="3">
        <f t="shared" si="172"/>
        <v>92381.25</v>
      </c>
      <c r="H1432" s="3">
        <f t="shared" si="173"/>
        <v>56780</v>
      </c>
      <c r="I1432" s="3">
        <f t="shared" si="174"/>
        <v>91418.75</v>
      </c>
      <c r="J1432" s="3">
        <f t="shared" si="175"/>
        <v>92265.599999999991</v>
      </c>
      <c r="K1432" s="5">
        <f t="shared" si="176"/>
        <v>332845.59999999998</v>
      </c>
      <c r="L1432" s="5">
        <f t="shared" si="177"/>
        <v>332845.59999999998</v>
      </c>
      <c r="M1432" s="5">
        <f t="shared" si="178"/>
        <v>0</v>
      </c>
      <c r="N1432" s="3"/>
    </row>
    <row r="1433" spans="1:14" x14ac:dyDescent="0.25">
      <c r="A1433" s="2">
        <v>1240117</v>
      </c>
      <c r="B1433" s="3">
        <v>91606.25</v>
      </c>
      <c r="C1433" s="3">
        <v>57950</v>
      </c>
      <c r="D1433" s="3">
        <v>92262.5</v>
      </c>
      <c r="E1433" s="3">
        <v>93828.099999999991</v>
      </c>
      <c r="F1433">
        <f t="shared" ref="F1433:F1496" si="179">+A1433</f>
        <v>1240117</v>
      </c>
      <c r="G1433" s="3">
        <f t="shared" si="172"/>
        <v>91606.25</v>
      </c>
      <c r="H1433" s="3">
        <f t="shared" si="173"/>
        <v>57950</v>
      </c>
      <c r="I1433" s="3">
        <f t="shared" si="174"/>
        <v>92262.5</v>
      </c>
      <c r="J1433" s="3">
        <f t="shared" si="175"/>
        <v>93828.099999999991</v>
      </c>
      <c r="K1433" s="5">
        <f t="shared" si="176"/>
        <v>335646.85</v>
      </c>
      <c r="L1433" s="5">
        <f t="shared" si="177"/>
        <v>335646.85</v>
      </c>
      <c r="M1433" s="5">
        <f t="shared" si="178"/>
        <v>0</v>
      </c>
      <c r="N1433" s="3"/>
    </row>
    <row r="1434" spans="1:14" x14ac:dyDescent="0.25">
      <c r="A1434" s="2">
        <v>1240118</v>
      </c>
      <c r="B1434" s="3">
        <v>91937.5</v>
      </c>
      <c r="C1434" s="3">
        <v>55720</v>
      </c>
      <c r="D1434" s="3">
        <v>92475</v>
      </c>
      <c r="E1434" s="3">
        <v>95703.099999999991</v>
      </c>
      <c r="F1434">
        <f t="shared" si="179"/>
        <v>1240118</v>
      </c>
      <c r="G1434" s="3">
        <f t="shared" ref="G1434:G1497" si="180">+IF(B1434&lt;&gt;0,B1434,B1433)</f>
        <v>91937.5</v>
      </c>
      <c r="H1434" s="3">
        <f t="shared" ref="H1434:H1497" si="181">+IF(C1434&lt;&gt;0,C1434,C1433)</f>
        <v>55720</v>
      </c>
      <c r="I1434" s="3">
        <f t="shared" ref="I1434:I1497" si="182">+IF(D1434&lt;&gt;0,D1434,D1433)</f>
        <v>92475</v>
      </c>
      <c r="J1434" s="3">
        <f t="shared" ref="J1434:J1497" si="183">+IF(E1434&lt;&gt;0,E1434,E1433)</f>
        <v>95703.099999999991</v>
      </c>
      <c r="K1434" s="5">
        <f t="shared" ref="K1434:K1497" si="184">+SUM(G1434:J1434)</f>
        <v>335835.6</v>
      </c>
      <c r="L1434" s="5">
        <f t="shared" si="177"/>
        <v>335835.6</v>
      </c>
      <c r="M1434" s="5">
        <f t="shared" si="178"/>
        <v>0</v>
      </c>
      <c r="N1434" s="3"/>
    </row>
    <row r="1435" spans="1:14" x14ac:dyDescent="0.25">
      <c r="A1435" s="2">
        <v>1240119</v>
      </c>
      <c r="B1435" s="3">
        <v>92300</v>
      </c>
      <c r="C1435" s="3">
        <v>55840</v>
      </c>
      <c r="D1435" s="3">
        <v>92931.25</v>
      </c>
      <c r="E1435" s="3">
        <v>97968.75</v>
      </c>
      <c r="F1435">
        <f t="shared" si="179"/>
        <v>1240119</v>
      </c>
      <c r="G1435" s="3">
        <f t="shared" si="180"/>
        <v>92300</v>
      </c>
      <c r="H1435" s="3">
        <f t="shared" si="181"/>
        <v>55840</v>
      </c>
      <c r="I1435" s="3">
        <f t="shared" si="182"/>
        <v>92931.25</v>
      </c>
      <c r="J1435" s="3">
        <f t="shared" si="183"/>
        <v>97968.75</v>
      </c>
      <c r="K1435" s="5">
        <f t="shared" si="184"/>
        <v>339040</v>
      </c>
      <c r="L1435" s="5">
        <f t="shared" ref="L1435:L1498" si="185">+IF(K1435&gt;K1434,K1435,K1434)</f>
        <v>339040</v>
      </c>
      <c r="M1435" s="5">
        <f t="shared" ref="M1435:M1498" si="186">+K1435-L1435</f>
        <v>0</v>
      </c>
      <c r="N1435" s="3"/>
    </row>
    <row r="1436" spans="1:14" x14ac:dyDescent="0.25">
      <c r="A1436" s="2">
        <v>1240121</v>
      </c>
      <c r="B1436" s="3">
        <v>93762.5</v>
      </c>
      <c r="C1436" s="3">
        <v>55540</v>
      </c>
      <c r="D1436" s="3">
        <v>92650</v>
      </c>
      <c r="E1436" s="3">
        <v>94375</v>
      </c>
      <c r="F1436">
        <f t="shared" si="179"/>
        <v>1240121</v>
      </c>
      <c r="G1436" s="3">
        <f t="shared" si="180"/>
        <v>93762.5</v>
      </c>
      <c r="H1436" s="3">
        <f t="shared" si="181"/>
        <v>55540</v>
      </c>
      <c r="I1436" s="3">
        <f t="shared" si="182"/>
        <v>92650</v>
      </c>
      <c r="J1436" s="3">
        <f t="shared" si="183"/>
        <v>94375</v>
      </c>
      <c r="K1436" s="5">
        <f t="shared" si="184"/>
        <v>336327.5</v>
      </c>
      <c r="L1436" s="5">
        <f t="shared" si="185"/>
        <v>339040</v>
      </c>
      <c r="M1436" s="5">
        <f t="shared" si="186"/>
        <v>-2712.5</v>
      </c>
      <c r="N1436" s="3"/>
    </row>
    <row r="1437" spans="1:14" x14ac:dyDescent="0.25">
      <c r="A1437" s="2">
        <v>1240122</v>
      </c>
      <c r="B1437" s="3">
        <v>93762.5</v>
      </c>
      <c r="C1437" s="3">
        <v>55300</v>
      </c>
      <c r="D1437" s="3">
        <v>92331.25</v>
      </c>
      <c r="E1437" s="3">
        <v>93828.099999999991</v>
      </c>
      <c r="F1437">
        <f t="shared" si="179"/>
        <v>1240122</v>
      </c>
      <c r="G1437" s="3">
        <f t="shared" si="180"/>
        <v>93762.5</v>
      </c>
      <c r="H1437" s="3">
        <f t="shared" si="181"/>
        <v>55300</v>
      </c>
      <c r="I1437" s="3">
        <f t="shared" si="182"/>
        <v>92331.25</v>
      </c>
      <c r="J1437" s="3">
        <f t="shared" si="183"/>
        <v>93828.099999999991</v>
      </c>
      <c r="K1437" s="5">
        <f t="shared" si="184"/>
        <v>335221.84999999998</v>
      </c>
      <c r="L1437" s="5">
        <f t="shared" si="185"/>
        <v>336327.5</v>
      </c>
      <c r="M1437" s="5">
        <f t="shared" si="186"/>
        <v>-1105.6500000000233</v>
      </c>
      <c r="N1437" s="3"/>
    </row>
    <row r="1438" spans="1:14" x14ac:dyDescent="0.25">
      <c r="A1438" s="2">
        <v>1240123</v>
      </c>
      <c r="B1438" s="3">
        <v>93150</v>
      </c>
      <c r="C1438" s="3">
        <v>54810</v>
      </c>
      <c r="D1438" s="3">
        <v>91968.75</v>
      </c>
      <c r="E1438" s="3">
        <v>93125</v>
      </c>
      <c r="F1438">
        <f t="shared" si="179"/>
        <v>1240123</v>
      </c>
      <c r="G1438" s="3">
        <f t="shared" si="180"/>
        <v>93150</v>
      </c>
      <c r="H1438" s="3">
        <f t="shared" si="181"/>
        <v>54810</v>
      </c>
      <c r="I1438" s="3">
        <f t="shared" si="182"/>
        <v>91968.75</v>
      </c>
      <c r="J1438" s="3">
        <f t="shared" si="183"/>
        <v>93125</v>
      </c>
      <c r="K1438" s="5">
        <f t="shared" si="184"/>
        <v>333053.75</v>
      </c>
      <c r="L1438" s="5">
        <f t="shared" si="185"/>
        <v>335221.84999999998</v>
      </c>
      <c r="M1438" s="5">
        <f t="shared" si="186"/>
        <v>-2168.0999999999767</v>
      </c>
      <c r="N1438" s="3"/>
    </row>
    <row r="1439" spans="1:14" x14ac:dyDescent="0.25">
      <c r="A1439" s="2">
        <v>1240124</v>
      </c>
      <c r="B1439" s="3">
        <v>93075</v>
      </c>
      <c r="C1439" s="3">
        <v>54520</v>
      </c>
      <c r="D1439" s="3">
        <v>91956.25</v>
      </c>
      <c r="E1439" s="3">
        <v>91328.099999999991</v>
      </c>
      <c r="F1439">
        <f t="shared" si="179"/>
        <v>1240124</v>
      </c>
      <c r="G1439" s="3">
        <f t="shared" si="180"/>
        <v>93075</v>
      </c>
      <c r="H1439" s="3">
        <f t="shared" si="181"/>
        <v>54520</v>
      </c>
      <c r="I1439" s="3">
        <f t="shared" si="182"/>
        <v>91956.25</v>
      </c>
      <c r="J1439" s="3">
        <f t="shared" si="183"/>
        <v>91328.099999999991</v>
      </c>
      <c r="K1439" s="5">
        <f t="shared" si="184"/>
        <v>330879.34999999998</v>
      </c>
      <c r="L1439" s="5">
        <f t="shared" si="185"/>
        <v>333053.75</v>
      </c>
      <c r="M1439" s="5">
        <f t="shared" si="186"/>
        <v>-2174.4000000000233</v>
      </c>
      <c r="N1439" s="3"/>
    </row>
    <row r="1440" spans="1:14" x14ac:dyDescent="0.25">
      <c r="A1440" s="2">
        <v>1240125</v>
      </c>
      <c r="B1440" s="3">
        <v>92487.5</v>
      </c>
      <c r="C1440" s="3">
        <v>52730</v>
      </c>
      <c r="D1440" s="3">
        <v>91462.5</v>
      </c>
      <c r="E1440" s="3">
        <v>89218.75</v>
      </c>
      <c r="F1440">
        <f t="shared" si="179"/>
        <v>1240125</v>
      </c>
      <c r="G1440" s="3">
        <f t="shared" si="180"/>
        <v>92487.5</v>
      </c>
      <c r="H1440" s="3">
        <f t="shared" si="181"/>
        <v>52730</v>
      </c>
      <c r="I1440" s="3">
        <f t="shared" si="182"/>
        <v>91462.5</v>
      </c>
      <c r="J1440" s="3">
        <f t="shared" si="183"/>
        <v>89218.75</v>
      </c>
      <c r="K1440" s="5">
        <f t="shared" si="184"/>
        <v>325898.75</v>
      </c>
      <c r="L1440" s="5">
        <f t="shared" si="185"/>
        <v>330879.34999999998</v>
      </c>
      <c r="M1440" s="5">
        <f t="shared" si="186"/>
        <v>-4980.5999999999767</v>
      </c>
      <c r="N1440" s="3"/>
    </row>
    <row r="1441" spans="1:14" x14ac:dyDescent="0.25">
      <c r="A1441" s="2">
        <v>1240126</v>
      </c>
      <c r="B1441" s="3">
        <v>92581.25</v>
      </c>
      <c r="C1441" s="3">
        <v>52130</v>
      </c>
      <c r="D1441" s="3">
        <v>91018.75</v>
      </c>
      <c r="E1441" s="3">
        <v>90781.25</v>
      </c>
      <c r="F1441">
        <f t="shared" si="179"/>
        <v>1240126</v>
      </c>
      <c r="G1441" s="3">
        <f t="shared" si="180"/>
        <v>92581.25</v>
      </c>
      <c r="H1441" s="3">
        <f t="shared" si="181"/>
        <v>52130</v>
      </c>
      <c r="I1441" s="3">
        <f t="shared" si="182"/>
        <v>91018.75</v>
      </c>
      <c r="J1441" s="3">
        <f t="shared" si="183"/>
        <v>90781.25</v>
      </c>
      <c r="K1441" s="5">
        <f t="shared" si="184"/>
        <v>326511.25</v>
      </c>
      <c r="L1441" s="5">
        <f t="shared" si="185"/>
        <v>326511.25</v>
      </c>
      <c r="M1441" s="5">
        <f t="shared" si="186"/>
        <v>0</v>
      </c>
      <c r="N1441" s="3"/>
    </row>
    <row r="1442" spans="1:14" x14ac:dyDescent="0.25">
      <c r="A1442" s="2">
        <v>1240128</v>
      </c>
      <c r="B1442" s="3">
        <v>92731.25</v>
      </c>
      <c r="C1442" s="3">
        <v>50640</v>
      </c>
      <c r="D1442" s="3">
        <v>90700</v>
      </c>
      <c r="E1442" s="3">
        <v>90781.25</v>
      </c>
      <c r="F1442">
        <f t="shared" si="179"/>
        <v>1240128</v>
      </c>
      <c r="G1442" s="3">
        <f t="shared" si="180"/>
        <v>92731.25</v>
      </c>
      <c r="H1442" s="3">
        <f t="shared" si="181"/>
        <v>50640</v>
      </c>
      <c r="I1442" s="3">
        <f t="shared" si="182"/>
        <v>90700</v>
      </c>
      <c r="J1442" s="3">
        <f t="shared" si="183"/>
        <v>90781.25</v>
      </c>
      <c r="K1442" s="5">
        <f t="shared" si="184"/>
        <v>324852.5</v>
      </c>
      <c r="L1442" s="5">
        <f t="shared" si="185"/>
        <v>326511.25</v>
      </c>
      <c r="M1442" s="5">
        <f t="shared" si="186"/>
        <v>-1658.75</v>
      </c>
      <c r="N1442" s="3"/>
    </row>
    <row r="1443" spans="1:14" x14ac:dyDescent="0.25">
      <c r="A1443" s="2">
        <v>1240129</v>
      </c>
      <c r="B1443" s="3">
        <v>92731.25</v>
      </c>
      <c r="C1443" s="3">
        <v>51030</v>
      </c>
      <c r="D1443" s="3">
        <v>90612.5</v>
      </c>
      <c r="E1443" s="3">
        <v>90468.75</v>
      </c>
      <c r="F1443">
        <f t="shared" si="179"/>
        <v>1240129</v>
      </c>
      <c r="G1443" s="3">
        <f t="shared" si="180"/>
        <v>92731.25</v>
      </c>
      <c r="H1443" s="3">
        <f t="shared" si="181"/>
        <v>51030</v>
      </c>
      <c r="I1443" s="3">
        <f t="shared" si="182"/>
        <v>90612.5</v>
      </c>
      <c r="J1443" s="3">
        <f t="shared" si="183"/>
        <v>90468.75</v>
      </c>
      <c r="K1443" s="5">
        <f t="shared" si="184"/>
        <v>324842.5</v>
      </c>
      <c r="L1443" s="5">
        <f t="shared" si="185"/>
        <v>324852.5</v>
      </c>
      <c r="M1443" s="5">
        <f t="shared" si="186"/>
        <v>-10</v>
      </c>
      <c r="N1443" s="3"/>
    </row>
    <row r="1444" spans="1:14" x14ac:dyDescent="0.25">
      <c r="A1444" s="2">
        <v>1240130</v>
      </c>
      <c r="B1444" s="3">
        <v>93518.75</v>
      </c>
      <c r="C1444" s="3">
        <v>50890</v>
      </c>
      <c r="D1444" s="3">
        <v>90600</v>
      </c>
      <c r="E1444" s="3">
        <v>90546.900000000009</v>
      </c>
      <c r="F1444">
        <f t="shared" si="179"/>
        <v>1240130</v>
      </c>
      <c r="G1444" s="3">
        <f t="shared" si="180"/>
        <v>93518.75</v>
      </c>
      <c r="H1444" s="3">
        <f t="shared" si="181"/>
        <v>50890</v>
      </c>
      <c r="I1444" s="3">
        <f t="shared" si="182"/>
        <v>90600</v>
      </c>
      <c r="J1444" s="3">
        <f t="shared" si="183"/>
        <v>90546.900000000009</v>
      </c>
      <c r="K1444" s="5">
        <f t="shared" si="184"/>
        <v>325555.65000000002</v>
      </c>
      <c r="L1444" s="5">
        <f t="shared" si="185"/>
        <v>325555.65000000002</v>
      </c>
      <c r="M1444" s="5">
        <f t="shared" si="186"/>
        <v>0</v>
      </c>
      <c r="N1444" s="3"/>
    </row>
    <row r="1445" spans="1:14" x14ac:dyDescent="0.25">
      <c r="A1445" s="2">
        <v>1240131</v>
      </c>
      <c r="B1445" s="3">
        <v>92881.25</v>
      </c>
      <c r="C1445" s="3">
        <v>50540</v>
      </c>
      <c r="D1445" s="3">
        <v>90212.5</v>
      </c>
      <c r="E1445" s="3">
        <v>87812.5</v>
      </c>
      <c r="F1445">
        <f t="shared" si="179"/>
        <v>1240131</v>
      </c>
      <c r="G1445" s="3">
        <f t="shared" si="180"/>
        <v>92881.25</v>
      </c>
      <c r="H1445" s="3">
        <f t="shared" si="181"/>
        <v>50540</v>
      </c>
      <c r="I1445" s="3">
        <f t="shared" si="182"/>
        <v>90212.5</v>
      </c>
      <c r="J1445" s="3">
        <f t="shared" si="183"/>
        <v>87812.5</v>
      </c>
      <c r="K1445" s="5">
        <f t="shared" si="184"/>
        <v>321446.25</v>
      </c>
      <c r="L1445" s="5">
        <f t="shared" si="185"/>
        <v>325555.65000000002</v>
      </c>
      <c r="M1445" s="5">
        <f t="shared" si="186"/>
        <v>-4109.4000000000233</v>
      </c>
      <c r="N1445" s="3"/>
    </row>
    <row r="1446" spans="1:14" x14ac:dyDescent="0.25">
      <c r="A1446" s="2">
        <v>1240201</v>
      </c>
      <c r="B1446" s="3">
        <v>93350</v>
      </c>
      <c r="C1446" s="3">
        <v>50580</v>
      </c>
      <c r="D1446" s="3">
        <v>90306.25</v>
      </c>
      <c r="E1446" s="3">
        <v>88593.75</v>
      </c>
      <c r="F1446">
        <f t="shared" si="179"/>
        <v>1240201</v>
      </c>
      <c r="G1446" s="3">
        <f t="shared" si="180"/>
        <v>93350</v>
      </c>
      <c r="H1446" s="3">
        <f t="shared" si="181"/>
        <v>50580</v>
      </c>
      <c r="I1446" s="3">
        <f t="shared" si="182"/>
        <v>90306.25</v>
      </c>
      <c r="J1446" s="3">
        <f t="shared" si="183"/>
        <v>88593.75</v>
      </c>
      <c r="K1446" s="5">
        <f t="shared" si="184"/>
        <v>322830</v>
      </c>
      <c r="L1446" s="5">
        <f t="shared" si="185"/>
        <v>322830</v>
      </c>
      <c r="M1446" s="5">
        <f t="shared" si="186"/>
        <v>0</v>
      </c>
      <c r="N1446" s="3"/>
    </row>
    <row r="1447" spans="1:14" x14ac:dyDescent="0.25">
      <c r="A1447" s="2">
        <v>1240202</v>
      </c>
      <c r="B1447" s="3">
        <v>94443.75</v>
      </c>
      <c r="C1447" s="3">
        <v>48270</v>
      </c>
      <c r="D1447" s="3">
        <v>90168.75</v>
      </c>
      <c r="E1447" s="3">
        <v>90546.900000000009</v>
      </c>
      <c r="F1447">
        <f t="shared" si="179"/>
        <v>1240202</v>
      </c>
      <c r="G1447" s="3">
        <f t="shared" si="180"/>
        <v>94443.75</v>
      </c>
      <c r="H1447" s="3">
        <f t="shared" si="181"/>
        <v>48270</v>
      </c>
      <c r="I1447" s="3">
        <f t="shared" si="182"/>
        <v>90168.75</v>
      </c>
      <c r="J1447" s="3">
        <f t="shared" si="183"/>
        <v>90546.900000000009</v>
      </c>
      <c r="K1447" s="5">
        <f t="shared" si="184"/>
        <v>323429.40000000002</v>
      </c>
      <c r="L1447" s="5">
        <f t="shared" si="185"/>
        <v>323429.40000000002</v>
      </c>
      <c r="M1447" s="5">
        <f t="shared" si="186"/>
        <v>0</v>
      </c>
      <c r="N1447" s="3"/>
    </row>
    <row r="1448" spans="1:14" x14ac:dyDescent="0.25">
      <c r="A1448" s="2">
        <v>1240204</v>
      </c>
      <c r="B1448" s="3">
        <v>94975</v>
      </c>
      <c r="C1448" s="3">
        <v>48930</v>
      </c>
      <c r="D1448" s="3">
        <v>90950</v>
      </c>
      <c r="E1448" s="3">
        <v>95078.099999999991</v>
      </c>
      <c r="F1448">
        <f t="shared" si="179"/>
        <v>1240204</v>
      </c>
      <c r="G1448" s="3">
        <f t="shared" si="180"/>
        <v>94975</v>
      </c>
      <c r="H1448" s="3">
        <f t="shared" si="181"/>
        <v>48930</v>
      </c>
      <c r="I1448" s="3">
        <f t="shared" si="182"/>
        <v>90950</v>
      </c>
      <c r="J1448" s="3">
        <f t="shared" si="183"/>
        <v>95078.099999999991</v>
      </c>
      <c r="K1448" s="5">
        <f t="shared" si="184"/>
        <v>329933.09999999998</v>
      </c>
      <c r="L1448" s="5">
        <f t="shared" si="185"/>
        <v>329933.09999999998</v>
      </c>
      <c r="M1448" s="5">
        <f t="shared" si="186"/>
        <v>0</v>
      </c>
      <c r="N1448" s="3"/>
    </row>
    <row r="1449" spans="1:14" x14ac:dyDescent="0.25">
      <c r="A1449" s="2">
        <v>1240205</v>
      </c>
      <c r="B1449" s="3">
        <v>94787.5</v>
      </c>
      <c r="C1449" s="3">
        <v>49720</v>
      </c>
      <c r="D1449" s="3">
        <v>90856.25</v>
      </c>
      <c r="E1449" s="3">
        <v>95781.25</v>
      </c>
      <c r="F1449">
        <f t="shared" si="179"/>
        <v>1240205</v>
      </c>
      <c r="G1449" s="3">
        <f t="shared" si="180"/>
        <v>94787.5</v>
      </c>
      <c r="H1449" s="3">
        <f t="shared" si="181"/>
        <v>49720</v>
      </c>
      <c r="I1449" s="3">
        <f t="shared" si="182"/>
        <v>90856.25</v>
      </c>
      <c r="J1449" s="3">
        <f t="shared" si="183"/>
        <v>95781.25</v>
      </c>
      <c r="K1449" s="5">
        <f t="shared" si="184"/>
        <v>331145</v>
      </c>
      <c r="L1449" s="5">
        <f t="shared" si="185"/>
        <v>331145</v>
      </c>
      <c r="M1449" s="5">
        <f t="shared" si="186"/>
        <v>0</v>
      </c>
      <c r="N1449" s="3"/>
    </row>
    <row r="1450" spans="1:14" x14ac:dyDescent="0.25">
      <c r="A1450" s="2">
        <v>1240206</v>
      </c>
      <c r="B1450" s="3">
        <v>94081.25</v>
      </c>
      <c r="C1450" s="3">
        <v>51040</v>
      </c>
      <c r="D1450" s="3">
        <v>90925</v>
      </c>
      <c r="E1450" s="3">
        <v>97421.900000000009</v>
      </c>
      <c r="F1450">
        <f t="shared" si="179"/>
        <v>1240206</v>
      </c>
      <c r="G1450" s="3">
        <f t="shared" si="180"/>
        <v>94081.25</v>
      </c>
      <c r="H1450" s="3">
        <f t="shared" si="181"/>
        <v>51040</v>
      </c>
      <c r="I1450" s="3">
        <f t="shared" si="182"/>
        <v>90925</v>
      </c>
      <c r="J1450" s="3">
        <f t="shared" si="183"/>
        <v>97421.900000000009</v>
      </c>
      <c r="K1450" s="5">
        <f t="shared" si="184"/>
        <v>333468.15000000002</v>
      </c>
      <c r="L1450" s="5">
        <f t="shared" si="185"/>
        <v>333468.15000000002</v>
      </c>
      <c r="M1450" s="5">
        <f t="shared" si="186"/>
        <v>0</v>
      </c>
      <c r="N1450" s="3"/>
    </row>
    <row r="1451" spans="1:14" x14ac:dyDescent="0.25">
      <c r="A1451" s="2">
        <v>1240207</v>
      </c>
      <c r="B1451" s="3">
        <v>94306.25</v>
      </c>
      <c r="C1451" s="3">
        <v>50930</v>
      </c>
      <c r="D1451" s="3">
        <v>91262.5</v>
      </c>
      <c r="E1451" s="3">
        <v>98125</v>
      </c>
      <c r="F1451">
        <f t="shared" si="179"/>
        <v>1240207</v>
      </c>
      <c r="G1451" s="3">
        <f t="shared" si="180"/>
        <v>94306.25</v>
      </c>
      <c r="H1451" s="3">
        <f t="shared" si="181"/>
        <v>50930</v>
      </c>
      <c r="I1451" s="3">
        <f t="shared" si="182"/>
        <v>91262.5</v>
      </c>
      <c r="J1451" s="3">
        <f t="shared" si="183"/>
        <v>98125</v>
      </c>
      <c r="K1451" s="5">
        <f t="shared" si="184"/>
        <v>334623.75</v>
      </c>
      <c r="L1451" s="5">
        <f t="shared" si="185"/>
        <v>334623.75</v>
      </c>
      <c r="M1451" s="5">
        <f t="shared" si="186"/>
        <v>0</v>
      </c>
      <c r="N1451" s="3"/>
    </row>
    <row r="1452" spans="1:14" x14ac:dyDescent="0.25">
      <c r="A1452" s="2">
        <v>1240208</v>
      </c>
      <c r="B1452" s="3">
        <v>94662.5</v>
      </c>
      <c r="C1452" s="3">
        <v>49500</v>
      </c>
      <c r="D1452" s="3">
        <v>91050</v>
      </c>
      <c r="E1452" s="3">
        <v>94687.5</v>
      </c>
      <c r="F1452">
        <f t="shared" si="179"/>
        <v>1240208</v>
      </c>
      <c r="G1452" s="3">
        <f t="shared" si="180"/>
        <v>94662.5</v>
      </c>
      <c r="H1452" s="3">
        <f t="shared" si="181"/>
        <v>49500</v>
      </c>
      <c r="I1452" s="3">
        <f t="shared" si="182"/>
        <v>91050</v>
      </c>
      <c r="J1452" s="3">
        <f t="shared" si="183"/>
        <v>94687.5</v>
      </c>
      <c r="K1452" s="5">
        <f t="shared" si="184"/>
        <v>329900</v>
      </c>
      <c r="L1452" s="5">
        <f t="shared" si="185"/>
        <v>334623.75</v>
      </c>
      <c r="M1452" s="5">
        <f t="shared" si="186"/>
        <v>-4723.75</v>
      </c>
      <c r="N1452" s="3"/>
    </row>
    <row r="1453" spans="1:14" x14ac:dyDescent="0.25">
      <c r="A1453" s="2">
        <v>1240209</v>
      </c>
      <c r="B1453" s="3">
        <v>94587.5</v>
      </c>
      <c r="C1453" s="3">
        <v>48730</v>
      </c>
      <c r="D1453" s="3">
        <v>91525</v>
      </c>
      <c r="E1453" s="3">
        <v>93828.099999999991</v>
      </c>
      <c r="F1453">
        <f t="shared" si="179"/>
        <v>1240209</v>
      </c>
      <c r="G1453" s="3">
        <f t="shared" si="180"/>
        <v>94587.5</v>
      </c>
      <c r="H1453" s="3">
        <f t="shared" si="181"/>
        <v>48730</v>
      </c>
      <c r="I1453" s="3">
        <f t="shared" si="182"/>
        <v>91525</v>
      </c>
      <c r="J1453" s="3">
        <f t="shared" si="183"/>
        <v>93828.099999999991</v>
      </c>
      <c r="K1453" s="5">
        <f t="shared" si="184"/>
        <v>328670.59999999998</v>
      </c>
      <c r="L1453" s="5">
        <f t="shared" si="185"/>
        <v>329900</v>
      </c>
      <c r="M1453" s="5">
        <f t="shared" si="186"/>
        <v>-1229.4000000000233</v>
      </c>
      <c r="N1453" s="3"/>
    </row>
    <row r="1454" spans="1:14" x14ac:dyDescent="0.25">
      <c r="A1454" s="2">
        <v>1240211</v>
      </c>
      <c r="B1454" s="3">
        <v>94575</v>
      </c>
      <c r="C1454" s="3">
        <v>47480</v>
      </c>
      <c r="D1454" s="3">
        <v>91493.75</v>
      </c>
      <c r="E1454" s="3">
        <v>92031.25</v>
      </c>
      <c r="F1454">
        <f t="shared" si="179"/>
        <v>1240211</v>
      </c>
      <c r="G1454" s="3">
        <f t="shared" si="180"/>
        <v>94575</v>
      </c>
      <c r="H1454" s="3">
        <f t="shared" si="181"/>
        <v>47480</v>
      </c>
      <c r="I1454" s="3">
        <f t="shared" si="182"/>
        <v>91493.75</v>
      </c>
      <c r="J1454" s="3">
        <f t="shared" si="183"/>
        <v>92031.25</v>
      </c>
      <c r="K1454" s="5">
        <f t="shared" si="184"/>
        <v>325580</v>
      </c>
      <c r="L1454" s="5">
        <f t="shared" si="185"/>
        <v>328670.59999999998</v>
      </c>
      <c r="M1454" s="5">
        <f t="shared" si="186"/>
        <v>-3090.5999999999767</v>
      </c>
      <c r="N1454" s="3"/>
    </row>
    <row r="1455" spans="1:14" x14ac:dyDescent="0.25">
      <c r="A1455" s="2">
        <v>1240212</v>
      </c>
      <c r="B1455" s="3">
        <v>94537.5</v>
      </c>
      <c r="C1455" s="3">
        <v>47210</v>
      </c>
      <c r="D1455" s="3">
        <v>91487.5</v>
      </c>
      <c r="E1455" s="3">
        <v>92343.75</v>
      </c>
      <c r="F1455">
        <f t="shared" si="179"/>
        <v>1240212</v>
      </c>
      <c r="G1455" s="3">
        <f t="shared" si="180"/>
        <v>94537.5</v>
      </c>
      <c r="H1455" s="3">
        <f t="shared" si="181"/>
        <v>47210</v>
      </c>
      <c r="I1455" s="3">
        <f t="shared" si="182"/>
        <v>91487.5</v>
      </c>
      <c r="J1455" s="3">
        <f t="shared" si="183"/>
        <v>92343.75</v>
      </c>
      <c r="K1455" s="5">
        <f t="shared" si="184"/>
        <v>325578.75</v>
      </c>
      <c r="L1455" s="5">
        <f t="shared" si="185"/>
        <v>325580</v>
      </c>
      <c r="M1455" s="5">
        <f t="shared" si="186"/>
        <v>-1.25</v>
      </c>
      <c r="N1455" s="3"/>
    </row>
    <row r="1456" spans="1:14" x14ac:dyDescent="0.25">
      <c r="A1456" s="2">
        <v>1240213</v>
      </c>
      <c r="B1456" s="3">
        <v>94637.5</v>
      </c>
      <c r="C1456" s="3">
        <v>46300</v>
      </c>
      <c r="D1456" s="3">
        <v>91700</v>
      </c>
      <c r="E1456" s="3">
        <v>89921.900000000009</v>
      </c>
      <c r="F1456">
        <f t="shared" si="179"/>
        <v>1240213</v>
      </c>
      <c r="G1456" s="3">
        <f t="shared" si="180"/>
        <v>94637.5</v>
      </c>
      <c r="H1456" s="3">
        <f t="shared" si="181"/>
        <v>46300</v>
      </c>
      <c r="I1456" s="3">
        <f t="shared" si="182"/>
        <v>91700</v>
      </c>
      <c r="J1456" s="3">
        <f t="shared" si="183"/>
        <v>89921.900000000009</v>
      </c>
      <c r="K1456" s="5">
        <f t="shared" si="184"/>
        <v>322559.40000000002</v>
      </c>
      <c r="L1456" s="5">
        <f t="shared" si="185"/>
        <v>325578.75</v>
      </c>
      <c r="M1456" s="5">
        <f t="shared" si="186"/>
        <v>-3019.3499999999767</v>
      </c>
      <c r="N1456" s="3"/>
    </row>
    <row r="1457" spans="1:14" x14ac:dyDescent="0.25">
      <c r="A1457" s="2">
        <v>1240214</v>
      </c>
      <c r="B1457" s="3">
        <v>96193.75</v>
      </c>
      <c r="C1457" s="3">
        <v>47120</v>
      </c>
      <c r="D1457" s="3">
        <v>91887.5</v>
      </c>
      <c r="E1457" s="3">
        <v>92500</v>
      </c>
      <c r="F1457">
        <f t="shared" si="179"/>
        <v>1240214</v>
      </c>
      <c r="G1457" s="3">
        <f t="shared" si="180"/>
        <v>96193.75</v>
      </c>
      <c r="H1457" s="3">
        <f t="shared" si="181"/>
        <v>47120</v>
      </c>
      <c r="I1457" s="3">
        <f t="shared" si="182"/>
        <v>91887.5</v>
      </c>
      <c r="J1457" s="3">
        <f t="shared" si="183"/>
        <v>92500</v>
      </c>
      <c r="K1457" s="5">
        <f t="shared" si="184"/>
        <v>327701.25</v>
      </c>
      <c r="L1457" s="5">
        <f t="shared" si="185"/>
        <v>327701.25</v>
      </c>
      <c r="M1457" s="5">
        <f t="shared" si="186"/>
        <v>0</v>
      </c>
      <c r="N1457" s="3"/>
    </row>
    <row r="1458" spans="1:14" x14ac:dyDescent="0.25">
      <c r="A1458" s="2">
        <v>1240215</v>
      </c>
      <c r="B1458" s="3">
        <v>96587.5</v>
      </c>
      <c r="C1458" s="3">
        <v>46760</v>
      </c>
      <c r="D1458" s="3">
        <v>91887.5</v>
      </c>
      <c r="E1458" s="3">
        <v>93203.099999999991</v>
      </c>
      <c r="F1458">
        <f t="shared" si="179"/>
        <v>1240215</v>
      </c>
      <c r="G1458" s="3">
        <f t="shared" si="180"/>
        <v>96587.5</v>
      </c>
      <c r="H1458" s="3">
        <f t="shared" si="181"/>
        <v>46760</v>
      </c>
      <c r="I1458" s="3">
        <f t="shared" si="182"/>
        <v>91887.5</v>
      </c>
      <c r="J1458" s="3">
        <f t="shared" si="183"/>
        <v>93203.099999999991</v>
      </c>
      <c r="K1458" s="5">
        <f t="shared" si="184"/>
        <v>328438.09999999998</v>
      </c>
      <c r="L1458" s="5">
        <f t="shared" si="185"/>
        <v>328438.09999999998</v>
      </c>
      <c r="M1458" s="5">
        <f t="shared" si="186"/>
        <v>0</v>
      </c>
      <c r="N1458" s="3"/>
    </row>
    <row r="1459" spans="1:14" x14ac:dyDescent="0.25">
      <c r="A1459" s="2">
        <v>1240216</v>
      </c>
      <c r="B1459" s="3">
        <v>96437.5</v>
      </c>
      <c r="C1459" s="3">
        <v>47940</v>
      </c>
      <c r="D1459" s="3">
        <v>91537.5</v>
      </c>
      <c r="E1459" s="3">
        <v>92890.599999999991</v>
      </c>
      <c r="F1459">
        <f t="shared" si="179"/>
        <v>1240216</v>
      </c>
      <c r="G1459" s="3">
        <f t="shared" si="180"/>
        <v>96437.5</v>
      </c>
      <c r="H1459" s="3">
        <f t="shared" si="181"/>
        <v>47940</v>
      </c>
      <c r="I1459" s="3">
        <f t="shared" si="182"/>
        <v>91537.5</v>
      </c>
      <c r="J1459" s="3">
        <f t="shared" si="183"/>
        <v>92890.599999999991</v>
      </c>
      <c r="K1459" s="5">
        <f t="shared" si="184"/>
        <v>328805.59999999998</v>
      </c>
      <c r="L1459" s="5">
        <f t="shared" si="185"/>
        <v>328805.59999999998</v>
      </c>
      <c r="M1459" s="5">
        <f t="shared" si="186"/>
        <v>0</v>
      </c>
      <c r="N1459" s="3"/>
    </row>
    <row r="1460" spans="1:14" x14ac:dyDescent="0.25">
      <c r="A1460" s="2">
        <v>1240218</v>
      </c>
      <c r="B1460" s="3">
        <v>95675</v>
      </c>
      <c r="C1460" s="3">
        <v>46710</v>
      </c>
      <c r="D1460" s="3">
        <v>91318.75</v>
      </c>
      <c r="E1460" s="3">
        <v>94140.599999999991</v>
      </c>
      <c r="F1460">
        <f t="shared" si="179"/>
        <v>1240218</v>
      </c>
      <c r="G1460" s="3">
        <f t="shared" si="180"/>
        <v>95675</v>
      </c>
      <c r="H1460" s="3">
        <f t="shared" si="181"/>
        <v>46710</v>
      </c>
      <c r="I1460" s="3">
        <f t="shared" si="182"/>
        <v>91318.75</v>
      </c>
      <c r="J1460" s="3">
        <f t="shared" si="183"/>
        <v>94140.599999999991</v>
      </c>
      <c r="K1460" s="5">
        <f t="shared" si="184"/>
        <v>327844.34999999998</v>
      </c>
      <c r="L1460" s="5">
        <f t="shared" si="185"/>
        <v>328805.59999999998</v>
      </c>
      <c r="M1460" s="5">
        <f t="shared" si="186"/>
        <v>-961.25</v>
      </c>
      <c r="N1460" s="3"/>
    </row>
    <row r="1461" spans="1:14" x14ac:dyDescent="0.25">
      <c r="A1461" s="2">
        <v>1240219</v>
      </c>
      <c r="B1461" s="3">
        <v>95675</v>
      </c>
      <c r="C1461" s="3">
        <v>46240</v>
      </c>
      <c r="D1461" s="3">
        <v>91387.5</v>
      </c>
      <c r="E1461" s="3">
        <v>94062.5</v>
      </c>
      <c r="F1461">
        <f t="shared" si="179"/>
        <v>1240219</v>
      </c>
      <c r="G1461" s="3">
        <f t="shared" si="180"/>
        <v>95675</v>
      </c>
      <c r="H1461" s="3">
        <f t="shared" si="181"/>
        <v>46240</v>
      </c>
      <c r="I1461" s="3">
        <f t="shared" si="182"/>
        <v>91387.5</v>
      </c>
      <c r="J1461" s="3">
        <f t="shared" si="183"/>
        <v>94062.5</v>
      </c>
      <c r="K1461" s="5">
        <f t="shared" si="184"/>
        <v>327365</v>
      </c>
      <c r="L1461" s="5">
        <f t="shared" si="185"/>
        <v>327844.34999999998</v>
      </c>
      <c r="M1461" s="5">
        <f t="shared" si="186"/>
        <v>-479.34999999997672</v>
      </c>
      <c r="N1461" s="3"/>
    </row>
    <row r="1462" spans="1:14" x14ac:dyDescent="0.25">
      <c r="A1462" s="2">
        <v>1240220</v>
      </c>
      <c r="B1462" s="3">
        <v>95968.75</v>
      </c>
      <c r="C1462" s="3">
        <v>46400</v>
      </c>
      <c r="D1462" s="3">
        <v>91650</v>
      </c>
      <c r="E1462" s="3">
        <v>94453.099999999991</v>
      </c>
      <c r="F1462">
        <f t="shared" si="179"/>
        <v>1240220</v>
      </c>
      <c r="G1462" s="3">
        <f t="shared" si="180"/>
        <v>95968.75</v>
      </c>
      <c r="H1462" s="3">
        <f t="shared" si="181"/>
        <v>46400</v>
      </c>
      <c r="I1462" s="3">
        <f t="shared" si="182"/>
        <v>91650</v>
      </c>
      <c r="J1462" s="3">
        <f t="shared" si="183"/>
        <v>94453.099999999991</v>
      </c>
      <c r="K1462" s="5">
        <f t="shared" si="184"/>
        <v>328471.84999999998</v>
      </c>
      <c r="L1462" s="5">
        <f t="shared" si="185"/>
        <v>328471.84999999998</v>
      </c>
      <c r="M1462" s="5">
        <f t="shared" si="186"/>
        <v>0</v>
      </c>
      <c r="N1462" s="3"/>
    </row>
    <row r="1463" spans="1:14" x14ac:dyDescent="0.25">
      <c r="A1463" s="2">
        <v>1240221</v>
      </c>
      <c r="B1463" s="3">
        <v>96493.75</v>
      </c>
      <c r="C1463" s="3">
        <v>47140</v>
      </c>
      <c r="D1463" s="3">
        <v>91493.75</v>
      </c>
      <c r="E1463" s="3">
        <v>93359.400000000009</v>
      </c>
      <c r="F1463">
        <f t="shared" si="179"/>
        <v>1240221</v>
      </c>
      <c r="G1463" s="3">
        <f t="shared" si="180"/>
        <v>96493.75</v>
      </c>
      <c r="H1463" s="3">
        <f t="shared" si="181"/>
        <v>47140</v>
      </c>
      <c r="I1463" s="3">
        <f t="shared" si="182"/>
        <v>91493.75</v>
      </c>
      <c r="J1463" s="3">
        <f t="shared" si="183"/>
        <v>93359.400000000009</v>
      </c>
      <c r="K1463" s="5">
        <f t="shared" si="184"/>
        <v>328486.90000000002</v>
      </c>
      <c r="L1463" s="5">
        <f t="shared" si="185"/>
        <v>328486.90000000002</v>
      </c>
      <c r="M1463" s="5">
        <f t="shared" si="186"/>
        <v>0</v>
      </c>
      <c r="N1463" s="3"/>
    </row>
    <row r="1464" spans="1:14" x14ac:dyDescent="0.25">
      <c r="A1464" s="2">
        <v>1240222</v>
      </c>
      <c r="B1464" s="3">
        <v>94987.5</v>
      </c>
      <c r="C1464" s="3">
        <v>46520</v>
      </c>
      <c r="D1464" s="3">
        <v>91431.25</v>
      </c>
      <c r="E1464" s="3">
        <v>93281.25</v>
      </c>
      <c r="F1464">
        <f t="shared" si="179"/>
        <v>1240222</v>
      </c>
      <c r="G1464" s="3">
        <f t="shared" si="180"/>
        <v>94987.5</v>
      </c>
      <c r="H1464" s="3">
        <f t="shared" si="181"/>
        <v>46520</v>
      </c>
      <c r="I1464" s="3">
        <f t="shared" si="182"/>
        <v>91431.25</v>
      </c>
      <c r="J1464" s="3">
        <f t="shared" si="183"/>
        <v>93281.25</v>
      </c>
      <c r="K1464" s="5">
        <f t="shared" si="184"/>
        <v>326220</v>
      </c>
      <c r="L1464" s="5">
        <f t="shared" si="185"/>
        <v>328486.90000000002</v>
      </c>
      <c r="M1464" s="5">
        <f t="shared" si="186"/>
        <v>-2266.9000000000233</v>
      </c>
      <c r="N1464" s="3"/>
    </row>
    <row r="1465" spans="1:14" x14ac:dyDescent="0.25">
      <c r="A1465" s="2">
        <v>1240223</v>
      </c>
      <c r="B1465" s="3">
        <v>94562.5</v>
      </c>
      <c r="C1465" s="3">
        <v>46420</v>
      </c>
      <c r="D1465" s="3">
        <v>91612.5</v>
      </c>
      <c r="E1465" s="3">
        <v>93515.599999999991</v>
      </c>
      <c r="F1465">
        <f t="shared" si="179"/>
        <v>1240223</v>
      </c>
      <c r="G1465" s="3">
        <f t="shared" si="180"/>
        <v>94562.5</v>
      </c>
      <c r="H1465" s="3">
        <f t="shared" si="181"/>
        <v>46420</v>
      </c>
      <c r="I1465" s="3">
        <f t="shared" si="182"/>
        <v>91612.5</v>
      </c>
      <c r="J1465" s="3">
        <f t="shared" si="183"/>
        <v>93515.599999999991</v>
      </c>
      <c r="K1465" s="5">
        <f t="shared" si="184"/>
        <v>326110.59999999998</v>
      </c>
      <c r="L1465" s="5">
        <f t="shared" si="185"/>
        <v>326220</v>
      </c>
      <c r="M1465" s="5">
        <f t="shared" si="186"/>
        <v>-109.40000000002328</v>
      </c>
      <c r="N1465" s="3"/>
    </row>
    <row r="1466" spans="1:14" x14ac:dyDescent="0.25">
      <c r="A1466" s="2">
        <v>1240225</v>
      </c>
      <c r="B1466" s="3">
        <v>94643.75</v>
      </c>
      <c r="C1466" s="3">
        <v>47150</v>
      </c>
      <c r="D1466" s="3">
        <v>91581.25</v>
      </c>
      <c r="E1466" s="3">
        <v>93515.599999999991</v>
      </c>
      <c r="F1466">
        <f t="shared" si="179"/>
        <v>1240225</v>
      </c>
      <c r="G1466" s="3">
        <f t="shared" si="180"/>
        <v>94643.75</v>
      </c>
      <c r="H1466" s="3">
        <f t="shared" si="181"/>
        <v>47150</v>
      </c>
      <c r="I1466" s="3">
        <f t="shared" si="182"/>
        <v>91581.25</v>
      </c>
      <c r="J1466" s="3">
        <f t="shared" si="183"/>
        <v>93515.599999999991</v>
      </c>
      <c r="K1466" s="5">
        <f t="shared" si="184"/>
        <v>326890.59999999998</v>
      </c>
      <c r="L1466" s="5">
        <f t="shared" si="185"/>
        <v>326890.59999999998</v>
      </c>
      <c r="M1466" s="5">
        <f t="shared" si="186"/>
        <v>0</v>
      </c>
      <c r="N1466" s="3"/>
    </row>
    <row r="1467" spans="1:14" x14ac:dyDescent="0.25">
      <c r="A1467" s="2">
        <v>1240226</v>
      </c>
      <c r="B1467" s="3">
        <v>94643.75</v>
      </c>
      <c r="C1467" s="3">
        <v>46980</v>
      </c>
      <c r="D1467" s="3">
        <v>91618.75</v>
      </c>
      <c r="E1467" s="3">
        <v>94375</v>
      </c>
      <c r="F1467">
        <f t="shared" si="179"/>
        <v>1240226</v>
      </c>
      <c r="G1467" s="3">
        <f t="shared" si="180"/>
        <v>94643.75</v>
      </c>
      <c r="H1467" s="3">
        <f t="shared" si="181"/>
        <v>46980</v>
      </c>
      <c r="I1467" s="3">
        <f t="shared" si="182"/>
        <v>91618.75</v>
      </c>
      <c r="J1467" s="3">
        <f t="shared" si="183"/>
        <v>94375</v>
      </c>
      <c r="K1467" s="5">
        <f t="shared" si="184"/>
        <v>327617.5</v>
      </c>
      <c r="L1467" s="5">
        <f t="shared" si="185"/>
        <v>327617.5</v>
      </c>
      <c r="M1467" s="5">
        <f t="shared" si="186"/>
        <v>0</v>
      </c>
      <c r="N1467" s="3"/>
    </row>
    <row r="1468" spans="1:14" x14ac:dyDescent="0.25">
      <c r="A1468" s="2">
        <v>1240227</v>
      </c>
      <c r="B1468" s="3">
        <v>94975</v>
      </c>
      <c r="C1468" s="3">
        <v>46570</v>
      </c>
      <c r="D1468" s="3">
        <v>91375</v>
      </c>
      <c r="E1468" s="3">
        <v>94140.599999999991</v>
      </c>
      <c r="F1468">
        <f t="shared" si="179"/>
        <v>1240227</v>
      </c>
      <c r="G1468" s="3">
        <f t="shared" si="180"/>
        <v>94975</v>
      </c>
      <c r="H1468" s="3">
        <f t="shared" si="181"/>
        <v>46570</v>
      </c>
      <c r="I1468" s="3">
        <f t="shared" si="182"/>
        <v>91375</v>
      </c>
      <c r="J1468" s="3">
        <f t="shared" si="183"/>
        <v>94140.599999999991</v>
      </c>
      <c r="K1468" s="5">
        <f t="shared" si="184"/>
        <v>327060.59999999998</v>
      </c>
      <c r="L1468" s="5">
        <f t="shared" si="185"/>
        <v>327617.5</v>
      </c>
      <c r="M1468" s="5">
        <f t="shared" si="186"/>
        <v>-556.90000000002328</v>
      </c>
      <c r="N1468" s="3"/>
    </row>
    <row r="1469" spans="1:14" x14ac:dyDescent="0.25">
      <c r="A1469" s="2">
        <v>1240228</v>
      </c>
      <c r="B1469" s="3">
        <v>94712.5</v>
      </c>
      <c r="C1469" s="3">
        <v>46100</v>
      </c>
      <c r="D1469" s="3">
        <v>91150</v>
      </c>
      <c r="E1469" s="3">
        <v>94218.75</v>
      </c>
      <c r="F1469">
        <f t="shared" si="179"/>
        <v>1240228</v>
      </c>
      <c r="G1469" s="3">
        <f t="shared" si="180"/>
        <v>94712.5</v>
      </c>
      <c r="H1469" s="3">
        <f t="shared" si="181"/>
        <v>46100</v>
      </c>
      <c r="I1469" s="3">
        <f t="shared" si="182"/>
        <v>91150</v>
      </c>
      <c r="J1469" s="3">
        <f t="shared" si="183"/>
        <v>94218.75</v>
      </c>
      <c r="K1469" s="5">
        <f t="shared" si="184"/>
        <v>326181.25</v>
      </c>
      <c r="L1469" s="5">
        <f t="shared" si="185"/>
        <v>327060.59999999998</v>
      </c>
      <c r="M1469" s="5">
        <f t="shared" si="186"/>
        <v>-879.34999999997672</v>
      </c>
      <c r="N1469" s="3"/>
    </row>
    <row r="1470" spans="1:14" x14ac:dyDescent="0.25">
      <c r="A1470" s="2">
        <v>1240229</v>
      </c>
      <c r="B1470" s="3">
        <v>94712.5</v>
      </c>
      <c r="C1470" s="3">
        <v>45830</v>
      </c>
      <c r="D1470" s="3">
        <v>91268.75</v>
      </c>
      <c r="E1470" s="3">
        <v>91875</v>
      </c>
      <c r="F1470">
        <f t="shared" si="179"/>
        <v>1240229</v>
      </c>
      <c r="G1470" s="3">
        <f t="shared" si="180"/>
        <v>94712.5</v>
      </c>
      <c r="H1470" s="3">
        <f t="shared" si="181"/>
        <v>45830</v>
      </c>
      <c r="I1470" s="3">
        <f t="shared" si="182"/>
        <v>91268.75</v>
      </c>
      <c r="J1470" s="3">
        <f t="shared" si="183"/>
        <v>91875</v>
      </c>
      <c r="K1470" s="5">
        <f t="shared" si="184"/>
        <v>323686.25</v>
      </c>
      <c r="L1470" s="5">
        <f t="shared" si="185"/>
        <v>326181.25</v>
      </c>
      <c r="M1470" s="5">
        <f t="shared" si="186"/>
        <v>-2495</v>
      </c>
      <c r="N1470" s="3"/>
    </row>
    <row r="1471" spans="1:14" x14ac:dyDescent="0.25">
      <c r="A1471" s="2">
        <v>1240301</v>
      </c>
      <c r="B1471" s="3">
        <v>94712.5</v>
      </c>
      <c r="C1471" s="3">
        <v>46140</v>
      </c>
      <c r="D1471" s="3">
        <v>90762.5</v>
      </c>
      <c r="E1471" s="3">
        <v>91406.25</v>
      </c>
      <c r="F1471">
        <f t="shared" si="179"/>
        <v>1240301</v>
      </c>
      <c r="G1471" s="3">
        <f t="shared" si="180"/>
        <v>94712.5</v>
      </c>
      <c r="H1471" s="3">
        <f t="shared" si="181"/>
        <v>46140</v>
      </c>
      <c r="I1471" s="3">
        <f t="shared" si="182"/>
        <v>90762.5</v>
      </c>
      <c r="J1471" s="3">
        <f t="shared" si="183"/>
        <v>91406.25</v>
      </c>
      <c r="K1471" s="5">
        <f t="shared" si="184"/>
        <v>323021.25</v>
      </c>
      <c r="L1471" s="5">
        <f t="shared" si="185"/>
        <v>323686.25</v>
      </c>
      <c r="M1471" s="5">
        <f t="shared" si="186"/>
        <v>-665</v>
      </c>
      <c r="N1471" s="3"/>
    </row>
    <row r="1472" spans="1:14" x14ac:dyDescent="0.25">
      <c r="A1472" s="2">
        <v>1240303</v>
      </c>
      <c r="B1472" s="3">
        <v>95350</v>
      </c>
      <c r="C1472" s="3">
        <v>46580</v>
      </c>
      <c r="D1472" s="3">
        <v>90768.75</v>
      </c>
      <c r="E1472" s="3">
        <v>89062.5</v>
      </c>
      <c r="F1472">
        <f t="shared" si="179"/>
        <v>1240303</v>
      </c>
      <c r="G1472" s="3">
        <f t="shared" si="180"/>
        <v>95350</v>
      </c>
      <c r="H1472" s="3">
        <f t="shared" si="181"/>
        <v>46580</v>
      </c>
      <c r="I1472" s="3">
        <f t="shared" si="182"/>
        <v>90768.75</v>
      </c>
      <c r="J1472" s="3">
        <f t="shared" si="183"/>
        <v>89062.5</v>
      </c>
      <c r="K1472" s="5">
        <f t="shared" si="184"/>
        <v>321761.25</v>
      </c>
      <c r="L1472" s="5">
        <f t="shared" si="185"/>
        <v>323021.25</v>
      </c>
      <c r="M1472" s="5">
        <f t="shared" si="186"/>
        <v>-1260</v>
      </c>
      <c r="N1472" s="3"/>
    </row>
    <row r="1473" spans="1:14" x14ac:dyDescent="0.25">
      <c r="A1473" s="2">
        <v>1240304</v>
      </c>
      <c r="B1473" s="3">
        <v>95306.25</v>
      </c>
      <c r="C1473" s="3">
        <v>46580</v>
      </c>
      <c r="D1473" s="3">
        <v>90675</v>
      </c>
      <c r="E1473" s="3">
        <v>88828.099999999991</v>
      </c>
      <c r="F1473">
        <f t="shared" si="179"/>
        <v>1240304</v>
      </c>
      <c r="G1473" s="3">
        <f t="shared" si="180"/>
        <v>95306.25</v>
      </c>
      <c r="H1473" s="3">
        <f t="shared" si="181"/>
        <v>46580</v>
      </c>
      <c r="I1473" s="3">
        <f t="shared" si="182"/>
        <v>90675</v>
      </c>
      <c r="J1473" s="3">
        <f t="shared" si="183"/>
        <v>88828.099999999991</v>
      </c>
      <c r="K1473" s="5">
        <f t="shared" si="184"/>
        <v>321389.34999999998</v>
      </c>
      <c r="L1473" s="5">
        <f t="shared" si="185"/>
        <v>321761.25</v>
      </c>
      <c r="M1473" s="5">
        <f t="shared" si="186"/>
        <v>-371.90000000002328</v>
      </c>
      <c r="N1473" s="3"/>
    </row>
    <row r="1474" spans="1:14" x14ac:dyDescent="0.25">
      <c r="A1474" s="2">
        <v>1240305</v>
      </c>
      <c r="B1474" s="3">
        <v>94912.5</v>
      </c>
      <c r="C1474" s="3">
        <v>49260</v>
      </c>
      <c r="D1474" s="3">
        <v>90606.25</v>
      </c>
      <c r="E1474" s="3">
        <v>87968.75</v>
      </c>
      <c r="F1474">
        <f t="shared" si="179"/>
        <v>1240305</v>
      </c>
      <c r="G1474" s="3">
        <f t="shared" si="180"/>
        <v>94912.5</v>
      </c>
      <c r="H1474" s="3">
        <f t="shared" si="181"/>
        <v>49260</v>
      </c>
      <c r="I1474" s="3">
        <f t="shared" si="182"/>
        <v>90606.25</v>
      </c>
      <c r="J1474" s="3">
        <f t="shared" si="183"/>
        <v>87968.75</v>
      </c>
      <c r="K1474" s="5">
        <f t="shared" si="184"/>
        <v>322747.5</v>
      </c>
      <c r="L1474" s="5">
        <f t="shared" si="185"/>
        <v>322747.5</v>
      </c>
      <c r="M1474" s="5">
        <f t="shared" si="186"/>
        <v>0</v>
      </c>
      <c r="N1474" s="3"/>
    </row>
    <row r="1475" spans="1:14" x14ac:dyDescent="0.25">
      <c r="A1475" s="2">
        <v>1240306</v>
      </c>
      <c r="B1475" s="3">
        <v>94850</v>
      </c>
      <c r="C1475" s="3">
        <v>50670</v>
      </c>
      <c r="D1475" s="3">
        <v>90756.25</v>
      </c>
      <c r="E1475" s="3">
        <v>87890.599999999991</v>
      </c>
      <c r="F1475">
        <f t="shared" si="179"/>
        <v>1240306</v>
      </c>
      <c r="G1475" s="3">
        <f t="shared" si="180"/>
        <v>94850</v>
      </c>
      <c r="H1475" s="3">
        <f t="shared" si="181"/>
        <v>50670</v>
      </c>
      <c r="I1475" s="3">
        <f t="shared" si="182"/>
        <v>90756.25</v>
      </c>
      <c r="J1475" s="3">
        <f t="shared" si="183"/>
        <v>87890.599999999991</v>
      </c>
      <c r="K1475" s="5">
        <f t="shared" si="184"/>
        <v>324166.84999999998</v>
      </c>
      <c r="L1475" s="5">
        <f t="shared" si="185"/>
        <v>324166.84999999998</v>
      </c>
      <c r="M1475" s="5">
        <f t="shared" si="186"/>
        <v>0</v>
      </c>
      <c r="N1475" s="3"/>
    </row>
    <row r="1476" spans="1:14" x14ac:dyDescent="0.25">
      <c r="A1476" s="2">
        <v>1240307</v>
      </c>
      <c r="B1476" s="3">
        <v>93550</v>
      </c>
      <c r="C1476" s="3">
        <v>53260</v>
      </c>
      <c r="D1476" s="3">
        <v>91437.5</v>
      </c>
      <c r="E1476" s="3">
        <v>88906.25</v>
      </c>
      <c r="F1476">
        <f t="shared" si="179"/>
        <v>1240307</v>
      </c>
      <c r="G1476" s="3">
        <f t="shared" si="180"/>
        <v>93550</v>
      </c>
      <c r="H1476" s="3">
        <f t="shared" si="181"/>
        <v>53260</v>
      </c>
      <c r="I1476" s="3">
        <f t="shared" si="182"/>
        <v>91437.5</v>
      </c>
      <c r="J1476" s="3">
        <f t="shared" si="183"/>
        <v>88906.25</v>
      </c>
      <c r="K1476" s="5">
        <f t="shared" si="184"/>
        <v>327153.75</v>
      </c>
      <c r="L1476" s="5">
        <f t="shared" si="185"/>
        <v>327153.75</v>
      </c>
      <c r="M1476" s="5">
        <f t="shared" si="186"/>
        <v>0</v>
      </c>
      <c r="N1476" s="3"/>
    </row>
    <row r="1477" spans="1:14" x14ac:dyDescent="0.25">
      <c r="A1477" s="2">
        <v>1240308</v>
      </c>
      <c r="B1477" s="3">
        <v>95112.5</v>
      </c>
      <c r="C1477" s="3">
        <v>52850</v>
      </c>
      <c r="D1477" s="3">
        <v>91187.5</v>
      </c>
      <c r="E1477" s="3">
        <v>90625</v>
      </c>
      <c r="F1477">
        <f t="shared" si="179"/>
        <v>1240308</v>
      </c>
      <c r="G1477" s="3">
        <f t="shared" si="180"/>
        <v>95112.5</v>
      </c>
      <c r="H1477" s="3">
        <f t="shared" si="181"/>
        <v>52850</v>
      </c>
      <c r="I1477" s="3">
        <f t="shared" si="182"/>
        <v>91187.5</v>
      </c>
      <c r="J1477" s="3">
        <f t="shared" si="183"/>
        <v>90625</v>
      </c>
      <c r="K1477" s="5">
        <f t="shared" si="184"/>
        <v>329775</v>
      </c>
      <c r="L1477" s="5">
        <f t="shared" si="185"/>
        <v>329775</v>
      </c>
      <c r="M1477" s="5">
        <f t="shared" si="186"/>
        <v>0</v>
      </c>
      <c r="N1477" s="3"/>
    </row>
    <row r="1478" spans="1:14" x14ac:dyDescent="0.25">
      <c r="A1478" s="2">
        <v>1240310</v>
      </c>
      <c r="B1478" s="3">
        <v>95112.5</v>
      </c>
      <c r="C1478" s="3">
        <v>54170</v>
      </c>
      <c r="D1478" s="3">
        <v>90543.75</v>
      </c>
      <c r="E1478" s="3">
        <v>88515.599999999991</v>
      </c>
      <c r="F1478">
        <f t="shared" si="179"/>
        <v>1240310</v>
      </c>
      <c r="G1478" s="3">
        <f t="shared" si="180"/>
        <v>95112.5</v>
      </c>
      <c r="H1478" s="3">
        <f t="shared" si="181"/>
        <v>54170</v>
      </c>
      <c r="I1478" s="3">
        <f t="shared" si="182"/>
        <v>90543.75</v>
      </c>
      <c r="J1478" s="3">
        <f t="shared" si="183"/>
        <v>88515.599999999991</v>
      </c>
      <c r="K1478" s="5">
        <f t="shared" si="184"/>
        <v>328341.84999999998</v>
      </c>
      <c r="L1478" s="5">
        <f t="shared" si="185"/>
        <v>329775</v>
      </c>
      <c r="M1478" s="5">
        <f t="shared" si="186"/>
        <v>-1433.1500000000233</v>
      </c>
      <c r="N1478" s="3"/>
    </row>
    <row r="1479" spans="1:14" x14ac:dyDescent="0.25">
      <c r="A1479" s="2">
        <v>1240311</v>
      </c>
      <c r="B1479" s="3">
        <v>95118.75</v>
      </c>
      <c r="C1479" s="3">
        <v>54170</v>
      </c>
      <c r="D1479" s="3">
        <v>90618.75</v>
      </c>
      <c r="E1479" s="3">
        <v>88906.25</v>
      </c>
      <c r="F1479">
        <f t="shared" si="179"/>
        <v>1240311</v>
      </c>
      <c r="G1479" s="3">
        <f t="shared" si="180"/>
        <v>95118.75</v>
      </c>
      <c r="H1479" s="3">
        <f t="shared" si="181"/>
        <v>54170</v>
      </c>
      <c r="I1479" s="3">
        <f t="shared" si="182"/>
        <v>90618.75</v>
      </c>
      <c r="J1479" s="3">
        <f t="shared" si="183"/>
        <v>88906.25</v>
      </c>
      <c r="K1479" s="5">
        <f t="shared" si="184"/>
        <v>328813.75</v>
      </c>
      <c r="L1479" s="5">
        <f t="shared" si="185"/>
        <v>328813.75</v>
      </c>
      <c r="M1479" s="5">
        <f t="shared" si="186"/>
        <v>0</v>
      </c>
      <c r="N1479" s="3"/>
    </row>
    <row r="1480" spans="1:14" x14ac:dyDescent="0.25">
      <c r="A1480" s="2">
        <v>1240312</v>
      </c>
      <c r="B1480" s="3">
        <v>95375</v>
      </c>
      <c r="C1480" s="3">
        <v>53510</v>
      </c>
      <c r="D1480" s="3">
        <v>90775</v>
      </c>
      <c r="E1480" s="3">
        <v>89140.599999999991</v>
      </c>
      <c r="F1480">
        <f t="shared" si="179"/>
        <v>1240312</v>
      </c>
      <c r="G1480" s="3">
        <f t="shared" si="180"/>
        <v>95375</v>
      </c>
      <c r="H1480" s="3">
        <f t="shared" si="181"/>
        <v>53510</v>
      </c>
      <c r="I1480" s="3">
        <f t="shared" si="182"/>
        <v>90775</v>
      </c>
      <c r="J1480" s="3">
        <f t="shared" si="183"/>
        <v>89140.599999999991</v>
      </c>
      <c r="K1480" s="5">
        <f t="shared" si="184"/>
        <v>328800.59999999998</v>
      </c>
      <c r="L1480" s="5">
        <f t="shared" si="185"/>
        <v>328813.75</v>
      </c>
      <c r="M1480" s="5">
        <f t="shared" si="186"/>
        <v>-13.150000000023283</v>
      </c>
      <c r="N1480" s="3"/>
    </row>
    <row r="1481" spans="1:14" x14ac:dyDescent="0.25">
      <c r="A1481" s="2">
        <v>1240313</v>
      </c>
      <c r="B1481" s="3">
        <v>96337.5</v>
      </c>
      <c r="C1481" s="3">
        <v>55080</v>
      </c>
      <c r="D1481" s="3">
        <v>90218.75</v>
      </c>
      <c r="E1481" s="3">
        <v>89765.599999999991</v>
      </c>
      <c r="F1481">
        <f t="shared" si="179"/>
        <v>1240313</v>
      </c>
      <c r="G1481" s="3">
        <f t="shared" si="180"/>
        <v>96337.5</v>
      </c>
      <c r="H1481" s="3">
        <f t="shared" si="181"/>
        <v>55080</v>
      </c>
      <c r="I1481" s="3">
        <f t="shared" si="182"/>
        <v>90218.75</v>
      </c>
      <c r="J1481" s="3">
        <f t="shared" si="183"/>
        <v>89765.599999999991</v>
      </c>
      <c r="K1481" s="5">
        <f t="shared" si="184"/>
        <v>331401.84999999998</v>
      </c>
      <c r="L1481" s="5">
        <f t="shared" si="185"/>
        <v>331401.84999999998</v>
      </c>
      <c r="M1481" s="5">
        <f t="shared" si="186"/>
        <v>0</v>
      </c>
      <c r="N1481" s="3"/>
    </row>
    <row r="1482" spans="1:14" x14ac:dyDescent="0.25">
      <c r="A1482" s="2">
        <v>1240314</v>
      </c>
      <c r="B1482" s="3">
        <v>96156.25</v>
      </c>
      <c r="C1482" s="3">
        <v>55760</v>
      </c>
      <c r="D1482" s="3">
        <v>89912.5</v>
      </c>
      <c r="E1482" s="3">
        <v>91718.75</v>
      </c>
      <c r="F1482">
        <f t="shared" si="179"/>
        <v>1240314</v>
      </c>
      <c r="G1482" s="3">
        <f t="shared" si="180"/>
        <v>96156.25</v>
      </c>
      <c r="H1482" s="3">
        <f t="shared" si="181"/>
        <v>55760</v>
      </c>
      <c r="I1482" s="3">
        <f t="shared" si="182"/>
        <v>89912.5</v>
      </c>
      <c r="J1482" s="3">
        <f t="shared" si="183"/>
        <v>91718.75</v>
      </c>
      <c r="K1482" s="5">
        <f t="shared" si="184"/>
        <v>333547.5</v>
      </c>
      <c r="L1482" s="5">
        <f t="shared" si="185"/>
        <v>333547.5</v>
      </c>
      <c r="M1482" s="5">
        <f t="shared" si="186"/>
        <v>0</v>
      </c>
      <c r="N1482" s="3"/>
    </row>
    <row r="1483" spans="1:14" x14ac:dyDescent="0.25">
      <c r="A1483" s="2">
        <v>1240315</v>
      </c>
      <c r="B1483" s="3">
        <v>96512.5</v>
      </c>
      <c r="C1483" s="3">
        <v>55590</v>
      </c>
      <c r="D1483" s="3">
        <v>89581.25</v>
      </c>
      <c r="E1483" s="3">
        <v>92734.400000000009</v>
      </c>
      <c r="F1483">
        <f t="shared" si="179"/>
        <v>1240315</v>
      </c>
      <c r="G1483" s="3">
        <f t="shared" si="180"/>
        <v>96512.5</v>
      </c>
      <c r="H1483" s="3">
        <f t="shared" si="181"/>
        <v>55590</v>
      </c>
      <c r="I1483" s="3">
        <f t="shared" si="182"/>
        <v>89581.25</v>
      </c>
      <c r="J1483" s="3">
        <f t="shared" si="183"/>
        <v>92734.400000000009</v>
      </c>
      <c r="K1483" s="5">
        <f t="shared" si="184"/>
        <v>334418.15000000002</v>
      </c>
      <c r="L1483" s="5">
        <f t="shared" si="185"/>
        <v>334418.15000000002</v>
      </c>
      <c r="M1483" s="5">
        <f t="shared" si="186"/>
        <v>0</v>
      </c>
      <c r="N1483" s="3"/>
    </row>
    <row r="1484" spans="1:14" x14ac:dyDescent="0.25">
      <c r="A1484" s="2">
        <v>1240317</v>
      </c>
      <c r="B1484" s="3">
        <v>97118.75</v>
      </c>
      <c r="C1484" s="3">
        <v>54890</v>
      </c>
      <c r="D1484" s="3">
        <v>89993.75</v>
      </c>
      <c r="E1484" s="3">
        <v>92578.099999999991</v>
      </c>
      <c r="F1484">
        <f t="shared" si="179"/>
        <v>1240317</v>
      </c>
      <c r="G1484" s="3">
        <f t="shared" si="180"/>
        <v>97118.75</v>
      </c>
      <c r="H1484" s="3">
        <f t="shared" si="181"/>
        <v>54890</v>
      </c>
      <c r="I1484" s="3">
        <f t="shared" si="182"/>
        <v>89993.75</v>
      </c>
      <c r="J1484" s="3">
        <f t="shared" si="183"/>
        <v>92578.099999999991</v>
      </c>
      <c r="K1484" s="5">
        <f t="shared" si="184"/>
        <v>334580.59999999998</v>
      </c>
      <c r="L1484" s="5">
        <f t="shared" si="185"/>
        <v>334580.59999999998</v>
      </c>
      <c r="M1484" s="5">
        <f t="shared" si="186"/>
        <v>0</v>
      </c>
      <c r="N1484" s="3"/>
    </row>
    <row r="1485" spans="1:14" x14ac:dyDescent="0.25">
      <c r="A1485" s="2">
        <v>1240318</v>
      </c>
      <c r="B1485" s="3">
        <v>96862.5</v>
      </c>
      <c r="C1485" s="3">
        <v>55710</v>
      </c>
      <c r="D1485" s="3">
        <v>90068.75</v>
      </c>
      <c r="E1485" s="3">
        <v>92421.900000000009</v>
      </c>
      <c r="F1485">
        <f t="shared" si="179"/>
        <v>1240318</v>
      </c>
      <c r="G1485" s="3">
        <f t="shared" si="180"/>
        <v>96862.5</v>
      </c>
      <c r="H1485" s="3">
        <f t="shared" si="181"/>
        <v>55710</v>
      </c>
      <c r="I1485" s="3">
        <f t="shared" si="182"/>
        <v>90068.75</v>
      </c>
      <c r="J1485" s="3">
        <f t="shared" si="183"/>
        <v>92421.900000000009</v>
      </c>
      <c r="K1485" s="5">
        <f t="shared" si="184"/>
        <v>335063.15000000002</v>
      </c>
      <c r="L1485" s="5">
        <f t="shared" si="185"/>
        <v>335063.15000000002</v>
      </c>
      <c r="M1485" s="5">
        <f t="shared" si="186"/>
        <v>0</v>
      </c>
      <c r="N1485" s="3"/>
    </row>
    <row r="1486" spans="1:14" x14ac:dyDescent="0.25">
      <c r="A1486" s="2">
        <v>1240319</v>
      </c>
      <c r="B1486" s="3">
        <v>95318.75</v>
      </c>
      <c r="C1486" s="3">
        <v>55850</v>
      </c>
      <c r="D1486" s="3">
        <v>89968.75</v>
      </c>
      <c r="E1486" s="3">
        <v>92890.599999999991</v>
      </c>
      <c r="F1486">
        <f t="shared" si="179"/>
        <v>1240319</v>
      </c>
      <c r="G1486" s="3">
        <f t="shared" si="180"/>
        <v>95318.75</v>
      </c>
      <c r="H1486" s="3">
        <f t="shared" si="181"/>
        <v>55850</v>
      </c>
      <c r="I1486" s="3">
        <f t="shared" si="182"/>
        <v>89968.75</v>
      </c>
      <c r="J1486" s="3">
        <f t="shared" si="183"/>
        <v>92890.599999999991</v>
      </c>
      <c r="K1486" s="5">
        <f t="shared" si="184"/>
        <v>334028.09999999998</v>
      </c>
      <c r="L1486" s="5">
        <f t="shared" si="185"/>
        <v>335063.15000000002</v>
      </c>
      <c r="M1486" s="5">
        <f t="shared" si="186"/>
        <v>-1035.0500000000466</v>
      </c>
      <c r="N1486" s="3"/>
    </row>
    <row r="1487" spans="1:14" x14ac:dyDescent="0.25">
      <c r="A1487" s="2">
        <v>1240320</v>
      </c>
      <c r="B1487" s="3">
        <v>95850</v>
      </c>
      <c r="C1487" s="3">
        <v>54460</v>
      </c>
      <c r="D1487" s="3">
        <v>90825</v>
      </c>
      <c r="E1487" s="3">
        <v>91250</v>
      </c>
      <c r="F1487">
        <f t="shared" si="179"/>
        <v>1240320</v>
      </c>
      <c r="G1487" s="3">
        <f t="shared" si="180"/>
        <v>95850</v>
      </c>
      <c r="H1487" s="3">
        <f t="shared" si="181"/>
        <v>54460</v>
      </c>
      <c r="I1487" s="3">
        <f t="shared" si="182"/>
        <v>90825</v>
      </c>
      <c r="J1487" s="3">
        <f t="shared" si="183"/>
        <v>91250</v>
      </c>
      <c r="K1487" s="5">
        <f t="shared" si="184"/>
        <v>332385</v>
      </c>
      <c r="L1487" s="5">
        <f t="shared" si="185"/>
        <v>334028.09999999998</v>
      </c>
      <c r="M1487" s="5">
        <f t="shared" si="186"/>
        <v>-1643.0999999999767</v>
      </c>
      <c r="N1487" s="3"/>
    </row>
    <row r="1488" spans="1:14" x14ac:dyDescent="0.25">
      <c r="A1488" s="2">
        <v>1240321</v>
      </c>
      <c r="B1488" s="3">
        <v>97056.25</v>
      </c>
      <c r="C1488" s="3">
        <v>50270</v>
      </c>
      <c r="D1488" s="3">
        <v>91025</v>
      </c>
      <c r="E1488" s="3">
        <v>92578.099999999991</v>
      </c>
      <c r="F1488">
        <f t="shared" si="179"/>
        <v>1240321</v>
      </c>
      <c r="G1488" s="3">
        <f t="shared" si="180"/>
        <v>97056.25</v>
      </c>
      <c r="H1488" s="3">
        <f t="shared" si="181"/>
        <v>50270</v>
      </c>
      <c r="I1488" s="3">
        <f t="shared" si="182"/>
        <v>91025</v>
      </c>
      <c r="J1488" s="3">
        <f t="shared" si="183"/>
        <v>92578.099999999991</v>
      </c>
      <c r="K1488" s="5">
        <f t="shared" si="184"/>
        <v>330929.34999999998</v>
      </c>
      <c r="L1488" s="5">
        <f t="shared" si="185"/>
        <v>332385</v>
      </c>
      <c r="M1488" s="5">
        <f t="shared" si="186"/>
        <v>-1455.6500000000233</v>
      </c>
      <c r="N1488" s="3"/>
    </row>
    <row r="1489" spans="1:14" x14ac:dyDescent="0.25">
      <c r="A1489" s="2">
        <v>1240322</v>
      </c>
      <c r="B1489" s="3">
        <v>96912.5</v>
      </c>
      <c r="C1489" s="3">
        <v>45800</v>
      </c>
      <c r="D1489" s="3">
        <v>90718.75</v>
      </c>
      <c r="E1489" s="3">
        <v>91328.099999999991</v>
      </c>
      <c r="F1489">
        <f t="shared" si="179"/>
        <v>1240322</v>
      </c>
      <c r="G1489" s="3">
        <f t="shared" si="180"/>
        <v>96912.5</v>
      </c>
      <c r="H1489" s="3">
        <f t="shared" si="181"/>
        <v>45800</v>
      </c>
      <c r="I1489" s="3">
        <f t="shared" si="182"/>
        <v>90718.75</v>
      </c>
      <c r="J1489" s="3">
        <f t="shared" si="183"/>
        <v>91328.099999999991</v>
      </c>
      <c r="K1489" s="5">
        <f t="shared" si="184"/>
        <v>324759.34999999998</v>
      </c>
      <c r="L1489" s="5">
        <f t="shared" si="185"/>
        <v>330929.34999999998</v>
      </c>
      <c r="M1489" s="5">
        <f t="shared" si="186"/>
        <v>-6170</v>
      </c>
      <c r="N1489" s="3"/>
    </row>
    <row r="1490" spans="1:14" x14ac:dyDescent="0.25">
      <c r="A1490" s="2">
        <v>1240324</v>
      </c>
      <c r="B1490" s="3">
        <v>96981.25</v>
      </c>
      <c r="C1490" s="3">
        <v>45030</v>
      </c>
      <c r="D1490" s="3">
        <v>90543.75</v>
      </c>
      <c r="E1490" s="3">
        <v>92343.75</v>
      </c>
      <c r="F1490">
        <f t="shared" si="179"/>
        <v>1240324</v>
      </c>
      <c r="G1490" s="3">
        <f t="shared" si="180"/>
        <v>96981.25</v>
      </c>
      <c r="H1490" s="3">
        <f t="shared" si="181"/>
        <v>45030</v>
      </c>
      <c r="I1490" s="3">
        <f t="shared" si="182"/>
        <v>90543.75</v>
      </c>
      <c r="J1490" s="3">
        <f t="shared" si="183"/>
        <v>92343.75</v>
      </c>
      <c r="K1490" s="5">
        <f t="shared" si="184"/>
        <v>324898.75</v>
      </c>
      <c r="L1490" s="5">
        <f t="shared" si="185"/>
        <v>324898.75</v>
      </c>
      <c r="M1490" s="5">
        <f t="shared" si="186"/>
        <v>0</v>
      </c>
      <c r="N1490" s="3"/>
    </row>
    <row r="1491" spans="1:14" x14ac:dyDescent="0.25">
      <c r="A1491" s="2">
        <v>1240325</v>
      </c>
      <c r="B1491" s="3">
        <v>97000</v>
      </c>
      <c r="C1491" s="3">
        <v>45030</v>
      </c>
      <c r="D1491" s="3">
        <v>90500</v>
      </c>
      <c r="E1491" s="3">
        <v>91875</v>
      </c>
      <c r="F1491">
        <f t="shared" si="179"/>
        <v>1240325</v>
      </c>
      <c r="G1491" s="3">
        <f t="shared" si="180"/>
        <v>97000</v>
      </c>
      <c r="H1491" s="3">
        <f t="shared" si="181"/>
        <v>45030</v>
      </c>
      <c r="I1491" s="3">
        <f t="shared" si="182"/>
        <v>90500</v>
      </c>
      <c r="J1491" s="3">
        <f t="shared" si="183"/>
        <v>91875</v>
      </c>
      <c r="K1491" s="5">
        <f t="shared" si="184"/>
        <v>324405</v>
      </c>
      <c r="L1491" s="5">
        <f t="shared" si="185"/>
        <v>324898.75</v>
      </c>
      <c r="M1491" s="5">
        <f t="shared" si="186"/>
        <v>-493.75</v>
      </c>
      <c r="N1491" s="3"/>
    </row>
    <row r="1492" spans="1:14" x14ac:dyDescent="0.25">
      <c r="A1492" s="2">
        <v>1240326</v>
      </c>
      <c r="B1492" s="3">
        <v>97106.25</v>
      </c>
      <c r="C1492" s="3">
        <v>45030</v>
      </c>
      <c r="D1492" s="3">
        <v>90418.75</v>
      </c>
      <c r="E1492" s="3">
        <v>91250</v>
      </c>
      <c r="F1492">
        <f t="shared" si="179"/>
        <v>1240326</v>
      </c>
      <c r="G1492" s="3">
        <f t="shared" si="180"/>
        <v>97106.25</v>
      </c>
      <c r="H1492" s="3">
        <f t="shared" si="181"/>
        <v>45030</v>
      </c>
      <c r="I1492" s="3">
        <f t="shared" si="182"/>
        <v>90418.75</v>
      </c>
      <c r="J1492" s="3">
        <f t="shared" si="183"/>
        <v>91250</v>
      </c>
      <c r="K1492" s="5">
        <f t="shared" si="184"/>
        <v>323805</v>
      </c>
      <c r="L1492" s="5">
        <f t="shared" si="185"/>
        <v>324405</v>
      </c>
      <c r="M1492" s="5">
        <f t="shared" si="186"/>
        <v>-600</v>
      </c>
      <c r="N1492" s="3"/>
    </row>
    <row r="1493" spans="1:14" x14ac:dyDescent="0.25">
      <c r="A1493" s="2">
        <v>1240327</v>
      </c>
      <c r="B1493" s="3">
        <v>97106.25</v>
      </c>
      <c r="C1493" s="3">
        <v>45210</v>
      </c>
      <c r="D1493" s="3">
        <v>90612.5</v>
      </c>
      <c r="E1493" s="3">
        <v>91093.75</v>
      </c>
      <c r="F1493">
        <f t="shared" si="179"/>
        <v>1240327</v>
      </c>
      <c r="G1493" s="3">
        <f t="shared" si="180"/>
        <v>97106.25</v>
      </c>
      <c r="H1493" s="3">
        <f t="shared" si="181"/>
        <v>45210</v>
      </c>
      <c r="I1493" s="3">
        <f t="shared" si="182"/>
        <v>90612.5</v>
      </c>
      <c r="J1493" s="3">
        <f t="shared" si="183"/>
        <v>91093.75</v>
      </c>
      <c r="K1493" s="5">
        <f t="shared" si="184"/>
        <v>324022.5</v>
      </c>
      <c r="L1493" s="5">
        <f t="shared" si="185"/>
        <v>324022.5</v>
      </c>
      <c r="M1493" s="5">
        <f t="shared" si="186"/>
        <v>0</v>
      </c>
      <c r="N1493" s="3"/>
    </row>
    <row r="1494" spans="1:14" x14ac:dyDescent="0.25">
      <c r="A1494" s="2">
        <v>1240328</v>
      </c>
      <c r="B1494" s="3">
        <v>96350</v>
      </c>
      <c r="C1494" s="3">
        <v>46940</v>
      </c>
      <c r="D1494" s="3">
        <v>90043.75</v>
      </c>
      <c r="E1494" s="3">
        <v>91015.599999999991</v>
      </c>
      <c r="F1494">
        <f t="shared" si="179"/>
        <v>1240328</v>
      </c>
      <c r="G1494" s="3">
        <f t="shared" si="180"/>
        <v>96350</v>
      </c>
      <c r="H1494" s="3">
        <f t="shared" si="181"/>
        <v>46940</v>
      </c>
      <c r="I1494" s="3">
        <f t="shared" si="182"/>
        <v>90043.75</v>
      </c>
      <c r="J1494" s="3">
        <f t="shared" si="183"/>
        <v>91015.599999999991</v>
      </c>
      <c r="K1494" s="5">
        <f t="shared" si="184"/>
        <v>324349.34999999998</v>
      </c>
      <c r="L1494" s="5">
        <f t="shared" si="185"/>
        <v>324349.34999999998</v>
      </c>
      <c r="M1494" s="5">
        <f t="shared" si="186"/>
        <v>0</v>
      </c>
      <c r="N1494" s="3"/>
    </row>
    <row r="1495" spans="1:14" x14ac:dyDescent="0.25">
      <c r="A1495" s="2">
        <v>1240331</v>
      </c>
      <c r="B1495" s="3">
        <v>96431.25</v>
      </c>
      <c r="C1495" s="3">
        <v>51130</v>
      </c>
      <c r="D1495" s="3">
        <v>90018.75</v>
      </c>
      <c r="E1495" s="3">
        <v>88984.400000000009</v>
      </c>
      <c r="F1495">
        <f t="shared" si="179"/>
        <v>1240331</v>
      </c>
      <c r="G1495" s="3">
        <f t="shared" si="180"/>
        <v>96431.25</v>
      </c>
      <c r="H1495" s="3">
        <f t="shared" si="181"/>
        <v>51130</v>
      </c>
      <c r="I1495" s="3">
        <f t="shared" si="182"/>
        <v>90018.75</v>
      </c>
      <c r="J1495" s="3">
        <f t="shared" si="183"/>
        <v>88984.400000000009</v>
      </c>
      <c r="K1495" s="5">
        <f t="shared" si="184"/>
        <v>326564.40000000002</v>
      </c>
      <c r="L1495" s="5">
        <f t="shared" si="185"/>
        <v>326564.40000000002</v>
      </c>
      <c r="M1495" s="5">
        <f t="shared" si="186"/>
        <v>0</v>
      </c>
      <c r="N1495" s="3"/>
    </row>
    <row r="1496" spans="1:14" x14ac:dyDescent="0.25">
      <c r="A1496" s="2">
        <v>1240401</v>
      </c>
      <c r="B1496" s="3">
        <v>96512.5</v>
      </c>
      <c r="C1496" s="3">
        <v>53910</v>
      </c>
      <c r="D1496" s="3">
        <v>90012.5</v>
      </c>
      <c r="E1496" s="3">
        <v>89062.5</v>
      </c>
      <c r="F1496">
        <f t="shared" si="179"/>
        <v>1240401</v>
      </c>
      <c r="G1496" s="3">
        <f t="shared" si="180"/>
        <v>96512.5</v>
      </c>
      <c r="H1496" s="3">
        <f t="shared" si="181"/>
        <v>53910</v>
      </c>
      <c r="I1496" s="3">
        <f t="shared" si="182"/>
        <v>90012.5</v>
      </c>
      <c r="J1496" s="3">
        <f t="shared" si="183"/>
        <v>89062.5</v>
      </c>
      <c r="K1496" s="5">
        <f t="shared" si="184"/>
        <v>329497.5</v>
      </c>
      <c r="L1496" s="5">
        <f t="shared" si="185"/>
        <v>329497.5</v>
      </c>
      <c r="M1496" s="5">
        <f t="shared" si="186"/>
        <v>0</v>
      </c>
      <c r="N1496" s="3"/>
    </row>
    <row r="1497" spans="1:14" x14ac:dyDescent="0.25">
      <c r="A1497" s="2">
        <v>1240402</v>
      </c>
      <c r="B1497" s="3">
        <v>96456.25</v>
      </c>
      <c r="C1497" s="3">
        <v>53280</v>
      </c>
      <c r="D1497" s="3">
        <v>90193.75</v>
      </c>
      <c r="E1497" s="3">
        <v>91953.099999999991</v>
      </c>
      <c r="F1497">
        <f t="shared" ref="F1497:F1560" si="187">+A1497</f>
        <v>1240402</v>
      </c>
      <c r="G1497" s="3">
        <f t="shared" si="180"/>
        <v>96456.25</v>
      </c>
      <c r="H1497" s="3">
        <f t="shared" si="181"/>
        <v>53280</v>
      </c>
      <c r="I1497" s="3">
        <f t="shared" si="182"/>
        <v>90193.75</v>
      </c>
      <c r="J1497" s="3">
        <f t="shared" si="183"/>
        <v>91953.099999999991</v>
      </c>
      <c r="K1497" s="5">
        <f t="shared" si="184"/>
        <v>331883.09999999998</v>
      </c>
      <c r="L1497" s="5">
        <f t="shared" si="185"/>
        <v>331883.09999999998</v>
      </c>
      <c r="M1497" s="5">
        <f t="shared" si="186"/>
        <v>0</v>
      </c>
      <c r="N1497" s="3"/>
    </row>
    <row r="1498" spans="1:14" x14ac:dyDescent="0.25">
      <c r="A1498" s="2">
        <v>1240403</v>
      </c>
      <c r="B1498" s="3">
        <v>97625</v>
      </c>
      <c r="C1498" s="3">
        <v>54980</v>
      </c>
      <c r="D1498" s="3">
        <v>89818.75</v>
      </c>
      <c r="E1498" s="3">
        <v>93437.5</v>
      </c>
      <c r="F1498">
        <f t="shared" si="187"/>
        <v>1240403</v>
      </c>
      <c r="G1498" s="3">
        <f t="shared" ref="G1498:G1561" si="188">+IF(B1498&lt;&gt;0,B1498,B1497)</f>
        <v>97625</v>
      </c>
      <c r="H1498" s="3">
        <f t="shared" ref="H1498:H1561" si="189">+IF(C1498&lt;&gt;0,C1498,C1497)</f>
        <v>54980</v>
      </c>
      <c r="I1498" s="3">
        <f t="shared" ref="I1498:I1561" si="190">+IF(D1498&lt;&gt;0,D1498,D1497)</f>
        <v>89818.75</v>
      </c>
      <c r="J1498" s="3">
        <f t="shared" ref="J1498:J1561" si="191">+IF(E1498&lt;&gt;0,E1498,E1497)</f>
        <v>93437.5</v>
      </c>
      <c r="K1498" s="5">
        <f t="shared" ref="K1498:K1561" si="192">+SUM(G1498:J1498)</f>
        <v>335861.25</v>
      </c>
      <c r="L1498" s="5">
        <f t="shared" si="185"/>
        <v>335861.25</v>
      </c>
      <c r="M1498" s="5">
        <f t="shared" si="186"/>
        <v>0</v>
      </c>
      <c r="N1498" s="3"/>
    </row>
    <row r="1499" spans="1:14" x14ac:dyDescent="0.25">
      <c r="A1499" s="2">
        <v>1240404</v>
      </c>
      <c r="B1499" s="3">
        <v>98106.25</v>
      </c>
      <c r="C1499" s="3">
        <v>50660</v>
      </c>
      <c r="D1499" s="3">
        <v>89425</v>
      </c>
      <c r="E1499" s="3">
        <v>93515.599999999991</v>
      </c>
      <c r="F1499">
        <f t="shared" si="187"/>
        <v>1240404</v>
      </c>
      <c r="G1499" s="3">
        <f t="shared" si="188"/>
        <v>98106.25</v>
      </c>
      <c r="H1499" s="3">
        <f t="shared" si="189"/>
        <v>50660</v>
      </c>
      <c r="I1499" s="3">
        <f t="shared" si="190"/>
        <v>89425</v>
      </c>
      <c r="J1499" s="3">
        <f t="shared" si="191"/>
        <v>93515.599999999991</v>
      </c>
      <c r="K1499" s="5">
        <f t="shared" si="192"/>
        <v>331706.84999999998</v>
      </c>
      <c r="L1499" s="5">
        <f t="shared" ref="L1499:L1562" si="193">+IF(K1499&gt;K1498,K1499,K1498)</f>
        <v>335861.25</v>
      </c>
      <c r="M1499" s="5">
        <f t="shared" ref="M1499:M1562" si="194">+K1499-L1499</f>
        <v>-4154.4000000000233</v>
      </c>
      <c r="N1499" s="3"/>
    </row>
    <row r="1500" spans="1:14" x14ac:dyDescent="0.25">
      <c r="A1500" s="2">
        <v>1240405</v>
      </c>
      <c r="B1500" s="3">
        <v>99600</v>
      </c>
      <c r="C1500" s="3">
        <v>52810</v>
      </c>
      <c r="D1500" s="3">
        <v>89581.25</v>
      </c>
      <c r="E1500" s="3">
        <v>93671.900000000009</v>
      </c>
      <c r="F1500">
        <f t="shared" si="187"/>
        <v>1240405</v>
      </c>
      <c r="G1500" s="3">
        <f t="shared" si="188"/>
        <v>99600</v>
      </c>
      <c r="H1500" s="3">
        <f t="shared" si="189"/>
        <v>52810</v>
      </c>
      <c r="I1500" s="3">
        <f t="shared" si="190"/>
        <v>89581.25</v>
      </c>
      <c r="J1500" s="3">
        <f t="shared" si="191"/>
        <v>93671.900000000009</v>
      </c>
      <c r="K1500" s="5">
        <f t="shared" si="192"/>
        <v>335663.15</v>
      </c>
      <c r="L1500" s="5">
        <f t="shared" si="193"/>
        <v>335663.15</v>
      </c>
      <c r="M1500" s="5">
        <f t="shared" si="194"/>
        <v>0</v>
      </c>
      <c r="N1500" s="3"/>
    </row>
    <row r="1501" spans="1:14" x14ac:dyDescent="0.25">
      <c r="A1501" s="2">
        <v>1240407</v>
      </c>
      <c r="B1501" s="3">
        <v>99568.75</v>
      </c>
      <c r="C1501" s="3">
        <v>53020</v>
      </c>
      <c r="D1501" s="3">
        <v>89593.75</v>
      </c>
      <c r="E1501" s="3">
        <v>94921.900000000009</v>
      </c>
      <c r="F1501">
        <f t="shared" si="187"/>
        <v>1240407</v>
      </c>
      <c r="G1501" s="3">
        <f t="shared" si="188"/>
        <v>99568.75</v>
      </c>
      <c r="H1501" s="3">
        <f t="shared" si="189"/>
        <v>53020</v>
      </c>
      <c r="I1501" s="3">
        <f t="shared" si="190"/>
        <v>89593.75</v>
      </c>
      <c r="J1501" s="3">
        <f t="shared" si="191"/>
        <v>94921.900000000009</v>
      </c>
      <c r="K1501" s="5">
        <f t="shared" si="192"/>
        <v>337104.4</v>
      </c>
      <c r="L1501" s="5">
        <f t="shared" si="193"/>
        <v>337104.4</v>
      </c>
      <c r="M1501" s="5">
        <f t="shared" si="194"/>
        <v>0</v>
      </c>
      <c r="N1501" s="3"/>
    </row>
    <row r="1502" spans="1:14" x14ac:dyDescent="0.25">
      <c r="A1502" s="2">
        <v>1240408</v>
      </c>
      <c r="B1502" s="3">
        <v>99331.25</v>
      </c>
      <c r="C1502" s="3">
        <v>56810</v>
      </c>
      <c r="D1502" s="3">
        <v>89650</v>
      </c>
      <c r="E1502" s="3">
        <v>95468.75</v>
      </c>
      <c r="F1502">
        <f t="shared" si="187"/>
        <v>1240408</v>
      </c>
      <c r="G1502" s="3">
        <f t="shared" si="188"/>
        <v>99331.25</v>
      </c>
      <c r="H1502" s="3">
        <f t="shared" si="189"/>
        <v>56810</v>
      </c>
      <c r="I1502" s="3">
        <f t="shared" si="190"/>
        <v>89650</v>
      </c>
      <c r="J1502" s="3">
        <f t="shared" si="191"/>
        <v>95468.75</v>
      </c>
      <c r="K1502" s="5">
        <f t="shared" si="192"/>
        <v>341260</v>
      </c>
      <c r="L1502" s="5">
        <f t="shared" si="193"/>
        <v>341260</v>
      </c>
      <c r="M1502" s="5">
        <f t="shared" si="194"/>
        <v>0</v>
      </c>
      <c r="N1502" s="3"/>
    </row>
    <row r="1503" spans="1:14" x14ac:dyDescent="0.25">
      <c r="A1503" s="2">
        <v>1240409</v>
      </c>
      <c r="B1503" s="3">
        <v>99500</v>
      </c>
      <c r="C1503" s="3">
        <v>56010</v>
      </c>
      <c r="D1503" s="3">
        <v>89543.75</v>
      </c>
      <c r="E1503" s="3">
        <v>95234.400000000009</v>
      </c>
      <c r="F1503">
        <f t="shared" si="187"/>
        <v>1240409</v>
      </c>
      <c r="G1503" s="3">
        <f t="shared" si="188"/>
        <v>99500</v>
      </c>
      <c r="H1503" s="3">
        <f t="shared" si="189"/>
        <v>56010</v>
      </c>
      <c r="I1503" s="3">
        <f t="shared" si="190"/>
        <v>89543.75</v>
      </c>
      <c r="J1503" s="3">
        <f t="shared" si="191"/>
        <v>95234.400000000009</v>
      </c>
      <c r="K1503" s="5">
        <f t="shared" si="192"/>
        <v>340288.15</v>
      </c>
      <c r="L1503" s="5">
        <f t="shared" si="193"/>
        <v>341260</v>
      </c>
      <c r="M1503" s="5">
        <f t="shared" si="194"/>
        <v>-971.84999999997672</v>
      </c>
      <c r="N1503" s="3"/>
    </row>
    <row r="1504" spans="1:14" x14ac:dyDescent="0.25">
      <c r="A1504" s="2">
        <v>1240410</v>
      </c>
      <c r="B1504" s="3">
        <v>99031.25</v>
      </c>
      <c r="C1504" s="3">
        <v>55360</v>
      </c>
      <c r="D1504" s="3">
        <v>89406.25</v>
      </c>
      <c r="E1504" s="3">
        <v>95078.099999999991</v>
      </c>
      <c r="F1504">
        <f t="shared" si="187"/>
        <v>1240410</v>
      </c>
      <c r="G1504" s="3">
        <f t="shared" si="188"/>
        <v>99031.25</v>
      </c>
      <c r="H1504" s="3">
        <f t="shared" si="189"/>
        <v>55360</v>
      </c>
      <c r="I1504" s="3">
        <f t="shared" si="190"/>
        <v>89406.25</v>
      </c>
      <c r="J1504" s="3">
        <f t="shared" si="191"/>
        <v>95078.099999999991</v>
      </c>
      <c r="K1504" s="5">
        <f t="shared" si="192"/>
        <v>338875.6</v>
      </c>
      <c r="L1504" s="5">
        <f t="shared" si="193"/>
        <v>340288.15</v>
      </c>
      <c r="M1504" s="5">
        <f t="shared" si="194"/>
        <v>-1412.5500000000466</v>
      </c>
      <c r="N1504" s="3"/>
    </row>
    <row r="1505" spans="1:14" x14ac:dyDescent="0.25">
      <c r="A1505" s="2">
        <v>1240411</v>
      </c>
      <c r="B1505" s="3">
        <v>100712.5</v>
      </c>
      <c r="C1505" s="3">
        <v>55680</v>
      </c>
      <c r="D1505" s="3">
        <v>89931.25</v>
      </c>
      <c r="E1505" s="3">
        <v>90078.099999999991</v>
      </c>
      <c r="F1505">
        <f t="shared" si="187"/>
        <v>1240411</v>
      </c>
      <c r="G1505" s="3">
        <f t="shared" si="188"/>
        <v>100712.5</v>
      </c>
      <c r="H1505" s="3">
        <f t="shared" si="189"/>
        <v>55680</v>
      </c>
      <c r="I1505" s="3">
        <f t="shared" si="190"/>
        <v>89931.25</v>
      </c>
      <c r="J1505" s="3">
        <f t="shared" si="191"/>
        <v>90078.099999999991</v>
      </c>
      <c r="K1505" s="5">
        <f t="shared" si="192"/>
        <v>336401.85</v>
      </c>
      <c r="L1505" s="5">
        <f t="shared" si="193"/>
        <v>338875.6</v>
      </c>
      <c r="M1505" s="5">
        <f t="shared" si="194"/>
        <v>-2473.75</v>
      </c>
      <c r="N1505" s="3"/>
    </row>
    <row r="1506" spans="1:14" x14ac:dyDescent="0.25">
      <c r="A1506" s="2">
        <v>1240412</v>
      </c>
      <c r="B1506" s="3">
        <v>101256.25</v>
      </c>
      <c r="C1506" s="3">
        <v>51120</v>
      </c>
      <c r="D1506" s="3">
        <v>89631.25</v>
      </c>
      <c r="E1506" s="3">
        <v>88593.75</v>
      </c>
      <c r="F1506">
        <f t="shared" si="187"/>
        <v>1240412</v>
      </c>
      <c r="G1506" s="3">
        <f t="shared" si="188"/>
        <v>101256.25</v>
      </c>
      <c r="H1506" s="3">
        <f t="shared" si="189"/>
        <v>51120</v>
      </c>
      <c r="I1506" s="3">
        <f t="shared" si="190"/>
        <v>89631.25</v>
      </c>
      <c r="J1506" s="3">
        <f t="shared" si="191"/>
        <v>88593.75</v>
      </c>
      <c r="K1506" s="5">
        <f t="shared" si="192"/>
        <v>330601.25</v>
      </c>
      <c r="L1506" s="5">
        <f t="shared" si="193"/>
        <v>336401.85</v>
      </c>
      <c r="M1506" s="5">
        <f t="shared" si="194"/>
        <v>-5800.5999999999767</v>
      </c>
      <c r="N1506" s="3"/>
    </row>
    <row r="1507" spans="1:14" x14ac:dyDescent="0.25">
      <c r="A1507" s="2">
        <v>1240414</v>
      </c>
      <c r="B1507" s="3">
        <v>100306.25</v>
      </c>
      <c r="C1507" s="3">
        <v>44980</v>
      </c>
      <c r="D1507" s="3">
        <v>89600</v>
      </c>
      <c r="E1507" s="3">
        <v>87031.25</v>
      </c>
      <c r="F1507">
        <f t="shared" si="187"/>
        <v>1240414</v>
      </c>
      <c r="G1507" s="3">
        <f t="shared" si="188"/>
        <v>100306.25</v>
      </c>
      <c r="H1507" s="3">
        <f t="shared" si="189"/>
        <v>44980</v>
      </c>
      <c r="I1507" s="3">
        <f t="shared" si="190"/>
        <v>89600</v>
      </c>
      <c r="J1507" s="3">
        <f t="shared" si="191"/>
        <v>87031.25</v>
      </c>
      <c r="K1507" s="5">
        <f t="shared" si="192"/>
        <v>321917.5</v>
      </c>
      <c r="L1507" s="5">
        <f t="shared" si="193"/>
        <v>330601.25</v>
      </c>
      <c r="M1507" s="5">
        <f t="shared" si="194"/>
        <v>-8683.75</v>
      </c>
      <c r="N1507" s="3"/>
    </row>
    <row r="1508" spans="1:14" x14ac:dyDescent="0.25">
      <c r="A1508" s="2">
        <v>1240415</v>
      </c>
      <c r="B1508" s="3">
        <v>100206.25</v>
      </c>
      <c r="C1508" s="3">
        <v>45140</v>
      </c>
      <c r="D1508" s="3">
        <v>89768.75</v>
      </c>
      <c r="E1508" s="3">
        <v>86562.5</v>
      </c>
      <c r="F1508">
        <f t="shared" si="187"/>
        <v>1240415</v>
      </c>
      <c r="G1508" s="3">
        <f t="shared" si="188"/>
        <v>100206.25</v>
      </c>
      <c r="H1508" s="3">
        <f t="shared" si="189"/>
        <v>45140</v>
      </c>
      <c r="I1508" s="3">
        <f t="shared" si="190"/>
        <v>89768.75</v>
      </c>
      <c r="J1508" s="3">
        <f t="shared" si="191"/>
        <v>86562.5</v>
      </c>
      <c r="K1508" s="5">
        <f t="shared" si="192"/>
        <v>321677.5</v>
      </c>
      <c r="L1508" s="5">
        <f t="shared" si="193"/>
        <v>321917.5</v>
      </c>
      <c r="M1508" s="5">
        <f t="shared" si="194"/>
        <v>-240</v>
      </c>
      <c r="N1508" s="3"/>
    </row>
    <row r="1509" spans="1:14" x14ac:dyDescent="0.25">
      <c r="A1509" s="2">
        <v>1240416</v>
      </c>
      <c r="B1509" s="3">
        <v>102356.25</v>
      </c>
      <c r="C1509" s="3">
        <v>40470</v>
      </c>
      <c r="D1509" s="3">
        <v>90043.75</v>
      </c>
      <c r="E1509" s="3">
        <v>86796.900000000009</v>
      </c>
      <c r="F1509">
        <f t="shared" si="187"/>
        <v>1240416</v>
      </c>
      <c r="G1509" s="3">
        <f t="shared" si="188"/>
        <v>102356.25</v>
      </c>
      <c r="H1509" s="3">
        <f t="shared" si="189"/>
        <v>40470</v>
      </c>
      <c r="I1509" s="3">
        <f t="shared" si="190"/>
        <v>90043.75</v>
      </c>
      <c r="J1509" s="3">
        <f t="shared" si="191"/>
        <v>86796.900000000009</v>
      </c>
      <c r="K1509" s="5">
        <f t="shared" si="192"/>
        <v>319666.90000000002</v>
      </c>
      <c r="L1509" s="5">
        <f t="shared" si="193"/>
        <v>321677.5</v>
      </c>
      <c r="M1509" s="5">
        <f t="shared" si="194"/>
        <v>-2010.5999999999767</v>
      </c>
      <c r="N1509" s="3"/>
    </row>
    <row r="1510" spans="1:14" x14ac:dyDescent="0.25">
      <c r="A1510" s="2">
        <v>1240417</v>
      </c>
      <c r="B1510" s="3">
        <v>101893.75</v>
      </c>
      <c r="C1510" s="3">
        <v>42070</v>
      </c>
      <c r="D1510" s="3">
        <v>89993.75</v>
      </c>
      <c r="E1510" s="3">
        <v>88593.75</v>
      </c>
      <c r="F1510">
        <f t="shared" si="187"/>
        <v>1240417</v>
      </c>
      <c r="G1510" s="3">
        <f t="shared" si="188"/>
        <v>101893.75</v>
      </c>
      <c r="H1510" s="3">
        <f t="shared" si="189"/>
        <v>42070</v>
      </c>
      <c r="I1510" s="3">
        <f t="shared" si="190"/>
        <v>89993.75</v>
      </c>
      <c r="J1510" s="3">
        <f t="shared" si="191"/>
        <v>88593.75</v>
      </c>
      <c r="K1510" s="5">
        <f t="shared" si="192"/>
        <v>322551.25</v>
      </c>
      <c r="L1510" s="5">
        <f t="shared" si="193"/>
        <v>322551.25</v>
      </c>
      <c r="M1510" s="5">
        <f t="shared" si="194"/>
        <v>0</v>
      </c>
      <c r="N1510" s="3"/>
    </row>
    <row r="1511" spans="1:14" x14ac:dyDescent="0.25">
      <c r="A1511" s="2">
        <v>1240418</v>
      </c>
      <c r="B1511" s="3">
        <v>101156.25</v>
      </c>
      <c r="C1511" s="3">
        <v>40790</v>
      </c>
      <c r="D1511" s="3">
        <v>89950</v>
      </c>
      <c r="E1511" s="3">
        <v>89453.099999999991</v>
      </c>
      <c r="F1511">
        <f t="shared" si="187"/>
        <v>1240418</v>
      </c>
      <c r="G1511" s="3">
        <f t="shared" si="188"/>
        <v>101156.25</v>
      </c>
      <c r="H1511" s="3">
        <f t="shared" si="189"/>
        <v>40790</v>
      </c>
      <c r="I1511" s="3">
        <f t="shared" si="190"/>
        <v>89950</v>
      </c>
      <c r="J1511" s="3">
        <f t="shared" si="191"/>
        <v>89453.099999999991</v>
      </c>
      <c r="K1511" s="5">
        <f t="shared" si="192"/>
        <v>321349.34999999998</v>
      </c>
      <c r="L1511" s="5">
        <f t="shared" si="193"/>
        <v>322551.25</v>
      </c>
      <c r="M1511" s="5">
        <f t="shared" si="194"/>
        <v>-1201.9000000000233</v>
      </c>
      <c r="N1511" s="3"/>
    </row>
    <row r="1512" spans="1:14" x14ac:dyDescent="0.25">
      <c r="A1512" s="2">
        <v>1240419</v>
      </c>
      <c r="B1512" s="3">
        <v>101275</v>
      </c>
      <c r="C1512" s="3">
        <v>42300</v>
      </c>
      <c r="D1512" s="3">
        <v>89468.75</v>
      </c>
      <c r="E1512" s="3">
        <v>87031.25</v>
      </c>
      <c r="F1512">
        <f t="shared" si="187"/>
        <v>1240419</v>
      </c>
      <c r="G1512" s="3">
        <f t="shared" si="188"/>
        <v>101275</v>
      </c>
      <c r="H1512" s="3">
        <f t="shared" si="189"/>
        <v>42300</v>
      </c>
      <c r="I1512" s="3">
        <f t="shared" si="190"/>
        <v>89468.75</v>
      </c>
      <c r="J1512" s="3">
        <f t="shared" si="191"/>
        <v>87031.25</v>
      </c>
      <c r="K1512" s="5">
        <f t="shared" si="192"/>
        <v>320075</v>
      </c>
      <c r="L1512" s="5">
        <f t="shared" si="193"/>
        <v>321349.34999999998</v>
      </c>
      <c r="M1512" s="5">
        <f t="shared" si="194"/>
        <v>-1274.3499999999767</v>
      </c>
      <c r="N1512" s="3"/>
    </row>
    <row r="1513" spans="1:14" x14ac:dyDescent="0.25">
      <c r="A1513" s="2">
        <v>1240421</v>
      </c>
      <c r="B1513" s="3">
        <v>101331.25</v>
      </c>
      <c r="C1513" s="3">
        <v>40470</v>
      </c>
      <c r="D1513" s="3">
        <v>89650</v>
      </c>
      <c r="E1513" s="3">
        <v>90156.25</v>
      </c>
      <c r="F1513">
        <f t="shared" si="187"/>
        <v>1240421</v>
      </c>
      <c r="G1513" s="3">
        <f t="shared" si="188"/>
        <v>101331.25</v>
      </c>
      <c r="H1513" s="3">
        <f t="shared" si="189"/>
        <v>40470</v>
      </c>
      <c r="I1513" s="3">
        <f t="shared" si="190"/>
        <v>89650</v>
      </c>
      <c r="J1513" s="3">
        <f t="shared" si="191"/>
        <v>90156.25</v>
      </c>
      <c r="K1513" s="5">
        <f t="shared" si="192"/>
        <v>321607.5</v>
      </c>
      <c r="L1513" s="5">
        <f t="shared" si="193"/>
        <v>321607.5</v>
      </c>
      <c r="M1513" s="5">
        <f t="shared" si="194"/>
        <v>0</v>
      </c>
      <c r="N1513" s="3"/>
    </row>
    <row r="1514" spans="1:14" x14ac:dyDescent="0.25">
      <c r="A1514" s="2">
        <v>1240422</v>
      </c>
      <c r="B1514" s="3">
        <v>101331.25</v>
      </c>
      <c r="C1514" s="3">
        <v>41990</v>
      </c>
      <c r="D1514" s="3">
        <v>89693.75</v>
      </c>
      <c r="E1514" s="3">
        <v>90781.25</v>
      </c>
      <c r="F1514">
        <f t="shared" si="187"/>
        <v>1240422</v>
      </c>
      <c r="G1514" s="3">
        <f t="shared" si="188"/>
        <v>101331.25</v>
      </c>
      <c r="H1514" s="3">
        <f t="shared" si="189"/>
        <v>41990</v>
      </c>
      <c r="I1514" s="3">
        <f t="shared" si="190"/>
        <v>89693.75</v>
      </c>
      <c r="J1514" s="3">
        <f t="shared" si="191"/>
        <v>90781.25</v>
      </c>
      <c r="K1514" s="5">
        <f t="shared" si="192"/>
        <v>323796.25</v>
      </c>
      <c r="L1514" s="5">
        <f t="shared" si="193"/>
        <v>323796.25</v>
      </c>
      <c r="M1514" s="5">
        <f t="shared" si="194"/>
        <v>0</v>
      </c>
      <c r="N1514" s="3"/>
    </row>
    <row r="1515" spans="1:14" x14ac:dyDescent="0.25">
      <c r="A1515" s="2">
        <v>1240423</v>
      </c>
      <c r="B1515" s="3">
        <v>101031.25</v>
      </c>
      <c r="C1515" s="3">
        <v>47710</v>
      </c>
      <c r="D1515" s="3">
        <v>89718.75</v>
      </c>
      <c r="E1515" s="3">
        <v>90156.25</v>
      </c>
      <c r="F1515">
        <f t="shared" si="187"/>
        <v>1240423</v>
      </c>
      <c r="G1515" s="3">
        <f t="shared" si="188"/>
        <v>101031.25</v>
      </c>
      <c r="H1515" s="3">
        <f t="shared" si="189"/>
        <v>47710</v>
      </c>
      <c r="I1515" s="3">
        <f t="shared" si="190"/>
        <v>89718.75</v>
      </c>
      <c r="J1515" s="3">
        <f t="shared" si="191"/>
        <v>90156.25</v>
      </c>
      <c r="K1515" s="5">
        <f t="shared" si="192"/>
        <v>328616.25</v>
      </c>
      <c r="L1515" s="5">
        <f t="shared" si="193"/>
        <v>328616.25</v>
      </c>
      <c r="M1515" s="5">
        <f t="shared" si="194"/>
        <v>0</v>
      </c>
      <c r="N1515" s="3"/>
    </row>
    <row r="1516" spans="1:14" x14ac:dyDescent="0.25">
      <c r="A1516" s="2">
        <v>1240424</v>
      </c>
      <c r="B1516" s="3">
        <v>102987.5</v>
      </c>
      <c r="C1516" s="3">
        <v>46760</v>
      </c>
      <c r="D1516" s="3">
        <v>89662.5</v>
      </c>
      <c r="E1516" s="3">
        <v>88359.400000000009</v>
      </c>
      <c r="F1516">
        <f t="shared" si="187"/>
        <v>1240424</v>
      </c>
      <c r="G1516" s="3">
        <f t="shared" si="188"/>
        <v>102987.5</v>
      </c>
      <c r="H1516" s="3">
        <f t="shared" si="189"/>
        <v>46760</v>
      </c>
      <c r="I1516" s="3">
        <f t="shared" si="190"/>
        <v>89662.5</v>
      </c>
      <c r="J1516" s="3">
        <f t="shared" si="191"/>
        <v>88359.400000000009</v>
      </c>
      <c r="K1516" s="5">
        <f t="shared" si="192"/>
        <v>327769.40000000002</v>
      </c>
      <c r="L1516" s="5">
        <f t="shared" si="193"/>
        <v>328616.25</v>
      </c>
      <c r="M1516" s="5">
        <f t="shared" si="194"/>
        <v>-846.84999999997672</v>
      </c>
      <c r="N1516" s="3"/>
    </row>
    <row r="1517" spans="1:14" x14ac:dyDescent="0.25">
      <c r="A1517" s="2">
        <v>1240425</v>
      </c>
      <c r="B1517" s="3">
        <v>103343.75</v>
      </c>
      <c r="C1517" s="3">
        <v>47180</v>
      </c>
      <c r="D1517" s="3">
        <v>89875</v>
      </c>
      <c r="E1517" s="3">
        <v>87734.400000000009</v>
      </c>
      <c r="F1517">
        <f t="shared" si="187"/>
        <v>1240425</v>
      </c>
      <c r="G1517" s="3">
        <f t="shared" si="188"/>
        <v>103343.75</v>
      </c>
      <c r="H1517" s="3">
        <f t="shared" si="189"/>
        <v>47180</v>
      </c>
      <c r="I1517" s="3">
        <f t="shared" si="190"/>
        <v>89875</v>
      </c>
      <c r="J1517" s="3">
        <f t="shared" si="191"/>
        <v>87734.400000000009</v>
      </c>
      <c r="K1517" s="5">
        <f t="shared" si="192"/>
        <v>328133.15000000002</v>
      </c>
      <c r="L1517" s="5">
        <f t="shared" si="193"/>
        <v>328133.15000000002</v>
      </c>
      <c r="M1517" s="5">
        <f t="shared" si="194"/>
        <v>0</v>
      </c>
      <c r="N1517" s="3"/>
    </row>
    <row r="1518" spans="1:14" x14ac:dyDescent="0.25">
      <c r="A1518" s="2">
        <v>1240426</v>
      </c>
      <c r="B1518" s="3">
        <v>104981.25</v>
      </c>
      <c r="C1518" s="3">
        <v>46600</v>
      </c>
      <c r="D1518" s="3">
        <v>89831.25</v>
      </c>
      <c r="E1518" s="3">
        <v>88359.400000000009</v>
      </c>
      <c r="F1518">
        <f t="shared" si="187"/>
        <v>1240426</v>
      </c>
      <c r="G1518" s="3">
        <f t="shared" si="188"/>
        <v>104981.25</v>
      </c>
      <c r="H1518" s="3">
        <f t="shared" si="189"/>
        <v>46600</v>
      </c>
      <c r="I1518" s="3">
        <f t="shared" si="190"/>
        <v>89831.25</v>
      </c>
      <c r="J1518" s="3">
        <f t="shared" si="191"/>
        <v>88359.400000000009</v>
      </c>
      <c r="K1518" s="5">
        <f t="shared" si="192"/>
        <v>329771.90000000002</v>
      </c>
      <c r="L1518" s="5">
        <f t="shared" si="193"/>
        <v>329771.90000000002</v>
      </c>
      <c r="M1518" s="5">
        <f t="shared" si="194"/>
        <v>0</v>
      </c>
      <c r="N1518" s="3"/>
    </row>
    <row r="1519" spans="1:14" x14ac:dyDescent="0.25">
      <c r="A1519" s="2">
        <v>1240428</v>
      </c>
      <c r="B1519" s="3">
        <v>105418.75</v>
      </c>
      <c r="C1519" s="3">
        <v>46540</v>
      </c>
      <c r="D1519" s="3">
        <v>90862.5</v>
      </c>
      <c r="E1519" s="3">
        <v>88125</v>
      </c>
      <c r="F1519">
        <f t="shared" si="187"/>
        <v>1240428</v>
      </c>
      <c r="G1519" s="3">
        <f t="shared" si="188"/>
        <v>105418.75</v>
      </c>
      <c r="H1519" s="3">
        <f t="shared" si="189"/>
        <v>46540</v>
      </c>
      <c r="I1519" s="3">
        <f t="shared" si="190"/>
        <v>90862.5</v>
      </c>
      <c r="J1519" s="3">
        <f t="shared" si="191"/>
        <v>88125</v>
      </c>
      <c r="K1519" s="5">
        <f t="shared" si="192"/>
        <v>330946.25</v>
      </c>
      <c r="L1519" s="5">
        <f t="shared" si="193"/>
        <v>330946.25</v>
      </c>
      <c r="M1519" s="5">
        <f t="shared" si="194"/>
        <v>0</v>
      </c>
      <c r="N1519" s="3"/>
    </row>
    <row r="1520" spans="1:14" x14ac:dyDescent="0.25">
      <c r="A1520" s="2">
        <v>1240429</v>
      </c>
      <c r="B1520" s="3">
        <v>105418.75</v>
      </c>
      <c r="C1520" s="3">
        <v>45880</v>
      </c>
      <c r="D1520" s="3">
        <v>89875</v>
      </c>
      <c r="E1520" s="3">
        <v>88125</v>
      </c>
      <c r="F1520">
        <f t="shared" si="187"/>
        <v>1240429</v>
      </c>
      <c r="G1520" s="3">
        <f t="shared" si="188"/>
        <v>105418.75</v>
      </c>
      <c r="H1520" s="3">
        <f t="shared" si="189"/>
        <v>45880</v>
      </c>
      <c r="I1520" s="3">
        <f t="shared" si="190"/>
        <v>89875</v>
      </c>
      <c r="J1520" s="3">
        <f t="shared" si="191"/>
        <v>88125</v>
      </c>
      <c r="K1520" s="5">
        <f t="shared" si="192"/>
        <v>329298.75</v>
      </c>
      <c r="L1520" s="5">
        <f t="shared" si="193"/>
        <v>330946.25</v>
      </c>
      <c r="M1520" s="5">
        <f t="shared" si="194"/>
        <v>-1647.5</v>
      </c>
      <c r="N1520" s="3"/>
    </row>
    <row r="1521" spans="1:14" x14ac:dyDescent="0.25">
      <c r="A1521" s="2">
        <v>1240430</v>
      </c>
      <c r="B1521" s="3">
        <v>105243.75</v>
      </c>
      <c r="C1521" s="3">
        <v>46770</v>
      </c>
      <c r="D1521" s="3">
        <v>90125</v>
      </c>
      <c r="E1521" s="3">
        <v>89531.25</v>
      </c>
      <c r="F1521">
        <f t="shared" si="187"/>
        <v>1240430</v>
      </c>
      <c r="G1521" s="3">
        <f t="shared" si="188"/>
        <v>105243.75</v>
      </c>
      <c r="H1521" s="3">
        <f t="shared" si="189"/>
        <v>46770</v>
      </c>
      <c r="I1521" s="3">
        <f t="shared" si="190"/>
        <v>90125</v>
      </c>
      <c r="J1521" s="3">
        <f t="shared" si="191"/>
        <v>89531.25</v>
      </c>
      <c r="K1521" s="5">
        <f t="shared" si="192"/>
        <v>331670</v>
      </c>
      <c r="L1521" s="5">
        <f t="shared" si="193"/>
        <v>331670</v>
      </c>
      <c r="M1521" s="5">
        <f t="shared" si="194"/>
        <v>0</v>
      </c>
      <c r="N1521" s="3"/>
    </row>
    <row r="1522" spans="1:14" x14ac:dyDescent="0.25">
      <c r="A1522" s="2">
        <v>1240501</v>
      </c>
      <c r="B1522" s="3">
        <v>107156.25</v>
      </c>
      <c r="C1522" s="3">
        <v>49910</v>
      </c>
      <c r="D1522" s="3">
        <v>90743.75</v>
      </c>
      <c r="E1522" s="3">
        <v>90156.25</v>
      </c>
      <c r="F1522">
        <f t="shared" si="187"/>
        <v>1240501</v>
      </c>
      <c r="G1522" s="3">
        <f t="shared" si="188"/>
        <v>107156.25</v>
      </c>
      <c r="H1522" s="3">
        <f t="shared" si="189"/>
        <v>49910</v>
      </c>
      <c r="I1522" s="3">
        <f t="shared" si="190"/>
        <v>90743.75</v>
      </c>
      <c r="J1522" s="3">
        <f t="shared" si="191"/>
        <v>90156.25</v>
      </c>
      <c r="K1522" s="5">
        <f t="shared" si="192"/>
        <v>337966.25</v>
      </c>
      <c r="L1522" s="5">
        <f t="shared" si="193"/>
        <v>337966.25</v>
      </c>
      <c r="M1522" s="5">
        <f t="shared" si="194"/>
        <v>0</v>
      </c>
      <c r="N1522" s="3"/>
    </row>
    <row r="1523" spans="1:14" x14ac:dyDescent="0.25">
      <c r="A1523" s="2">
        <v>1240502</v>
      </c>
      <c r="B1523" s="3">
        <v>107325</v>
      </c>
      <c r="C1523" s="3">
        <v>52130</v>
      </c>
      <c r="D1523" s="3">
        <v>91775</v>
      </c>
      <c r="E1523" s="3">
        <v>91484.400000000009</v>
      </c>
      <c r="F1523">
        <f t="shared" si="187"/>
        <v>1240502</v>
      </c>
      <c r="G1523" s="3">
        <f t="shared" si="188"/>
        <v>107325</v>
      </c>
      <c r="H1523" s="3">
        <f t="shared" si="189"/>
        <v>52130</v>
      </c>
      <c r="I1523" s="3">
        <f t="shared" si="190"/>
        <v>91775</v>
      </c>
      <c r="J1523" s="3">
        <f t="shared" si="191"/>
        <v>91484.400000000009</v>
      </c>
      <c r="K1523" s="5">
        <f t="shared" si="192"/>
        <v>342714.4</v>
      </c>
      <c r="L1523" s="5">
        <f t="shared" si="193"/>
        <v>342714.4</v>
      </c>
      <c r="M1523" s="5">
        <f t="shared" si="194"/>
        <v>0</v>
      </c>
      <c r="N1523" s="3"/>
    </row>
    <row r="1524" spans="1:14" x14ac:dyDescent="0.25">
      <c r="A1524" s="2">
        <v>1240503</v>
      </c>
      <c r="B1524" s="3">
        <v>106506.25</v>
      </c>
      <c r="C1524" s="3">
        <v>51640</v>
      </c>
      <c r="D1524" s="3">
        <v>93318.75</v>
      </c>
      <c r="E1524" s="3">
        <v>89843.75</v>
      </c>
      <c r="F1524">
        <f t="shared" si="187"/>
        <v>1240503</v>
      </c>
      <c r="G1524" s="3">
        <f t="shared" si="188"/>
        <v>106506.25</v>
      </c>
      <c r="H1524" s="3">
        <f t="shared" si="189"/>
        <v>51640</v>
      </c>
      <c r="I1524" s="3">
        <f t="shared" si="190"/>
        <v>93318.75</v>
      </c>
      <c r="J1524" s="3">
        <f t="shared" si="191"/>
        <v>89843.75</v>
      </c>
      <c r="K1524" s="5">
        <f t="shared" si="192"/>
        <v>341308.75</v>
      </c>
      <c r="L1524" s="5">
        <f t="shared" si="193"/>
        <v>342714.4</v>
      </c>
      <c r="M1524" s="5">
        <f t="shared" si="194"/>
        <v>-1405.6500000000233</v>
      </c>
      <c r="N1524" s="3"/>
    </row>
    <row r="1525" spans="1:14" x14ac:dyDescent="0.25">
      <c r="A1525" s="2">
        <v>1240505</v>
      </c>
      <c r="B1525" s="3">
        <v>107762.5</v>
      </c>
      <c r="C1525" s="3">
        <v>49920</v>
      </c>
      <c r="D1525" s="3">
        <v>93143.75</v>
      </c>
      <c r="E1525" s="3">
        <v>92265.599999999991</v>
      </c>
      <c r="F1525">
        <f t="shared" si="187"/>
        <v>1240505</v>
      </c>
      <c r="G1525" s="3">
        <f t="shared" si="188"/>
        <v>107762.5</v>
      </c>
      <c r="H1525" s="3">
        <f t="shared" si="189"/>
        <v>49920</v>
      </c>
      <c r="I1525" s="3">
        <f t="shared" si="190"/>
        <v>93143.75</v>
      </c>
      <c r="J1525" s="3">
        <f t="shared" si="191"/>
        <v>92265.599999999991</v>
      </c>
      <c r="K1525" s="5">
        <f t="shared" si="192"/>
        <v>343091.85</v>
      </c>
      <c r="L1525" s="5">
        <f t="shared" si="193"/>
        <v>343091.85</v>
      </c>
      <c r="M1525" s="5">
        <f t="shared" si="194"/>
        <v>0</v>
      </c>
      <c r="N1525" s="3"/>
    </row>
    <row r="1526" spans="1:14" x14ac:dyDescent="0.25">
      <c r="A1526" s="2">
        <v>1240506</v>
      </c>
      <c r="B1526" s="3">
        <v>107762.5</v>
      </c>
      <c r="C1526" s="3">
        <v>50680</v>
      </c>
      <c r="D1526" s="3">
        <v>93400</v>
      </c>
      <c r="E1526" s="3">
        <v>92343.75</v>
      </c>
      <c r="F1526">
        <f t="shared" si="187"/>
        <v>1240506</v>
      </c>
      <c r="G1526" s="3">
        <f t="shared" si="188"/>
        <v>107762.5</v>
      </c>
      <c r="H1526" s="3">
        <f t="shared" si="189"/>
        <v>50680</v>
      </c>
      <c r="I1526" s="3">
        <f t="shared" si="190"/>
        <v>93400</v>
      </c>
      <c r="J1526" s="3">
        <f t="shared" si="191"/>
        <v>92343.75</v>
      </c>
      <c r="K1526" s="5">
        <f t="shared" si="192"/>
        <v>344186.25</v>
      </c>
      <c r="L1526" s="5">
        <f t="shared" si="193"/>
        <v>344186.25</v>
      </c>
      <c r="M1526" s="5">
        <f t="shared" si="194"/>
        <v>0</v>
      </c>
      <c r="N1526" s="3"/>
    </row>
    <row r="1527" spans="1:14" x14ac:dyDescent="0.25">
      <c r="A1527" s="2">
        <v>1240507</v>
      </c>
      <c r="B1527" s="3">
        <v>108325</v>
      </c>
      <c r="C1527" s="3">
        <v>52540</v>
      </c>
      <c r="D1527" s="3">
        <v>93475</v>
      </c>
      <c r="E1527" s="3">
        <v>93046.900000000009</v>
      </c>
      <c r="F1527">
        <f t="shared" si="187"/>
        <v>1240507</v>
      </c>
      <c r="G1527" s="3">
        <f t="shared" si="188"/>
        <v>108325</v>
      </c>
      <c r="H1527" s="3">
        <f t="shared" si="189"/>
        <v>52540</v>
      </c>
      <c r="I1527" s="3">
        <f t="shared" si="190"/>
        <v>93475</v>
      </c>
      <c r="J1527" s="3">
        <f t="shared" si="191"/>
        <v>93046.900000000009</v>
      </c>
      <c r="K1527" s="5">
        <f t="shared" si="192"/>
        <v>347386.9</v>
      </c>
      <c r="L1527" s="5">
        <f t="shared" si="193"/>
        <v>347386.9</v>
      </c>
      <c r="M1527" s="5">
        <f t="shared" si="194"/>
        <v>0</v>
      </c>
      <c r="N1527" s="3"/>
    </row>
    <row r="1528" spans="1:14" x14ac:dyDescent="0.25">
      <c r="A1528" s="2">
        <v>1240508</v>
      </c>
      <c r="B1528" s="3">
        <v>108412.5</v>
      </c>
      <c r="C1528" s="3">
        <v>52610</v>
      </c>
      <c r="D1528" s="3">
        <v>93856.25</v>
      </c>
      <c r="E1528" s="3">
        <v>92968.75</v>
      </c>
      <c r="F1528">
        <f t="shared" si="187"/>
        <v>1240508</v>
      </c>
      <c r="G1528" s="3">
        <f t="shared" si="188"/>
        <v>108412.5</v>
      </c>
      <c r="H1528" s="3">
        <f t="shared" si="189"/>
        <v>52610</v>
      </c>
      <c r="I1528" s="3">
        <f t="shared" si="190"/>
        <v>93856.25</v>
      </c>
      <c r="J1528" s="3">
        <f t="shared" si="191"/>
        <v>92968.75</v>
      </c>
      <c r="K1528" s="5">
        <f t="shared" si="192"/>
        <v>347847.5</v>
      </c>
      <c r="L1528" s="5">
        <f t="shared" si="193"/>
        <v>347847.5</v>
      </c>
      <c r="M1528" s="5">
        <f t="shared" si="194"/>
        <v>0</v>
      </c>
      <c r="N1528" s="3"/>
    </row>
    <row r="1529" spans="1:14" x14ac:dyDescent="0.25">
      <c r="A1529" s="2">
        <v>1240509</v>
      </c>
      <c r="B1529" s="3">
        <v>108412.5</v>
      </c>
      <c r="C1529" s="3">
        <v>53210</v>
      </c>
      <c r="D1529" s="3">
        <v>94100</v>
      </c>
      <c r="E1529" s="3">
        <v>93359.400000000009</v>
      </c>
      <c r="F1529">
        <f t="shared" si="187"/>
        <v>1240509</v>
      </c>
      <c r="G1529" s="3">
        <f t="shared" si="188"/>
        <v>108412.5</v>
      </c>
      <c r="H1529" s="3">
        <f t="shared" si="189"/>
        <v>53210</v>
      </c>
      <c r="I1529" s="3">
        <f t="shared" si="190"/>
        <v>94100</v>
      </c>
      <c r="J1529" s="3">
        <f t="shared" si="191"/>
        <v>93359.400000000009</v>
      </c>
      <c r="K1529" s="5">
        <f t="shared" si="192"/>
        <v>349081.9</v>
      </c>
      <c r="L1529" s="5">
        <f t="shared" si="193"/>
        <v>349081.9</v>
      </c>
      <c r="M1529" s="5">
        <f t="shared" si="194"/>
        <v>0</v>
      </c>
      <c r="N1529" s="3"/>
    </row>
    <row r="1530" spans="1:14" x14ac:dyDescent="0.25">
      <c r="A1530" s="2">
        <v>1240510</v>
      </c>
      <c r="B1530" s="3">
        <v>109112.5</v>
      </c>
      <c r="C1530" s="3">
        <v>55270</v>
      </c>
      <c r="D1530" s="3">
        <v>94187.5</v>
      </c>
      <c r="E1530" s="3">
        <v>93828.099999999991</v>
      </c>
      <c r="F1530">
        <f t="shared" si="187"/>
        <v>1240510</v>
      </c>
      <c r="G1530" s="3">
        <f t="shared" si="188"/>
        <v>109112.5</v>
      </c>
      <c r="H1530" s="3">
        <f t="shared" si="189"/>
        <v>55270</v>
      </c>
      <c r="I1530" s="3">
        <f t="shared" si="190"/>
        <v>94187.5</v>
      </c>
      <c r="J1530" s="3">
        <f t="shared" si="191"/>
        <v>93828.099999999991</v>
      </c>
      <c r="K1530" s="5">
        <f t="shared" si="192"/>
        <v>352398.1</v>
      </c>
      <c r="L1530" s="5">
        <f t="shared" si="193"/>
        <v>352398.1</v>
      </c>
      <c r="M1530" s="5">
        <f t="shared" si="194"/>
        <v>0</v>
      </c>
      <c r="N1530" s="3"/>
    </row>
    <row r="1531" spans="1:14" x14ac:dyDescent="0.25">
      <c r="A1531" s="2">
        <v>1240512</v>
      </c>
      <c r="B1531" s="3">
        <v>108962.5</v>
      </c>
      <c r="C1531" s="3">
        <v>56630</v>
      </c>
      <c r="D1531" s="3">
        <v>93987.5</v>
      </c>
      <c r="E1531" s="3">
        <v>94843.75</v>
      </c>
      <c r="F1531">
        <f t="shared" si="187"/>
        <v>1240512</v>
      </c>
      <c r="G1531" s="3">
        <f t="shared" si="188"/>
        <v>108962.5</v>
      </c>
      <c r="H1531" s="3">
        <f t="shared" si="189"/>
        <v>56630</v>
      </c>
      <c r="I1531" s="3">
        <f t="shared" si="190"/>
        <v>93987.5</v>
      </c>
      <c r="J1531" s="3">
        <f t="shared" si="191"/>
        <v>94843.75</v>
      </c>
      <c r="K1531" s="5">
        <f t="shared" si="192"/>
        <v>354423.75</v>
      </c>
      <c r="L1531" s="5">
        <f t="shared" si="193"/>
        <v>354423.75</v>
      </c>
      <c r="M1531" s="5">
        <f t="shared" si="194"/>
        <v>0</v>
      </c>
      <c r="N1531" s="3"/>
    </row>
    <row r="1532" spans="1:14" x14ac:dyDescent="0.25">
      <c r="A1532" s="2">
        <v>1240513</v>
      </c>
      <c r="B1532" s="3">
        <v>108762.5</v>
      </c>
      <c r="C1532" s="3">
        <v>56630</v>
      </c>
      <c r="D1532" s="3">
        <v>93831.25</v>
      </c>
      <c r="E1532" s="3">
        <v>94843.75</v>
      </c>
      <c r="F1532">
        <f t="shared" si="187"/>
        <v>1240513</v>
      </c>
      <c r="G1532" s="3">
        <f t="shared" si="188"/>
        <v>108762.5</v>
      </c>
      <c r="H1532" s="3">
        <f t="shared" si="189"/>
        <v>56630</v>
      </c>
      <c r="I1532" s="3">
        <f t="shared" si="190"/>
        <v>93831.25</v>
      </c>
      <c r="J1532" s="3">
        <f t="shared" si="191"/>
        <v>94843.75</v>
      </c>
      <c r="K1532" s="5">
        <f t="shared" si="192"/>
        <v>354067.5</v>
      </c>
      <c r="L1532" s="5">
        <f t="shared" si="193"/>
        <v>354423.75</v>
      </c>
      <c r="M1532" s="5">
        <f t="shared" si="194"/>
        <v>-356.25</v>
      </c>
      <c r="N1532" s="3"/>
    </row>
    <row r="1533" spans="1:14" x14ac:dyDescent="0.25">
      <c r="A1533" s="2">
        <v>1240514</v>
      </c>
      <c r="B1533" s="3">
        <v>108887.5</v>
      </c>
      <c r="C1533" s="3">
        <v>57000</v>
      </c>
      <c r="D1533" s="3">
        <v>94018.75</v>
      </c>
      <c r="E1533" s="3">
        <v>93906.25</v>
      </c>
      <c r="F1533">
        <f t="shared" si="187"/>
        <v>1240514</v>
      </c>
      <c r="G1533" s="3">
        <f t="shared" si="188"/>
        <v>108887.5</v>
      </c>
      <c r="H1533" s="3">
        <f t="shared" si="189"/>
        <v>57000</v>
      </c>
      <c r="I1533" s="3">
        <f t="shared" si="190"/>
        <v>94018.75</v>
      </c>
      <c r="J1533" s="3">
        <f t="shared" si="191"/>
        <v>93906.25</v>
      </c>
      <c r="K1533" s="5">
        <f t="shared" si="192"/>
        <v>353812.5</v>
      </c>
      <c r="L1533" s="5">
        <f t="shared" si="193"/>
        <v>354067.5</v>
      </c>
      <c r="M1533" s="5">
        <f t="shared" si="194"/>
        <v>-255</v>
      </c>
      <c r="N1533" s="3"/>
    </row>
    <row r="1534" spans="1:14" x14ac:dyDescent="0.25">
      <c r="A1534" s="2">
        <v>1240515</v>
      </c>
      <c r="B1534" s="3">
        <v>109118.75</v>
      </c>
      <c r="C1534" s="3">
        <v>58150</v>
      </c>
      <c r="D1534" s="3">
        <v>93781.25</v>
      </c>
      <c r="E1534" s="3">
        <v>93906.25</v>
      </c>
      <c r="F1534">
        <f t="shared" si="187"/>
        <v>1240515</v>
      </c>
      <c r="G1534" s="3">
        <f t="shared" si="188"/>
        <v>109118.75</v>
      </c>
      <c r="H1534" s="3">
        <f t="shared" si="189"/>
        <v>58150</v>
      </c>
      <c r="I1534" s="3">
        <f t="shared" si="190"/>
        <v>93781.25</v>
      </c>
      <c r="J1534" s="3">
        <f t="shared" si="191"/>
        <v>93906.25</v>
      </c>
      <c r="K1534" s="5">
        <f t="shared" si="192"/>
        <v>354956.25</v>
      </c>
      <c r="L1534" s="5">
        <f t="shared" si="193"/>
        <v>354956.25</v>
      </c>
      <c r="M1534" s="5">
        <f t="shared" si="194"/>
        <v>0</v>
      </c>
      <c r="N1534" s="3"/>
    </row>
    <row r="1535" spans="1:14" x14ac:dyDescent="0.25">
      <c r="A1535" s="2">
        <v>1240516</v>
      </c>
      <c r="B1535" s="3">
        <v>110818.75</v>
      </c>
      <c r="C1535" s="3">
        <v>60860</v>
      </c>
      <c r="D1535" s="3">
        <v>94206.25</v>
      </c>
      <c r="E1535" s="3">
        <v>97890.599999999991</v>
      </c>
      <c r="F1535">
        <f t="shared" si="187"/>
        <v>1240516</v>
      </c>
      <c r="G1535" s="3">
        <f t="shared" si="188"/>
        <v>110818.75</v>
      </c>
      <c r="H1535" s="3">
        <f t="shared" si="189"/>
        <v>60860</v>
      </c>
      <c r="I1535" s="3">
        <f t="shared" si="190"/>
        <v>94206.25</v>
      </c>
      <c r="J1535" s="3">
        <f t="shared" si="191"/>
        <v>97890.599999999991</v>
      </c>
      <c r="K1535" s="5">
        <f t="shared" si="192"/>
        <v>363775.6</v>
      </c>
      <c r="L1535" s="5">
        <f t="shared" si="193"/>
        <v>363775.6</v>
      </c>
      <c r="M1535" s="5">
        <f t="shared" si="194"/>
        <v>0</v>
      </c>
      <c r="N1535" s="3"/>
    </row>
    <row r="1536" spans="1:14" x14ac:dyDescent="0.25">
      <c r="A1536" s="2">
        <v>1240517</v>
      </c>
      <c r="B1536" s="3">
        <v>110137.5</v>
      </c>
      <c r="C1536" s="3">
        <v>61090</v>
      </c>
      <c r="D1536" s="3">
        <v>94268.75</v>
      </c>
      <c r="E1536" s="3">
        <v>98281.25</v>
      </c>
      <c r="F1536">
        <f t="shared" si="187"/>
        <v>1240517</v>
      </c>
      <c r="G1536" s="3">
        <f t="shared" si="188"/>
        <v>110137.5</v>
      </c>
      <c r="H1536" s="3">
        <f t="shared" si="189"/>
        <v>61090</v>
      </c>
      <c r="I1536" s="3">
        <f t="shared" si="190"/>
        <v>94268.75</v>
      </c>
      <c r="J1536" s="3">
        <f t="shared" si="191"/>
        <v>98281.25</v>
      </c>
      <c r="K1536" s="5">
        <f t="shared" si="192"/>
        <v>363777.5</v>
      </c>
      <c r="L1536" s="5">
        <f t="shared" si="193"/>
        <v>363777.5</v>
      </c>
      <c r="M1536" s="5">
        <f t="shared" si="194"/>
        <v>0</v>
      </c>
      <c r="N1536" s="3"/>
    </row>
    <row r="1537" spans="1:14" x14ac:dyDescent="0.25">
      <c r="A1537" s="2">
        <v>1240519</v>
      </c>
      <c r="B1537" s="3">
        <v>110118.75</v>
      </c>
      <c r="C1537" s="3">
        <v>63100</v>
      </c>
      <c r="D1537" s="3">
        <v>94118.75</v>
      </c>
      <c r="E1537" s="3">
        <v>99843.75</v>
      </c>
      <c r="F1537">
        <f t="shared" si="187"/>
        <v>1240519</v>
      </c>
      <c r="G1537" s="3">
        <f t="shared" si="188"/>
        <v>110118.75</v>
      </c>
      <c r="H1537" s="3">
        <f t="shared" si="189"/>
        <v>63100</v>
      </c>
      <c r="I1537" s="3">
        <f t="shared" si="190"/>
        <v>94118.75</v>
      </c>
      <c r="J1537" s="3">
        <f t="shared" si="191"/>
        <v>99843.75</v>
      </c>
      <c r="K1537" s="5">
        <f t="shared" si="192"/>
        <v>367181.25</v>
      </c>
      <c r="L1537" s="5">
        <f t="shared" si="193"/>
        <v>367181.25</v>
      </c>
      <c r="M1537" s="5">
        <f t="shared" si="194"/>
        <v>0</v>
      </c>
      <c r="N1537" s="3"/>
    </row>
    <row r="1538" spans="1:14" x14ac:dyDescent="0.25">
      <c r="A1538" s="2">
        <v>1240520</v>
      </c>
      <c r="B1538" s="3">
        <v>110118.75</v>
      </c>
      <c r="C1538" s="3">
        <v>65040</v>
      </c>
      <c r="D1538" s="3">
        <v>94087.5</v>
      </c>
      <c r="E1538" s="3">
        <v>99921.900000000009</v>
      </c>
      <c r="F1538">
        <f t="shared" si="187"/>
        <v>1240520</v>
      </c>
      <c r="G1538" s="3">
        <f t="shared" si="188"/>
        <v>110118.75</v>
      </c>
      <c r="H1538" s="3">
        <f t="shared" si="189"/>
        <v>65040</v>
      </c>
      <c r="I1538" s="3">
        <f t="shared" si="190"/>
        <v>94087.5</v>
      </c>
      <c r="J1538" s="3">
        <f t="shared" si="191"/>
        <v>99921.900000000009</v>
      </c>
      <c r="K1538" s="5">
        <f t="shared" si="192"/>
        <v>369168.15</v>
      </c>
      <c r="L1538" s="5">
        <f t="shared" si="193"/>
        <v>369168.15</v>
      </c>
      <c r="M1538" s="5">
        <f t="shared" si="194"/>
        <v>0</v>
      </c>
      <c r="N1538" s="3"/>
    </row>
    <row r="1539" spans="1:14" x14ac:dyDescent="0.25">
      <c r="A1539" s="2">
        <v>1240521</v>
      </c>
      <c r="B1539" s="3">
        <v>109500</v>
      </c>
      <c r="C1539" s="3">
        <v>65720</v>
      </c>
      <c r="D1539" s="3">
        <v>94425</v>
      </c>
      <c r="E1539" s="3">
        <v>100781.25</v>
      </c>
      <c r="F1539">
        <f t="shared" si="187"/>
        <v>1240521</v>
      </c>
      <c r="G1539" s="3">
        <f t="shared" si="188"/>
        <v>109500</v>
      </c>
      <c r="H1539" s="3">
        <f t="shared" si="189"/>
        <v>65720</v>
      </c>
      <c r="I1539" s="3">
        <f t="shared" si="190"/>
        <v>94425</v>
      </c>
      <c r="J1539" s="3">
        <f t="shared" si="191"/>
        <v>100781.25</v>
      </c>
      <c r="K1539" s="5">
        <f t="shared" si="192"/>
        <v>370426.25</v>
      </c>
      <c r="L1539" s="5">
        <f t="shared" si="193"/>
        <v>370426.25</v>
      </c>
      <c r="M1539" s="5">
        <f t="shared" si="194"/>
        <v>0</v>
      </c>
      <c r="N1539" s="3"/>
    </row>
    <row r="1540" spans="1:14" x14ac:dyDescent="0.25">
      <c r="A1540" s="2">
        <v>1240522</v>
      </c>
      <c r="B1540" s="3">
        <v>109693.75</v>
      </c>
      <c r="C1540" s="3">
        <v>63910</v>
      </c>
      <c r="D1540" s="3">
        <v>94118.75</v>
      </c>
      <c r="E1540" s="3">
        <v>100000</v>
      </c>
      <c r="F1540">
        <f t="shared" si="187"/>
        <v>1240522</v>
      </c>
      <c r="G1540" s="3">
        <f t="shared" si="188"/>
        <v>109693.75</v>
      </c>
      <c r="H1540" s="3">
        <f t="shared" si="189"/>
        <v>63910</v>
      </c>
      <c r="I1540" s="3">
        <f t="shared" si="190"/>
        <v>94118.75</v>
      </c>
      <c r="J1540" s="3">
        <f t="shared" si="191"/>
        <v>100000</v>
      </c>
      <c r="K1540" s="5">
        <f t="shared" si="192"/>
        <v>367722.5</v>
      </c>
      <c r="L1540" s="5">
        <f t="shared" si="193"/>
        <v>370426.25</v>
      </c>
      <c r="M1540" s="5">
        <f t="shared" si="194"/>
        <v>-2703.75</v>
      </c>
      <c r="N1540" s="3"/>
    </row>
    <row r="1541" spans="1:14" x14ac:dyDescent="0.25">
      <c r="A1541" s="2">
        <v>1240523</v>
      </c>
      <c r="B1541" s="3">
        <v>108762.5</v>
      </c>
      <c r="C1541" s="3">
        <v>67620</v>
      </c>
      <c r="D1541" s="3">
        <v>94212.5</v>
      </c>
      <c r="E1541" s="3">
        <v>98593.75</v>
      </c>
      <c r="F1541">
        <f t="shared" si="187"/>
        <v>1240523</v>
      </c>
      <c r="G1541" s="3">
        <f t="shared" si="188"/>
        <v>108762.5</v>
      </c>
      <c r="H1541" s="3">
        <f t="shared" si="189"/>
        <v>67620</v>
      </c>
      <c r="I1541" s="3">
        <f t="shared" si="190"/>
        <v>94212.5</v>
      </c>
      <c r="J1541" s="3">
        <f t="shared" si="191"/>
        <v>98593.75</v>
      </c>
      <c r="K1541" s="5">
        <f t="shared" si="192"/>
        <v>369188.75</v>
      </c>
      <c r="L1541" s="5">
        <f t="shared" si="193"/>
        <v>369188.75</v>
      </c>
      <c r="M1541" s="5">
        <f t="shared" si="194"/>
        <v>0</v>
      </c>
      <c r="N1541" s="3"/>
    </row>
    <row r="1542" spans="1:14" x14ac:dyDescent="0.25">
      <c r="A1542" s="2">
        <v>1240524</v>
      </c>
      <c r="B1542" s="3">
        <v>110418.75</v>
      </c>
      <c r="C1542" s="3">
        <v>68460</v>
      </c>
      <c r="D1542" s="3">
        <v>93900</v>
      </c>
      <c r="E1542" s="3">
        <v>97500</v>
      </c>
      <c r="F1542">
        <f t="shared" si="187"/>
        <v>1240524</v>
      </c>
      <c r="G1542" s="3">
        <f t="shared" si="188"/>
        <v>110418.75</v>
      </c>
      <c r="H1542" s="3">
        <f t="shared" si="189"/>
        <v>68460</v>
      </c>
      <c r="I1542" s="3">
        <f t="shared" si="190"/>
        <v>93900</v>
      </c>
      <c r="J1542" s="3">
        <f t="shared" si="191"/>
        <v>97500</v>
      </c>
      <c r="K1542" s="5">
        <f t="shared" si="192"/>
        <v>370278.75</v>
      </c>
      <c r="L1542" s="5">
        <f t="shared" si="193"/>
        <v>370278.75</v>
      </c>
      <c r="M1542" s="5">
        <f t="shared" si="194"/>
        <v>0</v>
      </c>
      <c r="N1542" s="3"/>
    </row>
    <row r="1543" spans="1:14" x14ac:dyDescent="0.25">
      <c r="A1543" s="2">
        <v>1240526</v>
      </c>
      <c r="B1543" s="3">
        <v>110456.25</v>
      </c>
      <c r="C1543" s="3">
        <v>68470</v>
      </c>
      <c r="D1543" s="3">
        <v>93856.25</v>
      </c>
      <c r="E1543" s="3">
        <v>97343.75</v>
      </c>
      <c r="F1543">
        <f t="shared" si="187"/>
        <v>1240526</v>
      </c>
      <c r="G1543" s="3">
        <f t="shared" si="188"/>
        <v>110456.25</v>
      </c>
      <c r="H1543" s="3">
        <f t="shared" si="189"/>
        <v>68470</v>
      </c>
      <c r="I1543" s="3">
        <f t="shared" si="190"/>
        <v>93856.25</v>
      </c>
      <c r="J1543" s="3">
        <f t="shared" si="191"/>
        <v>97343.75</v>
      </c>
      <c r="K1543" s="5">
        <f t="shared" si="192"/>
        <v>370126.25</v>
      </c>
      <c r="L1543" s="5">
        <f t="shared" si="193"/>
        <v>370278.75</v>
      </c>
      <c r="M1543" s="5">
        <f t="shared" si="194"/>
        <v>-152.5</v>
      </c>
      <c r="N1543" s="3"/>
    </row>
    <row r="1544" spans="1:14" x14ac:dyDescent="0.25">
      <c r="A1544" s="2">
        <v>1240527</v>
      </c>
      <c r="B1544" s="3">
        <v>110368.75</v>
      </c>
      <c r="C1544" s="3">
        <v>69040</v>
      </c>
      <c r="D1544" s="3">
        <v>93900</v>
      </c>
      <c r="E1544" s="3">
        <v>97265.599999999991</v>
      </c>
      <c r="F1544">
        <f t="shared" si="187"/>
        <v>1240527</v>
      </c>
      <c r="G1544" s="3">
        <f t="shared" si="188"/>
        <v>110368.75</v>
      </c>
      <c r="H1544" s="3">
        <f t="shared" si="189"/>
        <v>69040</v>
      </c>
      <c r="I1544" s="3">
        <f t="shared" si="190"/>
        <v>93900</v>
      </c>
      <c r="J1544" s="3">
        <f t="shared" si="191"/>
        <v>97265.599999999991</v>
      </c>
      <c r="K1544" s="5">
        <f t="shared" si="192"/>
        <v>370574.35</v>
      </c>
      <c r="L1544" s="5">
        <f t="shared" si="193"/>
        <v>370574.35</v>
      </c>
      <c r="M1544" s="5">
        <f t="shared" si="194"/>
        <v>0</v>
      </c>
      <c r="N1544" s="3"/>
    </row>
    <row r="1545" spans="1:14" x14ac:dyDescent="0.25">
      <c r="A1545" s="2">
        <v>1240528</v>
      </c>
      <c r="B1545" s="3">
        <v>110606.25</v>
      </c>
      <c r="C1545" s="3">
        <v>67550</v>
      </c>
      <c r="D1545" s="3">
        <v>93781.25</v>
      </c>
      <c r="E1545" s="3">
        <v>96640.599999999991</v>
      </c>
      <c r="F1545">
        <f t="shared" si="187"/>
        <v>1240528</v>
      </c>
      <c r="G1545" s="3">
        <f t="shared" si="188"/>
        <v>110606.25</v>
      </c>
      <c r="H1545" s="3">
        <f t="shared" si="189"/>
        <v>67550</v>
      </c>
      <c r="I1545" s="3">
        <f t="shared" si="190"/>
        <v>93781.25</v>
      </c>
      <c r="J1545" s="3">
        <f t="shared" si="191"/>
        <v>96640.599999999991</v>
      </c>
      <c r="K1545" s="5">
        <f t="shared" si="192"/>
        <v>368578.1</v>
      </c>
      <c r="L1545" s="5">
        <f t="shared" si="193"/>
        <v>370574.35</v>
      </c>
      <c r="M1545" s="5">
        <f t="shared" si="194"/>
        <v>-1996.25</v>
      </c>
      <c r="N1545" s="3"/>
    </row>
    <row r="1546" spans="1:14" x14ac:dyDescent="0.25">
      <c r="A1546" s="2">
        <v>1240529</v>
      </c>
      <c r="B1546" s="3">
        <v>110525</v>
      </c>
      <c r="C1546" s="3">
        <v>65370</v>
      </c>
      <c r="D1546" s="3">
        <v>93756.25</v>
      </c>
      <c r="E1546" s="3">
        <v>98203.099999999991</v>
      </c>
      <c r="F1546">
        <f t="shared" si="187"/>
        <v>1240529</v>
      </c>
      <c r="G1546" s="3">
        <f t="shared" si="188"/>
        <v>110525</v>
      </c>
      <c r="H1546" s="3">
        <f t="shared" si="189"/>
        <v>65370</v>
      </c>
      <c r="I1546" s="3">
        <f t="shared" si="190"/>
        <v>93756.25</v>
      </c>
      <c r="J1546" s="3">
        <f t="shared" si="191"/>
        <v>98203.099999999991</v>
      </c>
      <c r="K1546" s="5">
        <f t="shared" si="192"/>
        <v>367854.35</v>
      </c>
      <c r="L1546" s="5">
        <f t="shared" si="193"/>
        <v>368578.1</v>
      </c>
      <c r="M1546" s="5">
        <f t="shared" si="194"/>
        <v>-723.75</v>
      </c>
      <c r="N1546" s="3"/>
    </row>
    <row r="1547" spans="1:14" x14ac:dyDescent="0.25">
      <c r="A1547" s="2">
        <v>1240530</v>
      </c>
      <c r="B1547" s="3">
        <v>110987.5</v>
      </c>
      <c r="C1547" s="3">
        <v>66220</v>
      </c>
      <c r="D1547" s="3">
        <v>93762.5</v>
      </c>
      <c r="E1547" s="3">
        <v>99609.400000000009</v>
      </c>
      <c r="F1547">
        <f t="shared" si="187"/>
        <v>1240530</v>
      </c>
      <c r="G1547" s="3">
        <f t="shared" si="188"/>
        <v>110987.5</v>
      </c>
      <c r="H1547" s="3">
        <f t="shared" si="189"/>
        <v>66220</v>
      </c>
      <c r="I1547" s="3">
        <f t="shared" si="190"/>
        <v>93762.5</v>
      </c>
      <c r="J1547" s="3">
        <f t="shared" si="191"/>
        <v>99609.400000000009</v>
      </c>
      <c r="K1547" s="5">
        <f t="shared" si="192"/>
        <v>370579.4</v>
      </c>
      <c r="L1547" s="5">
        <f t="shared" si="193"/>
        <v>370579.4</v>
      </c>
      <c r="M1547" s="5">
        <f t="shared" si="194"/>
        <v>0</v>
      </c>
      <c r="N1547" s="3"/>
    </row>
    <row r="1548" spans="1:14" x14ac:dyDescent="0.25">
      <c r="A1548" s="2">
        <v>1240531</v>
      </c>
      <c r="B1548" s="3">
        <v>110231.25</v>
      </c>
      <c r="C1548" s="3">
        <v>66390</v>
      </c>
      <c r="D1548" s="3">
        <v>93325</v>
      </c>
      <c r="E1548" s="3">
        <v>100156.25</v>
      </c>
      <c r="F1548">
        <f t="shared" si="187"/>
        <v>1240531</v>
      </c>
      <c r="G1548" s="3">
        <f t="shared" si="188"/>
        <v>110231.25</v>
      </c>
      <c r="H1548" s="3">
        <f t="shared" si="189"/>
        <v>66390</v>
      </c>
      <c r="I1548" s="3">
        <f t="shared" si="190"/>
        <v>93325</v>
      </c>
      <c r="J1548" s="3">
        <f t="shared" si="191"/>
        <v>100156.25</v>
      </c>
      <c r="K1548" s="5">
        <f t="shared" si="192"/>
        <v>370102.5</v>
      </c>
      <c r="L1548" s="5">
        <f t="shared" si="193"/>
        <v>370579.4</v>
      </c>
      <c r="M1548" s="5">
        <f t="shared" si="194"/>
        <v>-476.90000000002328</v>
      </c>
      <c r="N1548" s="3"/>
    </row>
    <row r="1549" spans="1:14" x14ac:dyDescent="0.25">
      <c r="A1549" s="2">
        <v>1240602</v>
      </c>
      <c r="B1549" s="3">
        <v>108250</v>
      </c>
      <c r="C1549" s="3">
        <v>64170</v>
      </c>
      <c r="D1549" s="3">
        <v>92968.75</v>
      </c>
      <c r="E1549" s="3">
        <v>101796.90000000001</v>
      </c>
      <c r="F1549">
        <f t="shared" si="187"/>
        <v>1240602</v>
      </c>
      <c r="G1549" s="3">
        <f t="shared" si="188"/>
        <v>108250</v>
      </c>
      <c r="H1549" s="3">
        <f t="shared" si="189"/>
        <v>64170</v>
      </c>
      <c r="I1549" s="3">
        <f t="shared" si="190"/>
        <v>92968.75</v>
      </c>
      <c r="J1549" s="3">
        <f t="shared" si="191"/>
        <v>101796.90000000001</v>
      </c>
      <c r="K1549" s="5">
        <f t="shared" si="192"/>
        <v>367185.65</v>
      </c>
      <c r="L1549" s="5">
        <f t="shared" si="193"/>
        <v>370102.5</v>
      </c>
      <c r="M1549" s="5">
        <f t="shared" si="194"/>
        <v>-2916.8499999999767</v>
      </c>
      <c r="N1549" s="3"/>
    </row>
    <row r="1550" spans="1:14" x14ac:dyDescent="0.25">
      <c r="A1550" s="2">
        <v>1240603</v>
      </c>
      <c r="B1550" s="3">
        <v>107931.25</v>
      </c>
      <c r="C1550" s="3">
        <v>63680</v>
      </c>
      <c r="D1550" s="3">
        <v>93025</v>
      </c>
      <c r="E1550" s="3">
        <v>102109.40000000001</v>
      </c>
      <c r="F1550">
        <f t="shared" si="187"/>
        <v>1240603</v>
      </c>
      <c r="G1550" s="3">
        <f t="shared" si="188"/>
        <v>107931.25</v>
      </c>
      <c r="H1550" s="3">
        <f t="shared" si="189"/>
        <v>63680</v>
      </c>
      <c r="I1550" s="3">
        <f t="shared" si="190"/>
        <v>93025</v>
      </c>
      <c r="J1550" s="3">
        <f t="shared" si="191"/>
        <v>102109.40000000001</v>
      </c>
      <c r="K1550" s="5">
        <f t="shared" si="192"/>
        <v>366745.65</v>
      </c>
      <c r="L1550" s="5">
        <f t="shared" si="193"/>
        <v>367185.65</v>
      </c>
      <c r="M1550" s="5">
        <f t="shared" si="194"/>
        <v>-440</v>
      </c>
      <c r="N1550" s="3"/>
    </row>
    <row r="1551" spans="1:14" x14ac:dyDescent="0.25">
      <c r="A1551" s="2">
        <v>1240604</v>
      </c>
      <c r="B1551" s="3">
        <v>108231.25</v>
      </c>
      <c r="C1551" s="3">
        <v>64940</v>
      </c>
      <c r="D1551" s="3">
        <v>92887.5</v>
      </c>
      <c r="E1551" s="3">
        <v>104765.59999999999</v>
      </c>
      <c r="F1551">
        <f t="shared" si="187"/>
        <v>1240604</v>
      </c>
      <c r="G1551" s="3">
        <f t="shared" si="188"/>
        <v>108231.25</v>
      </c>
      <c r="H1551" s="3">
        <f t="shared" si="189"/>
        <v>64940</v>
      </c>
      <c r="I1551" s="3">
        <f t="shared" si="190"/>
        <v>92887.5</v>
      </c>
      <c r="J1551" s="3">
        <f t="shared" si="191"/>
        <v>104765.59999999999</v>
      </c>
      <c r="K1551" s="5">
        <f t="shared" si="192"/>
        <v>370824.35</v>
      </c>
      <c r="L1551" s="5">
        <f t="shared" si="193"/>
        <v>370824.35</v>
      </c>
      <c r="M1551" s="5">
        <f t="shared" si="194"/>
        <v>0</v>
      </c>
      <c r="N1551" s="3"/>
    </row>
    <row r="1552" spans="1:14" x14ac:dyDescent="0.25">
      <c r="A1552" s="2">
        <v>1240605</v>
      </c>
      <c r="B1552" s="3">
        <v>108750</v>
      </c>
      <c r="C1552" s="3">
        <v>65130</v>
      </c>
      <c r="D1552" s="3">
        <v>93243.75</v>
      </c>
      <c r="E1552" s="3">
        <v>107109.40000000001</v>
      </c>
      <c r="F1552">
        <f t="shared" si="187"/>
        <v>1240605</v>
      </c>
      <c r="G1552" s="3">
        <f t="shared" si="188"/>
        <v>108750</v>
      </c>
      <c r="H1552" s="3">
        <f t="shared" si="189"/>
        <v>65130</v>
      </c>
      <c r="I1552" s="3">
        <f t="shared" si="190"/>
        <v>93243.75</v>
      </c>
      <c r="J1552" s="3">
        <f t="shared" si="191"/>
        <v>107109.40000000001</v>
      </c>
      <c r="K1552" s="5">
        <f t="shared" si="192"/>
        <v>374233.15</v>
      </c>
      <c r="L1552" s="5">
        <f t="shared" si="193"/>
        <v>374233.15</v>
      </c>
      <c r="M1552" s="5">
        <f t="shared" si="194"/>
        <v>0</v>
      </c>
      <c r="N1552" s="3"/>
    </row>
    <row r="1553" spans="1:14" x14ac:dyDescent="0.25">
      <c r="A1553" s="2">
        <v>1240606</v>
      </c>
      <c r="B1553" s="3">
        <v>110093.75</v>
      </c>
      <c r="C1553" s="3">
        <v>68250</v>
      </c>
      <c r="D1553" s="3">
        <v>92675</v>
      </c>
      <c r="E1553" s="3">
        <v>108671.90000000001</v>
      </c>
      <c r="F1553">
        <f t="shared" si="187"/>
        <v>1240606</v>
      </c>
      <c r="G1553" s="3">
        <f t="shared" si="188"/>
        <v>110093.75</v>
      </c>
      <c r="H1553" s="3">
        <f t="shared" si="189"/>
        <v>68250</v>
      </c>
      <c r="I1553" s="3">
        <f t="shared" si="190"/>
        <v>92675</v>
      </c>
      <c r="J1553" s="3">
        <f t="shared" si="191"/>
        <v>108671.90000000001</v>
      </c>
      <c r="K1553" s="5">
        <f t="shared" si="192"/>
        <v>379690.65</v>
      </c>
      <c r="L1553" s="5">
        <f t="shared" si="193"/>
        <v>379690.65</v>
      </c>
      <c r="M1553" s="5">
        <f t="shared" si="194"/>
        <v>0</v>
      </c>
      <c r="N1553" s="3"/>
    </row>
    <row r="1554" spans="1:14" x14ac:dyDescent="0.25">
      <c r="A1554" s="2">
        <v>1240607</v>
      </c>
      <c r="B1554" s="3">
        <v>109831.25</v>
      </c>
      <c r="C1554" s="3">
        <v>65750</v>
      </c>
      <c r="D1554" s="3">
        <v>92256.25</v>
      </c>
      <c r="E1554" s="3">
        <v>103671.90000000001</v>
      </c>
      <c r="F1554">
        <f t="shared" si="187"/>
        <v>1240607</v>
      </c>
      <c r="G1554" s="3">
        <f t="shared" si="188"/>
        <v>109831.25</v>
      </c>
      <c r="H1554" s="3">
        <f t="shared" si="189"/>
        <v>65750</v>
      </c>
      <c r="I1554" s="3">
        <f t="shared" si="190"/>
        <v>92256.25</v>
      </c>
      <c r="J1554" s="3">
        <f t="shared" si="191"/>
        <v>103671.90000000001</v>
      </c>
      <c r="K1554" s="5">
        <f t="shared" si="192"/>
        <v>371509.4</v>
      </c>
      <c r="L1554" s="5">
        <f t="shared" si="193"/>
        <v>379690.65</v>
      </c>
      <c r="M1554" s="5">
        <f t="shared" si="194"/>
        <v>-8181.25</v>
      </c>
      <c r="N1554" s="3"/>
    </row>
    <row r="1555" spans="1:14" x14ac:dyDescent="0.25">
      <c r="A1555" s="2">
        <v>1240609</v>
      </c>
      <c r="B1555" s="3">
        <v>108975</v>
      </c>
      <c r="C1555" s="3">
        <v>74220</v>
      </c>
      <c r="D1555" s="3">
        <v>92912.5</v>
      </c>
      <c r="E1555" s="3">
        <v>107812.5</v>
      </c>
      <c r="F1555">
        <f t="shared" si="187"/>
        <v>1240609</v>
      </c>
      <c r="G1555" s="3">
        <f t="shared" si="188"/>
        <v>108975</v>
      </c>
      <c r="H1555" s="3">
        <f t="shared" si="189"/>
        <v>74220</v>
      </c>
      <c r="I1555" s="3">
        <f t="shared" si="190"/>
        <v>92912.5</v>
      </c>
      <c r="J1555" s="3">
        <f t="shared" si="191"/>
        <v>107812.5</v>
      </c>
      <c r="K1555" s="5">
        <f t="shared" si="192"/>
        <v>383920</v>
      </c>
      <c r="L1555" s="5">
        <f t="shared" si="193"/>
        <v>383920</v>
      </c>
      <c r="M1555" s="5">
        <f t="shared" si="194"/>
        <v>0</v>
      </c>
      <c r="N1555" s="3"/>
    </row>
    <row r="1556" spans="1:14" x14ac:dyDescent="0.25">
      <c r="A1556" s="2">
        <v>1240610</v>
      </c>
      <c r="B1556" s="3">
        <v>108987.5</v>
      </c>
      <c r="C1556" s="3">
        <v>74420</v>
      </c>
      <c r="D1556" s="3">
        <v>93031.25</v>
      </c>
      <c r="E1556" s="3">
        <v>107812.5</v>
      </c>
      <c r="F1556">
        <f t="shared" si="187"/>
        <v>1240610</v>
      </c>
      <c r="G1556" s="3">
        <f t="shared" si="188"/>
        <v>108987.5</v>
      </c>
      <c r="H1556" s="3">
        <f t="shared" si="189"/>
        <v>74420</v>
      </c>
      <c r="I1556" s="3">
        <f t="shared" si="190"/>
        <v>93031.25</v>
      </c>
      <c r="J1556" s="3">
        <f t="shared" si="191"/>
        <v>107812.5</v>
      </c>
      <c r="K1556" s="5">
        <f t="shared" si="192"/>
        <v>384251.25</v>
      </c>
      <c r="L1556" s="5">
        <f t="shared" si="193"/>
        <v>384251.25</v>
      </c>
      <c r="M1556" s="5">
        <f t="shared" si="194"/>
        <v>0</v>
      </c>
      <c r="N1556" s="3"/>
    </row>
    <row r="1557" spans="1:14" x14ac:dyDescent="0.25">
      <c r="A1557" s="2">
        <v>1240611</v>
      </c>
      <c r="B1557" s="3">
        <v>109206.25</v>
      </c>
      <c r="C1557" s="3">
        <v>74040</v>
      </c>
      <c r="D1557" s="3">
        <v>93106.25</v>
      </c>
      <c r="E1557" s="3">
        <v>107500</v>
      </c>
      <c r="F1557">
        <f t="shared" si="187"/>
        <v>1240611</v>
      </c>
      <c r="G1557" s="3">
        <f t="shared" si="188"/>
        <v>109206.25</v>
      </c>
      <c r="H1557" s="3">
        <f t="shared" si="189"/>
        <v>74040</v>
      </c>
      <c r="I1557" s="3">
        <f t="shared" si="190"/>
        <v>93106.25</v>
      </c>
      <c r="J1557" s="3">
        <f t="shared" si="191"/>
        <v>107500</v>
      </c>
      <c r="K1557" s="5">
        <f t="shared" si="192"/>
        <v>383852.5</v>
      </c>
      <c r="L1557" s="5">
        <f t="shared" si="193"/>
        <v>384251.25</v>
      </c>
      <c r="M1557" s="5">
        <f t="shared" si="194"/>
        <v>-398.75</v>
      </c>
      <c r="N1557" s="3"/>
    </row>
    <row r="1558" spans="1:14" x14ac:dyDescent="0.25">
      <c r="A1558" s="2">
        <v>1240612</v>
      </c>
      <c r="B1558" s="3">
        <v>109525</v>
      </c>
      <c r="C1558" s="3">
        <v>75500</v>
      </c>
      <c r="D1558" s="3">
        <v>92593.75</v>
      </c>
      <c r="E1558" s="3">
        <v>108906.25</v>
      </c>
      <c r="F1558">
        <f t="shared" si="187"/>
        <v>1240612</v>
      </c>
      <c r="G1558" s="3">
        <f t="shared" si="188"/>
        <v>109525</v>
      </c>
      <c r="H1558" s="3">
        <f t="shared" si="189"/>
        <v>75500</v>
      </c>
      <c r="I1558" s="3">
        <f t="shared" si="190"/>
        <v>92593.75</v>
      </c>
      <c r="J1558" s="3">
        <f t="shared" si="191"/>
        <v>108906.25</v>
      </c>
      <c r="K1558" s="5">
        <f t="shared" si="192"/>
        <v>386525</v>
      </c>
      <c r="L1558" s="5">
        <f t="shared" si="193"/>
        <v>386525</v>
      </c>
      <c r="M1558" s="5">
        <f t="shared" si="194"/>
        <v>0</v>
      </c>
      <c r="N1558" s="3"/>
    </row>
    <row r="1559" spans="1:14" x14ac:dyDescent="0.25">
      <c r="A1559" s="2">
        <v>1240613</v>
      </c>
      <c r="B1559" s="3">
        <v>110531.25</v>
      </c>
      <c r="C1559" s="3">
        <v>75030</v>
      </c>
      <c r="D1559" s="3">
        <v>92656.25</v>
      </c>
      <c r="E1559" s="3">
        <v>112187.5</v>
      </c>
      <c r="F1559">
        <f t="shared" si="187"/>
        <v>1240613</v>
      </c>
      <c r="G1559" s="3">
        <f t="shared" si="188"/>
        <v>110531.25</v>
      </c>
      <c r="H1559" s="3">
        <f t="shared" si="189"/>
        <v>75030</v>
      </c>
      <c r="I1559" s="3">
        <f t="shared" si="190"/>
        <v>92656.25</v>
      </c>
      <c r="J1559" s="3">
        <f t="shared" si="191"/>
        <v>112187.5</v>
      </c>
      <c r="K1559" s="5">
        <f t="shared" si="192"/>
        <v>390405</v>
      </c>
      <c r="L1559" s="5">
        <f t="shared" si="193"/>
        <v>390405</v>
      </c>
      <c r="M1559" s="5">
        <f t="shared" si="194"/>
        <v>0</v>
      </c>
      <c r="N1559" s="3"/>
    </row>
    <row r="1560" spans="1:14" x14ac:dyDescent="0.25">
      <c r="A1560" s="2">
        <v>1240614</v>
      </c>
      <c r="B1560" s="3">
        <v>110181.25</v>
      </c>
      <c r="C1560" s="3">
        <v>72140</v>
      </c>
      <c r="D1560" s="3">
        <v>92631.25</v>
      </c>
      <c r="E1560" s="3">
        <v>113828.09999999999</v>
      </c>
      <c r="F1560">
        <f t="shared" si="187"/>
        <v>1240614</v>
      </c>
      <c r="G1560" s="3">
        <f t="shared" si="188"/>
        <v>110181.25</v>
      </c>
      <c r="H1560" s="3">
        <f t="shared" si="189"/>
        <v>72140</v>
      </c>
      <c r="I1560" s="3">
        <f t="shared" si="190"/>
        <v>92631.25</v>
      </c>
      <c r="J1560" s="3">
        <f t="shared" si="191"/>
        <v>113828.09999999999</v>
      </c>
      <c r="K1560" s="5">
        <f t="shared" si="192"/>
        <v>388780.6</v>
      </c>
      <c r="L1560" s="5">
        <f t="shared" si="193"/>
        <v>390405</v>
      </c>
      <c r="M1560" s="5">
        <f t="shared" si="194"/>
        <v>-1624.4000000000233</v>
      </c>
      <c r="N1560" s="3"/>
    </row>
    <row r="1561" spans="1:14" x14ac:dyDescent="0.25">
      <c r="A1561" s="2">
        <v>1240616</v>
      </c>
      <c r="B1561" s="3">
        <v>110581.25</v>
      </c>
      <c r="C1561" s="3">
        <v>74670</v>
      </c>
      <c r="D1561" s="3">
        <v>92425</v>
      </c>
      <c r="E1561" s="3">
        <v>114375</v>
      </c>
      <c r="F1561">
        <f t="shared" ref="F1561:F1566" si="195">+A1561</f>
        <v>1240616</v>
      </c>
      <c r="G1561" s="3">
        <f t="shared" si="188"/>
        <v>110581.25</v>
      </c>
      <c r="H1561" s="3">
        <f t="shared" si="189"/>
        <v>74670</v>
      </c>
      <c r="I1561" s="3">
        <f t="shared" si="190"/>
        <v>92425</v>
      </c>
      <c r="J1561" s="3">
        <f t="shared" si="191"/>
        <v>114375</v>
      </c>
      <c r="K1561" s="5">
        <f t="shared" si="192"/>
        <v>392051.25</v>
      </c>
      <c r="L1561" s="5">
        <f t="shared" si="193"/>
        <v>392051.25</v>
      </c>
      <c r="M1561" s="5">
        <f t="shared" si="194"/>
        <v>0</v>
      </c>
      <c r="N1561" s="3"/>
    </row>
    <row r="1562" spans="1:14" x14ac:dyDescent="0.25">
      <c r="A1562" s="2">
        <v>1240617</v>
      </c>
      <c r="B1562" s="3">
        <v>110581.25</v>
      </c>
      <c r="C1562" s="3">
        <v>74670</v>
      </c>
      <c r="D1562" s="3">
        <v>92362.5</v>
      </c>
      <c r="E1562" s="3">
        <v>114609.40000000001</v>
      </c>
      <c r="F1562">
        <f t="shared" si="195"/>
        <v>1240617</v>
      </c>
      <c r="G1562" s="3">
        <f t="shared" ref="G1562:G1566" si="196">+IF(B1562&lt;&gt;0,B1562,B1561)</f>
        <v>110581.25</v>
      </c>
      <c r="H1562" s="3">
        <f t="shared" ref="H1562:H1566" si="197">+IF(C1562&lt;&gt;0,C1562,C1561)</f>
        <v>74670</v>
      </c>
      <c r="I1562" s="3">
        <f t="shared" ref="I1562:I1566" si="198">+IF(D1562&lt;&gt;0,D1562,D1561)</f>
        <v>92362.5</v>
      </c>
      <c r="J1562" s="3">
        <f t="shared" ref="J1562:J1566" si="199">+IF(E1562&lt;&gt;0,E1562,E1561)</f>
        <v>114609.40000000001</v>
      </c>
      <c r="K1562" s="5">
        <f t="shared" ref="K1562:K1566" si="200">+SUM(G1562:J1562)</f>
        <v>392223.15</v>
      </c>
      <c r="L1562" s="5">
        <f t="shared" si="193"/>
        <v>392223.15</v>
      </c>
      <c r="M1562" s="5">
        <f t="shared" si="194"/>
        <v>0</v>
      </c>
      <c r="N1562" s="3"/>
    </row>
    <row r="1563" spans="1:14" x14ac:dyDescent="0.25">
      <c r="A1563" s="2">
        <v>1240618</v>
      </c>
      <c r="B1563" s="3">
        <v>111456.25</v>
      </c>
      <c r="C1563" s="3">
        <v>74670</v>
      </c>
      <c r="D1563" s="3">
        <v>92537.5</v>
      </c>
      <c r="E1563" s="3">
        <v>115078.09999999999</v>
      </c>
      <c r="F1563">
        <f t="shared" si="195"/>
        <v>1240618</v>
      </c>
      <c r="G1563" s="3">
        <f t="shared" si="196"/>
        <v>111456.25</v>
      </c>
      <c r="H1563" s="3">
        <f t="shared" si="197"/>
        <v>74670</v>
      </c>
      <c r="I1563" s="3">
        <f t="shared" si="198"/>
        <v>92537.5</v>
      </c>
      <c r="J1563" s="3">
        <f t="shared" si="199"/>
        <v>115078.09999999999</v>
      </c>
      <c r="K1563" s="5">
        <f t="shared" si="200"/>
        <v>393741.85</v>
      </c>
      <c r="L1563" s="5">
        <f t="shared" ref="L1563:L1566" si="201">+IF(K1563&gt;K1562,K1563,K1562)</f>
        <v>393741.85</v>
      </c>
      <c r="M1563" s="5">
        <f t="shared" ref="M1563:M1566" si="202">+K1563-L1563</f>
        <v>0</v>
      </c>
      <c r="N1563" s="3"/>
    </row>
    <row r="1564" spans="1:14" x14ac:dyDescent="0.25">
      <c r="A1564" s="2">
        <v>1240619</v>
      </c>
      <c r="B1564" s="3">
        <v>111750</v>
      </c>
      <c r="C1564" s="3">
        <v>73340</v>
      </c>
      <c r="D1564" s="3">
        <v>92687.5</v>
      </c>
      <c r="E1564" s="3">
        <v>115625</v>
      </c>
      <c r="F1564">
        <f t="shared" si="195"/>
        <v>1240619</v>
      </c>
      <c r="G1564" s="3">
        <f t="shared" si="196"/>
        <v>111750</v>
      </c>
      <c r="H1564" s="3">
        <f t="shared" si="197"/>
        <v>73340</v>
      </c>
      <c r="I1564" s="3">
        <f t="shared" si="198"/>
        <v>92687.5</v>
      </c>
      <c r="J1564" s="3">
        <f t="shared" si="199"/>
        <v>115625</v>
      </c>
      <c r="K1564" s="5">
        <f t="shared" si="200"/>
        <v>393402.5</v>
      </c>
      <c r="L1564" s="5">
        <f t="shared" si="201"/>
        <v>393741.85</v>
      </c>
      <c r="M1564" s="5">
        <f t="shared" si="202"/>
        <v>-339.34999999997672</v>
      </c>
      <c r="N1564" s="3"/>
    </row>
    <row r="1565" spans="1:14" x14ac:dyDescent="0.25">
      <c r="A1565" s="2">
        <v>1240620</v>
      </c>
      <c r="B1565" s="3">
        <v>111806.25</v>
      </c>
      <c r="C1565" s="3">
        <v>70510</v>
      </c>
      <c r="D1565" s="3">
        <v>92806.25</v>
      </c>
      <c r="E1565" s="3">
        <v>116171.90000000001</v>
      </c>
      <c r="F1565">
        <f t="shared" si="195"/>
        <v>1240620</v>
      </c>
      <c r="G1565" s="3">
        <f t="shared" si="196"/>
        <v>111806.25</v>
      </c>
      <c r="H1565" s="3">
        <f t="shared" si="197"/>
        <v>70510</v>
      </c>
      <c r="I1565" s="3">
        <f t="shared" si="198"/>
        <v>92806.25</v>
      </c>
      <c r="J1565" s="3">
        <f t="shared" si="199"/>
        <v>116171.90000000001</v>
      </c>
      <c r="K1565" s="5">
        <f t="shared" si="200"/>
        <v>391294.4</v>
      </c>
      <c r="L1565" s="5">
        <f t="shared" si="201"/>
        <v>393402.5</v>
      </c>
      <c r="M1565" s="5">
        <f t="shared" si="202"/>
        <v>-2108.0999999999767</v>
      </c>
      <c r="N1565" s="3"/>
    </row>
    <row r="1566" spans="1:14" x14ac:dyDescent="0.25">
      <c r="A1566" s="2">
        <v>1240621</v>
      </c>
      <c r="B1566" s="3">
        <v>112200</v>
      </c>
      <c r="C1566" s="3">
        <v>68530</v>
      </c>
      <c r="D1566" s="3">
        <v>93187.5</v>
      </c>
      <c r="E1566" s="3">
        <v>114921.90000000001</v>
      </c>
      <c r="F1566">
        <f t="shared" si="195"/>
        <v>1240621</v>
      </c>
      <c r="G1566" s="3">
        <f t="shared" si="196"/>
        <v>112200</v>
      </c>
      <c r="H1566" s="3">
        <f t="shared" si="197"/>
        <v>68530</v>
      </c>
      <c r="I1566" s="3">
        <f t="shared" si="198"/>
        <v>93187.5</v>
      </c>
      <c r="J1566" s="3">
        <f t="shared" si="199"/>
        <v>114921.90000000001</v>
      </c>
      <c r="K1566" s="5">
        <f t="shared" si="200"/>
        <v>388839.4</v>
      </c>
      <c r="L1566" s="5">
        <f t="shared" si="201"/>
        <v>391294.4</v>
      </c>
      <c r="M1566" s="5">
        <f t="shared" si="202"/>
        <v>-2455</v>
      </c>
      <c r="N1566" s="3"/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67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5" max="5" width="13.140625" bestFit="1" customWidth="1"/>
    <col min="6" max="6" width="6.28515625" customWidth="1"/>
    <col min="7" max="7" width="19.7109375" customWidth="1"/>
  </cols>
  <sheetData>
    <row r="1" spans="1:8" x14ac:dyDescent="0.25">
      <c r="A1" t="s">
        <v>6</v>
      </c>
      <c r="B1" t="s">
        <v>8</v>
      </c>
      <c r="C1" t="s">
        <v>7</v>
      </c>
      <c r="D1" t="s">
        <v>5</v>
      </c>
      <c r="E1" t="s">
        <v>9</v>
      </c>
    </row>
    <row r="2" spans="1:8" x14ac:dyDescent="0.25">
      <c r="A2" t="s">
        <v>0</v>
      </c>
      <c r="B2">
        <v>1190709</v>
      </c>
      <c r="C2">
        <v>140.62</v>
      </c>
      <c r="D2" s="4">
        <f>+VLOOKUP(A2,Portfolio!$G$3:$I$6,3)</f>
        <v>5</v>
      </c>
      <c r="E2" s="4">
        <f>+C2*D2</f>
        <v>703.1</v>
      </c>
    </row>
    <row r="3" spans="1:8" x14ac:dyDescent="0.25">
      <c r="A3" t="s">
        <v>0</v>
      </c>
      <c r="B3">
        <v>1190710</v>
      </c>
      <c r="C3">
        <v>-187.5</v>
      </c>
      <c r="D3" s="4">
        <f>+VLOOKUP(A3,Portfolio!$G$3:$I$6,3)</f>
        <v>5</v>
      </c>
      <c r="E3">
        <f t="shared" ref="E3:E66" si="0">+C3*D3</f>
        <v>-937.5</v>
      </c>
    </row>
    <row r="4" spans="1:8" x14ac:dyDescent="0.25">
      <c r="A4" t="s">
        <v>0</v>
      </c>
      <c r="B4">
        <v>1190711</v>
      </c>
      <c r="C4">
        <v>250</v>
      </c>
      <c r="D4" s="4">
        <f>+VLOOKUP(A4,Portfolio!$G$3:$I$6,3)</f>
        <v>5</v>
      </c>
      <c r="E4">
        <f t="shared" si="0"/>
        <v>1250</v>
      </c>
      <c r="G4" s="15" t="s">
        <v>12</v>
      </c>
      <c r="H4" s="14" t="s">
        <v>23</v>
      </c>
    </row>
    <row r="5" spans="1:8" x14ac:dyDescent="0.25">
      <c r="A5" t="s">
        <v>0</v>
      </c>
      <c r="B5">
        <v>1190712</v>
      </c>
      <c r="C5">
        <v>531.25</v>
      </c>
      <c r="D5" s="4">
        <f>+VLOOKUP(A5,Portfolio!$G$3:$I$6,3)</f>
        <v>5</v>
      </c>
      <c r="E5">
        <f t="shared" si="0"/>
        <v>2656.25</v>
      </c>
    </row>
    <row r="6" spans="1:8" x14ac:dyDescent="0.25">
      <c r="A6" t="s">
        <v>0</v>
      </c>
      <c r="B6">
        <v>1190714</v>
      </c>
      <c r="C6">
        <v>406.25</v>
      </c>
      <c r="D6" s="4">
        <f>+VLOOKUP(A6,Portfolio!$G$3:$I$6,3)</f>
        <v>5</v>
      </c>
      <c r="E6">
        <f t="shared" si="0"/>
        <v>2031.25</v>
      </c>
      <c r="G6" s="15" t="s">
        <v>11</v>
      </c>
      <c r="H6" s="14" t="s">
        <v>13</v>
      </c>
    </row>
    <row r="7" spans="1:8" x14ac:dyDescent="0.25">
      <c r="A7" t="s">
        <v>0</v>
      </c>
      <c r="B7">
        <v>1190715</v>
      </c>
      <c r="C7">
        <v>546.88</v>
      </c>
      <c r="D7" s="4">
        <f>+VLOOKUP(A7,Portfolio!$G$3:$I$6,3)</f>
        <v>5</v>
      </c>
      <c r="E7">
        <f t="shared" si="0"/>
        <v>2734.4</v>
      </c>
    </row>
    <row r="8" spans="1:8" x14ac:dyDescent="0.25">
      <c r="A8" t="s">
        <v>0</v>
      </c>
      <c r="B8">
        <v>1190716</v>
      </c>
      <c r="C8">
        <v>578.12</v>
      </c>
      <c r="D8" s="4">
        <f>+VLOOKUP(A8,Portfolio!$G$3:$I$6,3)</f>
        <v>5</v>
      </c>
      <c r="E8">
        <f t="shared" si="0"/>
        <v>2890.6</v>
      </c>
    </row>
    <row r="9" spans="1:8" x14ac:dyDescent="0.25">
      <c r="A9" t="s">
        <v>0</v>
      </c>
      <c r="B9">
        <v>1190717</v>
      </c>
      <c r="C9">
        <v>437.5</v>
      </c>
      <c r="D9" s="4">
        <f>+VLOOKUP(A9,Portfolio!$G$3:$I$6,3)</f>
        <v>5</v>
      </c>
      <c r="E9">
        <f t="shared" si="0"/>
        <v>2187.5</v>
      </c>
      <c r="H9" s="4"/>
    </row>
    <row r="10" spans="1:8" x14ac:dyDescent="0.25">
      <c r="A10" t="s">
        <v>0</v>
      </c>
      <c r="B10">
        <v>1190718</v>
      </c>
      <c r="C10">
        <v>718.75</v>
      </c>
      <c r="D10" s="4">
        <f>+VLOOKUP(A10,Portfolio!$G$3:$I$6,3)</f>
        <v>5</v>
      </c>
      <c r="E10">
        <f t="shared" si="0"/>
        <v>3593.75</v>
      </c>
    </row>
    <row r="11" spans="1:8" x14ac:dyDescent="0.25">
      <c r="A11" t="s">
        <v>0</v>
      </c>
      <c r="B11">
        <v>1190719</v>
      </c>
      <c r="C11">
        <v>359.38</v>
      </c>
      <c r="D11" s="4">
        <f>+VLOOKUP(A11,Portfolio!$G$3:$I$6,3)</f>
        <v>5</v>
      </c>
      <c r="E11">
        <f t="shared" si="0"/>
        <v>1796.9</v>
      </c>
    </row>
    <row r="12" spans="1:8" x14ac:dyDescent="0.25">
      <c r="A12" t="s">
        <v>0</v>
      </c>
      <c r="B12">
        <v>1190721</v>
      </c>
      <c r="C12">
        <v>531.25</v>
      </c>
      <c r="D12" s="4">
        <f>+VLOOKUP(A12,Portfolio!$G$3:$I$6,3)</f>
        <v>5</v>
      </c>
      <c r="E12">
        <f t="shared" si="0"/>
        <v>2656.25</v>
      </c>
    </row>
    <row r="13" spans="1:8" x14ac:dyDescent="0.25">
      <c r="A13" t="s">
        <v>0</v>
      </c>
      <c r="B13">
        <v>1190722</v>
      </c>
      <c r="C13">
        <v>500</v>
      </c>
      <c r="D13" s="4">
        <f>+VLOOKUP(A13,Portfolio!$G$3:$I$6,3)</f>
        <v>5</v>
      </c>
      <c r="E13">
        <f t="shared" si="0"/>
        <v>2500</v>
      </c>
    </row>
    <row r="14" spans="1:8" x14ac:dyDescent="0.25">
      <c r="A14" t="s">
        <v>0</v>
      </c>
      <c r="B14">
        <v>1190723</v>
      </c>
      <c r="C14">
        <v>312.5</v>
      </c>
      <c r="D14" s="4">
        <f>+VLOOKUP(A14,Portfolio!$G$3:$I$6,3)</f>
        <v>5</v>
      </c>
      <c r="E14">
        <f t="shared" si="0"/>
        <v>1562.5</v>
      </c>
    </row>
    <row r="15" spans="1:8" x14ac:dyDescent="0.25">
      <c r="A15" t="s">
        <v>0</v>
      </c>
      <c r="B15">
        <v>1190724</v>
      </c>
      <c r="C15">
        <v>-125</v>
      </c>
      <c r="D15" s="4">
        <f>+VLOOKUP(A15,Portfolio!$G$3:$I$6,3)</f>
        <v>5</v>
      </c>
      <c r="E15">
        <f t="shared" si="0"/>
        <v>-625</v>
      </c>
    </row>
    <row r="16" spans="1:8" x14ac:dyDescent="0.25">
      <c r="A16" t="s">
        <v>0</v>
      </c>
      <c r="B16">
        <v>1190725</v>
      </c>
      <c r="C16">
        <v>46.88</v>
      </c>
      <c r="D16" s="4">
        <f>+VLOOKUP(A16,Portfolio!$G$3:$I$6,3)</f>
        <v>5</v>
      </c>
      <c r="E16">
        <f t="shared" si="0"/>
        <v>234.4</v>
      </c>
    </row>
    <row r="17" spans="1:5" x14ac:dyDescent="0.25">
      <c r="A17" t="s">
        <v>0</v>
      </c>
      <c r="B17">
        <v>1190726</v>
      </c>
      <c r="C17">
        <v>234.38</v>
      </c>
      <c r="D17" s="4">
        <f>+VLOOKUP(A17,Portfolio!$G$3:$I$6,3)</f>
        <v>5</v>
      </c>
      <c r="E17">
        <f t="shared" si="0"/>
        <v>1171.9000000000001</v>
      </c>
    </row>
    <row r="18" spans="1:5" x14ac:dyDescent="0.25">
      <c r="A18" t="s">
        <v>0</v>
      </c>
      <c r="B18">
        <v>1190728</v>
      </c>
      <c r="C18">
        <v>234.38</v>
      </c>
      <c r="D18" s="4">
        <f>+VLOOKUP(A18,Portfolio!$G$3:$I$6,3)</f>
        <v>5</v>
      </c>
      <c r="E18">
        <f t="shared" si="0"/>
        <v>1171.9000000000001</v>
      </c>
    </row>
    <row r="19" spans="1:5" x14ac:dyDescent="0.25">
      <c r="A19" t="s">
        <v>0</v>
      </c>
      <c r="B19">
        <v>1190729</v>
      </c>
      <c r="C19">
        <v>218.75</v>
      </c>
      <c r="D19" s="4">
        <f>+VLOOKUP(A19,Portfolio!$G$3:$I$6,3)</f>
        <v>5</v>
      </c>
      <c r="E19">
        <f t="shared" si="0"/>
        <v>1093.75</v>
      </c>
    </row>
    <row r="20" spans="1:5" x14ac:dyDescent="0.25">
      <c r="A20" t="s">
        <v>0</v>
      </c>
      <c r="B20">
        <v>1190730</v>
      </c>
      <c r="C20">
        <v>62.5</v>
      </c>
      <c r="D20" s="4">
        <f>+VLOOKUP(A20,Portfolio!$G$3:$I$6,3)</f>
        <v>5</v>
      </c>
      <c r="E20">
        <f t="shared" si="0"/>
        <v>312.5</v>
      </c>
    </row>
    <row r="21" spans="1:5" x14ac:dyDescent="0.25">
      <c r="A21" t="s">
        <v>0</v>
      </c>
      <c r="B21">
        <v>1190731</v>
      </c>
      <c r="C21">
        <v>-31.25</v>
      </c>
      <c r="D21" s="4">
        <f>+VLOOKUP(A21,Portfolio!$G$3:$I$6,3)</f>
        <v>5</v>
      </c>
      <c r="E21">
        <f t="shared" si="0"/>
        <v>-156.25</v>
      </c>
    </row>
    <row r="22" spans="1:5" x14ac:dyDescent="0.25">
      <c r="A22" t="s">
        <v>0</v>
      </c>
      <c r="B22">
        <v>1190801</v>
      </c>
      <c r="C22">
        <v>-468.75</v>
      </c>
      <c r="D22" s="4">
        <f>+VLOOKUP(A22,Portfolio!$G$3:$I$6,3)</f>
        <v>5</v>
      </c>
      <c r="E22">
        <f t="shared" si="0"/>
        <v>-2343.75</v>
      </c>
    </row>
    <row r="23" spans="1:5" x14ac:dyDescent="0.25">
      <c r="A23" t="s">
        <v>0</v>
      </c>
      <c r="B23">
        <v>1190802</v>
      </c>
      <c r="C23">
        <v>875</v>
      </c>
      <c r="D23" s="4">
        <f>+VLOOKUP(A23,Portfolio!$G$3:$I$6,3)</f>
        <v>5</v>
      </c>
      <c r="E23">
        <f t="shared" si="0"/>
        <v>4375</v>
      </c>
    </row>
    <row r="24" spans="1:5" x14ac:dyDescent="0.25">
      <c r="A24" t="s">
        <v>0</v>
      </c>
      <c r="B24">
        <v>1190804</v>
      </c>
      <c r="C24">
        <v>375</v>
      </c>
      <c r="D24" s="4">
        <f>+VLOOKUP(A24,Portfolio!$G$3:$I$6,3)</f>
        <v>5</v>
      </c>
      <c r="E24">
        <f t="shared" si="0"/>
        <v>1875</v>
      </c>
    </row>
    <row r="25" spans="1:5" x14ac:dyDescent="0.25">
      <c r="A25" t="s">
        <v>0</v>
      </c>
      <c r="B25">
        <v>1190805</v>
      </c>
      <c r="C25">
        <v>-203.12</v>
      </c>
      <c r="D25" s="4">
        <f>+VLOOKUP(A25,Portfolio!$G$3:$I$6,3)</f>
        <v>5</v>
      </c>
      <c r="E25">
        <f t="shared" si="0"/>
        <v>-1015.6</v>
      </c>
    </row>
    <row r="26" spans="1:5" x14ac:dyDescent="0.25">
      <c r="A26" t="s">
        <v>0</v>
      </c>
      <c r="B26">
        <v>1190806</v>
      </c>
      <c r="C26">
        <v>-453.12</v>
      </c>
      <c r="D26" s="4">
        <f>+VLOOKUP(A26,Portfolio!$G$3:$I$6,3)</f>
        <v>5</v>
      </c>
      <c r="E26">
        <f t="shared" si="0"/>
        <v>-2265.6</v>
      </c>
    </row>
    <row r="27" spans="1:5" x14ac:dyDescent="0.25">
      <c r="A27" t="s">
        <v>0</v>
      </c>
      <c r="B27">
        <v>1190807</v>
      </c>
      <c r="C27">
        <v>-968.75</v>
      </c>
      <c r="D27" s="4">
        <f>+VLOOKUP(A27,Portfolio!$G$3:$I$6,3)</f>
        <v>5</v>
      </c>
      <c r="E27">
        <f t="shared" si="0"/>
        <v>-4843.75</v>
      </c>
    </row>
    <row r="28" spans="1:5" x14ac:dyDescent="0.25">
      <c r="A28" t="s">
        <v>0</v>
      </c>
      <c r="B28">
        <v>1190808</v>
      </c>
      <c r="C28">
        <v>-1750</v>
      </c>
      <c r="D28" s="4">
        <f>+VLOOKUP(A28,Portfolio!$G$3:$I$6,3)</f>
        <v>5</v>
      </c>
      <c r="E28">
        <f t="shared" si="0"/>
        <v>-8750</v>
      </c>
    </row>
    <row r="29" spans="1:5" x14ac:dyDescent="0.25">
      <c r="A29" t="s">
        <v>0</v>
      </c>
      <c r="B29">
        <v>1190809</v>
      </c>
      <c r="C29">
        <v>-2328.12</v>
      </c>
      <c r="D29" s="4">
        <f>+VLOOKUP(A29,Portfolio!$G$3:$I$6,3)</f>
        <v>5</v>
      </c>
      <c r="E29">
        <f t="shared" si="0"/>
        <v>-11640.599999999999</v>
      </c>
    </row>
    <row r="30" spans="1:5" x14ac:dyDescent="0.25">
      <c r="A30" t="s">
        <v>0</v>
      </c>
      <c r="B30">
        <v>1190811</v>
      </c>
      <c r="C30">
        <v>-2000</v>
      </c>
      <c r="D30" s="4">
        <f>+VLOOKUP(A30,Portfolio!$G$3:$I$6,3)</f>
        <v>5</v>
      </c>
      <c r="E30">
        <f t="shared" si="0"/>
        <v>-10000</v>
      </c>
    </row>
    <row r="31" spans="1:5" x14ac:dyDescent="0.25">
      <c r="A31" t="s">
        <v>0</v>
      </c>
      <c r="B31">
        <v>1190812</v>
      </c>
      <c r="C31">
        <v>-2031.25</v>
      </c>
      <c r="D31" s="4">
        <f>+VLOOKUP(A31,Portfolio!$G$3:$I$6,3)</f>
        <v>5</v>
      </c>
      <c r="E31">
        <f t="shared" si="0"/>
        <v>-10156.25</v>
      </c>
    </row>
    <row r="32" spans="1:5" x14ac:dyDescent="0.25">
      <c r="A32" t="s">
        <v>0</v>
      </c>
      <c r="B32">
        <v>1190813</v>
      </c>
      <c r="C32">
        <v>-2234.38</v>
      </c>
      <c r="D32" s="4">
        <f>+VLOOKUP(A32,Portfolio!$G$3:$I$6,3)</f>
        <v>5</v>
      </c>
      <c r="E32">
        <f t="shared" si="0"/>
        <v>-11171.900000000001</v>
      </c>
    </row>
    <row r="33" spans="1:5" x14ac:dyDescent="0.25">
      <c r="A33" t="s">
        <v>0</v>
      </c>
      <c r="B33">
        <v>1190814</v>
      </c>
      <c r="C33">
        <v>-1968.75</v>
      </c>
      <c r="D33" s="4">
        <f>+VLOOKUP(A33,Portfolio!$G$3:$I$6,3)</f>
        <v>5</v>
      </c>
      <c r="E33">
        <f t="shared" si="0"/>
        <v>-9843.75</v>
      </c>
    </row>
    <row r="34" spans="1:5" x14ac:dyDescent="0.25">
      <c r="A34" t="s">
        <v>0</v>
      </c>
      <c r="B34">
        <v>1190815</v>
      </c>
      <c r="C34">
        <v>-2031.25</v>
      </c>
      <c r="D34" s="4">
        <f>+VLOOKUP(A34,Portfolio!$G$3:$I$6,3)</f>
        <v>5</v>
      </c>
      <c r="E34">
        <f t="shared" si="0"/>
        <v>-10156.25</v>
      </c>
    </row>
    <row r="35" spans="1:5" x14ac:dyDescent="0.25">
      <c r="A35" t="s">
        <v>0</v>
      </c>
      <c r="B35">
        <v>1190816</v>
      </c>
      <c r="C35">
        <v>-2890.62</v>
      </c>
      <c r="D35" s="4">
        <f>+VLOOKUP(A35,Portfolio!$G$3:$I$6,3)</f>
        <v>5</v>
      </c>
      <c r="E35">
        <f t="shared" si="0"/>
        <v>-14453.099999999999</v>
      </c>
    </row>
    <row r="36" spans="1:5" x14ac:dyDescent="0.25">
      <c r="A36" t="s">
        <v>0</v>
      </c>
      <c r="B36">
        <v>1190818</v>
      </c>
      <c r="C36">
        <v>-2656.25</v>
      </c>
      <c r="D36" s="4">
        <f>+VLOOKUP(A36,Portfolio!$G$3:$I$6,3)</f>
        <v>5</v>
      </c>
      <c r="E36">
        <f t="shared" si="0"/>
        <v>-13281.25</v>
      </c>
    </row>
    <row r="37" spans="1:5" x14ac:dyDescent="0.25">
      <c r="A37" t="s">
        <v>0</v>
      </c>
      <c r="B37">
        <v>1190819</v>
      </c>
      <c r="C37">
        <v>-2609.38</v>
      </c>
      <c r="D37" s="4">
        <f>+VLOOKUP(A37,Portfolio!$G$3:$I$6,3)</f>
        <v>5</v>
      </c>
      <c r="E37">
        <f t="shared" si="0"/>
        <v>-13046.900000000001</v>
      </c>
    </row>
    <row r="38" spans="1:5" x14ac:dyDescent="0.25">
      <c r="A38" t="s">
        <v>0</v>
      </c>
      <c r="B38">
        <v>1190820</v>
      </c>
      <c r="C38">
        <v>-2453.12</v>
      </c>
      <c r="D38" s="4">
        <f>+VLOOKUP(A38,Portfolio!$G$3:$I$6,3)</f>
        <v>5</v>
      </c>
      <c r="E38">
        <f t="shared" si="0"/>
        <v>-12265.599999999999</v>
      </c>
    </row>
    <row r="39" spans="1:5" x14ac:dyDescent="0.25">
      <c r="A39" t="s">
        <v>0</v>
      </c>
      <c r="B39">
        <v>1190821</v>
      </c>
      <c r="C39">
        <v>-2859.38</v>
      </c>
      <c r="D39" s="4">
        <f>+VLOOKUP(A39,Portfolio!$G$3:$I$6,3)</f>
        <v>5</v>
      </c>
      <c r="E39">
        <f t="shared" si="0"/>
        <v>-14296.900000000001</v>
      </c>
    </row>
    <row r="40" spans="1:5" x14ac:dyDescent="0.25">
      <c r="A40" t="s">
        <v>0</v>
      </c>
      <c r="B40">
        <v>1190822</v>
      </c>
      <c r="C40">
        <v>-2890.62</v>
      </c>
      <c r="D40" s="4">
        <f>+VLOOKUP(A40,Portfolio!$G$3:$I$6,3)</f>
        <v>5</v>
      </c>
      <c r="E40">
        <f t="shared" si="0"/>
        <v>-14453.099999999999</v>
      </c>
    </row>
    <row r="41" spans="1:5" x14ac:dyDescent="0.25">
      <c r="A41" t="s">
        <v>0</v>
      </c>
      <c r="B41">
        <v>1190823</v>
      </c>
      <c r="C41">
        <v>-2671.88</v>
      </c>
      <c r="D41" s="4">
        <f>+VLOOKUP(A41,Portfolio!$G$3:$I$6,3)</f>
        <v>5</v>
      </c>
      <c r="E41">
        <f t="shared" si="0"/>
        <v>-13359.400000000001</v>
      </c>
    </row>
    <row r="42" spans="1:5" x14ac:dyDescent="0.25">
      <c r="A42" t="s">
        <v>0</v>
      </c>
      <c r="B42">
        <v>1190825</v>
      </c>
      <c r="C42">
        <v>-1859.38</v>
      </c>
      <c r="D42" s="4">
        <f>+VLOOKUP(A42,Portfolio!$G$3:$I$6,3)</f>
        <v>5</v>
      </c>
      <c r="E42">
        <f t="shared" si="0"/>
        <v>-9296.9000000000015</v>
      </c>
    </row>
    <row r="43" spans="1:5" x14ac:dyDescent="0.25">
      <c r="A43" t="s">
        <v>0</v>
      </c>
      <c r="B43">
        <v>1190826</v>
      </c>
      <c r="C43">
        <v>-1718.75</v>
      </c>
      <c r="D43" s="4">
        <f>+VLOOKUP(A43,Portfolio!$G$3:$I$6,3)</f>
        <v>5</v>
      </c>
      <c r="E43">
        <f t="shared" si="0"/>
        <v>-8593.75</v>
      </c>
    </row>
    <row r="44" spans="1:5" x14ac:dyDescent="0.25">
      <c r="A44" t="s">
        <v>0</v>
      </c>
      <c r="B44">
        <v>1190827</v>
      </c>
      <c r="C44">
        <v>-2328.12</v>
      </c>
      <c r="D44" s="4">
        <f>+VLOOKUP(A44,Portfolio!$G$3:$I$6,3)</f>
        <v>5</v>
      </c>
      <c r="E44">
        <f t="shared" si="0"/>
        <v>-11640.599999999999</v>
      </c>
    </row>
    <row r="45" spans="1:5" x14ac:dyDescent="0.25">
      <c r="A45" t="s">
        <v>0</v>
      </c>
      <c r="B45">
        <v>1190828</v>
      </c>
      <c r="C45">
        <v>-2140.62</v>
      </c>
      <c r="D45" s="4">
        <f>+VLOOKUP(A45,Portfolio!$G$3:$I$6,3)</f>
        <v>5</v>
      </c>
      <c r="E45">
        <f t="shared" si="0"/>
        <v>-10703.099999999999</v>
      </c>
    </row>
    <row r="46" spans="1:5" x14ac:dyDescent="0.25">
      <c r="A46" t="s">
        <v>0</v>
      </c>
      <c r="B46">
        <v>1190829</v>
      </c>
      <c r="C46">
        <v>-1843.75</v>
      </c>
      <c r="D46" s="4">
        <f>+VLOOKUP(A46,Portfolio!$G$3:$I$6,3)</f>
        <v>5</v>
      </c>
      <c r="E46">
        <f t="shared" si="0"/>
        <v>-9218.75</v>
      </c>
    </row>
    <row r="47" spans="1:5" x14ac:dyDescent="0.25">
      <c r="A47" t="s">
        <v>0</v>
      </c>
      <c r="B47">
        <v>1190830</v>
      </c>
      <c r="C47">
        <v>-2187.5</v>
      </c>
      <c r="D47" s="4">
        <f>+VLOOKUP(A47,Portfolio!$G$3:$I$6,3)</f>
        <v>5</v>
      </c>
      <c r="E47">
        <f t="shared" si="0"/>
        <v>-10937.5</v>
      </c>
    </row>
    <row r="48" spans="1:5" x14ac:dyDescent="0.25">
      <c r="A48" t="s">
        <v>0</v>
      </c>
      <c r="B48">
        <v>1190901</v>
      </c>
      <c r="C48">
        <v>-2421.88</v>
      </c>
      <c r="D48" s="4">
        <f>+VLOOKUP(A48,Portfolio!$G$3:$I$6,3)</f>
        <v>5</v>
      </c>
      <c r="E48">
        <f t="shared" si="0"/>
        <v>-12109.400000000001</v>
      </c>
    </row>
    <row r="49" spans="1:5" x14ac:dyDescent="0.25">
      <c r="A49" t="s">
        <v>0</v>
      </c>
      <c r="B49">
        <v>1190902</v>
      </c>
      <c r="C49">
        <v>-2281.25</v>
      </c>
      <c r="D49" s="4">
        <f>+VLOOKUP(A49,Portfolio!$G$3:$I$6,3)</f>
        <v>5</v>
      </c>
      <c r="E49">
        <f t="shared" si="0"/>
        <v>-11406.25</v>
      </c>
    </row>
    <row r="50" spans="1:5" x14ac:dyDescent="0.25">
      <c r="A50" t="s">
        <v>0</v>
      </c>
      <c r="B50">
        <v>1190903</v>
      </c>
      <c r="C50">
        <v>-2140.62</v>
      </c>
      <c r="D50" s="4">
        <f>+VLOOKUP(A50,Portfolio!$G$3:$I$6,3)</f>
        <v>5</v>
      </c>
      <c r="E50">
        <f t="shared" si="0"/>
        <v>-10703.099999999999</v>
      </c>
    </row>
    <row r="51" spans="1:5" x14ac:dyDescent="0.25">
      <c r="A51" t="s">
        <v>0</v>
      </c>
      <c r="B51">
        <v>1190904</v>
      </c>
      <c r="C51">
        <v>-2546.88</v>
      </c>
      <c r="D51" s="4">
        <f>+VLOOKUP(A51,Portfolio!$G$3:$I$6,3)</f>
        <v>5</v>
      </c>
      <c r="E51">
        <f t="shared" si="0"/>
        <v>-12734.400000000001</v>
      </c>
    </row>
    <row r="52" spans="1:5" x14ac:dyDescent="0.25">
      <c r="A52" t="s">
        <v>0</v>
      </c>
      <c r="B52">
        <v>1190905</v>
      </c>
      <c r="C52">
        <v>-2687.5</v>
      </c>
      <c r="D52" s="4">
        <f>+VLOOKUP(A52,Portfolio!$G$3:$I$6,3)</f>
        <v>5</v>
      </c>
      <c r="E52">
        <f t="shared" si="0"/>
        <v>-13437.5</v>
      </c>
    </row>
    <row r="53" spans="1:5" x14ac:dyDescent="0.25">
      <c r="A53" t="s">
        <v>0</v>
      </c>
      <c r="B53">
        <v>1190906</v>
      </c>
      <c r="C53">
        <v>-2093.75</v>
      </c>
      <c r="D53" s="4">
        <f>+VLOOKUP(A53,Portfolio!$G$3:$I$6,3)</f>
        <v>5</v>
      </c>
      <c r="E53">
        <f t="shared" si="0"/>
        <v>-10468.75</v>
      </c>
    </row>
    <row r="54" spans="1:5" x14ac:dyDescent="0.25">
      <c r="A54" t="s">
        <v>0</v>
      </c>
      <c r="B54">
        <v>1190908</v>
      </c>
      <c r="C54">
        <v>-2281.25</v>
      </c>
      <c r="D54" s="4">
        <f>+VLOOKUP(A54,Portfolio!$G$3:$I$6,3)</f>
        <v>5</v>
      </c>
      <c r="E54">
        <f t="shared" si="0"/>
        <v>-11406.25</v>
      </c>
    </row>
    <row r="55" spans="1:5" x14ac:dyDescent="0.25">
      <c r="A55" t="s">
        <v>0</v>
      </c>
      <c r="B55">
        <v>1190909</v>
      </c>
      <c r="C55">
        <v>-2328.12</v>
      </c>
      <c r="D55" s="4">
        <f>+VLOOKUP(A55,Portfolio!$G$3:$I$6,3)</f>
        <v>5</v>
      </c>
      <c r="E55">
        <f t="shared" si="0"/>
        <v>-11640.599999999999</v>
      </c>
    </row>
    <row r="56" spans="1:5" x14ac:dyDescent="0.25">
      <c r="A56" t="s">
        <v>0</v>
      </c>
      <c r="B56">
        <v>1190910</v>
      </c>
      <c r="C56">
        <v>-2390.62</v>
      </c>
      <c r="D56" s="4">
        <f>+VLOOKUP(A56,Portfolio!$G$3:$I$6,3)</f>
        <v>5</v>
      </c>
      <c r="E56">
        <f t="shared" si="0"/>
        <v>-11953.099999999999</v>
      </c>
    </row>
    <row r="57" spans="1:5" x14ac:dyDescent="0.25">
      <c r="A57" t="s">
        <v>0</v>
      </c>
      <c r="B57">
        <v>1190911</v>
      </c>
      <c r="C57">
        <v>-1703.12</v>
      </c>
      <c r="D57" s="4">
        <f>+VLOOKUP(A57,Portfolio!$G$3:$I$6,3)</f>
        <v>5</v>
      </c>
      <c r="E57">
        <f t="shared" si="0"/>
        <v>-8515.5999999999985</v>
      </c>
    </row>
    <row r="58" spans="1:5" x14ac:dyDescent="0.25">
      <c r="A58" t="s">
        <v>0</v>
      </c>
      <c r="B58">
        <v>1190912</v>
      </c>
      <c r="C58">
        <v>-1984.38</v>
      </c>
      <c r="D58" s="4">
        <f>+VLOOKUP(A58,Portfolio!$G$3:$I$6,3)</f>
        <v>5</v>
      </c>
      <c r="E58">
        <f t="shared" si="0"/>
        <v>-9921.9000000000015</v>
      </c>
    </row>
    <row r="59" spans="1:5" x14ac:dyDescent="0.25">
      <c r="A59" t="s">
        <v>0</v>
      </c>
      <c r="B59">
        <v>1190913</v>
      </c>
      <c r="C59">
        <v>-2531.25</v>
      </c>
      <c r="D59" s="4">
        <f>+VLOOKUP(A59,Portfolio!$G$3:$I$6,3)</f>
        <v>5</v>
      </c>
      <c r="E59">
        <f t="shared" si="0"/>
        <v>-12656.25</v>
      </c>
    </row>
    <row r="60" spans="1:5" x14ac:dyDescent="0.25">
      <c r="A60" t="s">
        <v>0</v>
      </c>
      <c r="B60">
        <v>1190915</v>
      </c>
      <c r="C60">
        <v>-1875</v>
      </c>
      <c r="D60" s="4">
        <f>+VLOOKUP(A60,Portfolio!$G$3:$I$6,3)</f>
        <v>5</v>
      </c>
      <c r="E60">
        <f t="shared" si="0"/>
        <v>-9375</v>
      </c>
    </row>
    <row r="61" spans="1:5" x14ac:dyDescent="0.25">
      <c r="A61" t="s">
        <v>0</v>
      </c>
      <c r="B61">
        <v>1190916</v>
      </c>
      <c r="C61">
        <v>-2031.25</v>
      </c>
      <c r="D61" s="4">
        <f>+VLOOKUP(A61,Portfolio!$G$3:$I$6,3)</f>
        <v>5</v>
      </c>
      <c r="E61">
        <f t="shared" si="0"/>
        <v>-10156.25</v>
      </c>
    </row>
    <row r="62" spans="1:5" x14ac:dyDescent="0.25">
      <c r="A62" t="s">
        <v>0</v>
      </c>
      <c r="B62">
        <v>1190917</v>
      </c>
      <c r="C62">
        <v>-2125</v>
      </c>
      <c r="D62" s="4">
        <f>+VLOOKUP(A62,Portfolio!$G$3:$I$6,3)</f>
        <v>5</v>
      </c>
      <c r="E62">
        <f t="shared" si="0"/>
        <v>-10625</v>
      </c>
    </row>
    <row r="63" spans="1:5" x14ac:dyDescent="0.25">
      <c r="A63" t="s">
        <v>0</v>
      </c>
      <c r="B63">
        <v>1190918</v>
      </c>
      <c r="C63">
        <v>-2828.12</v>
      </c>
      <c r="D63" s="4">
        <f>+VLOOKUP(A63,Portfolio!$G$3:$I$6,3)</f>
        <v>5</v>
      </c>
      <c r="E63">
        <f t="shared" si="0"/>
        <v>-14140.599999999999</v>
      </c>
    </row>
    <row r="64" spans="1:5" x14ac:dyDescent="0.25">
      <c r="A64" t="s">
        <v>0</v>
      </c>
      <c r="B64">
        <v>1190919</v>
      </c>
      <c r="C64">
        <v>-2765.62</v>
      </c>
      <c r="D64" s="4">
        <f>+VLOOKUP(A64,Portfolio!$G$3:$I$6,3)</f>
        <v>5</v>
      </c>
      <c r="E64">
        <f t="shared" si="0"/>
        <v>-13828.099999999999</v>
      </c>
    </row>
    <row r="65" spans="1:5" x14ac:dyDescent="0.25">
      <c r="A65" t="s">
        <v>0</v>
      </c>
      <c r="B65">
        <v>1190920</v>
      </c>
      <c r="C65">
        <v>-2562.5</v>
      </c>
      <c r="D65" s="4">
        <f>+VLOOKUP(A65,Portfolio!$G$3:$I$6,3)</f>
        <v>5</v>
      </c>
      <c r="E65">
        <f t="shared" si="0"/>
        <v>-12812.5</v>
      </c>
    </row>
    <row r="66" spans="1:5" x14ac:dyDescent="0.25">
      <c r="A66" t="s">
        <v>0</v>
      </c>
      <c r="B66">
        <v>1190922</v>
      </c>
      <c r="C66">
        <v>-3000</v>
      </c>
      <c r="D66" s="4">
        <f>+VLOOKUP(A66,Portfolio!$G$3:$I$6,3)</f>
        <v>5</v>
      </c>
      <c r="E66">
        <f t="shared" si="0"/>
        <v>-15000</v>
      </c>
    </row>
    <row r="67" spans="1:5" x14ac:dyDescent="0.25">
      <c r="A67" t="s">
        <v>0</v>
      </c>
      <c r="B67">
        <v>1190923</v>
      </c>
      <c r="C67">
        <v>-3109.38</v>
      </c>
      <c r="D67" s="4">
        <f>+VLOOKUP(A67,Portfolio!$G$3:$I$6,3)</f>
        <v>5</v>
      </c>
      <c r="E67">
        <f t="shared" ref="E67:E130" si="1">+C67*D67</f>
        <v>-15546.900000000001</v>
      </c>
    </row>
    <row r="68" spans="1:5" x14ac:dyDescent="0.25">
      <c r="A68" t="s">
        <v>0</v>
      </c>
      <c r="B68">
        <v>1190924</v>
      </c>
      <c r="C68">
        <v>-3812.5</v>
      </c>
      <c r="D68" s="4">
        <f>+VLOOKUP(A68,Portfolio!$G$3:$I$6,3)</f>
        <v>5</v>
      </c>
      <c r="E68">
        <f t="shared" si="1"/>
        <v>-19062.5</v>
      </c>
    </row>
    <row r="69" spans="1:5" x14ac:dyDescent="0.25">
      <c r="A69" t="s">
        <v>0</v>
      </c>
      <c r="B69">
        <v>1190925</v>
      </c>
      <c r="C69">
        <v>-3250</v>
      </c>
      <c r="D69" s="4">
        <f>+VLOOKUP(A69,Portfolio!$G$3:$I$6,3)</f>
        <v>5</v>
      </c>
      <c r="E69">
        <f t="shared" si="1"/>
        <v>-16250</v>
      </c>
    </row>
    <row r="70" spans="1:5" x14ac:dyDescent="0.25">
      <c r="A70" t="s">
        <v>0</v>
      </c>
      <c r="B70">
        <v>1190926</v>
      </c>
      <c r="C70">
        <v>-3078.12</v>
      </c>
      <c r="D70" s="4">
        <f>+VLOOKUP(A70,Portfolio!$G$3:$I$6,3)</f>
        <v>5</v>
      </c>
      <c r="E70">
        <f t="shared" si="1"/>
        <v>-15390.599999999999</v>
      </c>
    </row>
    <row r="71" spans="1:5" x14ac:dyDescent="0.25">
      <c r="A71" t="s">
        <v>0</v>
      </c>
      <c r="B71">
        <v>1190927</v>
      </c>
      <c r="C71">
        <v>-3125</v>
      </c>
      <c r="D71" s="4">
        <f>+VLOOKUP(A71,Portfolio!$G$3:$I$6,3)</f>
        <v>5</v>
      </c>
      <c r="E71">
        <f t="shared" si="1"/>
        <v>-15625</v>
      </c>
    </row>
    <row r="72" spans="1:5" x14ac:dyDescent="0.25">
      <c r="A72" t="s">
        <v>0</v>
      </c>
      <c r="B72">
        <v>1190929</v>
      </c>
      <c r="C72">
        <v>-3593.75</v>
      </c>
      <c r="D72" s="4">
        <f>+VLOOKUP(A72,Portfolio!$G$3:$I$6,3)</f>
        <v>5</v>
      </c>
      <c r="E72">
        <f t="shared" si="1"/>
        <v>-17968.75</v>
      </c>
    </row>
    <row r="73" spans="1:5" x14ac:dyDescent="0.25">
      <c r="A73" t="s">
        <v>0</v>
      </c>
      <c r="B73">
        <v>1190930</v>
      </c>
      <c r="C73">
        <v>-3671.88</v>
      </c>
      <c r="D73" s="4">
        <f>+VLOOKUP(A73,Portfolio!$G$3:$I$6,3)</f>
        <v>5</v>
      </c>
      <c r="E73">
        <f t="shared" si="1"/>
        <v>-18359.400000000001</v>
      </c>
    </row>
    <row r="74" spans="1:5" x14ac:dyDescent="0.25">
      <c r="A74" t="s">
        <v>0</v>
      </c>
      <c r="B74">
        <v>1191001</v>
      </c>
      <c r="C74">
        <v>-4031.25</v>
      </c>
      <c r="D74" s="4">
        <f>+VLOOKUP(A74,Portfolio!$G$3:$I$6,3)</f>
        <v>5</v>
      </c>
      <c r="E74">
        <f t="shared" si="1"/>
        <v>-20156.25</v>
      </c>
    </row>
    <row r="75" spans="1:5" x14ac:dyDescent="0.25">
      <c r="A75" t="s">
        <v>0</v>
      </c>
      <c r="B75">
        <v>1191002</v>
      </c>
      <c r="C75">
        <v>-4109.38</v>
      </c>
      <c r="D75" s="4">
        <f>+VLOOKUP(A75,Portfolio!$G$3:$I$6,3)</f>
        <v>5</v>
      </c>
      <c r="E75">
        <f t="shared" si="1"/>
        <v>-20546.900000000001</v>
      </c>
    </row>
    <row r="76" spans="1:5" x14ac:dyDescent="0.25">
      <c r="A76" t="s">
        <v>0</v>
      </c>
      <c r="B76">
        <v>1191003</v>
      </c>
      <c r="C76">
        <v>-3406.25</v>
      </c>
      <c r="D76" s="4">
        <f>+VLOOKUP(A76,Portfolio!$G$3:$I$6,3)</f>
        <v>5</v>
      </c>
      <c r="E76">
        <f t="shared" si="1"/>
        <v>-17031.25</v>
      </c>
    </row>
    <row r="77" spans="1:5" x14ac:dyDescent="0.25">
      <c r="A77" t="s">
        <v>0</v>
      </c>
      <c r="B77">
        <v>1191004</v>
      </c>
      <c r="C77">
        <v>-2890.62</v>
      </c>
      <c r="D77" s="4">
        <f>+VLOOKUP(A77,Portfolio!$G$3:$I$6,3)</f>
        <v>5</v>
      </c>
      <c r="E77">
        <f t="shared" si="1"/>
        <v>-14453.099999999999</v>
      </c>
    </row>
    <row r="78" spans="1:5" x14ac:dyDescent="0.25">
      <c r="A78" t="s">
        <v>0</v>
      </c>
      <c r="B78">
        <v>1191006</v>
      </c>
      <c r="C78">
        <v>-3312.5</v>
      </c>
      <c r="D78" s="4">
        <f>+VLOOKUP(A78,Portfolio!$G$3:$I$6,3)</f>
        <v>5</v>
      </c>
      <c r="E78">
        <f t="shared" si="1"/>
        <v>-16562.5</v>
      </c>
    </row>
    <row r="79" spans="1:5" x14ac:dyDescent="0.25">
      <c r="A79" t="s">
        <v>0</v>
      </c>
      <c r="B79">
        <v>1191007</v>
      </c>
      <c r="C79">
        <v>-3296.88</v>
      </c>
      <c r="D79" s="4">
        <f>+VLOOKUP(A79,Portfolio!$G$3:$I$6,3)</f>
        <v>5</v>
      </c>
      <c r="E79">
        <f t="shared" si="1"/>
        <v>-16484.400000000001</v>
      </c>
    </row>
    <row r="80" spans="1:5" x14ac:dyDescent="0.25">
      <c r="A80" t="s">
        <v>0</v>
      </c>
      <c r="B80">
        <v>1191008</v>
      </c>
      <c r="C80">
        <v>-2953.12</v>
      </c>
      <c r="D80" s="4">
        <f>+VLOOKUP(A80,Portfolio!$G$3:$I$6,3)</f>
        <v>5</v>
      </c>
      <c r="E80">
        <f t="shared" si="1"/>
        <v>-14765.599999999999</v>
      </c>
    </row>
    <row r="81" spans="1:5" x14ac:dyDescent="0.25">
      <c r="A81" t="s">
        <v>0</v>
      </c>
      <c r="B81">
        <v>1191009</v>
      </c>
      <c r="C81">
        <v>-3453.12</v>
      </c>
      <c r="D81" s="4">
        <f>+VLOOKUP(A81,Portfolio!$G$3:$I$6,3)</f>
        <v>5</v>
      </c>
      <c r="E81">
        <f t="shared" si="1"/>
        <v>-17265.599999999999</v>
      </c>
    </row>
    <row r="82" spans="1:5" x14ac:dyDescent="0.25">
      <c r="A82" t="s">
        <v>0</v>
      </c>
      <c r="B82">
        <v>1191010</v>
      </c>
      <c r="C82">
        <v>-3703.12</v>
      </c>
      <c r="D82" s="4">
        <f>+VLOOKUP(A82,Portfolio!$G$3:$I$6,3)</f>
        <v>5</v>
      </c>
      <c r="E82">
        <f t="shared" si="1"/>
        <v>-18515.599999999999</v>
      </c>
    </row>
    <row r="83" spans="1:5" x14ac:dyDescent="0.25">
      <c r="A83" t="s">
        <v>0</v>
      </c>
      <c r="B83">
        <v>1191011</v>
      </c>
      <c r="C83">
        <v>-2859.38</v>
      </c>
      <c r="D83" s="4">
        <f>+VLOOKUP(A83,Portfolio!$G$3:$I$6,3)</f>
        <v>5</v>
      </c>
      <c r="E83">
        <f t="shared" si="1"/>
        <v>-14296.900000000001</v>
      </c>
    </row>
    <row r="84" spans="1:5" x14ac:dyDescent="0.25">
      <c r="A84" t="s">
        <v>0</v>
      </c>
      <c r="B84">
        <v>1191013</v>
      </c>
      <c r="C84">
        <v>-2281.25</v>
      </c>
      <c r="D84" s="4">
        <f>+VLOOKUP(A84,Portfolio!$G$3:$I$6,3)</f>
        <v>5</v>
      </c>
      <c r="E84">
        <f t="shared" si="1"/>
        <v>-11406.25</v>
      </c>
    </row>
    <row r="85" spans="1:5" x14ac:dyDescent="0.25">
      <c r="A85" t="s">
        <v>0</v>
      </c>
      <c r="B85">
        <v>1191014</v>
      </c>
      <c r="C85">
        <v>-2406.25</v>
      </c>
      <c r="D85" s="4">
        <f>+VLOOKUP(A85,Portfolio!$G$3:$I$6,3)</f>
        <v>5</v>
      </c>
      <c r="E85">
        <f t="shared" si="1"/>
        <v>-12031.25</v>
      </c>
    </row>
    <row r="86" spans="1:5" x14ac:dyDescent="0.25">
      <c r="A86" t="s">
        <v>0</v>
      </c>
      <c r="B86">
        <v>1191015</v>
      </c>
      <c r="C86">
        <v>-2640.62</v>
      </c>
      <c r="D86" s="4">
        <f>+VLOOKUP(A86,Portfolio!$G$3:$I$6,3)</f>
        <v>5</v>
      </c>
      <c r="E86">
        <f t="shared" si="1"/>
        <v>-13203.099999999999</v>
      </c>
    </row>
    <row r="87" spans="1:5" x14ac:dyDescent="0.25">
      <c r="A87" t="s">
        <v>0</v>
      </c>
      <c r="B87">
        <v>1191016</v>
      </c>
      <c r="C87">
        <v>-2265.62</v>
      </c>
      <c r="D87" s="4">
        <f>+VLOOKUP(A87,Portfolio!$G$3:$I$6,3)</f>
        <v>5</v>
      </c>
      <c r="E87">
        <f t="shared" si="1"/>
        <v>-11328.099999999999</v>
      </c>
    </row>
    <row r="88" spans="1:5" x14ac:dyDescent="0.25">
      <c r="A88" t="s">
        <v>0</v>
      </c>
      <c r="B88">
        <v>1191017</v>
      </c>
      <c r="C88">
        <v>-2281.25</v>
      </c>
      <c r="D88" s="4">
        <f>+VLOOKUP(A88,Portfolio!$G$3:$I$6,3)</f>
        <v>5</v>
      </c>
      <c r="E88">
        <f t="shared" si="1"/>
        <v>-11406.25</v>
      </c>
    </row>
    <row r="89" spans="1:5" x14ac:dyDescent="0.25">
      <c r="A89" t="s">
        <v>0</v>
      </c>
      <c r="B89">
        <v>1191018</v>
      </c>
      <c r="C89">
        <v>-2281.25</v>
      </c>
      <c r="D89" s="4">
        <f>+VLOOKUP(A89,Portfolio!$G$3:$I$6,3)</f>
        <v>5</v>
      </c>
      <c r="E89">
        <f t="shared" si="1"/>
        <v>-11406.25</v>
      </c>
    </row>
    <row r="90" spans="1:5" x14ac:dyDescent="0.25">
      <c r="A90" t="s">
        <v>0</v>
      </c>
      <c r="B90">
        <v>1191020</v>
      </c>
      <c r="C90">
        <v>-2546.88</v>
      </c>
      <c r="D90" s="4">
        <f>+VLOOKUP(A90,Portfolio!$G$3:$I$6,3)</f>
        <v>5</v>
      </c>
      <c r="E90">
        <f t="shared" si="1"/>
        <v>-12734.400000000001</v>
      </c>
    </row>
    <row r="91" spans="1:5" x14ac:dyDescent="0.25">
      <c r="A91" t="s">
        <v>0</v>
      </c>
      <c r="B91">
        <v>1191021</v>
      </c>
      <c r="C91">
        <v>-2703.12</v>
      </c>
      <c r="D91" s="4">
        <f>+VLOOKUP(A91,Portfolio!$G$3:$I$6,3)</f>
        <v>5</v>
      </c>
      <c r="E91">
        <f t="shared" si="1"/>
        <v>-13515.599999999999</v>
      </c>
    </row>
    <row r="92" spans="1:5" x14ac:dyDescent="0.25">
      <c r="A92" t="s">
        <v>0</v>
      </c>
      <c r="B92">
        <v>1191022</v>
      </c>
      <c r="C92">
        <v>-2859.38</v>
      </c>
      <c r="D92" s="4">
        <f>+VLOOKUP(A92,Portfolio!$G$3:$I$6,3)</f>
        <v>5</v>
      </c>
      <c r="E92">
        <f t="shared" si="1"/>
        <v>-14296.900000000001</v>
      </c>
    </row>
    <row r="93" spans="1:5" x14ac:dyDescent="0.25">
      <c r="A93" t="s">
        <v>0</v>
      </c>
      <c r="B93">
        <v>1191023</v>
      </c>
      <c r="C93">
        <v>-3093.75</v>
      </c>
      <c r="D93" s="4">
        <f>+VLOOKUP(A93,Portfolio!$G$3:$I$6,3)</f>
        <v>5</v>
      </c>
      <c r="E93">
        <f t="shared" si="1"/>
        <v>-15468.75</v>
      </c>
    </row>
    <row r="94" spans="1:5" x14ac:dyDescent="0.25">
      <c r="A94" t="s">
        <v>0</v>
      </c>
      <c r="B94">
        <v>1191024</v>
      </c>
      <c r="C94">
        <v>-3156.25</v>
      </c>
      <c r="D94" s="4">
        <f>+VLOOKUP(A94,Portfolio!$G$3:$I$6,3)</f>
        <v>5</v>
      </c>
      <c r="E94">
        <f t="shared" si="1"/>
        <v>-15781.25</v>
      </c>
    </row>
    <row r="95" spans="1:5" x14ac:dyDescent="0.25">
      <c r="A95" t="s">
        <v>0</v>
      </c>
      <c r="B95">
        <v>1191025</v>
      </c>
      <c r="C95">
        <v>-3078.12</v>
      </c>
      <c r="D95" s="4">
        <f>+VLOOKUP(A95,Portfolio!$G$3:$I$6,3)</f>
        <v>5</v>
      </c>
      <c r="E95">
        <f t="shared" si="1"/>
        <v>-15390.599999999999</v>
      </c>
    </row>
    <row r="96" spans="1:5" x14ac:dyDescent="0.25">
      <c r="A96" t="s">
        <v>0</v>
      </c>
      <c r="B96">
        <v>1191027</v>
      </c>
      <c r="C96">
        <v>-2984.38</v>
      </c>
      <c r="D96" s="4">
        <f>+VLOOKUP(A96,Portfolio!$G$3:$I$6,3)</f>
        <v>5</v>
      </c>
      <c r="E96">
        <f t="shared" si="1"/>
        <v>-14921.900000000001</v>
      </c>
    </row>
    <row r="97" spans="1:5" x14ac:dyDescent="0.25">
      <c r="A97" t="s">
        <v>0</v>
      </c>
      <c r="B97">
        <v>1191028</v>
      </c>
      <c r="C97">
        <v>-2906.25</v>
      </c>
      <c r="D97" s="4">
        <f>+VLOOKUP(A97,Portfolio!$G$3:$I$6,3)</f>
        <v>5</v>
      </c>
      <c r="E97">
        <f t="shared" si="1"/>
        <v>-14531.25</v>
      </c>
    </row>
    <row r="98" spans="1:5" x14ac:dyDescent="0.25">
      <c r="A98" t="s">
        <v>0</v>
      </c>
      <c r="B98">
        <v>1191029</v>
      </c>
      <c r="C98">
        <v>-2562.5</v>
      </c>
      <c r="D98" s="4">
        <f>+VLOOKUP(A98,Portfolio!$G$3:$I$6,3)</f>
        <v>5</v>
      </c>
      <c r="E98">
        <f t="shared" si="1"/>
        <v>-12812.5</v>
      </c>
    </row>
    <row r="99" spans="1:5" x14ac:dyDescent="0.25">
      <c r="A99" t="s">
        <v>0</v>
      </c>
      <c r="B99">
        <v>1191030</v>
      </c>
      <c r="C99">
        <v>-2843.75</v>
      </c>
      <c r="D99" s="4">
        <f>+VLOOKUP(A99,Portfolio!$G$3:$I$6,3)</f>
        <v>5</v>
      </c>
      <c r="E99">
        <f t="shared" si="1"/>
        <v>-14218.75</v>
      </c>
    </row>
    <row r="100" spans="1:5" x14ac:dyDescent="0.25">
      <c r="A100" t="s">
        <v>0</v>
      </c>
      <c r="B100">
        <v>1191031</v>
      </c>
      <c r="C100">
        <v>-2875</v>
      </c>
      <c r="D100" s="4">
        <f>+VLOOKUP(A100,Portfolio!$G$3:$I$6,3)</f>
        <v>5</v>
      </c>
      <c r="E100">
        <f t="shared" si="1"/>
        <v>-14375</v>
      </c>
    </row>
    <row r="101" spans="1:5" x14ac:dyDescent="0.25">
      <c r="A101" t="s">
        <v>0</v>
      </c>
      <c r="B101">
        <v>1191101</v>
      </c>
      <c r="C101">
        <v>-2203.12</v>
      </c>
      <c r="D101" s="4">
        <f>+VLOOKUP(A101,Portfolio!$G$3:$I$6,3)</f>
        <v>5</v>
      </c>
      <c r="E101">
        <f t="shared" si="1"/>
        <v>-11015.599999999999</v>
      </c>
    </row>
    <row r="102" spans="1:5" x14ac:dyDescent="0.25">
      <c r="A102" t="s">
        <v>0</v>
      </c>
      <c r="B102">
        <v>1191103</v>
      </c>
      <c r="C102">
        <v>-2421.88</v>
      </c>
      <c r="D102" s="4">
        <f>+VLOOKUP(A102,Portfolio!$G$3:$I$6,3)</f>
        <v>5</v>
      </c>
      <c r="E102">
        <f t="shared" si="1"/>
        <v>-12109.400000000001</v>
      </c>
    </row>
    <row r="103" spans="1:5" x14ac:dyDescent="0.25">
      <c r="A103" t="s">
        <v>0</v>
      </c>
      <c r="B103">
        <v>1191104</v>
      </c>
      <c r="C103">
        <v>-2312.5</v>
      </c>
      <c r="D103" s="4">
        <f>+VLOOKUP(A103,Portfolio!$G$3:$I$6,3)</f>
        <v>5</v>
      </c>
      <c r="E103">
        <f t="shared" si="1"/>
        <v>-11562.5</v>
      </c>
    </row>
    <row r="104" spans="1:5" x14ac:dyDescent="0.25">
      <c r="A104" t="s">
        <v>0</v>
      </c>
      <c r="B104">
        <v>1191105</v>
      </c>
      <c r="C104">
        <v>-1906.25</v>
      </c>
      <c r="D104" s="4">
        <f>+VLOOKUP(A104,Portfolio!$G$3:$I$6,3)</f>
        <v>5</v>
      </c>
      <c r="E104">
        <f t="shared" si="1"/>
        <v>-9531.25</v>
      </c>
    </row>
    <row r="105" spans="1:5" x14ac:dyDescent="0.25">
      <c r="A105" t="s">
        <v>0</v>
      </c>
      <c r="B105">
        <v>1191106</v>
      </c>
      <c r="C105">
        <v>-1468.75</v>
      </c>
      <c r="D105" s="4">
        <f>+VLOOKUP(A105,Portfolio!$G$3:$I$6,3)</f>
        <v>5</v>
      </c>
      <c r="E105">
        <f t="shared" si="1"/>
        <v>-7343.75</v>
      </c>
    </row>
    <row r="106" spans="1:5" x14ac:dyDescent="0.25">
      <c r="A106" t="s">
        <v>0</v>
      </c>
      <c r="B106">
        <v>1191107</v>
      </c>
      <c r="C106">
        <v>-1453.12</v>
      </c>
      <c r="D106" s="4">
        <f>+VLOOKUP(A106,Portfolio!$G$3:$I$6,3)</f>
        <v>5</v>
      </c>
      <c r="E106">
        <f t="shared" si="1"/>
        <v>-7265.5999999999995</v>
      </c>
    </row>
    <row r="107" spans="1:5" x14ac:dyDescent="0.25">
      <c r="A107" t="s">
        <v>0</v>
      </c>
      <c r="B107">
        <v>1191108</v>
      </c>
      <c r="C107">
        <v>-1828.12</v>
      </c>
      <c r="D107" s="4">
        <f>+VLOOKUP(A107,Portfolio!$G$3:$I$6,3)</f>
        <v>5</v>
      </c>
      <c r="E107">
        <f t="shared" si="1"/>
        <v>-9140.5999999999985</v>
      </c>
    </row>
    <row r="108" spans="1:5" x14ac:dyDescent="0.25">
      <c r="A108" t="s">
        <v>0</v>
      </c>
      <c r="B108">
        <v>1191110</v>
      </c>
      <c r="C108">
        <v>-2187.5</v>
      </c>
      <c r="D108" s="4">
        <f>+VLOOKUP(A108,Portfolio!$G$3:$I$6,3)</f>
        <v>5</v>
      </c>
      <c r="E108">
        <f t="shared" si="1"/>
        <v>-10937.5</v>
      </c>
    </row>
    <row r="109" spans="1:5" x14ac:dyDescent="0.25">
      <c r="A109" t="s">
        <v>0</v>
      </c>
      <c r="B109">
        <v>1191111</v>
      </c>
      <c r="C109">
        <v>-2062.5</v>
      </c>
      <c r="D109" s="4">
        <f>+VLOOKUP(A109,Portfolio!$G$3:$I$6,3)</f>
        <v>5</v>
      </c>
      <c r="E109">
        <f t="shared" si="1"/>
        <v>-10312.5</v>
      </c>
    </row>
    <row r="110" spans="1:5" x14ac:dyDescent="0.25">
      <c r="A110" t="s">
        <v>0</v>
      </c>
      <c r="B110">
        <v>1191112</v>
      </c>
      <c r="C110">
        <v>-2234.38</v>
      </c>
      <c r="D110" s="4">
        <f>+VLOOKUP(A110,Portfolio!$G$3:$I$6,3)</f>
        <v>5</v>
      </c>
      <c r="E110">
        <f t="shared" si="1"/>
        <v>-11171.900000000001</v>
      </c>
    </row>
    <row r="111" spans="1:5" x14ac:dyDescent="0.25">
      <c r="A111" t="s">
        <v>0</v>
      </c>
      <c r="B111">
        <v>1191113</v>
      </c>
      <c r="C111">
        <v>-2328.12</v>
      </c>
      <c r="D111" s="4">
        <f>+VLOOKUP(A111,Portfolio!$G$3:$I$6,3)</f>
        <v>5</v>
      </c>
      <c r="E111">
        <f t="shared" si="1"/>
        <v>-11640.599999999999</v>
      </c>
    </row>
    <row r="112" spans="1:5" x14ac:dyDescent="0.25">
      <c r="A112" t="s">
        <v>0</v>
      </c>
      <c r="B112">
        <v>1191114</v>
      </c>
      <c r="C112">
        <v>-2765.62</v>
      </c>
      <c r="D112" s="4">
        <f>+VLOOKUP(A112,Portfolio!$G$3:$I$6,3)</f>
        <v>5</v>
      </c>
      <c r="E112">
        <f t="shared" si="1"/>
        <v>-13828.099999999999</v>
      </c>
    </row>
    <row r="113" spans="1:5" x14ac:dyDescent="0.25">
      <c r="A113" t="s">
        <v>0</v>
      </c>
      <c r="B113">
        <v>1191115</v>
      </c>
      <c r="C113">
        <v>-2578.12</v>
      </c>
      <c r="D113" s="4">
        <f>+VLOOKUP(A113,Portfolio!$G$3:$I$6,3)</f>
        <v>5</v>
      </c>
      <c r="E113">
        <f t="shared" si="1"/>
        <v>-12890.599999999999</v>
      </c>
    </row>
    <row r="114" spans="1:5" x14ac:dyDescent="0.25">
      <c r="A114" t="s">
        <v>0</v>
      </c>
      <c r="B114">
        <v>1191117</v>
      </c>
      <c r="C114">
        <v>-2390.62</v>
      </c>
      <c r="D114" s="4">
        <f>+VLOOKUP(A114,Portfolio!$G$3:$I$6,3)</f>
        <v>5</v>
      </c>
      <c r="E114">
        <f t="shared" si="1"/>
        <v>-11953.099999999999</v>
      </c>
    </row>
    <row r="115" spans="1:5" x14ac:dyDescent="0.25">
      <c r="A115" t="s">
        <v>0</v>
      </c>
      <c r="B115">
        <v>1191118</v>
      </c>
      <c r="C115">
        <v>-2421.88</v>
      </c>
      <c r="D115" s="4">
        <f>+VLOOKUP(A115,Portfolio!$G$3:$I$6,3)</f>
        <v>5</v>
      </c>
      <c r="E115">
        <f t="shared" si="1"/>
        <v>-12109.400000000001</v>
      </c>
    </row>
    <row r="116" spans="1:5" x14ac:dyDescent="0.25">
      <c r="A116" t="s">
        <v>0</v>
      </c>
      <c r="B116">
        <v>1191119</v>
      </c>
      <c r="C116">
        <v>-2859.38</v>
      </c>
      <c r="D116" s="4">
        <f>+VLOOKUP(A116,Portfolio!$G$3:$I$6,3)</f>
        <v>5</v>
      </c>
      <c r="E116">
        <f t="shared" si="1"/>
        <v>-14296.900000000001</v>
      </c>
    </row>
    <row r="117" spans="1:5" x14ac:dyDescent="0.25">
      <c r="A117" t="s">
        <v>0</v>
      </c>
      <c r="B117">
        <v>1191120</v>
      </c>
      <c r="C117">
        <v>-2453.12</v>
      </c>
      <c r="D117" s="4">
        <f>+VLOOKUP(A117,Portfolio!$G$3:$I$6,3)</f>
        <v>5</v>
      </c>
      <c r="E117">
        <f t="shared" si="1"/>
        <v>-12265.599999999999</v>
      </c>
    </row>
    <row r="118" spans="1:5" x14ac:dyDescent="0.25">
      <c r="A118" t="s">
        <v>0</v>
      </c>
      <c r="B118">
        <v>1191121</v>
      </c>
      <c r="C118">
        <v>-2390.62</v>
      </c>
      <c r="D118" s="4">
        <f>+VLOOKUP(A118,Portfolio!$G$3:$I$6,3)</f>
        <v>5</v>
      </c>
      <c r="E118">
        <f t="shared" si="1"/>
        <v>-11953.099999999999</v>
      </c>
    </row>
    <row r="119" spans="1:5" x14ac:dyDescent="0.25">
      <c r="A119" t="s">
        <v>0</v>
      </c>
      <c r="B119">
        <v>1191122</v>
      </c>
      <c r="C119">
        <v>-2515.62</v>
      </c>
      <c r="D119" s="4">
        <f>+VLOOKUP(A119,Portfolio!$G$3:$I$6,3)</f>
        <v>5</v>
      </c>
      <c r="E119">
        <f t="shared" si="1"/>
        <v>-12578.099999999999</v>
      </c>
    </row>
    <row r="120" spans="1:5" x14ac:dyDescent="0.25">
      <c r="A120" t="s">
        <v>0</v>
      </c>
      <c r="B120">
        <v>1191124</v>
      </c>
      <c r="C120">
        <v>-2468.75</v>
      </c>
      <c r="D120" s="4">
        <f>+VLOOKUP(A120,Portfolio!$G$3:$I$6,3)</f>
        <v>5</v>
      </c>
      <c r="E120">
        <f t="shared" si="1"/>
        <v>-12343.75</v>
      </c>
    </row>
    <row r="121" spans="1:5" x14ac:dyDescent="0.25">
      <c r="A121" t="s">
        <v>0</v>
      </c>
      <c r="B121">
        <v>1191125</v>
      </c>
      <c r="C121">
        <v>-2437.5</v>
      </c>
      <c r="D121" s="4">
        <f>+VLOOKUP(A121,Portfolio!$G$3:$I$6,3)</f>
        <v>5</v>
      </c>
      <c r="E121">
        <f t="shared" si="1"/>
        <v>-12187.5</v>
      </c>
    </row>
    <row r="122" spans="1:5" x14ac:dyDescent="0.25">
      <c r="A122" t="s">
        <v>0</v>
      </c>
      <c r="B122">
        <v>1191126</v>
      </c>
      <c r="C122">
        <v>-2468.75</v>
      </c>
      <c r="D122" s="4">
        <f>+VLOOKUP(A122,Portfolio!$G$3:$I$6,3)</f>
        <v>5</v>
      </c>
      <c r="E122">
        <f t="shared" si="1"/>
        <v>-12343.75</v>
      </c>
    </row>
    <row r="123" spans="1:5" x14ac:dyDescent="0.25">
      <c r="A123" t="s">
        <v>0</v>
      </c>
      <c r="B123">
        <v>1191127</v>
      </c>
      <c r="C123">
        <v>-2328.12</v>
      </c>
      <c r="D123" s="4">
        <f>+VLOOKUP(A123,Portfolio!$G$3:$I$6,3)</f>
        <v>5</v>
      </c>
      <c r="E123">
        <f t="shared" si="1"/>
        <v>-11640.599999999999</v>
      </c>
    </row>
    <row r="124" spans="1:5" x14ac:dyDescent="0.25">
      <c r="A124" t="s">
        <v>0</v>
      </c>
      <c r="B124">
        <v>1191128</v>
      </c>
      <c r="C124">
        <v>-2312.5</v>
      </c>
      <c r="D124" s="4">
        <f>+VLOOKUP(A124,Portfolio!$G$3:$I$6,3)</f>
        <v>5</v>
      </c>
      <c r="E124">
        <f t="shared" si="1"/>
        <v>-11562.5</v>
      </c>
    </row>
    <row r="125" spans="1:5" x14ac:dyDescent="0.25">
      <c r="A125" t="s">
        <v>0</v>
      </c>
      <c r="B125">
        <v>1191129</v>
      </c>
      <c r="C125">
        <v>-2234.38</v>
      </c>
      <c r="D125" s="4">
        <f>+VLOOKUP(A125,Portfolio!$G$3:$I$6,3)</f>
        <v>5</v>
      </c>
      <c r="E125">
        <f t="shared" si="1"/>
        <v>-11171.900000000001</v>
      </c>
    </row>
    <row r="126" spans="1:5" x14ac:dyDescent="0.25">
      <c r="A126" t="s">
        <v>0</v>
      </c>
      <c r="B126">
        <v>1191201</v>
      </c>
      <c r="C126">
        <v>-1984.38</v>
      </c>
      <c r="D126" s="4">
        <f>+VLOOKUP(A126,Portfolio!$G$3:$I$6,3)</f>
        <v>5</v>
      </c>
      <c r="E126">
        <f t="shared" si="1"/>
        <v>-9921.9000000000015</v>
      </c>
    </row>
    <row r="127" spans="1:5" x14ac:dyDescent="0.25">
      <c r="A127" t="s">
        <v>0</v>
      </c>
      <c r="B127">
        <v>1191202</v>
      </c>
      <c r="C127">
        <v>-1859.38</v>
      </c>
      <c r="D127" s="4">
        <f>+VLOOKUP(A127,Portfolio!$G$3:$I$6,3)</f>
        <v>5</v>
      </c>
      <c r="E127">
        <f t="shared" si="1"/>
        <v>-9296.9000000000015</v>
      </c>
    </row>
    <row r="128" spans="1:5" x14ac:dyDescent="0.25">
      <c r="A128" t="s">
        <v>0</v>
      </c>
      <c r="B128">
        <v>1191203</v>
      </c>
      <c r="C128">
        <v>-1656.25</v>
      </c>
      <c r="D128" s="4">
        <f>+VLOOKUP(A128,Portfolio!$G$3:$I$6,3)</f>
        <v>5</v>
      </c>
      <c r="E128">
        <f t="shared" si="1"/>
        <v>-8281.25</v>
      </c>
    </row>
    <row r="129" spans="1:5" x14ac:dyDescent="0.25">
      <c r="A129" t="s">
        <v>0</v>
      </c>
      <c r="B129">
        <v>1191204</v>
      </c>
      <c r="C129">
        <v>-1625</v>
      </c>
      <c r="D129" s="4">
        <f>+VLOOKUP(A129,Portfolio!$G$3:$I$6,3)</f>
        <v>5</v>
      </c>
      <c r="E129">
        <f t="shared" si="1"/>
        <v>-8125</v>
      </c>
    </row>
    <row r="130" spans="1:5" x14ac:dyDescent="0.25">
      <c r="A130" t="s">
        <v>0</v>
      </c>
      <c r="B130">
        <v>1191205</v>
      </c>
      <c r="C130">
        <v>-1765.62</v>
      </c>
      <c r="D130" s="4">
        <f>+VLOOKUP(A130,Portfolio!$G$3:$I$6,3)</f>
        <v>5</v>
      </c>
      <c r="E130">
        <f t="shared" si="1"/>
        <v>-8828.0999999999985</v>
      </c>
    </row>
    <row r="131" spans="1:5" x14ac:dyDescent="0.25">
      <c r="A131" t="s">
        <v>0</v>
      </c>
      <c r="B131">
        <v>1191206</v>
      </c>
      <c r="C131">
        <v>-1453.12</v>
      </c>
      <c r="D131" s="4">
        <f>+VLOOKUP(A131,Portfolio!$G$3:$I$6,3)</f>
        <v>5</v>
      </c>
      <c r="E131">
        <f t="shared" ref="E131:E194" si="2">+C131*D131</f>
        <v>-7265.5999999999995</v>
      </c>
    </row>
    <row r="132" spans="1:5" x14ac:dyDescent="0.25">
      <c r="A132" t="s">
        <v>0</v>
      </c>
      <c r="B132">
        <v>1191208</v>
      </c>
      <c r="C132">
        <v>-1406.25</v>
      </c>
      <c r="D132" s="4">
        <f>+VLOOKUP(A132,Portfolio!$G$3:$I$6,3)</f>
        <v>5</v>
      </c>
      <c r="E132">
        <f t="shared" si="2"/>
        <v>-7031.25</v>
      </c>
    </row>
    <row r="133" spans="1:5" x14ac:dyDescent="0.25">
      <c r="A133" t="s">
        <v>0</v>
      </c>
      <c r="B133">
        <v>1191209</v>
      </c>
      <c r="C133">
        <v>-1453.12</v>
      </c>
      <c r="D133" s="4">
        <f>+VLOOKUP(A133,Portfolio!$G$3:$I$6,3)</f>
        <v>5</v>
      </c>
      <c r="E133">
        <f t="shared" si="2"/>
        <v>-7265.5999999999995</v>
      </c>
    </row>
    <row r="134" spans="1:5" x14ac:dyDescent="0.25">
      <c r="A134" t="s">
        <v>0</v>
      </c>
      <c r="B134">
        <v>1191210</v>
      </c>
      <c r="C134">
        <v>-1593.75</v>
      </c>
      <c r="D134" s="4">
        <f>+VLOOKUP(A134,Portfolio!$G$3:$I$6,3)</f>
        <v>5</v>
      </c>
      <c r="E134">
        <f t="shared" si="2"/>
        <v>-7968.75</v>
      </c>
    </row>
    <row r="135" spans="1:5" x14ac:dyDescent="0.25">
      <c r="A135" t="s">
        <v>0</v>
      </c>
      <c r="B135">
        <v>1191211</v>
      </c>
      <c r="C135">
        <v>-1640.62</v>
      </c>
      <c r="D135" s="4">
        <f>+VLOOKUP(A135,Portfolio!$G$3:$I$6,3)</f>
        <v>5</v>
      </c>
      <c r="E135">
        <f t="shared" si="2"/>
        <v>-8203.0999999999985</v>
      </c>
    </row>
    <row r="136" spans="1:5" x14ac:dyDescent="0.25">
      <c r="A136" t="s">
        <v>0</v>
      </c>
      <c r="B136">
        <v>1191212</v>
      </c>
      <c r="C136">
        <v>-1656.25</v>
      </c>
      <c r="D136" s="4">
        <f>+VLOOKUP(A136,Portfolio!$G$3:$I$6,3)</f>
        <v>5</v>
      </c>
      <c r="E136">
        <f t="shared" si="2"/>
        <v>-8281.25</v>
      </c>
    </row>
    <row r="137" spans="1:5" x14ac:dyDescent="0.25">
      <c r="A137" t="s">
        <v>0</v>
      </c>
      <c r="B137">
        <v>1191213</v>
      </c>
      <c r="C137">
        <v>-968.75</v>
      </c>
      <c r="D137" s="4">
        <f>+VLOOKUP(A137,Portfolio!$G$3:$I$6,3)</f>
        <v>5</v>
      </c>
      <c r="E137">
        <f t="shared" si="2"/>
        <v>-4843.75</v>
      </c>
    </row>
    <row r="138" spans="1:5" x14ac:dyDescent="0.25">
      <c r="A138" t="s">
        <v>0</v>
      </c>
      <c r="B138">
        <v>1191215</v>
      </c>
      <c r="C138">
        <v>-718.75</v>
      </c>
      <c r="D138" s="4">
        <f>+VLOOKUP(A138,Portfolio!$G$3:$I$6,3)</f>
        <v>5</v>
      </c>
      <c r="E138">
        <f t="shared" si="2"/>
        <v>-3593.75</v>
      </c>
    </row>
    <row r="139" spans="1:5" x14ac:dyDescent="0.25">
      <c r="A139" t="s">
        <v>0</v>
      </c>
      <c r="B139">
        <v>1191216</v>
      </c>
      <c r="C139">
        <v>-734.38</v>
      </c>
      <c r="D139" s="4">
        <f>+VLOOKUP(A139,Portfolio!$G$3:$I$6,3)</f>
        <v>5</v>
      </c>
      <c r="E139">
        <f t="shared" si="2"/>
        <v>-3671.9</v>
      </c>
    </row>
    <row r="140" spans="1:5" x14ac:dyDescent="0.25">
      <c r="A140" t="s">
        <v>0</v>
      </c>
      <c r="B140">
        <v>1191217</v>
      </c>
      <c r="C140">
        <v>-781.25</v>
      </c>
      <c r="D140" s="4">
        <f>+VLOOKUP(A140,Portfolio!$G$3:$I$6,3)</f>
        <v>5</v>
      </c>
      <c r="E140">
        <f t="shared" si="2"/>
        <v>-3906.25</v>
      </c>
    </row>
    <row r="141" spans="1:5" x14ac:dyDescent="0.25">
      <c r="A141" t="s">
        <v>0</v>
      </c>
      <c r="B141">
        <v>1191218</v>
      </c>
      <c r="C141">
        <v>-703.12</v>
      </c>
      <c r="D141" s="4">
        <f>+VLOOKUP(A141,Portfolio!$G$3:$I$6,3)</f>
        <v>5</v>
      </c>
      <c r="E141">
        <f t="shared" si="2"/>
        <v>-3515.6</v>
      </c>
    </row>
    <row r="142" spans="1:5" x14ac:dyDescent="0.25">
      <c r="A142" t="s">
        <v>0</v>
      </c>
      <c r="B142">
        <v>1191219</v>
      </c>
      <c r="C142">
        <v>-390.62</v>
      </c>
      <c r="D142" s="4">
        <f>+VLOOKUP(A142,Portfolio!$G$3:$I$6,3)</f>
        <v>5</v>
      </c>
      <c r="E142">
        <f t="shared" si="2"/>
        <v>-1953.1</v>
      </c>
    </row>
    <row r="143" spans="1:5" x14ac:dyDescent="0.25">
      <c r="A143" t="s">
        <v>0</v>
      </c>
      <c r="B143">
        <v>1191220</v>
      </c>
      <c r="C143">
        <v>-328.12</v>
      </c>
      <c r="D143" s="4">
        <f>+VLOOKUP(A143,Portfolio!$G$3:$I$6,3)</f>
        <v>5</v>
      </c>
      <c r="E143">
        <f t="shared" si="2"/>
        <v>-1640.6</v>
      </c>
    </row>
    <row r="144" spans="1:5" x14ac:dyDescent="0.25">
      <c r="A144" t="s">
        <v>0</v>
      </c>
      <c r="B144">
        <v>1191222</v>
      </c>
      <c r="C144">
        <v>-359.38</v>
      </c>
      <c r="D144" s="4">
        <f>+VLOOKUP(A144,Portfolio!$G$3:$I$6,3)</f>
        <v>5</v>
      </c>
      <c r="E144">
        <f t="shared" si="2"/>
        <v>-1796.9</v>
      </c>
    </row>
    <row r="145" spans="1:5" x14ac:dyDescent="0.25">
      <c r="A145" t="s">
        <v>0</v>
      </c>
      <c r="B145">
        <v>1191223</v>
      </c>
      <c r="C145">
        <v>-421.88</v>
      </c>
      <c r="D145" s="4">
        <f>+VLOOKUP(A145,Portfolio!$G$3:$I$6,3)</f>
        <v>5</v>
      </c>
      <c r="E145">
        <f t="shared" si="2"/>
        <v>-2109.4</v>
      </c>
    </row>
    <row r="146" spans="1:5" x14ac:dyDescent="0.25">
      <c r="A146" t="s">
        <v>0</v>
      </c>
      <c r="B146">
        <v>1191224</v>
      </c>
      <c r="C146">
        <v>-265.62</v>
      </c>
      <c r="D146" s="4">
        <f>+VLOOKUP(A146,Portfolio!$G$3:$I$6,3)</f>
        <v>5</v>
      </c>
      <c r="E146">
        <f t="shared" si="2"/>
        <v>-1328.1</v>
      </c>
    </row>
    <row r="147" spans="1:5" x14ac:dyDescent="0.25">
      <c r="A147" t="s">
        <v>0</v>
      </c>
      <c r="B147">
        <v>1191225</v>
      </c>
      <c r="C147">
        <v>-250</v>
      </c>
      <c r="D147" s="4">
        <f>+VLOOKUP(A147,Portfolio!$G$3:$I$6,3)</f>
        <v>5</v>
      </c>
      <c r="E147">
        <f t="shared" si="2"/>
        <v>-1250</v>
      </c>
    </row>
    <row r="148" spans="1:5" x14ac:dyDescent="0.25">
      <c r="A148" t="s">
        <v>0</v>
      </c>
      <c r="B148">
        <v>1191226</v>
      </c>
      <c r="C148">
        <v>-265.62</v>
      </c>
      <c r="D148" s="4">
        <f>+VLOOKUP(A148,Portfolio!$G$3:$I$6,3)</f>
        <v>5</v>
      </c>
      <c r="E148">
        <f t="shared" si="2"/>
        <v>-1328.1</v>
      </c>
    </row>
    <row r="149" spans="1:5" x14ac:dyDescent="0.25">
      <c r="A149" t="s">
        <v>0</v>
      </c>
      <c r="B149">
        <v>1191227</v>
      </c>
      <c r="C149">
        <v>-453.12</v>
      </c>
      <c r="D149" s="4">
        <f>+VLOOKUP(A149,Portfolio!$G$3:$I$6,3)</f>
        <v>5</v>
      </c>
      <c r="E149">
        <f t="shared" si="2"/>
        <v>-2265.6</v>
      </c>
    </row>
    <row r="150" spans="1:5" x14ac:dyDescent="0.25">
      <c r="A150" t="s">
        <v>0</v>
      </c>
      <c r="B150">
        <v>1191229</v>
      </c>
      <c r="C150">
        <v>-484.38</v>
      </c>
      <c r="D150" s="4">
        <f>+VLOOKUP(A150,Portfolio!$G$3:$I$6,3)</f>
        <v>5</v>
      </c>
      <c r="E150">
        <f t="shared" si="2"/>
        <v>-2421.9</v>
      </c>
    </row>
    <row r="151" spans="1:5" x14ac:dyDescent="0.25">
      <c r="A151" t="s">
        <v>0</v>
      </c>
      <c r="B151">
        <v>1191230</v>
      </c>
      <c r="C151">
        <v>-500</v>
      </c>
      <c r="D151" s="4">
        <f>+VLOOKUP(A151,Portfolio!$G$3:$I$6,3)</f>
        <v>5</v>
      </c>
      <c r="E151">
        <f t="shared" si="2"/>
        <v>-2500</v>
      </c>
    </row>
    <row r="152" spans="1:5" x14ac:dyDescent="0.25">
      <c r="A152" t="s">
        <v>0</v>
      </c>
      <c r="B152">
        <v>1191231</v>
      </c>
      <c r="C152">
        <v>-1109.3800000000001</v>
      </c>
      <c r="D152" s="4">
        <f>+VLOOKUP(A152,Portfolio!$G$3:$I$6,3)</f>
        <v>5</v>
      </c>
      <c r="E152">
        <f t="shared" si="2"/>
        <v>-5546.9000000000005</v>
      </c>
    </row>
    <row r="153" spans="1:5" x14ac:dyDescent="0.25">
      <c r="A153" t="s">
        <v>0</v>
      </c>
      <c r="B153">
        <v>1200101</v>
      </c>
      <c r="C153">
        <v>-890.62</v>
      </c>
      <c r="D153" s="4">
        <f>+VLOOKUP(A153,Portfolio!$G$3:$I$6,3)</f>
        <v>5</v>
      </c>
      <c r="E153">
        <f t="shared" si="2"/>
        <v>-4453.1000000000004</v>
      </c>
    </row>
    <row r="154" spans="1:5" x14ac:dyDescent="0.25">
      <c r="A154" t="s">
        <v>0</v>
      </c>
      <c r="B154">
        <v>1200102</v>
      </c>
      <c r="C154">
        <v>-1000</v>
      </c>
      <c r="D154" s="4">
        <f>+VLOOKUP(A154,Portfolio!$G$3:$I$6,3)</f>
        <v>5</v>
      </c>
      <c r="E154">
        <f t="shared" si="2"/>
        <v>-5000</v>
      </c>
    </row>
    <row r="155" spans="1:5" x14ac:dyDescent="0.25">
      <c r="A155" t="s">
        <v>0</v>
      </c>
      <c r="B155">
        <v>1200103</v>
      </c>
      <c r="C155">
        <v>-390.62</v>
      </c>
      <c r="D155" s="4">
        <f>+VLOOKUP(A155,Portfolio!$G$3:$I$6,3)</f>
        <v>5</v>
      </c>
      <c r="E155">
        <f t="shared" si="2"/>
        <v>-1953.1</v>
      </c>
    </row>
    <row r="156" spans="1:5" x14ac:dyDescent="0.25">
      <c r="A156" t="s">
        <v>0</v>
      </c>
      <c r="B156">
        <v>1200105</v>
      </c>
      <c r="C156">
        <v>78.12</v>
      </c>
      <c r="D156" s="4">
        <f>+VLOOKUP(A156,Portfolio!$G$3:$I$6,3)</f>
        <v>5</v>
      </c>
      <c r="E156">
        <f t="shared" si="2"/>
        <v>390.6</v>
      </c>
    </row>
    <row r="157" spans="1:5" x14ac:dyDescent="0.25">
      <c r="A157" t="s">
        <v>0</v>
      </c>
      <c r="B157">
        <v>1200106</v>
      </c>
      <c r="C157">
        <v>46.88</v>
      </c>
      <c r="D157" s="4">
        <f>+VLOOKUP(A157,Portfolio!$G$3:$I$6,3)</f>
        <v>5</v>
      </c>
      <c r="E157">
        <f t="shared" si="2"/>
        <v>234.4</v>
      </c>
    </row>
    <row r="158" spans="1:5" x14ac:dyDescent="0.25">
      <c r="A158" t="s">
        <v>0</v>
      </c>
      <c r="B158">
        <v>1200107</v>
      </c>
      <c r="C158">
        <v>-15.62</v>
      </c>
      <c r="D158" s="4">
        <f>+VLOOKUP(A158,Portfolio!$G$3:$I$6,3)</f>
        <v>5</v>
      </c>
      <c r="E158">
        <f t="shared" si="2"/>
        <v>-78.099999999999994</v>
      </c>
    </row>
    <row r="159" spans="1:5" x14ac:dyDescent="0.25">
      <c r="A159" t="s">
        <v>0</v>
      </c>
      <c r="B159">
        <v>1200108</v>
      </c>
      <c r="C159">
        <v>46.88</v>
      </c>
      <c r="D159" s="4">
        <f>+VLOOKUP(A159,Portfolio!$G$3:$I$6,3)</f>
        <v>5</v>
      </c>
      <c r="E159">
        <f t="shared" si="2"/>
        <v>234.4</v>
      </c>
    </row>
    <row r="160" spans="1:5" x14ac:dyDescent="0.25">
      <c r="A160" t="s">
        <v>0</v>
      </c>
      <c r="B160">
        <v>1200109</v>
      </c>
      <c r="C160">
        <v>78.12</v>
      </c>
      <c r="D160" s="4">
        <f>+VLOOKUP(A160,Portfolio!$G$3:$I$6,3)</f>
        <v>5</v>
      </c>
      <c r="E160">
        <f t="shared" si="2"/>
        <v>390.6</v>
      </c>
    </row>
    <row r="161" spans="1:5" x14ac:dyDescent="0.25">
      <c r="A161" t="s">
        <v>0</v>
      </c>
      <c r="B161">
        <v>1200110</v>
      </c>
      <c r="C161">
        <v>-265.62</v>
      </c>
      <c r="D161" s="4">
        <f>+VLOOKUP(A161,Portfolio!$G$3:$I$6,3)</f>
        <v>5</v>
      </c>
      <c r="E161">
        <f t="shared" si="2"/>
        <v>-1328.1</v>
      </c>
    </row>
    <row r="162" spans="1:5" x14ac:dyDescent="0.25">
      <c r="A162" t="s">
        <v>0</v>
      </c>
      <c r="B162">
        <v>1200112</v>
      </c>
      <c r="C162">
        <v>-296.88</v>
      </c>
      <c r="D162" s="4">
        <f>+VLOOKUP(A162,Portfolio!$G$3:$I$6,3)</f>
        <v>5</v>
      </c>
      <c r="E162">
        <f t="shared" si="2"/>
        <v>-1484.4</v>
      </c>
    </row>
    <row r="163" spans="1:5" x14ac:dyDescent="0.25">
      <c r="A163" t="s">
        <v>0</v>
      </c>
      <c r="B163">
        <v>1200113</v>
      </c>
      <c r="C163">
        <v>-312.5</v>
      </c>
      <c r="D163" s="4">
        <f>+VLOOKUP(A163,Portfolio!$G$3:$I$6,3)</f>
        <v>5</v>
      </c>
      <c r="E163">
        <f t="shared" si="2"/>
        <v>-1562.5</v>
      </c>
    </row>
    <row r="164" spans="1:5" x14ac:dyDescent="0.25">
      <c r="A164" t="s">
        <v>0</v>
      </c>
      <c r="B164">
        <v>1200114</v>
      </c>
      <c r="C164">
        <v>-453.12</v>
      </c>
      <c r="D164" s="4">
        <f>+VLOOKUP(A164,Portfolio!$G$3:$I$6,3)</f>
        <v>5</v>
      </c>
      <c r="E164">
        <f t="shared" si="2"/>
        <v>-2265.6</v>
      </c>
    </row>
    <row r="165" spans="1:5" x14ac:dyDescent="0.25">
      <c r="A165" t="s">
        <v>0</v>
      </c>
      <c r="B165">
        <v>1200115</v>
      </c>
      <c r="C165">
        <v>-484.38</v>
      </c>
      <c r="D165" s="4">
        <f>+VLOOKUP(A165,Portfolio!$G$3:$I$6,3)</f>
        <v>5</v>
      </c>
      <c r="E165">
        <f t="shared" si="2"/>
        <v>-2421.9</v>
      </c>
    </row>
    <row r="166" spans="1:5" x14ac:dyDescent="0.25">
      <c r="A166" t="s">
        <v>0</v>
      </c>
      <c r="B166">
        <v>1200116</v>
      </c>
      <c r="C166">
        <v>-421.88</v>
      </c>
      <c r="D166" s="4">
        <f>+VLOOKUP(A166,Portfolio!$G$3:$I$6,3)</f>
        <v>5</v>
      </c>
      <c r="E166">
        <f t="shared" si="2"/>
        <v>-2109.4</v>
      </c>
    </row>
    <row r="167" spans="1:5" x14ac:dyDescent="0.25">
      <c r="A167" t="s">
        <v>0</v>
      </c>
      <c r="B167">
        <v>1200117</v>
      </c>
      <c r="C167">
        <v>-343.75</v>
      </c>
      <c r="D167" s="4">
        <f>+VLOOKUP(A167,Portfolio!$G$3:$I$6,3)</f>
        <v>5</v>
      </c>
      <c r="E167">
        <f t="shared" si="2"/>
        <v>-1718.75</v>
      </c>
    </row>
    <row r="168" spans="1:5" x14ac:dyDescent="0.25">
      <c r="A168" t="s">
        <v>0</v>
      </c>
      <c r="B168">
        <v>1200119</v>
      </c>
      <c r="C168">
        <v>-640.62</v>
      </c>
      <c r="D168" s="4">
        <f>+VLOOKUP(A168,Portfolio!$G$3:$I$6,3)</f>
        <v>5</v>
      </c>
      <c r="E168">
        <f t="shared" si="2"/>
        <v>-3203.1</v>
      </c>
    </row>
    <row r="169" spans="1:5" x14ac:dyDescent="0.25">
      <c r="A169" t="s">
        <v>0</v>
      </c>
      <c r="B169">
        <v>1200120</v>
      </c>
      <c r="C169">
        <v>-656.25</v>
      </c>
      <c r="D169" s="4">
        <f>+VLOOKUP(A169,Portfolio!$G$3:$I$6,3)</f>
        <v>5</v>
      </c>
      <c r="E169">
        <f t="shared" si="2"/>
        <v>-3281.25</v>
      </c>
    </row>
    <row r="170" spans="1:5" x14ac:dyDescent="0.25">
      <c r="A170" t="s">
        <v>0</v>
      </c>
      <c r="B170">
        <v>1200121</v>
      </c>
      <c r="C170">
        <v>-468.75</v>
      </c>
      <c r="D170" s="4">
        <f>+VLOOKUP(A170,Portfolio!$G$3:$I$6,3)</f>
        <v>5</v>
      </c>
      <c r="E170">
        <f t="shared" si="2"/>
        <v>-2343.75</v>
      </c>
    </row>
    <row r="171" spans="1:5" x14ac:dyDescent="0.25">
      <c r="A171" t="s">
        <v>0</v>
      </c>
      <c r="B171">
        <v>1200122</v>
      </c>
      <c r="C171">
        <v>-468.75</v>
      </c>
      <c r="D171" s="4">
        <f>+VLOOKUP(A171,Portfolio!$G$3:$I$6,3)</f>
        <v>5</v>
      </c>
      <c r="E171">
        <f t="shared" si="2"/>
        <v>-2343.75</v>
      </c>
    </row>
    <row r="172" spans="1:5" x14ac:dyDescent="0.25">
      <c r="A172" t="s">
        <v>0</v>
      </c>
      <c r="B172">
        <v>1200123</v>
      </c>
      <c r="C172">
        <v>-109.38</v>
      </c>
      <c r="D172" s="4">
        <f>+VLOOKUP(A172,Portfolio!$G$3:$I$6,3)</f>
        <v>5</v>
      </c>
      <c r="E172">
        <f t="shared" si="2"/>
        <v>-546.9</v>
      </c>
    </row>
    <row r="173" spans="1:5" x14ac:dyDescent="0.25">
      <c r="A173" t="s">
        <v>0</v>
      </c>
      <c r="B173">
        <v>1200124</v>
      </c>
      <c r="C173">
        <v>-93.75</v>
      </c>
      <c r="D173" s="4">
        <f>+VLOOKUP(A173,Portfolio!$G$3:$I$6,3)</f>
        <v>5</v>
      </c>
      <c r="E173">
        <f t="shared" si="2"/>
        <v>-468.75</v>
      </c>
    </row>
    <row r="174" spans="1:5" x14ac:dyDescent="0.25">
      <c r="A174" t="s">
        <v>0</v>
      </c>
      <c r="B174">
        <v>1200126</v>
      </c>
      <c r="C174">
        <v>875</v>
      </c>
      <c r="D174" s="4">
        <f>+VLOOKUP(A174,Portfolio!$G$3:$I$6,3)</f>
        <v>5</v>
      </c>
      <c r="E174">
        <f t="shared" si="2"/>
        <v>4375</v>
      </c>
    </row>
    <row r="175" spans="1:5" x14ac:dyDescent="0.25">
      <c r="A175" t="s">
        <v>0</v>
      </c>
      <c r="B175">
        <v>1200127</v>
      </c>
      <c r="C175">
        <v>812.5</v>
      </c>
      <c r="D175" s="4">
        <f>+VLOOKUP(A175,Portfolio!$G$3:$I$6,3)</f>
        <v>5</v>
      </c>
      <c r="E175">
        <f t="shared" si="2"/>
        <v>4062.5</v>
      </c>
    </row>
    <row r="176" spans="1:5" x14ac:dyDescent="0.25">
      <c r="A176" t="s">
        <v>0</v>
      </c>
      <c r="B176">
        <v>1200128</v>
      </c>
      <c r="C176">
        <v>1046.8800000000001</v>
      </c>
      <c r="D176" s="4">
        <f>+VLOOKUP(A176,Portfolio!$G$3:$I$6,3)</f>
        <v>5</v>
      </c>
      <c r="E176">
        <f t="shared" si="2"/>
        <v>5234.4000000000005</v>
      </c>
    </row>
    <row r="177" spans="1:5" x14ac:dyDescent="0.25">
      <c r="A177" t="s">
        <v>0</v>
      </c>
      <c r="B177">
        <v>1200129</v>
      </c>
      <c r="C177">
        <v>1234.3800000000001</v>
      </c>
      <c r="D177" s="4">
        <f>+VLOOKUP(A177,Portfolio!$G$3:$I$6,3)</f>
        <v>5</v>
      </c>
      <c r="E177">
        <f t="shared" si="2"/>
        <v>6171.9000000000005</v>
      </c>
    </row>
    <row r="178" spans="1:5" x14ac:dyDescent="0.25">
      <c r="A178" t="s">
        <v>0</v>
      </c>
      <c r="B178">
        <v>1200130</v>
      </c>
      <c r="C178">
        <v>1328.12</v>
      </c>
      <c r="D178" s="4">
        <f>+VLOOKUP(A178,Portfolio!$G$3:$I$6,3)</f>
        <v>5</v>
      </c>
      <c r="E178">
        <f t="shared" si="2"/>
        <v>6640.5999999999995</v>
      </c>
    </row>
    <row r="179" spans="1:5" x14ac:dyDescent="0.25">
      <c r="A179" t="s">
        <v>0</v>
      </c>
      <c r="B179">
        <v>1200131</v>
      </c>
      <c r="C179">
        <v>1156.25</v>
      </c>
      <c r="D179" s="4">
        <f>+VLOOKUP(A179,Portfolio!$G$3:$I$6,3)</f>
        <v>5</v>
      </c>
      <c r="E179">
        <f t="shared" si="2"/>
        <v>5781.25</v>
      </c>
    </row>
    <row r="180" spans="1:5" x14ac:dyDescent="0.25">
      <c r="A180" t="s">
        <v>0</v>
      </c>
      <c r="B180">
        <v>1200202</v>
      </c>
      <c r="C180">
        <v>1828.12</v>
      </c>
      <c r="D180" s="4">
        <f>+VLOOKUP(A180,Portfolio!$G$3:$I$6,3)</f>
        <v>5</v>
      </c>
      <c r="E180">
        <f t="shared" si="2"/>
        <v>9140.5999999999985</v>
      </c>
    </row>
    <row r="181" spans="1:5" x14ac:dyDescent="0.25">
      <c r="A181" t="s">
        <v>0</v>
      </c>
      <c r="B181">
        <v>1200203</v>
      </c>
      <c r="C181">
        <v>1718.75</v>
      </c>
      <c r="D181" s="4">
        <f>+VLOOKUP(A181,Portfolio!$G$3:$I$6,3)</f>
        <v>5</v>
      </c>
      <c r="E181">
        <f t="shared" si="2"/>
        <v>8593.75</v>
      </c>
    </row>
    <row r="182" spans="1:5" x14ac:dyDescent="0.25">
      <c r="A182" t="s">
        <v>0</v>
      </c>
      <c r="B182">
        <v>1200204</v>
      </c>
      <c r="C182">
        <v>1578.12</v>
      </c>
      <c r="D182" s="4">
        <f>+VLOOKUP(A182,Portfolio!$G$3:$I$6,3)</f>
        <v>5</v>
      </c>
      <c r="E182">
        <f t="shared" si="2"/>
        <v>7890.5999999999995</v>
      </c>
    </row>
    <row r="183" spans="1:5" x14ac:dyDescent="0.25">
      <c r="A183" t="s">
        <v>0</v>
      </c>
      <c r="B183">
        <v>1200205</v>
      </c>
      <c r="C183">
        <v>1843.75</v>
      </c>
      <c r="D183" s="4">
        <f>+VLOOKUP(A183,Portfolio!$G$3:$I$6,3)</f>
        <v>5</v>
      </c>
      <c r="E183">
        <f t="shared" si="2"/>
        <v>9218.75</v>
      </c>
    </row>
    <row r="184" spans="1:5" x14ac:dyDescent="0.25">
      <c r="A184" t="s">
        <v>0</v>
      </c>
      <c r="B184">
        <v>1200206</v>
      </c>
      <c r="C184">
        <v>2578.12</v>
      </c>
      <c r="D184" s="4">
        <f>+VLOOKUP(A184,Portfolio!$G$3:$I$6,3)</f>
        <v>5</v>
      </c>
      <c r="E184">
        <f t="shared" si="2"/>
        <v>12890.599999999999</v>
      </c>
    </row>
    <row r="185" spans="1:5" x14ac:dyDescent="0.25">
      <c r="A185" t="s">
        <v>0</v>
      </c>
      <c r="B185">
        <v>1200207</v>
      </c>
      <c r="C185">
        <v>2328.12</v>
      </c>
      <c r="D185" s="4">
        <f>+VLOOKUP(A185,Portfolio!$G$3:$I$6,3)</f>
        <v>5</v>
      </c>
      <c r="E185">
        <f t="shared" si="2"/>
        <v>11640.599999999999</v>
      </c>
    </row>
    <row r="186" spans="1:5" x14ac:dyDescent="0.25">
      <c r="A186" t="s">
        <v>0</v>
      </c>
      <c r="B186">
        <v>1200209</v>
      </c>
      <c r="C186">
        <v>2843.75</v>
      </c>
      <c r="D186" s="4">
        <f>+VLOOKUP(A186,Portfolio!$G$3:$I$6,3)</f>
        <v>5</v>
      </c>
      <c r="E186">
        <f t="shared" si="2"/>
        <v>14218.75</v>
      </c>
    </row>
    <row r="187" spans="1:5" x14ac:dyDescent="0.25">
      <c r="A187" t="s">
        <v>0</v>
      </c>
      <c r="B187">
        <v>1200210</v>
      </c>
      <c r="C187">
        <v>2593.75</v>
      </c>
      <c r="D187" s="4">
        <f>+VLOOKUP(A187,Portfolio!$G$3:$I$6,3)</f>
        <v>5</v>
      </c>
      <c r="E187">
        <f t="shared" si="2"/>
        <v>12968.75</v>
      </c>
    </row>
    <row r="188" spans="1:5" x14ac:dyDescent="0.25">
      <c r="A188" t="s">
        <v>0</v>
      </c>
      <c r="B188">
        <v>1200211</v>
      </c>
      <c r="C188">
        <v>2671.88</v>
      </c>
      <c r="D188" s="4">
        <f>+VLOOKUP(A188,Portfolio!$G$3:$I$6,3)</f>
        <v>5</v>
      </c>
      <c r="E188">
        <f t="shared" si="2"/>
        <v>13359.400000000001</v>
      </c>
    </row>
    <row r="189" spans="1:5" x14ac:dyDescent="0.25">
      <c r="A189" t="s">
        <v>0</v>
      </c>
      <c r="B189">
        <v>1200212</v>
      </c>
      <c r="C189">
        <v>2375</v>
      </c>
      <c r="D189" s="4">
        <f>+VLOOKUP(A189,Portfolio!$G$3:$I$6,3)</f>
        <v>5</v>
      </c>
      <c r="E189">
        <f t="shared" si="2"/>
        <v>11875</v>
      </c>
    </row>
    <row r="190" spans="1:5" x14ac:dyDescent="0.25">
      <c r="A190" t="s">
        <v>0</v>
      </c>
      <c r="B190">
        <v>1200213</v>
      </c>
      <c r="C190">
        <v>1968.75</v>
      </c>
      <c r="D190" s="4">
        <f>+VLOOKUP(A190,Portfolio!$G$3:$I$6,3)</f>
        <v>5</v>
      </c>
      <c r="E190">
        <f t="shared" si="2"/>
        <v>9843.75</v>
      </c>
    </row>
    <row r="191" spans="1:5" x14ac:dyDescent="0.25">
      <c r="A191" t="s">
        <v>0</v>
      </c>
      <c r="B191">
        <v>1200214</v>
      </c>
      <c r="C191">
        <v>2046.88</v>
      </c>
      <c r="D191" s="4">
        <f>+VLOOKUP(A191,Portfolio!$G$3:$I$6,3)</f>
        <v>5</v>
      </c>
      <c r="E191">
        <f t="shared" si="2"/>
        <v>10234.400000000001</v>
      </c>
    </row>
    <row r="192" spans="1:5" x14ac:dyDescent="0.25">
      <c r="A192" t="s">
        <v>0</v>
      </c>
      <c r="B192">
        <v>1200216</v>
      </c>
      <c r="C192">
        <v>1828.12</v>
      </c>
      <c r="D192" s="4">
        <f>+VLOOKUP(A192,Portfolio!$G$3:$I$6,3)</f>
        <v>5</v>
      </c>
      <c r="E192">
        <f t="shared" si="2"/>
        <v>9140.5999999999985</v>
      </c>
    </row>
    <row r="193" spans="1:5" x14ac:dyDescent="0.25">
      <c r="A193" t="s">
        <v>0</v>
      </c>
      <c r="B193">
        <v>1200217</v>
      </c>
      <c r="C193">
        <v>1812.5</v>
      </c>
      <c r="D193" s="4">
        <f>+VLOOKUP(A193,Portfolio!$G$3:$I$6,3)</f>
        <v>5</v>
      </c>
      <c r="E193">
        <f t="shared" si="2"/>
        <v>9062.5</v>
      </c>
    </row>
    <row r="194" spans="1:5" x14ac:dyDescent="0.25">
      <c r="A194" t="s">
        <v>0</v>
      </c>
      <c r="B194">
        <v>1200218</v>
      </c>
      <c r="C194">
        <v>2187.5</v>
      </c>
      <c r="D194" s="4">
        <f>+VLOOKUP(A194,Portfolio!$G$3:$I$6,3)</f>
        <v>5</v>
      </c>
      <c r="E194">
        <f t="shared" si="2"/>
        <v>10937.5</v>
      </c>
    </row>
    <row r="195" spans="1:5" x14ac:dyDescent="0.25">
      <c r="A195" t="s">
        <v>0</v>
      </c>
      <c r="B195">
        <v>1200219</v>
      </c>
      <c r="C195">
        <v>2015.62</v>
      </c>
      <c r="D195" s="4">
        <f>+VLOOKUP(A195,Portfolio!$G$3:$I$6,3)</f>
        <v>5</v>
      </c>
      <c r="E195">
        <f t="shared" ref="E195:E258" si="3">+C195*D195</f>
        <v>10078.099999999999</v>
      </c>
    </row>
    <row r="196" spans="1:5" x14ac:dyDescent="0.25">
      <c r="A196" t="s">
        <v>0</v>
      </c>
      <c r="B196">
        <v>1200220</v>
      </c>
      <c r="C196">
        <v>1812.5</v>
      </c>
      <c r="D196" s="4">
        <f>+VLOOKUP(A196,Portfolio!$G$3:$I$6,3)</f>
        <v>5</v>
      </c>
      <c r="E196">
        <f t="shared" si="3"/>
        <v>9062.5</v>
      </c>
    </row>
    <row r="197" spans="1:5" x14ac:dyDescent="0.25">
      <c r="A197" t="s">
        <v>0</v>
      </c>
      <c r="B197">
        <v>1200221</v>
      </c>
      <c r="C197">
        <v>2015.62</v>
      </c>
      <c r="D197" s="4">
        <f>+VLOOKUP(A197,Portfolio!$G$3:$I$6,3)</f>
        <v>5</v>
      </c>
      <c r="E197">
        <f t="shared" si="3"/>
        <v>10078.099999999999</v>
      </c>
    </row>
    <row r="198" spans="1:5" x14ac:dyDescent="0.25">
      <c r="A198" t="s">
        <v>0</v>
      </c>
      <c r="B198">
        <v>1200223</v>
      </c>
      <c r="C198">
        <v>2531.25</v>
      </c>
      <c r="D198" s="4">
        <f>+VLOOKUP(A198,Portfolio!$G$3:$I$6,3)</f>
        <v>5</v>
      </c>
      <c r="E198">
        <f t="shared" si="3"/>
        <v>12656.25</v>
      </c>
    </row>
    <row r="199" spans="1:5" x14ac:dyDescent="0.25">
      <c r="A199" t="s">
        <v>0</v>
      </c>
      <c r="B199">
        <v>1200224</v>
      </c>
      <c r="C199">
        <v>2546.88</v>
      </c>
      <c r="D199" s="4">
        <f>+VLOOKUP(A199,Portfolio!$G$3:$I$6,3)</f>
        <v>5</v>
      </c>
      <c r="E199">
        <f t="shared" si="3"/>
        <v>12734.400000000001</v>
      </c>
    </row>
    <row r="200" spans="1:5" x14ac:dyDescent="0.25">
      <c r="A200" t="s">
        <v>0</v>
      </c>
      <c r="B200">
        <v>1200225</v>
      </c>
      <c r="C200">
        <v>2812.5</v>
      </c>
      <c r="D200" s="4">
        <f>+VLOOKUP(A200,Portfolio!$G$3:$I$6,3)</f>
        <v>5</v>
      </c>
      <c r="E200">
        <f t="shared" si="3"/>
        <v>14062.5</v>
      </c>
    </row>
    <row r="201" spans="1:5" x14ac:dyDescent="0.25">
      <c r="A201" t="s">
        <v>0</v>
      </c>
      <c r="B201">
        <v>1200226</v>
      </c>
      <c r="C201">
        <v>3203.12</v>
      </c>
      <c r="D201" s="4">
        <f>+VLOOKUP(A201,Portfolio!$G$3:$I$6,3)</f>
        <v>5</v>
      </c>
      <c r="E201">
        <f t="shared" si="3"/>
        <v>16015.599999999999</v>
      </c>
    </row>
    <row r="202" spans="1:5" x14ac:dyDescent="0.25">
      <c r="A202" t="s">
        <v>0</v>
      </c>
      <c r="B202">
        <v>1200227</v>
      </c>
      <c r="C202">
        <v>2375</v>
      </c>
      <c r="D202" s="4">
        <f>+VLOOKUP(A202,Portfolio!$G$3:$I$6,3)</f>
        <v>5</v>
      </c>
      <c r="E202">
        <f t="shared" si="3"/>
        <v>11875</v>
      </c>
    </row>
    <row r="203" spans="1:5" x14ac:dyDescent="0.25">
      <c r="A203" t="s">
        <v>0</v>
      </c>
      <c r="B203">
        <v>1200228</v>
      </c>
      <c r="C203">
        <v>2546.88</v>
      </c>
      <c r="D203" s="4">
        <f>+VLOOKUP(A203,Portfolio!$G$3:$I$6,3)</f>
        <v>5</v>
      </c>
      <c r="E203">
        <f t="shared" si="3"/>
        <v>12734.400000000001</v>
      </c>
    </row>
    <row r="204" spans="1:5" x14ac:dyDescent="0.25">
      <c r="A204" t="s">
        <v>0</v>
      </c>
      <c r="B204">
        <v>1200301</v>
      </c>
      <c r="C204">
        <v>3796.88</v>
      </c>
      <c r="D204" s="4">
        <f>+VLOOKUP(A204,Portfolio!$G$3:$I$6,3)</f>
        <v>5</v>
      </c>
      <c r="E204">
        <f t="shared" si="3"/>
        <v>18984.400000000001</v>
      </c>
    </row>
    <row r="205" spans="1:5" x14ac:dyDescent="0.25">
      <c r="A205" t="s">
        <v>0</v>
      </c>
      <c r="B205">
        <v>1200302</v>
      </c>
      <c r="C205">
        <v>3937.5</v>
      </c>
      <c r="D205" s="4">
        <f>+VLOOKUP(A205,Portfolio!$G$3:$I$6,3)</f>
        <v>5</v>
      </c>
      <c r="E205">
        <f t="shared" si="3"/>
        <v>19687.5</v>
      </c>
    </row>
    <row r="206" spans="1:5" x14ac:dyDescent="0.25">
      <c r="A206" t="s">
        <v>0</v>
      </c>
      <c r="B206">
        <v>1200303</v>
      </c>
      <c r="C206">
        <v>3609.38</v>
      </c>
      <c r="D206" s="4">
        <f>+VLOOKUP(A206,Portfolio!$G$3:$I$6,3)</f>
        <v>5</v>
      </c>
      <c r="E206">
        <f t="shared" si="3"/>
        <v>18046.900000000001</v>
      </c>
    </row>
    <row r="207" spans="1:5" x14ac:dyDescent="0.25">
      <c r="A207" t="s">
        <v>0</v>
      </c>
      <c r="B207">
        <v>1200304</v>
      </c>
      <c r="C207">
        <v>4953.12</v>
      </c>
      <c r="D207" s="4">
        <f>+VLOOKUP(A207,Portfolio!$G$3:$I$6,3)</f>
        <v>5</v>
      </c>
      <c r="E207">
        <f t="shared" si="3"/>
        <v>24765.599999999999</v>
      </c>
    </row>
    <row r="208" spans="1:5" x14ac:dyDescent="0.25">
      <c r="A208" t="s">
        <v>0</v>
      </c>
      <c r="B208">
        <v>1200305</v>
      </c>
      <c r="C208">
        <v>4812.5</v>
      </c>
      <c r="D208" s="4">
        <f>+VLOOKUP(A208,Portfolio!$G$3:$I$6,3)</f>
        <v>5</v>
      </c>
      <c r="E208">
        <f t="shared" si="3"/>
        <v>24062.5</v>
      </c>
    </row>
    <row r="209" spans="1:5" x14ac:dyDescent="0.25">
      <c r="A209" t="s">
        <v>0</v>
      </c>
      <c r="B209">
        <v>1200306</v>
      </c>
      <c r="C209">
        <v>5265.62</v>
      </c>
      <c r="D209" s="4">
        <f>+VLOOKUP(A209,Portfolio!$G$3:$I$6,3)</f>
        <v>5</v>
      </c>
      <c r="E209">
        <f t="shared" si="3"/>
        <v>26328.1</v>
      </c>
    </row>
    <row r="210" spans="1:5" x14ac:dyDescent="0.25">
      <c r="A210" t="s">
        <v>0</v>
      </c>
      <c r="B210">
        <v>1200308</v>
      </c>
      <c r="C210">
        <v>7281.25</v>
      </c>
      <c r="D210" s="4">
        <f>+VLOOKUP(A210,Portfolio!$G$3:$I$6,3)</f>
        <v>5</v>
      </c>
      <c r="E210">
        <f t="shared" si="3"/>
        <v>36406.25</v>
      </c>
    </row>
    <row r="211" spans="1:5" x14ac:dyDescent="0.25">
      <c r="A211" t="s">
        <v>0</v>
      </c>
      <c r="B211">
        <v>1200309</v>
      </c>
      <c r="C211">
        <v>7437.5</v>
      </c>
      <c r="D211" s="4">
        <f>+VLOOKUP(A211,Portfolio!$G$3:$I$6,3)</f>
        <v>5</v>
      </c>
      <c r="E211">
        <f t="shared" si="3"/>
        <v>37187.5</v>
      </c>
    </row>
    <row r="212" spans="1:5" x14ac:dyDescent="0.25">
      <c r="A212" t="s">
        <v>0</v>
      </c>
      <c r="B212">
        <v>1200310</v>
      </c>
      <c r="C212">
        <v>8453.1200000000008</v>
      </c>
      <c r="D212" s="4">
        <f>+VLOOKUP(A212,Portfolio!$G$3:$I$6,3)</f>
        <v>5</v>
      </c>
      <c r="E212">
        <f t="shared" si="3"/>
        <v>42265.600000000006</v>
      </c>
    </row>
    <row r="213" spans="1:5" x14ac:dyDescent="0.25">
      <c r="A213" t="s">
        <v>0</v>
      </c>
      <c r="B213">
        <v>1200311</v>
      </c>
      <c r="C213">
        <v>7984.38</v>
      </c>
      <c r="D213" s="4">
        <f>+VLOOKUP(A213,Portfolio!$G$3:$I$6,3)</f>
        <v>5</v>
      </c>
      <c r="E213">
        <f t="shared" si="3"/>
        <v>39921.9</v>
      </c>
    </row>
    <row r="214" spans="1:5" x14ac:dyDescent="0.25">
      <c r="A214" t="s">
        <v>0</v>
      </c>
      <c r="B214">
        <v>1200312</v>
      </c>
      <c r="C214">
        <v>8406.25</v>
      </c>
      <c r="D214" s="4">
        <f>+VLOOKUP(A214,Portfolio!$G$3:$I$6,3)</f>
        <v>5</v>
      </c>
      <c r="E214">
        <f t="shared" si="3"/>
        <v>42031.25</v>
      </c>
    </row>
    <row r="215" spans="1:5" x14ac:dyDescent="0.25">
      <c r="A215" t="s">
        <v>0</v>
      </c>
      <c r="B215">
        <v>1200313</v>
      </c>
      <c r="C215">
        <v>6281.25</v>
      </c>
      <c r="D215" s="4">
        <f>+VLOOKUP(A215,Portfolio!$G$3:$I$6,3)</f>
        <v>5</v>
      </c>
      <c r="E215">
        <f t="shared" si="3"/>
        <v>31406.25</v>
      </c>
    </row>
    <row r="216" spans="1:5" x14ac:dyDescent="0.25">
      <c r="A216" t="s">
        <v>0</v>
      </c>
      <c r="B216">
        <v>1200315</v>
      </c>
      <c r="C216">
        <v>3140.62</v>
      </c>
      <c r="D216" s="4">
        <f>+VLOOKUP(A216,Portfolio!$G$3:$I$6,3)</f>
        <v>5</v>
      </c>
      <c r="E216">
        <f t="shared" si="3"/>
        <v>15703.099999999999</v>
      </c>
    </row>
    <row r="217" spans="1:5" x14ac:dyDescent="0.25">
      <c r="A217" t="s">
        <v>0</v>
      </c>
      <c r="B217">
        <v>1200316</v>
      </c>
      <c r="C217">
        <v>2578.12</v>
      </c>
      <c r="D217" s="4">
        <f>+VLOOKUP(A217,Portfolio!$G$3:$I$6,3)</f>
        <v>5</v>
      </c>
      <c r="E217">
        <f t="shared" si="3"/>
        <v>12890.599999999999</v>
      </c>
    </row>
    <row r="218" spans="1:5" x14ac:dyDescent="0.25">
      <c r="A218" t="s">
        <v>0</v>
      </c>
      <c r="B218">
        <v>1200317</v>
      </c>
      <c r="C218">
        <v>3843.75</v>
      </c>
      <c r="D218" s="4">
        <f>+VLOOKUP(A218,Portfolio!$G$3:$I$6,3)</f>
        <v>5</v>
      </c>
      <c r="E218">
        <f t="shared" si="3"/>
        <v>19218.75</v>
      </c>
    </row>
    <row r="219" spans="1:5" x14ac:dyDescent="0.25">
      <c r="A219" t="s">
        <v>0</v>
      </c>
      <c r="B219">
        <v>1200318</v>
      </c>
      <c r="C219">
        <v>5515.62</v>
      </c>
      <c r="D219" s="4">
        <f>+VLOOKUP(A219,Portfolio!$G$3:$I$6,3)</f>
        <v>5</v>
      </c>
      <c r="E219">
        <f t="shared" si="3"/>
        <v>27578.1</v>
      </c>
    </row>
    <row r="220" spans="1:5" x14ac:dyDescent="0.25">
      <c r="A220" t="s">
        <v>0</v>
      </c>
      <c r="B220">
        <v>1200319</v>
      </c>
      <c r="C220">
        <v>7296.88</v>
      </c>
      <c r="D220" s="4">
        <f>+VLOOKUP(A220,Portfolio!$G$3:$I$6,3)</f>
        <v>5</v>
      </c>
      <c r="E220">
        <f t="shared" si="3"/>
        <v>36484.400000000001</v>
      </c>
    </row>
    <row r="221" spans="1:5" x14ac:dyDescent="0.25">
      <c r="A221" t="s">
        <v>0</v>
      </c>
      <c r="B221">
        <v>1200320</v>
      </c>
      <c r="C221">
        <v>7000</v>
      </c>
      <c r="D221" s="4">
        <f>+VLOOKUP(A221,Portfolio!$G$3:$I$6,3)</f>
        <v>5</v>
      </c>
      <c r="E221">
        <f t="shared" si="3"/>
        <v>35000</v>
      </c>
    </row>
    <row r="222" spans="1:5" x14ac:dyDescent="0.25">
      <c r="A222" t="s">
        <v>0</v>
      </c>
      <c r="B222">
        <v>1200322</v>
      </c>
      <c r="C222">
        <v>9171.8799999999992</v>
      </c>
      <c r="D222" s="4">
        <f>+VLOOKUP(A222,Portfolio!$G$3:$I$6,3)</f>
        <v>5</v>
      </c>
      <c r="E222">
        <f t="shared" si="3"/>
        <v>45859.399999999994</v>
      </c>
    </row>
    <row r="223" spans="1:5" x14ac:dyDescent="0.25">
      <c r="A223" t="s">
        <v>0</v>
      </c>
      <c r="B223">
        <v>1200323</v>
      </c>
      <c r="C223">
        <v>8812.5</v>
      </c>
      <c r="D223" s="4">
        <f>+VLOOKUP(A223,Portfolio!$G$3:$I$6,3)</f>
        <v>5</v>
      </c>
      <c r="E223">
        <f t="shared" si="3"/>
        <v>44062.5</v>
      </c>
    </row>
    <row r="224" spans="1:5" x14ac:dyDescent="0.25">
      <c r="A224" t="s">
        <v>0</v>
      </c>
      <c r="B224">
        <v>1200324</v>
      </c>
      <c r="C224">
        <v>9140.6200000000008</v>
      </c>
      <c r="D224" s="4">
        <f>+VLOOKUP(A224,Portfolio!$G$3:$I$6,3)</f>
        <v>5</v>
      </c>
      <c r="E224">
        <f t="shared" si="3"/>
        <v>45703.100000000006</v>
      </c>
    </row>
    <row r="225" spans="1:5" x14ac:dyDescent="0.25">
      <c r="A225" t="s">
        <v>0</v>
      </c>
      <c r="B225">
        <v>1200325</v>
      </c>
      <c r="C225">
        <v>9203.1200000000008</v>
      </c>
      <c r="D225" s="4">
        <f>+VLOOKUP(A225,Portfolio!$G$3:$I$6,3)</f>
        <v>5</v>
      </c>
      <c r="E225">
        <f t="shared" si="3"/>
        <v>46015.600000000006</v>
      </c>
    </row>
    <row r="226" spans="1:5" x14ac:dyDescent="0.25">
      <c r="A226" t="s">
        <v>0</v>
      </c>
      <c r="B226">
        <v>1200326</v>
      </c>
      <c r="C226">
        <v>9125</v>
      </c>
      <c r="D226" s="4">
        <f>+VLOOKUP(A226,Portfolio!$G$3:$I$6,3)</f>
        <v>5</v>
      </c>
      <c r="E226">
        <f t="shared" si="3"/>
        <v>45625</v>
      </c>
    </row>
    <row r="227" spans="1:5" x14ac:dyDescent="0.25">
      <c r="A227" t="s">
        <v>0</v>
      </c>
      <c r="B227">
        <v>1200327</v>
      </c>
      <c r="C227">
        <v>9140.6200000000008</v>
      </c>
      <c r="D227" s="4">
        <f>+VLOOKUP(A227,Portfolio!$G$3:$I$6,3)</f>
        <v>5</v>
      </c>
      <c r="E227">
        <f t="shared" si="3"/>
        <v>45703.100000000006</v>
      </c>
    </row>
    <row r="228" spans="1:5" x14ac:dyDescent="0.25">
      <c r="A228" t="s">
        <v>0</v>
      </c>
      <c r="B228">
        <v>1200329</v>
      </c>
      <c r="C228">
        <v>10218.75</v>
      </c>
      <c r="D228" s="4">
        <f>+VLOOKUP(A228,Portfolio!$G$3:$I$6,3)</f>
        <v>5</v>
      </c>
      <c r="E228">
        <f t="shared" si="3"/>
        <v>51093.75</v>
      </c>
    </row>
    <row r="229" spans="1:5" x14ac:dyDescent="0.25">
      <c r="A229" t="s">
        <v>0</v>
      </c>
      <c r="B229">
        <v>1200330</v>
      </c>
      <c r="C229">
        <v>10250</v>
      </c>
      <c r="D229" s="4">
        <f>+VLOOKUP(A229,Portfolio!$G$3:$I$6,3)</f>
        <v>5</v>
      </c>
      <c r="E229">
        <f t="shared" si="3"/>
        <v>51250</v>
      </c>
    </row>
    <row r="230" spans="1:5" x14ac:dyDescent="0.25">
      <c r="A230" t="s">
        <v>0</v>
      </c>
      <c r="B230">
        <v>1200331</v>
      </c>
      <c r="C230">
        <v>10078.120000000001</v>
      </c>
      <c r="D230" s="4">
        <f>+VLOOKUP(A230,Portfolio!$G$3:$I$6,3)</f>
        <v>5</v>
      </c>
      <c r="E230">
        <f t="shared" si="3"/>
        <v>50390.600000000006</v>
      </c>
    </row>
    <row r="231" spans="1:5" x14ac:dyDescent="0.25">
      <c r="A231" t="s">
        <v>0</v>
      </c>
      <c r="B231">
        <v>1200401</v>
      </c>
      <c r="C231">
        <v>10515.62</v>
      </c>
      <c r="D231" s="4">
        <f>+VLOOKUP(A231,Portfolio!$G$3:$I$6,3)</f>
        <v>5</v>
      </c>
      <c r="E231">
        <f t="shared" si="3"/>
        <v>52578.100000000006</v>
      </c>
    </row>
    <row r="232" spans="1:5" x14ac:dyDescent="0.25">
      <c r="A232" t="s">
        <v>0</v>
      </c>
      <c r="B232">
        <v>1200402</v>
      </c>
      <c r="C232">
        <v>10375</v>
      </c>
      <c r="D232" s="4">
        <f>+VLOOKUP(A232,Portfolio!$G$3:$I$6,3)</f>
        <v>5</v>
      </c>
      <c r="E232">
        <f t="shared" si="3"/>
        <v>51875</v>
      </c>
    </row>
    <row r="233" spans="1:5" x14ac:dyDescent="0.25">
      <c r="A233" t="s">
        <v>0</v>
      </c>
      <c r="B233">
        <v>1200403</v>
      </c>
      <c r="C233">
        <v>10109.379999999999</v>
      </c>
      <c r="D233" s="4">
        <f>+VLOOKUP(A233,Portfolio!$G$3:$I$6,3)</f>
        <v>5</v>
      </c>
      <c r="E233">
        <f t="shared" si="3"/>
        <v>50546.899999999994</v>
      </c>
    </row>
    <row r="234" spans="1:5" x14ac:dyDescent="0.25">
      <c r="A234" t="s">
        <v>0</v>
      </c>
      <c r="B234">
        <v>1200405</v>
      </c>
      <c r="C234">
        <v>9843.75</v>
      </c>
      <c r="D234" s="4">
        <f>+VLOOKUP(A234,Portfolio!$G$3:$I$6,3)</f>
        <v>5</v>
      </c>
      <c r="E234">
        <f t="shared" si="3"/>
        <v>49218.75</v>
      </c>
    </row>
    <row r="235" spans="1:5" x14ac:dyDescent="0.25">
      <c r="A235" t="s">
        <v>0</v>
      </c>
      <c r="B235">
        <v>1200406</v>
      </c>
      <c r="C235">
        <v>9609.3799999999992</v>
      </c>
      <c r="D235" s="4">
        <f>+VLOOKUP(A235,Portfolio!$G$3:$I$6,3)</f>
        <v>5</v>
      </c>
      <c r="E235">
        <f t="shared" si="3"/>
        <v>48046.899999999994</v>
      </c>
    </row>
    <row r="236" spans="1:5" x14ac:dyDescent="0.25">
      <c r="A236" t="s">
        <v>0</v>
      </c>
      <c r="B236">
        <v>1200407</v>
      </c>
      <c r="C236">
        <v>9125</v>
      </c>
      <c r="D236" s="4">
        <f>+VLOOKUP(A236,Portfolio!$G$3:$I$6,3)</f>
        <v>5</v>
      </c>
      <c r="E236">
        <f t="shared" si="3"/>
        <v>45625</v>
      </c>
    </row>
    <row r="237" spans="1:5" x14ac:dyDescent="0.25">
      <c r="A237" t="s">
        <v>0</v>
      </c>
      <c r="B237">
        <v>1200408</v>
      </c>
      <c r="C237">
        <v>8343.75</v>
      </c>
      <c r="D237" s="4">
        <f>+VLOOKUP(A237,Portfolio!$G$3:$I$6,3)</f>
        <v>5</v>
      </c>
      <c r="E237">
        <f t="shared" si="3"/>
        <v>41718.75</v>
      </c>
    </row>
    <row r="238" spans="1:5" x14ac:dyDescent="0.25">
      <c r="A238" t="s">
        <v>0</v>
      </c>
      <c r="B238">
        <v>1200409</v>
      </c>
      <c r="C238">
        <v>8375</v>
      </c>
      <c r="D238" s="4">
        <f>+VLOOKUP(A238,Portfolio!$G$3:$I$6,3)</f>
        <v>5</v>
      </c>
      <c r="E238">
        <f t="shared" si="3"/>
        <v>41875</v>
      </c>
    </row>
    <row r="239" spans="1:5" x14ac:dyDescent="0.25">
      <c r="A239" t="s">
        <v>0</v>
      </c>
      <c r="B239">
        <v>1200412</v>
      </c>
      <c r="C239">
        <v>8281.25</v>
      </c>
      <c r="D239" s="4">
        <f>+VLOOKUP(A239,Portfolio!$G$3:$I$6,3)</f>
        <v>5</v>
      </c>
      <c r="E239">
        <f t="shared" si="3"/>
        <v>41406.25</v>
      </c>
    </row>
    <row r="240" spans="1:5" x14ac:dyDescent="0.25">
      <c r="A240" t="s">
        <v>0</v>
      </c>
      <c r="B240">
        <v>1200413</v>
      </c>
      <c r="C240">
        <v>8203.1200000000008</v>
      </c>
      <c r="D240" s="4">
        <f>+VLOOKUP(A240,Portfolio!$G$3:$I$6,3)</f>
        <v>5</v>
      </c>
      <c r="E240">
        <f t="shared" si="3"/>
        <v>41015.600000000006</v>
      </c>
    </row>
    <row r="241" spans="1:5" x14ac:dyDescent="0.25">
      <c r="A241" t="s">
        <v>0</v>
      </c>
      <c r="B241">
        <v>1200414</v>
      </c>
      <c r="C241">
        <v>8406.25</v>
      </c>
      <c r="D241" s="4">
        <f>+VLOOKUP(A241,Portfolio!$G$3:$I$6,3)</f>
        <v>5</v>
      </c>
      <c r="E241">
        <f t="shared" si="3"/>
        <v>42031.25</v>
      </c>
    </row>
    <row r="242" spans="1:5" x14ac:dyDescent="0.25">
      <c r="A242" t="s">
        <v>0</v>
      </c>
      <c r="B242">
        <v>1200415</v>
      </c>
      <c r="C242">
        <v>8140.62</v>
      </c>
      <c r="D242" s="4">
        <f>+VLOOKUP(A242,Portfolio!$G$3:$I$6,3)</f>
        <v>5</v>
      </c>
      <c r="E242">
        <f t="shared" si="3"/>
        <v>40703.1</v>
      </c>
    </row>
    <row r="243" spans="1:5" x14ac:dyDescent="0.25">
      <c r="A243" t="s">
        <v>0</v>
      </c>
      <c r="B243">
        <v>1200416</v>
      </c>
      <c r="C243">
        <v>8953.1200000000008</v>
      </c>
      <c r="D243" s="4">
        <f>+VLOOKUP(A243,Portfolio!$G$3:$I$6,3)</f>
        <v>5</v>
      </c>
      <c r="E243">
        <f t="shared" si="3"/>
        <v>44765.600000000006</v>
      </c>
    </row>
    <row r="244" spans="1:5" x14ac:dyDescent="0.25">
      <c r="A244" t="s">
        <v>0</v>
      </c>
      <c r="B244">
        <v>1200417</v>
      </c>
      <c r="C244">
        <v>8546.8799999999992</v>
      </c>
      <c r="D244" s="4">
        <f>+VLOOKUP(A244,Portfolio!$G$3:$I$6,3)</f>
        <v>5</v>
      </c>
      <c r="E244">
        <f t="shared" si="3"/>
        <v>42734.399999999994</v>
      </c>
    </row>
    <row r="245" spans="1:5" x14ac:dyDescent="0.25">
      <c r="A245" t="s">
        <v>0</v>
      </c>
      <c r="B245">
        <v>1200419</v>
      </c>
      <c r="C245">
        <v>8921.8799999999992</v>
      </c>
      <c r="D245" s="4">
        <f>+VLOOKUP(A245,Portfolio!$G$3:$I$6,3)</f>
        <v>5</v>
      </c>
      <c r="E245">
        <f t="shared" si="3"/>
        <v>44609.399999999994</v>
      </c>
    </row>
    <row r="246" spans="1:5" x14ac:dyDescent="0.25">
      <c r="A246" t="s">
        <v>0</v>
      </c>
      <c r="B246">
        <v>1200420</v>
      </c>
      <c r="C246">
        <v>8937.5</v>
      </c>
      <c r="D246" s="4">
        <f>+VLOOKUP(A246,Portfolio!$G$3:$I$6,3)</f>
        <v>5</v>
      </c>
      <c r="E246">
        <f t="shared" si="3"/>
        <v>44687.5</v>
      </c>
    </row>
    <row r="247" spans="1:5" x14ac:dyDescent="0.25">
      <c r="A247" t="s">
        <v>0</v>
      </c>
      <c r="B247">
        <v>1200421</v>
      </c>
      <c r="C247">
        <v>9140.6200000000008</v>
      </c>
      <c r="D247" s="4">
        <f>+VLOOKUP(A247,Portfolio!$G$3:$I$6,3)</f>
        <v>5</v>
      </c>
      <c r="E247">
        <f t="shared" si="3"/>
        <v>45703.100000000006</v>
      </c>
    </row>
    <row r="248" spans="1:5" x14ac:dyDescent="0.25">
      <c r="A248" t="s">
        <v>0</v>
      </c>
      <c r="B248">
        <v>1200422</v>
      </c>
      <c r="C248">
        <v>9375</v>
      </c>
      <c r="D248" s="4">
        <f>+VLOOKUP(A248,Portfolio!$G$3:$I$6,3)</f>
        <v>5</v>
      </c>
      <c r="E248">
        <f t="shared" si="3"/>
        <v>46875</v>
      </c>
    </row>
    <row r="249" spans="1:5" x14ac:dyDescent="0.25">
      <c r="A249" t="s">
        <v>0</v>
      </c>
      <c r="B249">
        <v>1200423</v>
      </c>
      <c r="C249">
        <v>9375</v>
      </c>
      <c r="D249" s="4">
        <f>+VLOOKUP(A249,Portfolio!$G$3:$I$6,3)</f>
        <v>5</v>
      </c>
      <c r="E249">
        <f t="shared" si="3"/>
        <v>46875</v>
      </c>
    </row>
    <row r="250" spans="1:5" x14ac:dyDescent="0.25">
      <c r="A250" t="s">
        <v>0</v>
      </c>
      <c r="B250">
        <v>1200424</v>
      </c>
      <c r="C250">
        <v>9375</v>
      </c>
      <c r="D250" s="4">
        <f>+VLOOKUP(A250,Portfolio!$G$3:$I$6,3)</f>
        <v>5</v>
      </c>
      <c r="E250">
        <f t="shared" si="3"/>
        <v>46875</v>
      </c>
    </row>
    <row r="251" spans="1:5" x14ac:dyDescent="0.25">
      <c r="A251" t="s">
        <v>0</v>
      </c>
      <c r="B251">
        <v>1200426</v>
      </c>
      <c r="C251">
        <v>9453.1200000000008</v>
      </c>
      <c r="D251" s="4">
        <f>+VLOOKUP(A251,Portfolio!$G$3:$I$6,3)</f>
        <v>5</v>
      </c>
      <c r="E251">
        <f t="shared" si="3"/>
        <v>47265.600000000006</v>
      </c>
    </row>
    <row r="252" spans="1:5" x14ac:dyDescent="0.25">
      <c r="A252" t="s">
        <v>0</v>
      </c>
      <c r="B252">
        <v>1200427</v>
      </c>
      <c r="C252">
        <v>9656.25</v>
      </c>
      <c r="D252" s="4">
        <f>+VLOOKUP(A252,Portfolio!$G$3:$I$6,3)</f>
        <v>5</v>
      </c>
      <c r="E252">
        <f t="shared" si="3"/>
        <v>48281.25</v>
      </c>
    </row>
    <row r="253" spans="1:5" x14ac:dyDescent="0.25">
      <c r="A253" t="s">
        <v>0</v>
      </c>
      <c r="B253">
        <v>1200428</v>
      </c>
      <c r="C253">
        <v>9812.5</v>
      </c>
      <c r="D253" s="4">
        <f>+VLOOKUP(A253,Portfolio!$G$3:$I$6,3)</f>
        <v>5</v>
      </c>
      <c r="E253">
        <f t="shared" si="3"/>
        <v>49062.5</v>
      </c>
    </row>
    <row r="254" spans="1:5" x14ac:dyDescent="0.25">
      <c r="A254" t="s">
        <v>0</v>
      </c>
      <c r="B254">
        <v>1200429</v>
      </c>
      <c r="C254">
        <v>10000</v>
      </c>
      <c r="D254" s="4">
        <f>+VLOOKUP(A254,Portfolio!$G$3:$I$6,3)</f>
        <v>5</v>
      </c>
      <c r="E254">
        <f t="shared" si="3"/>
        <v>50000</v>
      </c>
    </row>
    <row r="255" spans="1:5" x14ac:dyDescent="0.25">
      <c r="A255" t="s">
        <v>0</v>
      </c>
      <c r="B255">
        <v>1200430</v>
      </c>
      <c r="C255">
        <v>10125</v>
      </c>
      <c r="D255" s="4">
        <f>+VLOOKUP(A255,Portfolio!$G$3:$I$6,3)</f>
        <v>5</v>
      </c>
      <c r="E255">
        <f t="shared" si="3"/>
        <v>50625</v>
      </c>
    </row>
    <row r="256" spans="1:5" x14ac:dyDescent="0.25">
      <c r="A256" t="s">
        <v>0</v>
      </c>
      <c r="B256">
        <v>1200501</v>
      </c>
      <c r="C256">
        <v>10109.379999999999</v>
      </c>
      <c r="D256" s="4">
        <f>+VLOOKUP(A256,Portfolio!$G$3:$I$6,3)</f>
        <v>5</v>
      </c>
      <c r="E256">
        <f t="shared" si="3"/>
        <v>50546.899999999994</v>
      </c>
    </row>
    <row r="257" spans="1:5" x14ac:dyDescent="0.25">
      <c r="A257" t="s">
        <v>0</v>
      </c>
      <c r="B257">
        <v>1200503</v>
      </c>
      <c r="C257">
        <v>9828.1200000000008</v>
      </c>
      <c r="D257" s="4">
        <f>+VLOOKUP(A257,Portfolio!$G$3:$I$6,3)</f>
        <v>5</v>
      </c>
      <c r="E257">
        <f t="shared" si="3"/>
        <v>49140.600000000006</v>
      </c>
    </row>
    <row r="258" spans="1:5" x14ac:dyDescent="0.25">
      <c r="A258" t="s">
        <v>0</v>
      </c>
      <c r="B258">
        <v>1200504</v>
      </c>
      <c r="C258">
        <v>9812.5</v>
      </c>
      <c r="D258" s="4">
        <f>+VLOOKUP(A258,Portfolio!$G$3:$I$6,3)</f>
        <v>5</v>
      </c>
      <c r="E258">
        <f t="shared" si="3"/>
        <v>49062.5</v>
      </c>
    </row>
    <row r="259" spans="1:5" x14ac:dyDescent="0.25">
      <c r="A259" t="s">
        <v>0</v>
      </c>
      <c r="B259">
        <v>1200505</v>
      </c>
      <c r="C259">
        <v>10109.379999999999</v>
      </c>
      <c r="D259" s="4">
        <f>+VLOOKUP(A259,Portfolio!$G$3:$I$6,3)</f>
        <v>5</v>
      </c>
      <c r="E259">
        <f t="shared" ref="E259:E322" si="4">+C259*D259</f>
        <v>50546.899999999994</v>
      </c>
    </row>
    <row r="260" spans="1:5" x14ac:dyDescent="0.25">
      <c r="A260" t="s">
        <v>0</v>
      </c>
      <c r="B260">
        <v>1200506</v>
      </c>
      <c r="C260">
        <v>10234.379999999999</v>
      </c>
      <c r="D260" s="4">
        <f>+VLOOKUP(A260,Portfolio!$G$3:$I$6,3)</f>
        <v>5</v>
      </c>
      <c r="E260">
        <f t="shared" si="4"/>
        <v>51171.899999999994</v>
      </c>
    </row>
    <row r="261" spans="1:5" x14ac:dyDescent="0.25">
      <c r="A261" t="s">
        <v>0</v>
      </c>
      <c r="B261">
        <v>1200507</v>
      </c>
      <c r="C261">
        <v>10281.25</v>
      </c>
      <c r="D261" s="4">
        <f>+VLOOKUP(A261,Portfolio!$G$3:$I$6,3)</f>
        <v>5</v>
      </c>
      <c r="E261">
        <f t="shared" si="4"/>
        <v>51406.25</v>
      </c>
    </row>
    <row r="262" spans="1:5" x14ac:dyDescent="0.25">
      <c r="A262" t="s">
        <v>0</v>
      </c>
      <c r="B262">
        <v>1200508</v>
      </c>
      <c r="C262">
        <v>10640.62</v>
      </c>
      <c r="D262" s="4">
        <f>+VLOOKUP(A262,Portfolio!$G$3:$I$6,3)</f>
        <v>5</v>
      </c>
      <c r="E262">
        <f t="shared" si="4"/>
        <v>53203.100000000006</v>
      </c>
    </row>
    <row r="263" spans="1:5" x14ac:dyDescent="0.25">
      <c r="A263" t="s">
        <v>0</v>
      </c>
      <c r="B263">
        <v>1200510</v>
      </c>
      <c r="C263">
        <v>10843.75</v>
      </c>
      <c r="D263" s="4">
        <f>+VLOOKUP(A263,Portfolio!$G$3:$I$6,3)</f>
        <v>5</v>
      </c>
      <c r="E263">
        <f t="shared" si="4"/>
        <v>54218.75</v>
      </c>
    </row>
    <row r="264" spans="1:5" x14ac:dyDescent="0.25">
      <c r="A264" t="s">
        <v>0</v>
      </c>
      <c r="B264">
        <v>1200511</v>
      </c>
      <c r="C264">
        <v>10859.38</v>
      </c>
      <c r="D264" s="4">
        <f>+VLOOKUP(A264,Portfolio!$G$3:$I$6,3)</f>
        <v>5</v>
      </c>
      <c r="E264">
        <f t="shared" si="4"/>
        <v>54296.899999999994</v>
      </c>
    </row>
    <row r="265" spans="1:5" x14ac:dyDescent="0.25">
      <c r="A265" t="s">
        <v>0</v>
      </c>
      <c r="B265">
        <v>1200512</v>
      </c>
      <c r="C265">
        <v>10656.25</v>
      </c>
      <c r="D265" s="4">
        <f>+VLOOKUP(A265,Portfolio!$G$3:$I$6,3)</f>
        <v>5</v>
      </c>
      <c r="E265">
        <f t="shared" si="4"/>
        <v>53281.25</v>
      </c>
    </row>
    <row r="266" spans="1:5" x14ac:dyDescent="0.25">
      <c r="A266" t="s">
        <v>0</v>
      </c>
      <c r="B266">
        <v>1200513</v>
      </c>
      <c r="C266">
        <v>9921.8799999999992</v>
      </c>
      <c r="D266" s="4">
        <f>+VLOOKUP(A266,Portfolio!$G$3:$I$6,3)</f>
        <v>5</v>
      </c>
      <c r="E266">
        <f t="shared" si="4"/>
        <v>49609.399999999994</v>
      </c>
    </row>
    <row r="267" spans="1:5" x14ac:dyDescent="0.25">
      <c r="A267" t="s">
        <v>0</v>
      </c>
      <c r="B267">
        <v>1200514</v>
      </c>
      <c r="C267">
        <v>9500</v>
      </c>
      <c r="D267" s="4">
        <f>+VLOOKUP(A267,Portfolio!$G$3:$I$6,3)</f>
        <v>5</v>
      </c>
      <c r="E267">
        <f t="shared" si="4"/>
        <v>47500</v>
      </c>
    </row>
    <row r="268" spans="1:5" x14ac:dyDescent="0.25">
      <c r="A268" t="s">
        <v>0</v>
      </c>
      <c r="B268">
        <v>1200515</v>
      </c>
      <c r="C268">
        <v>9578.1200000000008</v>
      </c>
      <c r="D268" s="4">
        <f>+VLOOKUP(A268,Portfolio!$G$3:$I$6,3)</f>
        <v>5</v>
      </c>
      <c r="E268">
        <f t="shared" si="4"/>
        <v>47890.600000000006</v>
      </c>
    </row>
    <row r="269" spans="1:5" x14ac:dyDescent="0.25">
      <c r="A269" t="s">
        <v>0</v>
      </c>
      <c r="B269">
        <v>1200517</v>
      </c>
      <c r="C269">
        <v>9531.25</v>
      </c>
      <c r="D269" s="4">
        <f>+VLOOKUP(A269,Portfolio!$G$3:$I$6,3)</f>
        <v>5</v>
      </c>
      <c r="E269">
        <f t="shared" si="4"/>
        <v>47656.25</v>
      </c>
    </row>
    <row r="270" spans="1:5" x14ac:dyDescent="0.25">
      <c r="A270" t="s">
        <v>0</v>
      </c>
      <c r="B270">
        <v>1200518</v>
      </c>
      <c r="C270">
        <v>9500</v>
      </c>
      <c r="D270" s="4">
        <f>+VLOOKUP(A270,Portfolio!$G$3:$I$6,3)</f>
        <v>5</v>
      </c>
      <c r="E270">
        <f t="shared" si="4"/>
        <v>47500</v>
      </c>
    </row>
    <row r="271" spans="1:5" x14ac:dyDescent="0.25">
      <c r="A271" t="s">
        <v>0</v>
      </c>
      <c r="B271">
        <v>1200519</v>
      </c>
      <c r="C271">
        <v>10015.620000000001</v>
      </c>
      <c r="D271" s="4">
        <f>+VLOOKUP(A271,Portfolio!$G$3:$I$6,3)</f>
        <v>5</v>
      </c>
      <c r="E271">
        <f t="shared" si="4"/>
        <v>50078.100000000006</v>
      </c>
    </row>
    <row r="272" spans="1:5" x14ac:dyDescent="0.25">
      <c r="A272" t="s">
        <v>0</v>
      </c>
      <c r="B272">
        <v>1200520</v>
      </c>
      <c r="C272">
        <v>10000</v>
      </c>
      <c r="D272" s="4">
        <f>+VLOOKUP(A272,Portfolio!$G$3:$I$6,3)</f>
        <v>5</v>
      </c>
      <c r="E272">
        <f t="shared" si="4"/>
        <v>50000</v>
      </c>
    </row>
    <row r="273" spans="1:5" x14ac:dyDescent="0.25">
      <c r="A273" t="s">
        <v>0</v>
      </c>
      <c r="B273">
        <v>1200521</v>
      </c>
      <c r="C273">
        <v>9625</v>
      </c>
      <c r="D273" s="4">
        <f>+VLOOKUP(A273,Portfolio!$G$3:$I$6,3)</f>
        <v>5</v>
      </c>
      <c r="E273">
        <f t="shared" si="4"/>
        <v>48125</v>
      </c>
    </row>
    <row r="274" spans="1:5" x14ac:dyDescent="0.25">
      <c r="A274" t="s">
        <v>0</v>
      </c>
      <c r="B274">
        <v>1200522</v>
      </c>
      <c r="C274">
        <v>9656.25</v>
      </c>
      <c r="D274" s="4">
        <f>+VLOOKUP(A274,Portfolio!$G$3:$I$6,3)</f>
        <v>5</v>
      </c>
      <c r="E274">
        <f t="shared" si="4"/>
        <v>48281.25</v>
      </c>
    </row>
    <row r="275" spans="1:5" x14ac:dyDescent="0.25">
      <c r="A275" t="s">
        <v>0</v>
      </c>
      <c r="B275">
        <v>1200524</v>
      </c>
      <c r="C275">
        <v>9578.1200000000008</v>
      </c>
      <c r="D275" s="4">
        <f>+VLOOKUP(A275,Portfolio!$G$3:$I$6,3)</f>
        <v>5</v>
      </c>
      <c r="E275">
        <f t="shared" si="4"/>
        <v>47890.600000000006</v>
      </c>
    </row>
    <row r="276" spans="1:5" x14ac:dyDescent="0.25">
      <c r="A276" t="s">
        <v>0</v>
      </c>
      <c r="B276">
        <v>1200525</v>
      </c>
      <c r="C276">
        <v>9609.3799999999992</v>
      </c>
      <c r="D276" s="4">
        <f>+VLOOKUP(A276,Portfolio!$G$3:$I$6,3)</f>
        <v>5</v>
      </c>
      <c r="E276">
        <f t="shared" si="4"/>
        <v>48046.899999999994</v>
      </c>
    </row>
    <row r="277" spans="1:5" x14ac:dyDescent="0.25">
      <c r="A277" t="s">
        <v>0</v>
      </c>
      <c r="B277">
        <v>1200526</v>
      </c>
      <c r="C277">
        <v>9390.6200000000008</v>
      </c>
      <c r="D277" s="4">
        <f>+VLOOKUP(A277,Portfolio!$G$3:$I$6,3)</f>
        <v>5</v>
      </c>
      <c r="E277">
        <f t="shared" si="4"/>
        <v>46953.100000000006</v>
      </c>
    </row>
    <row r="278" spans="1:5" x14ac:dyDescent="0.25">
      <c r="A278" t="s">
        <v>0</v>
      </c>
      <c r="B278">
        <v>1200527</v>
      </c>
      <c r="C278">
        <v>9031.25</v>
      </c>
      <c r="D278" s="4">
        <f>+VLOOKUP(A278,Portfolio!$G$3:$I$6,3)</f>
        <v>5</v>
      </c>
      <c r="E278">
        <f t="shared" si="4"/>
        <v>45156.25</v>
      </c>
    </row>
    <row r="279" spans="1:5" x14ac:dyDescent="0.25">
      <c r="A279" t="s">
        <v>0</v>
      </c>
      <c r="B279">
        <v>1200528</v>
      </c>
      <c r="C279">
        <v>8796.8799999999992</v>
      </c>
      <c r="D279" s="4">
        <f>+VLOOKUP(A279,Portfolio!$G$3:$I$6,3)</f>
        <v>5</v>
      </c>
      <c r="E279">
        <f t="shared" si="4"/>
        <v>43984.399999999994</v>
      </c>
    </row>
    <row r="280" spans="1:5" x14ac:dyDescent="0.25">
      <c r="A280" t="s">
        <v>0</v>
      </c>
      <c r="B280">
        <v>1200529</v>
      </c>
      <c r="C280">
        <v>8421.8799999999992</v>
      </c>
      <c r="D280" s="4">
        <f>+VLOOKUP(A280,Portfolio!$G$3:$I$6,3)</f>
        <v>5</v>
      </c>
      <c r="E280">
        <f t="shared" si="4"/>
        <v>42109.399999999994</v>
      </c>
    </row>
    <row r="281" spans="1:5" x14ac:dyDescent="0.25">
      <c r="A281" t="s">
        <v>0</v>
      </c>
      <c r="B281">
        <v>1200531</v>
      </c>
      <c r="C281">
        <v>8484.3799999999992</v>
      </c>
      <c r="D281" s="4">
        <f>+VLOOKUP(A281,Portfolio!$G$3:$I$6,3)</f>
        <v>5</v>
      </c>
      <c r="E281">
        <f t="shared" si="4"/>
        <v>42421.899999999994</v>
      </c>
    </row>
    <row r="282" spans="1:5" x14ac:dyDescent="0.25">
      <c r="A282" t="s">
        <v>0</v>
      </c>
      <c r="B282">
        <v>1200601</v>
      </c>
      <c r="C282">
        <v>8406.25</v>
      </c>
      <c r="D282" s="4">
        <f>+VLOOKUP(A282,Portfolio!$G$3:$I$6,3)</f>
        <v>5</v>
      </c>
      <c r="E282">
        <f t="shared" si="4"/>
        <v>42031.25</v>
      </c>
    </row>
    <row r="283" spans="1:5" x14ac:dyDescent="0.25">
      <c r="A283" t="s">
        <v>0</v>
      </c>
      <c r="B283">
        <v>1200602</v>
      </c>
      <c r="C283">
        <v>8062.5</v>
      </c>
      <c r="D283" s="4">
        <f>+VLOOKUP(A283,Portfolio!$G$3:$I$6,3)</f>
        <v>5</v>
      </c>
      <c r="E283">
        <f t="shared" si="4"/>
        <v>40312.5</v>
      </c>
    </row>
    <row r="284" spans="1:5" x14ac:dyDescent="0.25">
      <c r="A284" t="s">
        <v>0</v>
      </c>
      <c r="B284">
        <v>1200603</v>
      </c>
      <c r="C284">
        <v>8390.6200000000008</v>
      </c>
      <c r="D284" s="4">
        <f>+VLOOKUP(A284,Portfolio!$G$3:$I$6,3)</f>
        <v>5</v>
      </c>
      <c r="E284">
        <f t="shared" si="4"/>
        <v>41953.100000000006</v>
      </c>
    </row>
    <row r="285" spans="1:5" x14ac:dyDescent="0.25">
      <c r="A285" t="s">
        <v>0</v>
      </c>
      <c r="B285">
        <v>1200604</v>
      </c>
      <c r="C285">
        <v>8734.3799999999992</v>
      </c>
      <c r="D285" s="4">
        <f>+VLOOKUP(A285,Portfolio!$G$3:$I$6,3)</f>
        <v>5</v>
      </c>
      <c r="E285">
        <f t="shared" si="4"/>
        <v>43671.899999999994</v>
      </c>
    </row>
    <row r="286" spans="1:5" x14ac:dyDescent="0.25">
      <c r="A286" t="s">
        <v>0</v>
      </c>
      <c r="B286">
        <v>1200605</v>
      </c>
      <c r="C286">
        <v>9359.3799999999992</v>
      </c>
      <c r="D286" s="4">
        <f>+VLOOKUP(A286,Portfolio!$G$3:$I$6,3)</f>
        <v>5</v>
      </c>
      <c r="E286">
        <f t="shared" si="4"/>
        <v>46796.899999999994</v>
      </c>
    </row>
    <row r="287" spans="1:5" x14ac:dyDescent="0.25">
      <c r="A287" t="s">
        <v>0</v>
      </c>
      <c r="B287">
        <v>1200607</v>
      </c>
      <c r="C287">
        <v>9984.3799999999992</v>
      </c>
      <c r="D287" s="4">
        <f>+VLOOKUP(A287,Portfolio!$G$3:$I$6,3)</f>
        <v>5</v>
      </c>
      <c r="E287">
        <f t="shared" si="4"/>
        <v>49921.899999999994</v>
      </c>
    </row>
    <row r="288" spans="1:5" x14ac:dyDescent="0.25">
      <c r="A288" t="s">
        <v>0</v>
      </c>
      <c r="B288">
        <v>1200608</v>
      </c>
      <c r="C288">
        <v>9953.1200000000008</v>
      </c>
      <c r="D288" s="4">
        <f>+VLOOKUP(A288,Portfolio!$G$3:$I$6,3)</f>
        <v>5</v>
      </c>
      <c r="E288">
        <f t="shared" si="4"/>
        <v>49765.600000000006</v>
      </c>
    </row>
    <row r="289" spans="1:5" x14ac:dyDescent="0.25">
      <c r="A289" t="s">
        <v>0</v>
      </c>
      <c r="B289">
        <v>1200609</v>
      </c>
      <c r="C289">
        <v>10265.620000000001</v>
      </c>
      <c r="D289" s="4">
        <f>+VLOOKUP(A289,Portfolio!$G$3:$I$6,3)</f>
        <v>5</v>
      </c>
      <c r="E289">
        <f t="shared" si="4"/>
        <v>51328.100000000006</v>
      </c>
    </row>
    <row r="290" spans="1:5" x14ac:dyDescent="0.25">
      <c r="A290" t="s">
        <v>0</v>
      </c>
      <c r="B290">
        <v>1200610</v>
      </c>
      <c r="C290">
        <v>10406.25</v>
      </c>
      <c r="D290" s="4">
        <f>+VLOOKUP(A290,Portfolio!$G$3:$I$6,3)</f>
        <v>5</v>
      </c>
      <c r="E290">
        <f t="shared" si="4"/>
        <v>52031.25</v>
      </c>
    </row>
    <row r="291" spans="1:5" x14ac:dyDescent="0.25">
      <c r="A291" t="s">
        <v>0</v>
      </c>
      <c r="B291">
        <v>1200611</v>
      </c>
      <c r="C291">
        <v>11359.38</v>
      </c>
      <c r="D291" s="4">
        <f>+VLOOKUP(A291,Portfolio!$G$3:$I$6,3)</f>
        <v>5</v>
      </c>
      <c r="E291">
        <f t="shared" si="4"/>
        <v>56796.899999999994</v>
      </c>
    </row>
    <row r="292" spans="1:5" x14ac:dyDescent="0.25">
      <c r="A292" t="s">
        <v>0</v>
      </c>
      <c r="B292">
        <v>1200612</v>
      </c>
      <c r="C292">
        <v>11375</v>
      </c>
      <c r="D292" s="4">
        <f>+VLOOKUP(A292,Portfolio!$G$3:$I$6,3)</f>
        <v>5</v>
      </c>
      <c r="E292">
        <f t="shared" si="4"/>
        <v>56875</v>
      </c>
    </row>
    <row r="293" spans="1:5" x14ac:dyDescent="0.25">
      <c r="A293" t="s">
        <v>0</v>
      </c>
      <c r="B293">
        <v>1200614</v>
      </c>
      <c r="C293">
        <v>11437.5</v>
      </c>
      <c r="D293" s="4">
        <f>+VLOOKUP(A293,Portfolio!$G$3:$I$6,3)</f>
        <v>5</v>
      </c>
      <c r="E293">
        <f t="shared" si="4"/>
        <v>57187.5</v>
      </c>
    </row>
    <row r="294" spans="1:5" x14ac:dyDescent="0.25">
      <c r="A294" t="s">
        <v>0</v>
      </c>
      <c r="B294">
        <v>1200615</v>
      </c>
      <c r="C294">
        <v>11671.88</v>
      </c>
      <c r="D294" s="4">
        <f>+VLOOKUP(A294,Portfolio!$G$3:$I$6,3)</f>
        <v>5</v>
      </c>
      <c r="E294">
        <f t="shared" si="4"/>
        <v>58359.399999999994</v>
      </c>
    </row>
    <row r="295" spans="1:5" x14ac:dyDescent="0.25">
      <c r="A295" t="s">
        <v>0</v>
      </c>
      <c r="B295">
        <v>1200616</v>
      </c>
      <c r="C295">
        <v>11718.75</v>
      </c>
      <c r="D295" s="4">
        <f>+VLOOKUP(A295,Portfolio!$G$3:$I$6,3)</f>
        <v>5</v>
      </c>
      <c r="E295">
        <f t="shared" si="4"/>
        <v>58593.75</v>
      </c>
    </row>
    <row r="296" spans="1:5" x14ac:dyDescent="0.25">
      <c r="A296" t="s">
        <v>0</v>
      </c>
      <c r="B296">
        <v>1200617</v>
      </c>
      <c r="C296">
        <v>11578.12</v>
      </c>
      <c r="D296" s="4">
        <f>+VLOOKUP(A296,Portfolio!$G$3:$I$6,3)</f>
        <v>5</v>
      </c>
      <c r="E296">
        <f t="shared" si="4"/>
        <v>57890.600000000006</v>
      </c>
    </row>
    <row r="297" spans="1:5" x14ac:dyDescent="0.25">
      <c r="A297" t="s">
        <v>0</v>
      </c>
      <c r="B297">
        <v>1200618</v>
      </c>
      <c r="C297">
        <v>11703.12</v>
      </c>
      <c r="D297" s="4">
        <f>+VLOOKUP(A297,Portfolio!$G$3:$I$6,3)</f>
        <v>5</v>
      </c>
      <c r="E297">
        <f t="shared" si="4"/>
        <v>58515.600000000006</v>
      </c>
    </row>
    <row r="298" spans="1:5" x14ac:dyDescent="0.25">
      <c r="A298" t="s">
        <v>0</v>
      </c>
      <c r="B298">
        <v>1200619</v>
      </c>
      <c r="C298">
        <v>11718.75</v>
      </c>
      <c r="D298" s="4">
        <f>+VLOOKUP(A298,Portfolio!$G$3:$I$6,3)</f>
        <v>5</v>
      </c>
      <c r="E298">
        <f t="shared" si="4"/>
        <v>58593.75</v>
      </c>
    </row>
    <row r="299" spans="1:5" x14ac:dyDescent="0.25">
      <c r="A299" t="s">
        <v>0</v>
      </c>
      <c r="B299">
        <v>1200621</v>
      </c>
      <c r="C299">
        <v>11250</v>
      </c>
      <c r="D299" s="4">
        <f>+VLOOKUP(A299,Portfolio!$G$3:$I$6,3)</f>
        <v>5</v>
      </c>
      <c r="E299">
        <f t="shared" si="4"/>
        <v>56250</v>
      </c>
    </row>
    <row r="300" spans="1:5" x14ac:dyDescent="0.25">
      <c r="A300" t="s">
        <v>0</v>
      </c>
      <c r="B300">
        <v>1200622</v>
      </c>
      <c r="C300">
        <v>11265.62</v>
      </c>
      <c r="D300" s="4">
        <f>+VLOOKUP(A300,Portfolio!$G$3:$I$6,3)</f>
        <v>5</v>
      </c>
      <c r="E300">
        <f t="shared" si="4"/>
        <v>56328.100000000006</v>
      </c>
    </row>
    <row r="301" spans="1:5" x14ac:dyDescent="0.25">
      <c r="A301" t="s">
        <v>0</v>
      </c>
      <c r="B301">
        <v>1200623</v>
      </c>
      <c r="C301">
        <v>11046.88</v>
      </c>
      <c r="D301" s="4">
        <f>+VLOOKUP(A301,Portfolio!$G$3:$I$6,3)</f>
        <v>5</v>
      </c>
      <c r="E301">
        <f t="shared" si="4"/>
        <v>55234.399999999994</v>
      </c>
    </row>
    <row r="302" spans="1:5" x14ac:dyDescent="0.25">
      <c r="A302" t="s">
        <v>0</v>
      </c>
      <c r="B302">
        <v>1200624</v>
      </c>
      <c r="C302">
        <v>10812.5</v>
      </c>
      <c r="D302" s="4">
        <f>+VLOOKUP(A302,Portfolio!$G$3:$I$6,3)</f>
        <v>5</v>
      </c>
      <c r="E302">
        <f t="shared" si="4"/>
        <v>54062.5</v>
      </c>
    </row>
    <row r="303" spans="1:5" x14ac:dyDescent="0.25">
      <c r="A303" t="s">
        <v>0</v>
      </c>
      <c r="B303">
        <v>1200625</v>
      </c>
      <c r="C303">
        <v>10843.75</v>
      </c>
      <c r="D303" s="4">
        <f>+VLOOKUP(A303,Portfolio!$G$3:$I$6,3)</f>
        <v>5</v>
      </c>
      <c r="E303">
        <f t="shared" si="4"/>
        <v>54218.75</v>
      </c>
    </row>
    <row r="304" spans="1:5" x14ac:dyDescent="0.25">
      <c r="A304" t="s">
        <v>0</v>
      </c>
      <c r="B304">
        <v>1200626</v>
      </c>
      <c r="C304">
        <v>10796.88</v>
      </c>
      <c r="D304" s="4">
        <f>+VLOOKUP(A304,Portfolio!$G$3:$I$6,3)</f>
        <v>5</v>
      </c>
      <c r="E304">
        <f t="shared" si="4"/>
        <v>53984.399999999994</v>
      </c>
    </row>
    <row r="305" spans="1:5" x14ac:dyDescent="0.25">
      <c r="A305" t="s">
        <v>0</v>
      </c>
      <c r="B305">
        <v>1200628</v>
      </c>
      <c r="C305">
        <v>11140.62</v>
      </c>
      <c r="D305" s="4">
        <f>+VLOOKUP(A305,Portfolio!$G$3:$I$6,3)</f>
        <v>5</v>
      </c>
      <c r="E305">
        <f t="shared" si="4"/>
        <v>55703.100000000006</v>
      </c>
    </row>
    <row r="306" spans="1:5" x14ac:dyDescent="0.25">
      <c r="A306" t="s">
        <v>0</v>
      </c>
      <c r="B306">
        <v>1200629</v>
      </c>
      <c r="C306">
        <v>11125</v>
      </c>
      <c r="D306" s="4">
        <f>+VLOOKUP(A306,Portfolio!$G$3:$I$6,3)</f>
        <v>5</v>
      </c>
      <c r="E306">
        <f t="shared" si="4"/>
        <v>55625</v>
      </c>
    </row>
    <row r="307" spans="1:5" x14ac:dyDescent="0.25">
      <c r="A307" t="s">
        <v>0</v>
      </c>
      <c r="B307">
        <v>1200630</v>
      </c>
      <c r="C307">
        <v>11234.38</v>
      </c>
      <c r="D307" s="4">
        <f>+VLOOKUP(A307,Portfolio!$G$3:$I$6,3)</f>
        <v>5</v>
      </c>
      <c r="E307">
        <f t="shared" si="4"/>
        <v>56171.899999999994</v>
      </c>
    </row>
    <row r="308" spans="1:5" x14ac:dyDescent="0.25">
      <c r="A308" t="s">
        <v>0</v>
      </c>
      <c r="B308">
        <v>1200701</v>
      </c>
      <c r="C308">
        <v>11171.88</v>
      </c>
      <c r="D308" s="4">
        <f>+VLOOKUP(A308,Portfolio!$G$3:$I$6,3)</f>
        <v>5</v>
      </c>
      <c r="E308">
        <f t="shared" si="4"/>
        <v>55859.399999999994</v>
      </c>
    </row>
    <row r="309" spans="1:5" x14ac:dyDescent="0.25">
      <c r="A309" t="s">
        <v>0</v>
      </c>
      <c r="B309">
        <v>1200702</v>
      </c>
      <c r="C309">
        <v>11187.5</v>
      </c>
      <c r="D309" s="4">
        <f>+VLOOKUP(A309,Portfolio!$G$3:$I$6,3)</f>
        <v>5</v>
      </c>
      <c r="E309">
        <f t="shared" si="4"/>
        <v>55937.5</v>
      </c>
    </row>
    <row r="310" spans="1:5" x14ac:dyDescent="0.25">
      <c r="A310" t="s">
        <v>0</v>
      </c>
      <c r="B310">
        <v>1200703</v>
      </c>
      <c r="C310">
        <v>11281.25</v>
      </c>
      <c r="D310" s="4">
        <f>+VLOOKUP(A310,Portfolio!$G$3:$I$6,3)</f>
        <v>5</v>
      </c>
      <c r="E310">
        <f t="shared" si="4"/>
        <v>56406.25</v>
      </c>
    </row>
    <row r="311" spans="1:5" x14ac:dyDescent="0.25">
      <c r="A311" t="s">
        <v>0</v>
      </c>
      <c r="B311">
        <v>1200705</v>
      </c>
      <c r="C311">
        <v>11218.75</v>
      </c>
      <c r="D311" s="4">
        <f>+VLOOKUP(A311,Portfolio!$G$3:$I$6,3)</f>
        <v>5</v>
      </c>
      <c r="E311">
        <f t="shared" si="4"/>
        <v>56093.75</v>
      </c>
    </row>
    <row r="312" spans="1:5" x14ac:dyDescent="0.25">
      <c r="A312" t="s">
        <v>0</v>
      </c>
      <c r="B312">
        <v>1200706</v>
      </c>
      <c r="C312">
        <v>11375</v>
      </c>
      <c r="D312" s="4">
        <f>+VLOOKUP(A312,Portfolio!$G$3:$I$6,3)</f>
        <v>5</v>
      </c>
      <c r="E312">
        <f t="shared" si="4"/>
        <v>56875</v>
      </c>
    </row>
    <row r="313" spans="1:5" x14ac:dyDescent="0.25">
      <c r="A313" t="s">
        <v>0</v>
      </c>
      <c r="B313">
        <v>1200707</v>
      </c>
      <c r="C313">
        <v>11265.62</v>
      </c>
      <c r="D313" s="4">
        <f>+VLOOKUP(A313,Portfolio!$G$3:$I$6,3)</f>
        <v>5</v>
      </c>
      <c r="E313">
        <f t="shared" si="4"/>
        <v>56328.100000000006</v>
      </c>
    </row>
    <row r="314" spans="1:5" x14ac:dyDescent="0.25">
      <c r="A314" t="s">
        <v>0</v>
      </c>
      <c r="B314">
        <v>1200708</v>
      </c>
      <c r="C314">
        <v>11125</v>
      </c>
      <c r="D314" s="4">
        <f>+VLOOKUP(A314,Portfolio!$G$3:$I$6,3)</f>
        <v>5</v>
      </c>
      <c r="E314">
        <f t="shared" si="4"/>
        <v>55625</v>
      </c>
    </row>
    <row r="315" spans="1:5" x14ac:dyDescent="0.25">
      <c r="A315" t="s">
        <v>0</v>
      </c>
      <c r="B315">
        <v>1200709</v>
      </c>
      <c r="C315">
        <v>11203.12</v>
      </c>
      <c r="D315" s="4">
        <f>+VLOOKUP(A315,Portfolio!$G$3:$I$6,3)</f>
        <v>5</v>
      </c>
      <c r="E315">
        <f t="shared" si="4"/>
        <v>56015.600000000006</v>
      </c>
    </row>
    <row r="316" spans="1:5" x14ac:dyDescent="0.25">
      <c r="A316" t="s">
        <v>0</v>
      </c>
      <c r="B316">
        <v>1200710</v>
      </c>
      <c r="C316">
        <v>11328.12</v>
      </c>
      <c r="D316" s="4">
        <f>+VLOOKUP(A316,Portfolio!$G$3:$I$6,3)</f>
        <v>5</v>
      </c>
      <c r="E316">
        <f t="shared" si="4"/>
        <v>56640.600000000006</v>
      </c>
    </row>
    <row r="317" spans="1:5" x14ac:dyDescent="0.25">
      <c r="A317" t="s">
        <v>0</v>
      </c>
      <c r="B317">
        <v>1200712</v>
      </c>
      <c r="C317">
        <v>11125</v>
      </c>
      <c r="D317" s="4">
        <f>+VLOOKUP(A317,Portfolio!$G$3:$I$6,3)</f>
        <v>5</v>
      </c>
      <c r="E317">
        <f t="shared" si="4"/>
        <v>55625</v>
      </c>
    </row>
    <row r="318" spans="1:5" x14ac:dyDescent="0.25">
      <c r="A318" t="s">
        <v>0</v>
      </c>
      <c r="B318">
        <v>1200713</v>
      </c>
      <c r="C318">
        <v>11125</v>
      </c>
      <c r="D318" s="4">
        <f>+VLOOKUP(A318,Portfolio!$G$3:$I$6,3)</f>
        <v>5</v>
      </c>
      <c r="E318">
        <f t="shared" si="4"/>
        <v>55625</v>
      </c>
    </row>
    <row r="319" spans="1:5" x14ac:dyDescent="0.25">
      <c r="A319" t="s">
        <v>0</v>
      </c>
      <c r="B319">
        <v>1200714</v>
      </c>
      <c r="C319">
        <v>10890.62</v>
      </c>
      <c r="D319" s="4">
        <f>+VLOOKUP(A319,Portfolio!$G$3:$I$6,3)</f>
        <v>5</v>
      </c>
      <c r="E319">
        <f t="shared" si="4"/>
        <v>54453.100000000006</v>
      </c>
    </row>
    <row r="320" spans="1:5" x14ac:dyDescent="0.25">
      <c r="A320" t="s">
        <v>0</v>
      </c>
      <c r="B320">
        <v>1200715</v>
      </c>
      <c r="C320">
        <v>10625</v>
      </c>
      <c r="D320" s="4">
        <f>+VLOOKUP(A320,Portfolio!$G$3:$I$6,3)</f>
        <v>5</v>
      </c>
      <c r="E320">
        <f t="shared" si="4"/>
        <v>53125</v>
      </c>
    </row>
    <row r="321" spans="1:5" x14ac:dyDescent="0.25">
      <c r="A321" t="s">
        <v>0</v>
      </c>
      <c r="B321">
        <v>1200716</v>
      </c>
      <c r="C321">
        <v>10328.120000000001</v>
      </c>
      <c r="D321" s="4">
        <f>+VLOOKUP(A321,Portfolio!$G$3:$I$6,3)</f>
        <v>5</v>
      </c>
      <c r="E321">
        <f t="shared" si="4"/>
        <v>51640.600000000006</v>
      </c>
    </row>
    <row r="322" spans="1:5" x14ac:dyDescent="0.25">
      <c r="A322" t="s">
        <v>0</v>
      </c>
      <c r="B322">
        <v>1200717</v>
      </c>
      <c r="C322">
        <v>10437.5</v>
      </c>
      <c r="D322" s="4">
        <f>+VLOOKUP(A322,Portfolio!$G$3:$I$6,3)</f>
        <v>5</v>
      </c>
      <c r="E322">
        <f t="shared" si="4"/>
        <v>52187.5</v>
      </c>
    </row>
    <row r="323" spans="1:5" x14ac:dyDescent="0.25">
      <c r="A323" t="s">
        <v>0</v>
      </c>
      <c r="B323">
        <v>1200719</v>
      </c>
      <c r="C323">
        <v>10375</v>
      </c>
      <c r="D323" s="4">
        <f>+VLOOKUP(A323,Portfolio!$G$3:$I$6,3)</f>
        <v>5</v>
      </c>
      <c r="E323">
        <f t="shared" ref="E323:E386" si="5">+C323*D323</f>
        <v>51875</v>
      </c>
    </row>
    <row r="324" spans="1:5" x14ac:dyDescent="0.25">
      <c r="A324" t="s">
        <v>0</v>
      </c>
      <c r="B324">
        <v>1200720</v>
      </c>
      <c r="C324">
        <v>10296.879999999999</v>
      </c>
      <c r="D324" s="4">
        <f>+VLOOKUP(A324,Portfolio!$G$3:$I$6,3)</f>
        <v>5</v>
      </c>
      <c r="E324">
        <f t="shared" si="5"/>
        <v>51484.399999999994</v>
      </c>
    </row>
    <row r="325" spans="1:5" x14ac:dyDescent="0.25">
      <c r="A325" t="s">
        <v>0</v>
      </c>
      <c r="B325">
        <v>1200721</v>
      </c>
      <c r="C325">
        <v>10250</v>
      </c>
      <c r="D325" s="4">
        <f>+VLOOKUP(A325,Portfolio!$G$3:$I$6,3)</f>
        <v>5</v>
      </c>
      <c r="E325">
        <f t="shared" si="5"/>
        <v>51250</v>
      </c>
    </row>
    <row r="326" spans="1:5" x14ac:dyDescent="0.25">
      <c r="A326" t="s">
        <v>0</v>
      </c>
      <c r="B326">
        <v>1200722</v>
      </c>
      <c r="C326">
        <v>10281.25</v>
      </c>
      <c r="D326" s="4">
        <f>+VLOOKUP(A326,Portfolio!$G$3:$I$6,3)</f>
        <v>5</v>
      </c>
      <c r="E326">
        <f t="shared" si="5"/>
        <v>51406.25</v>
      </c>
    </row>
    <row r="327" spans="1:5" x14ac:dyDescent="0.25">
      <c r="A327" t="s">
        <v>0</v>
      </c>
      <c r="B327">
        <v>1200723</v>
      </c>
      <c r="C327">
        <v>10328.120000000001</v>
      </c>
      <c r="D327" s="4">
        <f>+VLOOKUP(A327,Portfolio!$G$3:$I$6,3)</f>
        <v>5</v>
      </c>
      <c r="E327">
        <f t="shared" si="5"/>
        <v>51640.600000000006</v>
      </c>
    </row>
    <row r="328" spans="1:5" x14ac:dyDescent="0.25">
      <c r="A328" t="s">
        <v>0</v>
      </c>
      <c r="B328">
        <v>1200724</v>
      </c>
      <c r="C328">
        <v>10265.620000000001</v>
      </c>
      <c r="D328" s="4">
        <f>+VLOOKUP(A328,Portfolio!$G$3:$I$6,3)</f>
        <v>5</v>
      </c>
      <c r="E328">
        <f t="shared" si="5"/>
        <v>51328.100000000006</v>
      </c>
    </row>
    <row r="329" spans="1:5" x14ac:dyDescent="0.25">
      <c r="A329" t="s">
        <v>0</v>
      </c>
      <c r="B329">
        <v>1200726</v>
      </c>
      <c r="C329">
        <v>10078.120000000001</v>
      </c>
      <c r="D329" s="4">
        <f>+VLOOKUP(A329,Portfolio!$G$3:$I$6,3)</f>
        <v>5</v>
      </c>
      <c r="E329">
        <f t="shared" si="5"/>
        <v>50390.600000000006</v>
      </c>
    </row>
    <row r="330" spans="1:5" x14ac:dyDescent="0.25">
      <c r="A330" t="s">
        <v>0</v>
      </c>
      <c r="B330">
        <v>1200727</v>
      </c>
      <c r="C330">
        <v>10062.5</v>
      </c>
      <c r="D330" s="4">
        <f>+VLOOKUP(A330,Portfolio!$G$3:$I$6,3)</f>
        <v>5</v>
      </c>
      <c r="E330">
        <f t="shared" si="5"/>
        <v>50312.5</v>
      </c>
    </row>
    <row r="331" spans="1:5" x14ac:dyDescent="0.25">
      <c r="A331" t="s">
        <v>0</v>
      </c>
      <c r="B331">
        <v>1200728</v>
      </c>
      <c r="C331">
        <v>10343.75</v>
      </c>
      <c r="D331" s="4">
        <f>+VLOOKUP(A331,Portfolio!$G$3:$I$6,3)</f>
        <v>5</v>
      </c>
      <c r="E331">
        <f t="shared" si="5"/>
        <v>51718.75</v>
      </c>
    </row>
    <row r="332" spans="1:5" x14ac:dyDescent="0.25">
      <c r="A332" t="s">
        <v>0</v>
      </c>
      <c r="B332">
        <v>1200729</v>
      </c>
      <c r="C332">
        <v>10328.120000000001</v>
      </c>
      <c r="D332" s="4">
        <f>+VLOOKUP(A332,Portfolio!$G$3:$I$6,3)</f>
        <v>5</v>
      </c>
      <c r="E332">
        <f t="shared" si="5"/>
        <v>51640.600000000006</v>
      </c>
    </row>
    <row r="333" spans="1:5" x14ac:dyDescent="0.25">
      <c r="A333" t="s">
        <v>0</v>
      </c>
      <c r="B333">
        <v>1200730</v>
      </c>
      <c r="C333">
        <v>10218.75</v>
      </c>
      <c r="D333" s="4">
        <f>+VLOOKUP(A333,Portfolio!$G$3:$I$6,3)</f>
        <v>5</v>
      </c>
      <c r="E333">
        <f t="shared" si="5"/>
        <v>51093.75</v>
      </c>
    </row>
    <row r="334" spans="1:5" x14ac:dyDescent="0.25">
      <c r="A334" t="s">
        <v>0</v>
      </c>
      <c r="B334">
        <v>1200731</v>
      </c>
      <c r="C334">
        <v>10546.88</v>
      </c>
      <c r="D334" s="4">
        <f>+VLOOKUP(A334,Portfolio!$G$3:$I$6,3)</f>
        <v>5</v>
      </c>
      <c r="E334">
        <f t="shared" si="5"/>
        <v>52734.399999999994</v>
      </c>
    </row>
    <row r="335" spans="1:5" x14ac:dyDescent="0.25">
      <c r="A335" t="s">
        <v>0</v>
      </c>
      <c r="B335">
        <v>1200802</v>
      </c>
      <c r="C335">
        <v>10281.25</v>
      </c>
      <c r="D335" s="4">
        <f>+VLOOKUP(A335,Portfolio!$G$3:$I$6,3)</f>
        <v>5</v>
      </c>
      <c r="E335">
        <f t="shared" si="5"/>
        <v>51406.25</v>
      </c>
    </row>
    <row r="336" spans="1:5" x14ac:dyDescent="0.25">
      <c r="A336" t="s">
        <v>0</v>
      </c>
      <c r="B336">
        <v>1200803</v>
      </c>
      <c r="C336">
        <v>10390.620000000001</v>
      </c>
      <c r="D336" s="4">
        <f>+VLOOKUP(A336,Portfolio!$G$3:$I$6,3)</f>
        <v>5</v>
      </c>
      <c r="E336">
        <f t="shared" si="5"/>
        <v>51953.100000000006</v>
      </c>
    </row>
    <row r="337" spans="1:5" x14ac:dyDescent="0.25">
      <c r="A337" t="s">
        <v>0</v>
      </c>
      <c r="B337">
        <v>1200804</v>
      </c>
      <c r="C337">
        <v>10390.620000000001</v>
      </c>
      <c r="D337" s="4">
        <f>+VLOOKUP(A337,Portfolio!$G$3:$I$6,3)</f>
        <v>5</v>
      </c>
      <c r="E337">
        <f t="shared" si="5"/>
        <v>51953.100000000006</v>
      </c>
    </row>
    <row r="338" spans="1:5" x14ac:dyDescent="0.25">
      <c r="A338" t="s">
        <v>0</v>
      </c>
      <c r="B338">
        <v>1200805</v>
      </c>
      <c r="C338">
        <v>10437.5</v>
      </c>
      <c r="D338" s="4">
        <f>+VLOOKUP(A338,Portfolio!$G$3:$I$6,3)</f>
        <v>5</v>
      </c>
      <c r="E338">
        <f t="shared" si="5"/>
        <v>52187.5</v>
      </c>
    </row>
    <row r="339" spans="1:5" x14ac:dyDescent="0.25">
      <c r="A339" t="s">
        <v>0</v>
      </c>
      <c r="B339">
        <v>1200806</v>
      </c>
      <c r="C339">
        <v>10406.25</v>
      </c>
      <c r="D339" s="4">
        <f>+VLOOKUP(A339,Portfolio!$G$3:$I$6,3)</f>
        <v>5</v>
      </c>
      <c r="E339">
        <f t="shared" si="5"/>
        <v>52031.25</v>
      </c>
    </row>
    <row r="340" spans="1:5" x14ac:dyDescent="0.25">
      <c r="A340" t="s">
        <v>0</v>
      </c>
      <c r="B340">
        <v>1200807</v>
      </c>
      <c r="C340">
        <v>10171.879999999999</v>
      </c>
      <c r="D340" s="4">
        <f>+VLOOKUP(A340,Portfolio!$G$3:$I$6,3)</f>
        <v>5</v>
      </c>
      <c r="E340">
        <f t="shared" si="5"/>
        <v>50859.399999999994</v>
      </c>
    </row>
    <row r="341" spans="1:5" x14ac:dyDescent="0.25">
      <c r="A341" t="s">
        <v>0</v>
      </c>
      <c r="B341">
        <v>1200809</v>
      </c>
      <c r="C341">
        <v>10234.379999999999</v>
      </c>
      <c r="D341" s="4">
        <f>+VLOOKUP(A341,Portfolio!$G$3:$I$6,3)</f>
        <v>5</v>
      </c>
      <c r="E341">
        <f t="shared" si="5"/>
        <v>51171.899999999994</v>
      </c>
    </row>
    <row r="342" spans="1:5" x14ac:dyDescent="0.25">
      <c r="A342" t="s">
        <v>0</v>
      </c>
      <c r="B342">
        <v>1200810</v>
      </c>
      <c r="C342">
        <v>10312.5</v>
      </c>
      <c r="D342" s="4">
        <f>+VLOOKUP(A342,Portfolio!$G$3:$I$6,3)</f>
        <v>5</v>
      </c>
      <c r="E342">
        <f t="shared" si="5"/>
        <v>51562.5</v>
      </c>
    </row>
    <row r="343" spans="1:5" x14ac:dyDescent="0.25">
      <c r="A343" t="s">
        <v>0</v>
      </c>
      <c r="B343">
        <v>1200811</v>
      </c>
      <c r="C343">
        <v>9921.8799999999992</v>
      </c>
      <c r="D343" s="4">
        <f>+VLOOKUP(A343,Portfolio!$G$3:$I$6,3)</f>
        <v>5</v>
      </c>
      <c r="E343">
        <f t="shared" si="5"/>
        <v>49609.399999999994</v>
      </c>
    </row>
    <row r="344" spans="1:5" x14ac:dyDescent="0.25">
      <c r="A344" t="s">
        <v>0</v>
      </c>
      <c r="B344">
        <v>1200812</v>
      </c>
      <c r="C344">
        <v>10078.120000000001</v>
      </c>
      <c r="D344" s="4">
        <f>+VLOOKUP(A344,Portfolio!$G$3:$I$6,3)</f>
        <v>5</v>
      </c>
      <c r="E344">
        <f t="shared" si="5"/>
        <v>50390.600000000006</v>
      </c>
    </row>
    <row r="345" spans="1:5" x14ac:dyDescent="0.25">
      <c r="A345" t="s">
        <v>0</v>
      </c>
      <c r="B345">
        <v>1200813</v>
      </c>
      <c r="C345">
        <v>10078.120000000001</v>
      </c>
      <c r="D345" s="4">
        <f>+VLOOKUP(A345,Portfolio!$G$3:$I$6,3)</f>
        <v>5</v>
      </c>
      <c r="E345">
        <f t="shared" si="5"/>
        <v>50390.600000000006</v>
      </c>
    </row>
    <row r="346" spans="1:5" x14ac:dyDescent="0.25">
      <c r="A346" t="s">
        <v>0</v>
      </c>
      <c r="B346">
        <v>1200814</v>
      </c>
      <c r="C346">
        <v>10390.620000000001</v>
      </c>
      <c r="D346" s="4">
        <f>+VLOOKUP(A346,Portfolio!$G$3:$I$6,3)</f>
        <v>5</v>
      </c>
      <c r="E346">
        <f t="shared" si="5"/>
        <v>51953.100000000006</v>
      </c>
    </row>
    <row r="347" spans="1:5" x14ac:dyDescent="0.25">
      <c r="A347" t="s">
        <v>0</v>
      </c>
      <c r="B347">
        <v>1200816</v>
      </c>
      <c r="C347">
        <v>10187.5</v>
      </c>
      <c r="D347" s="4">
        <f>+VLOOKUP(A347,Portfolio!$G$3:$I$6,3)</f>
        <v>5</v>
      </c>
      <c r="E347">
        <f t="shared" si="5"/>
        <v>50937.5</v>
      </c>
    </row>
    <row r="348" spans="1:5" x14ac:dyDescent="0.25">
      <c r="A348" t="s">
        <v>0</v>
      </c>
      <c r="B348">
        <v>1200817</v>
      </c>
      <c r="C348">
        <v>10281.25</v>
      </c>
      <c r="D348" s="4">
        <f>+VLOOKUP(A348,Portfolio!$G$3:$I$6,3)</f>
        <v>5</v>
      </c>
      <c r="E348">
        <f t="shared" si="5"/>
        <v>51406.25</v>
      </c>
    </row>
    <row r="349" spans="1:5" x14ac:dyDescent="0.25">
      <c r="A349" t="s">
        <v>0</v>
      </c>
      <c r="B349">
        <v>1200818</v>
      </c>
      <c r="C349">
        <v>10453.120000000001</v>
      </c>
      <c r="D349" s="4">
        <f>+VLOOKUP(A349,Portfolio!$G$3:$I$6,3)</f>
        <v>5</v>
      </c>
      <c r="E349">
        <f t="shared" si="5"/>
        <v>52265.600000000006</v>
      </c>
    </row>
    <row r="350" spans="1:5" x14ac:dyDescent="0.25">
      <c r="A350" t="s">
        <v>0</v>
      </c>
      <c r="B350">
        <v>1200819</v>
      </c>
      <c r="C350">
        <v>10203.120000000001</v>
      </c>
      <c r="D350" s="4">
        <f>+VLOOKUP(A350,Portfolio!$G$3:$I$6,3)</f>
        <v>5</v>
      </c>
      <c r="E350">
        <f t="shared" si="5"/>
        <v>51015.600000000006</v>
      </c>
    </row>
    <row r="351" spans="1:5" x14ac:dyDescent="0.25">
      <c r="A351" t="s">
        <v>0</v>
      </c>
      <c r="B351">
        <v>1200820</v>
      </c>
      <c r="C351">
        <v>10046.879999999999</v>
      </c>
      <c r="D351" s="4">
        <f>+VLOOKUP(A351,Portfolio!$G$3:$I$6,3)</f>
        <v>5</v>
      </c>
      <c r="E351">
        <f t="shared" si="5"/>
        <v>50234.399999999994</v>
      </c>
    </row>
    <row r="352" spans="1:5" x14ac:dyDescent="0.25">
      <c r="A352" t="s">
        <v>0</v>
      </c>
      <c r="B352">
        <v>1200821</v>
      </c>
      <c r="C352">
        <v>10031.25</v>
      </c>
      <c r="D352" s="4">
        <f>+VLOOKUP(A352,Portfolio!$G$3:$I$6,3)</f>
        <v>5</v>
      </c>
      <c r="E352">
        <f t="shared" si="5"/>
        <v>50156.25</v>
      </c>
    </row>
    <row r="353" spans="1:5" x14ac:dyDescent="0.25">
      <c r="A353" t="s">
        <v>0</v>
      </c>
      <c r="B353">
        <v>1200823</v>
      </c>
      <c r="C353">
        <v>10171.879999999999</v>
      </c>
      <c r="D353" s="4">
        <f>+VLOOKUP(A353,Portfolio!$G$3:$I$6,3)</f>
        <v>5</v>
      </c>
      <c r="E353">
        <f t="shared" si="5"/>
        <v>50859.399999999994</v>
      </c>
    </row>
    <row r="354" spans="1:5" x14ac:dyDescent="0.25">
      <c r="A354" t="s">
        <v>0</v>
      </c>
      <c r="B354">
        <v>1200824</v>
      </c>
      <c r="C354">
        <v>10234.379999999999</v>
      </c>
      <c r="D354" s="4">
        <f>+VLOOKUP(A354,Portfolio!$G$3:$I$6,3)</f>
        <v>5</v>
      </c>
      <c r="E354">
        <f t="shared" si="5"/>
        <v>51171.899999999994</v>
      </c>
    </row>
    <row r="355" spans="1:5" x14ac:dyDescent="0.25">
      <c r="A355" t="s">
        <v>0</v>
      </c>
      <c r="B355">
        <v>1200825</v>
      </c>
      <c r="C355">
        <v>10171.879999999999</v>
      </c>
      <c r="D355" s="4">
        <f>+VLOOKUP(A355,Portfolio!$G$3:$I$6,3)</f>
        <v>5</v>
      </c>
      <c r="E355">
        <f t="shared" si="5"/>
        <v>50859.399999999994</v>
      </c>
    </row>
    <row r="356" spans="1:5" x14ac:dyDescent="0.25">
      <c r="A356" t="s">
        <v>0</v>
      </c>
      <c r="B356">
        <v>1200826</v>
      </c>
      <c r="C356">
        <v>10500</v>
      </c>
      <c r="D356" s="4">
        <f>+VLOOKUP(A356,Portfolio!$G$3:$I$6,3)</f>
        <v>5</v>
      </c>
      <c r="E356">
        <f t="shared" si="5"/>
        <v>52500</v>
      </c>
    </row>
    <row r="357" spans="1:5" x14ac:dyDescent="0.25">
      <c r="A357" t="s">
        <v>0</v>
      </c>
      <c r="B357">
        <v>1200827</v>
      </c>
      <c r="C357">
        <v>10171.879999999999</v>
      </c>
      <c r="D357" s="4">
        <f>+VLOOKUP(A357,Portfolio!$G$3:$I$6,3)</f>
        <v>5</v>
      </c>
      <c r="E357">
        <f t="shared" si="5"/>
        <v>50859.399999999994</v>
      </c>
    </row>
    <row r="358" spans="1:5" x14ac:dyDescent="0.25">
      <c r="A358" t="s">
        <v>0</v>
      </c>
      <c r="B358">
        <v>1200828</v>
      </c>
      <c r="C358">
        <v>9968.75</v>
      </c>
      <c r="D358" s="4">
        <f>+VLOOKUP(A358,Portfolio!$G$3:$I$6,3)</f>
        <v>5</v>
      </c>
      <c r="E358">
        <f t="shared" si="5"/>
        <v>49843.75</v>
      </c>
    </row>
    <row r="359" spans="1:5" x14ac:dyDescent="0.25">
      <c r="A359" t="s">
        <v>0</v>
      </c>
      <c r="B359">
        <v>1200830</v>
      </c>
      <c r="C359">
        <v>9968.75</v>
      </c>
      <c r="D359" s="4">
        <f>+VLOOKUP(A359,Portfolio!$G$3:$I$6,3)</f>
        <v>5</v>
      </c>
      <c r="E359">
        <f t="shared" si="5"/>
        <v>49843.75</v>
      </c>
    </row>
    <row r="360" spans="1:5" x14ac:dyDescent="0.25">
      <c r="A360" t="s">
        <v>0</v>
      </c>
      <c r="B360">
        <v>1200831</v>
      </c>
      <c r="C360">
        <v>9859.3799999999992</v>
      </c>
      <c r="D360" s="4">
        <f>+VLOOKUP(A360,Portfolio!$G$3:$I$6,3)</f>
        <v>5</v>
      </c>
      <c r="E360">
        <f t="shared" si="5"/>
        <v>49296.899999999994</v>
      </c>
    </row>
    <row r="361" spans="1:5" x14ac:dyDescent="0.25">
      <c r="A361" t="s">
        <v>0</v>
      </c>
      <c r="B361">
        <v>1200901</v>
      </c>
      <c r="C361">
        <v>9953.1200000000008</v>
      </c>
      <c r="D361" s="4">
        <f>+VLOOKUP(A361,Portfolio!$G$3:$I$6,3)</f>
        <v>5</v>
      </c>
      <c r="E361">
        <f t="shared" si="5"/>
        <v>49765.600000000006</v>
      </c>
    </row>
    <row r="362" spans="1:5" x14ac:dyDescent="0.25">
      <c r="A362" t="s">
        <v>0</v>
      </c>
      <c r="B362">
        <v>1200902</v>
      </c>
      <c r="C362">
        <v>9812.5</v>
      </c>
      <c r="D362" s="4">
        <f>+VLOOKUP(A362,Portfolio!$G$3:$I$6,3)</f>
        <v>5</v>
      </c>
      <c r="E362">
        <f t="shared" si="5"/>
        <v>49062.5</v>
      </c>
    </row>
    <row r="363" spans="1:5" x14ac:dyDescent="0.25">
      <c r="A363" t="s">
        <v>0</v>
      </c>
      <c r="B363">
        <v>1200903</v>
      </c>
      <c r="C363">
        <v>9953.1200000000008</v>
      </c>
      <c r="D363" s="4">
        <f>+VLOOKUP(A363,Portfolio!$G$3:$I$6,3)</f>
        <v>5</v>
      </c>
      <c r="E363">
        <f t="shared" si="5"/>
        <v>49765.600000000006</v>
      </c>
    </row>
    <row r="364" spans="1:5" x14ac:dyDescent="0.25">
      <c r="A364" t="s">
        <v>0</v>
      </c>
      <c r="B364">
        <v>1200904</v>
      </c>
      <c r="C364">
        <v>10109.379999999999</v>
      </c>
      <c r="D364" s="4">
        <f>+VLOOKUP(A364,Portfolio!$G$3:$I$6,3)</f>
        <v>5</v>
      </c>
      <c r="E364">
        <f t="shared" si="5"/>
        <v>50546.899999999994</v>
      </c>
    </row>
    <row r="365" spans="1:5" x14ac:dyDescent="0.25">
      <c r="A365" t="s">
        <v>0</v>
      </c>
      <c r="B365">
        <v>1200906</v>
      </c>
      <c r="C365">
        <v>10406.25</v>
      </c>
      <c r="D365" s="4">
        <f>+VLOOKUP(A365,Portfolio!$G$3:$I$6,3)</f>
        <v>5</v>
      </c>
      <c r="E365">
        <f t="shared" si="5"/>
        <v>52031.25</v>
      </c>
    </row>
    <row r="366" spans="1:5" x14ac:dyDescent="0.25">
      <c r="A366" t="s">
        <v>0</v>
      </c>
      <c r="B366">
        <v>1200907</v>
      </c>
      <c r="C366">
        <v>10437.5</v>
      </c>
      <c r="D366" s="4">
        <f>+VLOOKUP(A366,Portfolio!$G$3:$I$6,3)</f>
        <v>5</v>
      </c>
      <c r="E366">
        <f t="shared" si="5"/>
        <v>52187.5</v>
      </c>
    </row>
    <row r="367" spans="1:5" x14ac:dyDescent="0.25">
      <c r="A367" t="s">
        <v>0</v>
      </c>
      <c r="B367">
        <v>1200908</v>
      </c>
      <c r="C367">
        <v>10343.75</v>
      </c>
      <c r="D367" s="4">
        <f>+VLOOKUP(A367,Portfolio!$G$3:$I$6,3)</f>
        <v>5</v>
      </c>
      <c r="E367">
        <f t="shared" si="5"/>
        <v>51718.75</v>
      </c>
    </row>
    <row r="368" spans="1:5" x14ac:dyDescent="0.25">
      <c r="A368" t="s">
        <v>0</v>
      </c>
      <c r="B368">
        <v>1200909</v>
      </c>
      <c r="C368">
        <v>10312.5</v>
      </c>
      <c r="D368" s="4">
        <f>+VLOOKUP(A368,Portfolio!$G$3:$I$6,3)</f>
        <v>5</v>
      </c>
      <c r="E368">
        <f t="shared" si="5"/>
        <v>51562.5</v>
      </c>
    </row>
    <row r="369" spans="1:5" x14ac:dyDescent="0.25">
      <c r="A369" t="s">
        <v>0</v>
      </c>
      <c r="B369">
        <v>1200910</v>
      </c>
      <c r="C369">
        <v>10156.25</v>
      </c>
      <c r="D369" s="4">
        <f>+VLOOKUP(A369,Portfolio!$G$3:$I$6,3)</f>
        <v>5</v>
      </c>
      <c r="E369">
        <f t="shared" si="5"/>
        <v>50781.25</v>
      </c>
    </row>
    <row r="370" spans="1:5" x14ac:dyDescent="0.25">
      <c r="A370" t="s">
        <v>0</v>
      </c>
      <c r="B370">
        <v>1200911</v>
      </c>
      <c r="C370">
        <v>10093.75</v>
      </c>
      <c r="D370" s="4">
        <f>+VLOOKUP(A370,Portfolio!$G$3:$I$6,3)</f>
        <v>5</v>
      </c>
      <c r="E370">
        <f t="shared" si="5"/>
        <v>50468.75</v>
      </c>
    </row>
    <row r="371" spans="1:5" x14ac:dyDescent="0.25">
      <c r="A371" t="s">
        <v>0</v>
      </c>
      <c r="B371">
        <v>1200913</v>
      </c>
      <c r="C371">
        <v>10187.5</v>
      </c>
      <c r="D371" s="4">
        <f>+VLOOKUP(A371,Portfolio!$G$3:$I$6,3)</f>
        <v>5</v>
      </c>
      <c r="E371">
        <f t="shared" si="5"/>
        <v>50937.5</v>
      </c>
    </row>
    <row r="372" spans="1:5" x14ac:dyDescent="0.25">
      <c r="A372" t="s">
        <v>0</v>
      </c>
      <c r="B372">
        <v>1200914</v>
      </c>
      <c r="C372">
        <v>10203.120000000001</v>
      </c>
      <c r="D372" s="4">
        <f>+VLOOKUP(A372,Portfolio!$G$3:$I$6,3)</f>
        <v>5</v>
      </c>
      <c r="E372">
        <f t="shared" si="5"/>
        <v>51015.600000000006</v>
      </c>
    </row>
    <row r="373" spans="1:5" x14ac:dyDescent="0.25">
      <c r="A373" t="s">
        <v>0</v>
      </c>
      <c r="B373">
        <v>1200915</v>
      </c>
      <c r="C373">
        <v>10000</v>
      </c>
      <c r="D373" s="4">
        <f>+VLOOKUP(A373,Portfolio!$G$3:$I$6,3)</f>
        <v>5</v>
      </c>
      <c r="E373">
        <f t="shared" si="5"/>
        <v>50000</v>
      </c>
    </row>
    <row r="374" spans="1:5" x14ac:dyDescent="0.25">
      <c r="A374" t="s">
        <v>0</v>
      </c>
      <c r="B374">
        <v>1200916</v>
      </c>
      <c r="C374">
        <v>9781.25</v>
      </c>
      <c r="D374" s="4">
        <f>+VLOOKUP(A374,Portfolio!$G$3:$I$6,3)</f>
        <v>5</v>
      </c>
      <c r="E374">
        <f t="shared" si="5"/>
        <v>48906.25</v>
      </c>
    </row>
    <row r="375" spans="1:5" x14ac:dyDescent="0.25">
      <c r="A375" t="s">
        <v>0</v>
      </c>
      <c r="B375">
        <v>1200917</v>
      </c>
      <c r="C375">
        <v>9687.5</v>
      </c>
      <c r="D375" s="4">
        <f>+VLOOKUP(A375,Portfolio!$G$3:$I$6,3)</f>
        <v>5</v>
      </c>
      <c r="E375">
        <f t="shared" si="5"/>
        <v>48437.5</v>
      </c>
    </row>
    <row r="376" spans="1:5" x14ac:dyDescent="0.25">
      <c r="A376" t="s">
        <v>0</v>
      </c>
      <c r="B376">
        <v>1200918</v>
      </c>
      <c r="C376">
        <v>9625</v>
      </c>
      <c r="D376" s="4">
        <f>+VLOOKUP(A376,Portfolio!$G$3:$I$6,3)</f>
        <v>5</v>
      </c>
      <c r="E376">
        <f t="shared" si="5"/>
        <v>48125</v>
      </c>
    </row>
    <row r="377" spans="1:5" x14ac:dyDescent="0.25">
      <c r="A377" t="s">
        <v>0</v>
      </c>
      <c r="B377">
        <v>1200920</v>
      </c>
      <c r="C377">
        <v>9593.75</v>
      </c>
      <c r="D377" s="4">
        <f>+VLOOKUP(A377,Portfolio!$G$3:$I$6,3)</f>
        <v>5</v>
      </c>
      <c r="E377">
        <f t="shared" si="5"/>
        <v>47968.75</v>
      </c>
    </row>
    <row r="378" spans="1:5" x14ac:dyDescent="0.25">
      <c r="A378" t="s">
        <v>0</v>
      </c>
      <c r="B378">
        <v>1200921</v>
      </c>
      <c r="C378">
        <v>9609.3799999999992</v>
      </c>
      <c r="D378" s="4">
        <f>+VLOOKUP(A378,Portfolio!$G$3:$I$6,3)</f>
        <v>5</v>
      </c>
      <c r="E378">
        <f t="shared" si="5"/>
        <v>48046.899999999994</v>
      </c>
    </row>
    <row r="379" spans="1:5" x14ac:dyDescent="0.25">
      <c r="A379" t="s">
        <v>0</v>
      </c>
      <c r="B379">
        <v>1200922</v>
      </c>
      <c r="C379">
        <v>9750</v>
      </c>
      <c r="D379" s="4">
        <f>+VLOOKUP(A379,Portfolio!$G$3:$I$6,3)</f>
        <v>5</v>
      </c>
      <c r="E379">
        <f t="shared" si="5"/>
        <v>48750</v>
      </c>
    </row>
    <row r="380" spans="1:5" x14ac:dyDescent="0.25">
      <c r="A380" t="s">
        <v>0</v>
      </c>
      <c r="B380">
        <v>1200923</v>
      </c>
      <c r="C380">
        <v>9437.5</v>
      </c>
      <c r="D380" s="4">
        <f>+VLOOKUP(A380,Portfolio!$G$3:$I$6,3)</f>
        <v>5</v>
      </c>
      <c r="E380">
        <f t="shared" si="5"/>
        <v>47187.5</v>
      </c>
    </row>
    <row r="381" spans="1:5" x14ac:dyDescent="0.25">
      <c r="A381" t="s">
        <v>0</v>
      </c>
      <c r="B381">
        <v>1200924</v>
      </c>
      <c r="C381">
        <v>9421.8799999999992</v>
      </c>
      <c r="D381" s="4">
        <f>+VLOOKUP(A381,Portfolio!$G$3:$I$6,3)</f>
        <v>5</v>
      </c>
      <c r="E381">
        <f t="shared" si="5"/>
        <v>47109.399999999994</v>
      </c>
    </row>
    <row r="382" spans="1:5" x14ac:dyDescent="0.25">
      <c r="A382" t="s">
        <v>0</v>
      </c>
      <c r="B382">
        <v>1200925</v>
      </c>
      <c r="C382">
        <v>9281.25</v>
      </c>
      <c r="D382" s="4">
        <f>+VLOOKUP(A382,Portfolio!$G$3:$I$6,3)</f>
        <v>5</v>
      </c>
      <c r="E382">
        <f t="shared" si="5"/>
        <v>46406.25</v>
      </c>
    </row>
    <row r="383" spans="1:5" x14ac:dyDescent="0.25">
      <c r="A383" t="s">
        <v>0</v>
      </c>
      <c r="B383">
        <v>1200927</v>
      </c>
      <c r="C383">
        <v>9406.25</v>
      </c>
      <c r="D383" s="4">
        <f>+VLOOKUP(A383,Portfolio!$G$3:$I$6,3)</f>
        <v>5</v>
      </c>
      <c r="E383">
        <f t="shared" si="5"/>
        <v>47031.25</v>
      </c>
    </row>
    <row r="384" spans="1:5" x14ac:dyDescent="0.25">
      <c r="A384" t="s">
        <v>0</v>
      </c>
      <c r="B384">
        <v>1200928</v>
      </c>
      <c r="C384">
        <v>9406.25</v>
      </c>
      <c r="D384" s="4">
        <f>+VLOOKUP(A384,Portfolio!$G$3:$I$6,3)</f>
        <v>5</v>
      </c>
      <c r="E384">
        <f t="shared" si="5"/>
        <v>47031.25</v>
      </c>
    </row>
    <row r="385" spans="1:5" x14ac:dyDescent="0.25">
      <c r="A385" t="s">
        <v>0</v>
      </c>
      <c r="B385">
        <v>1200929</v>
      </c>
      <c r="C385">
        <v>9140.6200000000008</v>
      </c>
      <c r="D385" s="4">
        <f>+VLOOKUP(A385,Portfolio!$G$3:$I$6,3)</f>
        <v>5</v>
      </c>
      <c r="E385">
        <f t="shared" si="5"/>
        <v>45703.100000000006</v>
      </c>
    </row>
    <row r="386" spans="1:5" x14ac:dyDescent="0.25">
      <c r="A386" t="s">
        <v>0</v>
      </c>
      <c r="B386">
        <v>1200930</v>
      </c>
      <c r="C386">
        <v>9218.75</v>
      </c>
      <c r="D386" s="4">
        <f>+VLOOKUP(A386,Portfolio!$G$3:$I$6,3)</f>
        <v>5</v>
      </c>
      <c r="E386">
        <f t="shared" si="5"/>
        <v>46093.75</v>
      </c>
    </row>
    <row r="387" spans="1:5" x14ac:dyDescent="0.25">
      <c r="A387" t="s">
        <v>0</v>
      </c>
      <c r="B387">
        <v>1201001</v>
      </c>
      <c r="C387">
        <v>9328.1200000000008</v>
      </c>
      <c r="D387" s="4">
        <f>+VLOOKUP(A387,Portfolio!$G$3:$I$6,3)</f>
        <v>5</v>
      </c>
      <c r="E387">
        <f t="shared" ref="E387:E450" si="6">+C387*D387</f>
        <v>46640.600000000006</v>
      </c>
    </row>
    <row r="388" spans="1:5" x14ac:dyDescent="0.25">
      <c r="A388" t="s">
        <v>0</v>
      </c>
      <c r="B388">
        <v>1201002</v>
      </c>
      <c r="C388">
        <v>9375</v>
      </c>
      <c r="D388" s="4">
        <f>+VLOOKUP(A388,Portfolio!$G$3:$I$6,3)</f>
        <v>5</v>
      </c>
      <c r="E388">
        <f t="shared" si="6"/>
        <v>46875</v>
      </c>
    </row>
    <row r="389" spans="1:5" x14ac:dyDescent="0.25">
      <c r="A389" t="s">
        <v>0</v>
      </c>
      <c r="B389">
        <v>1201004</v>
      </c>
      <c r="C389">
        <v>9328.1200000000008</v>
      </c>
      <c r="D389" s="4">
        <f>+VLOOKUP(A389,Portfolio!$G$3:$I$6,3)</f>
        <v>5</v>
      </c>
      <c r="E389">
        <f t="shared" si="6"/>
        <v>46640.600000000006</v>
      </c>
    </row>
    <row r="390" spans="1:5" x14ac:dyDescent="0.25">
      <c r="A390" t="s">
        <v>0</v>
      </c>
      <c r="B390">
        <v>1201005</v>
      </c>
      <c r="C390">
        <v>9343.75</v>
      </c>
      <c r="D390" s="4">
        <f>+VLOOKUP(A390,Portfolio!$G$3:$I$6,3)</f>
        <v>5</v>
      </c>
      <c r="E390">
        <f t="shared" si="6"/>
        <v>46718.75</v>
      </c>
    </row>
    <row r="391" spans="1:5" x14ac:dyDescent="0.25">
      <c r="A391" t="s">
        <v>0</v>
      </c>
      <c r="B391">
        <v>1201006</v>
      </c>
      <c r="C391">
        <v>9812.5</v>
      </c>
      <c r="D391" s="4">
        <f>+VLOOKUP(A391,Portfolio!$G$3:$I$6,3)</f>
        <v>5</v>
      </c>
      <c r="E391">
        <f t="shared" si="6"/>
        <v>49062.5</v>
      </c>
    </row>
    <row r="392" spans="1:5" x14ac:dyDescent="0.25">
      <c r="A392" t="s">
        <v>0</v>
      </c>
      <c r="B392">
        <v>1201007</v>
      </c>
      <c r="C392">
        <v>9718.75</v>
      </c>
      <c r="D392" s="4">
        <f>+VLOOKUP(A392,Portfolio!$G$3:$I$6,3)</f>
        <v>5</v>
      </c>
      <c r="E392">
        <f t="shared" si="6"/>
        <v>48593.75</v>
      </c>
    </row>
    <row r="393" spans="1:5" x14ac:dyDescent="0.25">
      <c r="A393" t="s">
        <v>0</v>
      </c>
      <c r="B393">
        <v>1201008</v>
      </c>
      <c r="C393">
        <v>9921.8799999999992</v>
      </c>
      <c r="D393" s="4">
        <f>+VLOOKUP(A393,Portfolio!$G$3:$I$6,3)</f>
        <v>5</v>
      </c>
      <c r="E393">
        <f t="shared" si="6"/>
        <v>49609.399999999994</v>
      </c>
    </row>
    <row r="394" spans="1:5" x14ac:dyDescent="0.25">
      <c r="A394" t="s">
        <v>0</v>
      </c>
      <c r="B394">
        <v>1201009</v>
      </c>
      <c r="C394">
        <v>9828.1200000000008</v>
      </c>
      <c r="D394" s="4">
        <f>+VLOOKUP(A394,Portfolio!$G$3:$I$6,3)</f>
        <v>5</v>
      </c>
      <c r="E394">
        <f t="shared" si="6"/>
        <v>49140.600000000006</v>
      </c>
    </row>
    <row r="395" spans="1:5" x14ac:dyDescent="0.25">
      <c r="A395" t="s">
        <v>0</v>
      </c>
      <c r="B395">
        <v>1201011</v>
      </c>
      <c r="C395">
        <v>9296.8799999999992</v>
      </c>
      <c r="D395" s="4">
        <f>+VLOOKUP(A395,Portfolio!$G$3:$I$6,3)</f>
        <v>5</v>
      </c>
      <c r="E395">
        <f t="shared" si="6"/>
        <v>46484.399999999994</v>
      </c>
    </row>
    <row r="396" spans="1:5" x14ac:dyDescent="0.25">
      <c r="A396" t="s">
        <v>0</v>
      </c>
      <c r="B396">
        <v>1201012</v>
      </c>
      <c r="C396">
        <v>9281.25</v>
      </c>
      <c r="D396" s="4">
        <f>+VLOOKUP(A396,Portfolio!$G$3:$I$6,3)</f>
        <v>5</v>
      </c>
      <c r="E396">
        <f t="shared" si="6"/>
        <v>46406.25</v>
      </c>
    </row>
    <row r="397" spans="1:5" x14ac:dyDescent="0.25">
      <c r="A397" t="s">
        <v>0</v>
      </c>
      <c r="B397">
        <v>1201013</v>
      </c>
      <c r="C397">
        <v>9265.6200000000008</v>
      </c>
      <c r="D397" s="4">
        <f>+VLOOKUP(A397,Portfolio!$G$3:$I$6,3)</f>
        <v>5</v>
      </c>
      <c r="E397">
        <f t="shared" si="6"/>
        <v>46328.100000000006</v>
      </c>
    </row>
    <row r="398" spans="1:5" x14ac:dyDescent="0.25">
      <c r="A398" t="s">
        <v>0</v>
      </c>
      <c r="B398">
        <v>1201014</v>
      </c>
      <c r="C398">
        <v>9250</v>
      </c>
      <c r="D398" s="4">
        <f>+VLOOKUP(A398,Portfolio!$G$3:$I$6,3)</f>
        <v>5</v>
      </c>
      <c r="E398">
        <f t="shared" si="6"/>
        <v>46250</v>
      </c>
    </row>
    <row r="399" spans="1:5" x14ac:dyDescent="0.25">
      <c r="A399" t="s">
        <v>0</v>
      </c>
      <c r="B399">
        <v>1201015</v>
      </c>
      <c r="C399">
        <v>9343.75</v>
      </c>
      <c r="D399" s="4">
        <f>+VLOOKUP(A399,Portfolio!$G$3:$I$6,3)</f>
        <v>5</v>
      </c>
      <c r="E399">
        <f t="shared" si="6"/>
        <v>46718.75</v>
      </c>
    </row>
    <row r="400" spans="1:5" x14ac:dyDescent="0.25">
      <c r="A400" t="s">
        <v>0</v>
      </c>
      <c r="B400">
        <v>1201016</v>
      </c>
      <c r="C400">
        <v>9390.6200000000008</v>
      </c>
      <c r="D400" s="4">
        <f>+VLOOKUP(A400,Portfolio!$G$3:$I$6,3)</f>
        <v>5</v>
      </c>
      <c r="E400">
        <f t="shared" si="6"/>
        <v>46953.100000000006</v>
      </c>
    </row>
    <row r="401" spans="1:5" x14ac:dyDescent="0.25">
      <c r="A401" t="s">
        <v>0</v>
      </c>
      <c r="B401">
        <v>1201018</v>
      </c>
      <c r="C401">
        <v>9078.1200000000008</v>
      </c>
      <c r="D401" s="4">
        <f>+VLOOKUP(A401,Portfolio!$G$3:$I$6,3)</f>
        <v>5</v>
      </c>
      <c r="E401">
        <f t="shared" si="6"/>
        <v>45390.600000000006</v>
      </c>
    </row>
    <row r="402" spans="1:5" x14ac:dyDescent="0.25">
      <c r="A402" t="s">
        <v>0</v>
      </c>
      <c r="B402">
        <v>1201019</v>
      </c>
      <c r="C402">
        <v>9140.6200000000008</v>
      </c>
      <c r="D402" s="4">
        <f>+VLOOKUP(A402,Portfolio!$G$3:$I$6,3)</f>
        <v>5</v>
      </c>
      <c r="E402">
        <f t="shared" si="6"/>
        <v>45703.100000000006</v>
      </c>
    </row>
    <row r="403" spans="1:5" x14ac:dyDescent="0.25">
      <c r="A403" t="s">
        <v>0</v>
      </c>
      <c r="B403">
        <v>1201020</v>
      </c>
      <c r="C403">
        <v>9187.5</v>
      </c>
      <c r="D403" s="4">
        <f>+VLOOKUP(A403,Portfolio!$G$3:$I$6,3)</f>
        <v>5</v>
      </c>
      <c r="E403">
        <f t="shared" si="6"/>
        <v>45937.5</v>
      </c>
    </row>
    <row r="404" spans="1:5" x14ac:dyDescent="0.25">
      <c r="A404" t="s">
        <v>0</v>
      </c>
      <c r="B404">
        <v>1201021</v>
      </c>
      <c r="C404">
        <v>9609.3799999999992</v>
      </c>
      <c r="D404" s="4">
        <f>+VLOOKUP(A404,Portfolio!$G$3:$I$6,3)</f>
        <v>5</v>
      </c>
      <c r="E404">
        <f t="shared" si="6"/>
        <v>48046.899999999994</v>
      </c>
    </row>
    <row r="405" spans="1:5" x14ac:dyDescent="0.25">
      <c r="A405" t="s">
        <v>0</v>
      </c>
      <c r="B405">
        <v>1201022</v>
      </c>
      <c r="C405">
        <v>9468.75</v>
      </c>
      <c r="D405" s="4">
        <f>+VLOOKUP(A405,Portfolio!$G$3:$I$6,3)</f>
        <v>5</v>
      </c>
      <c r="E405">
        <f t="shared" si="6"/>
        <v>47343.75</v>
      </c>
    </row>
    <row r="406" spans="1:5" x14ac:dyDescent="0.25">
      <c r="A406" t="s">
        <v>0</v>
      </c>
      <c r="B406">
        <v>1201023</v>
      </c>
      <c r="C406">
        <v>9484.3799999999992</v>
      </c>
      <c r="D406" s="4">
        <f>+VLOOKUP(A406,Portfolio!$G$3:$I$6,3)</f>
        <v>5</v>
      </c>
      <c r="E406">
        <f t="shared" si="6"/>
        <v>47421.899999999994</v>
      </c>
    </row>
    <row r="407" spans="1:5" x14ac:dyDescent="0.25">
      <c r="A407" t="s">
        <v>0</v>
      </c>
      <c r="B407">
        <v>1201025</v>
      </c>
      <c r="C407">
        <v>9390.6200000000008</v>
      </c>
      <c r="D407" s="4">
        <f>+VLOOKUP(A407,Portfolio!$G$3:$I$6,3)</f>
        <v>5</v>
      </c>
      <c r="E407">
        <f t="shared" si="6"/>
        <v>46953.100000000006</v>
      </c>
    </row>
    <row r="408" spans="1:5" x14ac:dyDescent="0.25">
      <c r="A408" t="s">
        <v>0</v>
      </c>
      <c r="B408">
        <v>1201026</v>
      </c>
      <c r="C408">
        <v>9312.5</v>
      </c>
      <c r="D408" s="4">
        <f>+VLOOKUP(A408,Portfolio!$G$3:$I$6,3)</f>
        <v>5</v>
      </c>
      <c r="E408">
        <f t="shared" si="6"/>
        <v>46562.5</v>
      </c>
    </row>
    <row r="409" spans="1:5" x14ac:dyDescent="0.25">
      <c r="A409" t="s">
        <v>0</v>
      </c>
      <c r="B409">
        <v>1201027</v>
      </c>
      <c r="C409">
        <v>9265.6200000000008</v>
      </c>
      <c r="D409" s="4">
        <f>+VLOOKUP(A409,Portfolio!$G$3:$I$6,3)</f>
        <v>5</v>
      </c>
      <c r="E409">
        <f t="shared" si="6"/>
        <v>46328.100000000006</v>
      </c>
    </row>
    <row r="410" spans="1:5" x14ac:dyDescent="0.25">
      <c r="A410" t="s">
        <v>0</v>
      </c>
      <c r="B410">
        <v>1201028</v>
      </c>
      <c r="C410">
        <v>9500</v>
      </c>
      <c r="D410" s="4">
        <f>+VLOOKUP(A410,Portfolio!$G$3:$I$6,3)</f>
        <v>5</v>
      </c>
      <c r="E410">
        <f t="shared" si="6"/>
        <v>47500</v>
      </c>
    </row>
    <row r="411" spans="1:5" x14ac:dyDescent="0.25">
      <c r="A411" t="s">
        <v>0</v>
      </c>
      <c r="B411">
        <v>1201029</v>
      </c>
      <c r="C411">
        <v>9343.75</v>
      </c>
      <c r="D411" s="4">
        <f>+VLOOKUP(A411,Portfolio!$G$3:$I$6,3)</f>
        <v>5</v>
      </c>
      <c r="E411">
        <f t="shared" si="6"/>
        <v>46718.75</v>
      </c>
    </row>
    <row r="412" spans="1:5" x14ac:dyDescent="0.25">
      <c r="A412" t="s">
        <v>0</v>
      </c>
      <c r="B412">
        <v>1201030</v>
      </c>
      <c r="C412">
        <v>9421.8799999999992</v>
      </c>
      <c r="D412" s="4">
        <f>+VLOOKUP(A412,Portfolio!$G$3:$I$6,3)</f>
        <v>5</v>
      </c>
      <c r="E412">
        <f t="shared" si="6"/>
        <v>47109.399999999994</v>
      </c>
    </row>
    <row r="413" spans="1:5" x14ac:dyDescent="0.25">
      <c r="A413" t="s">
        <v>0</v>
      </c>
      <c r="B413">
        <v>1201101</v>
      </c>
      <c r="C413">
        <v>9718.75</v>
      </c>
      <c r="D413" s="4">
        <f>+VLOOKUP(A413,Portfolio!$G$3:$I$6,3)</f>
        <v>5</v>
      </c>
      <c r="E413">
        <f t="shared" si="6"/>
        <v>48593.75</v>
      </c>
    </row>
    <row r="414" spans="1:5" x14ac:dyDescent="0.25">
      <c r="A414" t="s">
        <v>0</v>
      </c>
      <c r="B414">
        <v>1201102</v>
      </c>
      <c r="C414">
        <v>9750</v>
      </c>
      <c r="D414" s="4">
        <f>+VLOOKUP(A414,Portfolio!$G$3:$I$6,3)</f>
        <v>5</v>
      </c>
      <c r="E414">
        <f t="shared" si="6"/>
        <v>48750</v>
      </c>
    </row>
    <row r="415" spans="1:5" x14ac:dyDescent="0.25">
      <c r="A415" t="s">
        <v>0</v>
      </c>
      <c r="B415">
        <v>1201103</v>
      </c>
      <c r="C415">
        <v>9656.25</v>
      </c>
      <c r="D415" s="4">
        <f>+VLOOKUP(A415,Portfolio!$G$3:$I$6,3)</f>
        <v>5</v>
      </c>
      <c r="E415">
        <f t="shared" si="6"/>
        <v>48281.25</v>
      </c>
    </row>
    <row r="416" spans="1:5" x14ac:dyDescent="0.25">
      <c r="A416" t="s">
        <v>0</v>
      </c>
      <c r="B416">
        <v>1201104</v>
      </c>
      <c r="C416">
        <v>8828.1200000000008</v>
      </c>
      <c r="D416" s="4">
        <f>+VLOOKUP(A416,Portfolio!$G$3:$I$6,3)</f>
        <v>5</v>
      </c>
      <c r="E416">
        <f t="shared" si="6"/>
        <v>44140.600000000006</v>
      </c>
    </row>
    <row r="417" spans="1:5" x14ac:dyDescent="0.25">
      <c r="A417" t="s">
        <v>0</v>
      </c>
      <c r="B417">
        <v>1201105</v>
      </c>
      <c r="C417">
        <v>8781.25</v>
      </c>
      <c r="D417" s="4">
        <f>+VLOOKUP(A417,Portfolio!$G$3:$I$6,3)</f>
        <v>5</v>
      </c>
      <c r="E417">
        <f t="shared" si="6"/>
        <v>43906.25</v>
      </c>
    </row>
    <row r="418" spans="1:5" x14ac:dyDescent="0.25">
      <c r="A418" t="s">
        <v>0</v>
      </c>
      <c r="B418">
        <v>1201106</v>
      </c>
      <c r="C418">
        <v>8718.75</v>
      </c>
      <c r="D418" s="4">
        <f>+VLOOKUP(A418,Portfolio!$G$3:$I$6,3)</f>
        <v>5</v>
      </c>
      <c r="E418">
        <f t="shared" si="6"/>
        <v>43593.75</v>
      </c>
    </row>
    <row r="419" spans="1:5" x14ac:dyDescent="0.25">
      <c r="A419" t="s">
        <v>0</v>
      </c>
      <c r="B419">
        <v>1201108</v>
      </c>
      <c r="C419">
        <v>9109.3799999999992</v>
      </c>
      <c r="D419" s="4">
        <f>+VLOOKUP(A419,Portfolio!$G$3:$I$6,3)</f>
        <v>5</v>
      </c>
      <c r="E419">
        <f t="shared" si="6"/>
        <v>45546.899999999994</v>
      </c>
    </row>
    <row r="420" spans="1:5" x14ac:dyDescent="0.25">
      <c r="A420" t="s">
        <v>0</v>
      </c>
      <c r="B420">
        <v>1201109</v>
      </c>
      <c r="C420">
        <v>9015.6200000000008</v>
      </c>
      <c r="D420" s="4">
        <f>+VLOOKUP(A420,Portfolio!$G$3:$I$6,3)</f>
        <v>5</v>
      </c>
      <c r="E420">
        <f t="shared" si="6"/>
        <v>45078.100000000006</v>
      </c>
    </row>
    <row r="421" spans="1:5" x14ac:dyDescent="0.25">
      <c r="A421" t="s">
        <v>0</v>
      </c>
      <c r="B421">
        <v>1201110</v>
      </c>
      <c r="C421">
        <v>9812.5</v>
      </c>
      <c r="D421" s="4">
        <f>+VLOOKUP(A421,Portfolio!$G$3:$I$6,3)</f>
        <v>5</v>
      </c>
      <c r="E421">
        <f t="shared" si="6"/>
        <v>49062.5</v>
      </c>
    </row>
    <row r="422" spans="1:5" x14ac:dyDescent="0.25">
      <c r="A422" t="s">
        <v>0</v>
      </c>
      <c r="B422">
        <v>1201111</v>
      </c>
      <c r="C422">
        <v>10312.5</v>
      </c>
      <c r="D422" s="4">
        <f>+VLOOKUP(A422,Portfolio!$G$3:$I$6,3)</f>
        <v>5</v>
      </c>
      <c r="E422">
        <f t="shared" si="6"/>
        <v>51562.5</v>
      </c>
    </row>
    <row r="423" spans="1:5" x14ac:dyDescent="0.25">
      <c r="A423" t="s">
        <v>0</v>
      </c>
      <c r="B423">
        <v>1201112</v>
      </c>
      <c r="C423">
        <v>10375</v>
      </c>
      <c r="D423" s="4">
        <f>+VLOOKUP(A423,Portfolio!$G$3:$I$6,3)</f>
        <v>5</v>
      </c>
      <c r="E423">
        <f t="shared" si="6"/>
        <v>51875</v>
      </c>
    </row>
    <row r="424" spans="1:5" x14ac:dyDescent="0.25">
      <c r="A424" t="s">
        <v>0</v>
      </c>
      <c r="B424">
        <v>1201113</v>
      </c>
      <c r="C424">
        <v>10843.75</v>
      </c>
      <c r="D424" s="4">
        <f>+VLOOKUP(A424,Portfolio!$G$3:$I$6,3)</f>
        <v>5</v>
      </c>
      <c r="E424">
        <f t="shared" si="6"/>
        <v>54218.75</v>
      </c>
    </row>
    <row r="425" spans="1:5" x14ac:dyDescent="0.25">
      <c r="A425" t="s">
        <v>0</v>
      </c>
      <c r="B425">
        <v>1201115</v>
      </c>
      <c r="C425">
        <v>10640.62</v>
      </c>
      <c r="D425" s="4">
        <f>+VLOOKUP(A425,Portfolio!$G$3:$I$6,3)</f>
        <v>5</v>
      </c>
      <c r="E425">
        <f t="shared" si="6"/>
        <v>53203.100000000006</v>
      </c>
    </row>
    <row r="426" spans="1:5" x14ac:dyDescent="0.25">
      <c r="A426" t="s">
        <v>0</v>
      </c>
      <c r="B426">
        <v>1201116</v>
      </c>
      <c r="C426">
        <v>10609.38</v>
      </c>
      <c r="D426" s="4">
        <f>+VLOOKUP(A426,Portfolio!$G$3:$I$6,3)</f>
        <v>5</v>
      </c>
      <c r="E426">
        <f t="shared" si="6"/>
        <v>53046.899999999994</v>
      </c>
    </row>
    <row r="427" spans="1:5" x14ac:dyDescent="0.25">
      <c r="A427" t="s">
        <v>0</v>
      </c>
      <c r="B427">
        <v>1201117</v>
      </c>
      <c r="C427">
        <v>10718.75</v>
      </c>
      <c r="D427" s="4">
        <f>+VLOOKUP(A427,Portfolio!$G$3:$I$6,3)</f>
        <v>5</v>
      </c>
      <c r="E427">
        <f t="shared" si="6"/>
        <v>53593.75</v>
      </c>
    </row>
    <row r="428" spans="1:5" x14ac:dyDescent="0.25">
      <c r="A428" t="s">
        <v>0</v>
      </c>
      <c r="B428">
        <v>1201118</v>
      </c>
      <c r="C428">
        <v>10875</v>
      </c>
      <c r="D428" s="4">
        <f>+VLOOKUP(A428,Portfolio!$G$3:$I$6,3)</f>
        <v>5</v>
      </c>
      <c r="E428">
        <f t="shared" si="6"/>
        <v>54375</v>
      </c>
    </row>
    <row r="429" spans="1:5" x14ac:dyDescent="0.25">
      <c r="A429" t="s">
        <v>0</v>
      </c>
      <c r="B429">
        <v>1201119</v>
      </c>
      <c r="C429">
        <v>10562.5</v>
      </c>
      <c r="D429" s="4">
        <f>+VLOOKUP(A429,Portfolio!$G$3:$I$6,3)</f>
        <v>5</v>
      </c>
      <c r="E429">
        <f t="shared" si="6"/>
        <v>52812.5</v>
      </c>
    </row>
    <row r="430" spans="1:5" x14ac:dyDescent="0.25">
      <c r="A430" t="s">
        <v>0</v>
      </c>
      <c r="B430">
        <v>1201120</v>
      </c>
      <c r="C430">
        <v>10406.25</v>
      </c>
      <c r="D430" s="4">
        <f>+VLOOKUP(A430,Portfolio!$G$3:$I$6,3)</f>
        <v>5</v>
      </c>
      <c r="E430">
        <f t="shared" si="6"/>
        <v>52031.25</v>
      </c>
    </row>
    <row r="431" spans="1:5" x14ac:dyDescent="0.25">
      <c r="A431" t="s">
        <v>0</v>
      </c>
      <c r="B431">
        <v>1201122</v>
      </c>
      <c r="C431">
        <v>10406.25</v>
      </c>
      <c r="D431" s="4">
        <f>+VLOOKUP(A431,Portfolio!$G$3:$I$6,3)</f>
        <v>5</v>
      </c>
      <c r="E431">
        <f t="shared" si="6"/>
        <v>52031.25</v>
      </c>
    </row>
    <row r="432" spans="1:5" x14ac:dyDescent="0.25">
      <c r="A432" t="s">
        <v>0</v>
      </c>
      <c r="B432">
        <v>1201123</v>
      </c>
      <c r="C432">
        <v>10421.879999999999</v>
      </c>
      <c r="D432" s="4">
        <f>+VLOOKUP(A432,Portfolio!$G$3:$I$6,3)</f>
        <v>5</v>
      </c>
      <c r="E432">
        <f t="shared" si="6"/>
        <v>52109.399999999994</v>
      </c>
    </row>
    <row r="433" spans="1:5" x14ac:dyDescent="0.25">
      <c r="A433" t="s">
        <v>0</v>
      </c>
      <c r="B433">
        <v>1201124</v>
      </c>
      <c r="C433">
        <v>10625</v>
      </c>
      <c r="D433" s="4">
        <f>+VLOOKUP(A433,Portfolio!$G$3:$I$6,3)</f>
        <v>5</v>
      </c>
      <c r="E433">
        <f t="shared" si="6"/>
        <v>53125</v>
      </c>
    </row>
    <row r="434" spans="1:5" x14ac:dyDescent="0.25">
      <c r="A434" t="s">
        <v>0</v>
      </c>
      <c r="B434">
        <v>1201125</v>
      </c>
      <c r="C434">
        <v>10687.5</v>
      </c>
      <c r="D434" s="4">
        <f>+VLOOKUP(A434,Portfolio!$G$3:$I$6,3)</f>
        <v>5</v>
      </c>
      <c r="E434">
        <f t="shared" si="6"/>
        <v>53437.5</v>
      </c>
    </row>
    <row r="435" spans="1:5" x14ac:dyDescent="0.25">
      <c r="A435" t="s">
        <v>0</v>
      </c>
      <c r="B435">
        <v>1201126</v>
      </c>
      <c r="C435">
        <v>10531.25</v>
      </c>
      <c r="D435" s="4">
        <f>+VLOOKUP(A435,Portfolio!$G$3:$I$6,3)</f>
        <v>5</v>
      </c>
      <c r="E435">
        <f t="shared" si="6"/>
        <v>52656.25</v>
      </c>
    </row>
    <row r="436" spans="1:5" x14ac:dyDescent="0.25">
      <c r="A436" t="s">
        <v>0</v>
      </c>
      <c r="B436">
        <v>1201127</v>
      </c>
      <c r="C436">
        <v>10640.62</v>
      </c>
      <c r="D436" s="4">
        <f>+VLOOKUP(A436,Portfolio!$G$3:$I$6,3)</f>
        <v>5</v>
      </c>
      <c r="E436">
        <f t="shared" si="6"/>
        <v>53203.100000000006</v>
      </c>
    </row>
    <row r="437" spans="1:5" x14ac:dyDescent="0.25">
      <c r="A437" t="s">
        <v>0</v>
      </c>
      <c r="B437">
        <v>1201129</v>
      </c>
      <c r="C437">
        <v>10718.75</v>
      </c>
      <c r="D437" s="4">
        <f>+VLOOKUP(A437,Portfolio!$G$3:$I$6,3)</f>
        <v>5</v>
      </c>
      <c r="E437">
        <f t="shared" si="6"/>
        <v>53593.75</v>
      </c>
    </row>
    <row r="438" spans="1:5" x14ac:dyDescent="0.25">
      <c r="A438" t="s">
        <v>0</v>
      </c>
      <c r="B438">
        <v>1201130</v>
      </c>
      <c r="C438">
        <v>10765.62</v>
      </c>
      <c r="D438" s="4">
        <f>+VLOOKUP(A438,Portfolio!$G$3:$I$6,3)</f>
        <v>5</v>
      </c>
      <c r="E438">
        <f t="shared" si="6"/>
        <v>53828.100000000006</v>
      </c>
    </row>
    <row r="439" spans="1:5" x14ac:dyDescent="0.25">
      <c r="A439" t="s">
        <v>0</v>
      </c>
      <c r="B439">
        <v>1201201</v>
      </c>
      <c r="C439">
        <v>10562.5</v>
      </c>
      <c r="D439" s="4">
        <f>+VLOOKUP(A439,Portfolio!$G$3:$I$6,3)</f>
        <v>5</v>
      </c>
      <c r="E439">
        <f t="shared" si="6"/>
        <v>52812.5</v>
      </c>
    </row>
    <row r="440" spans="1:5" x14ac:dyDescent="0.25">
      <c r="A440" t="s">
        <v>0</v>
      </c>
      <c r="B440">
        <v>1201202</v>
      </c>
      <c r="C440">
        <v>11093.75</v>
      </c>
      <c r="D440" s="4">
        <f>+VLOOKUP(A440,Portfolio!$G$3:$I$6,3)</f>
        <v>5</v>
      </c>
      <c r="E440">
        <f t="shared" si="6"/>
        <v>55468.75</v>
      </c>
    </row>
    <row r="441" spans="1:5" x14ac:dyDescent="0.25">
      <c r="A441" t="s">
        <v>0</v>
      </c>
      <c r="B441">
        <v>1201203</v>
      </c>
      <c r="C441">
        <v>11218.75</v>
      </c>
      <c r="D441" s="4">
        <f>+VLOOKUP(A441,Portfolio!$G$3:$I$6,3)</f>
        <v>5</v>
      </c>
      <c r="E441">
        <f t="shared" si="6"/>
        <v>56093.75</v>
      </c>
    </row>
    <row r="442" spans="1:5" x14ac:dyDescent="0.25">
      <c r="A442" t="s">
        <v>0</v>
      </c>
      <c r="B442">
        <v>1201204</v>
      </c>
      <c r="C442">
        <v>11296.88</v>
      </c>
      <c r="D442" s="4">
        <f>+VLOOKUP(A442,Portfolio!$G$3:$I$6,3)</f>
        <v>5</v>
      </c>
      <c r="E442">
        <f t="shared" si="6"/>
        <v>56484.399999999994</v>
      </c>
    </row>
    <row r="443" spans="1:5" x14ac:dyDescent="0.25">
      <c r="A443" t="s">
        <v>0</v>
      </c>
      <c r="B443">
        <v>1201206</v>
      </c>
      <c r="C443">
        <v>10687.5</v>
      </c>
      <c r="D443" s="4">
        <f>+VLOOKUP(A443,Portfolio!$G$3:$I$6,3)</f>
        <v>5</v>
      </c>
      <c r="E443">
        <f t="shared" si="6"/>
        <v>53437.5</v>
      </c>
    </row>
    <row r="444" spans="1:5" x14ac:dyDescent="0.25">
      <c r="A444" t="s">
        <v>0</v>
      </c>
      <c r="B444">
        <v>1201207</v>
      </c>
      <c r="C444">
        <v>10578.12</v>
      </c>
      <c r="D444" s="4">
        <f>+VLOOKUP(A444,Portfolio!$G$3:$I$6,3)</f>
        <v>5</v>
      </c>
      <c r="E444">
        <f t="shared" si="6"/>
        <v>52890.600000000006</v>
      </c>
    </row>
    <row r="445" spans="1:5" x14ac:dyDescent="0.25">
      <c r="A445" t="s">
        <v>0</v>
      </c>
      <c r="B445">
        <v>1201208</v>
      </c>
      <c r="C445">
        <v>10468.75</v>
      </c>
      <c r="D445" s="4">
        <f>+VLOOKUP(A445,Portfolio!$G$3:$I$6,3)</f>
        <v>5</v>
      </c>
      <c r="E445">
        <f t="shared" si="6"/>
        <v>52343.75</v>
      </c>
    </row>
    <row r="446" spans="1:5" x14ac:dyDescent="0.25">
      <c r="A446" t="s">
        <v>0</v>
      </c>
      <c r="B446">
        <v>1201209</v>
      </c>
      <c r="C446">
        <v>10406.25</v>
      </c>
      <c r="D446" s="4">
        <f>+VLOOKUP(A446,Portfolio!$G$3:$I$6,3)</f>
        <v>5</v>
      </c>
      <c r="E446">
        <f t="shared" si="6"/>
        <v>52031.25</v>
      </c>
    </row>
    <row r="447" spans="1:5" x14ac:dyDescent="0.25">
      <c r="A447" t="s">
        <v>0</v>
      </c>
      <c r="B447">
        <v>1201210</v>
      </c>
      <c r="C447">
        <v>10171.879999999999</v>
      </c>
      <c r="D447" s="4">
        <f>+VLOOKUP(A447,Portfolio!$G$3:$I$6,3)</f>
        <v>5</v>
      </c>
      <c r="E447">
        <f t="shared" si="6"/>
        <v>50859.399999999994</v>
      </c>
    </row>
    <row r="448" spans="1:5" x14ac:dyDescent="0.25">
      <c r="A448" t="s">
        <v>0</v>
      </c>
      <c r="B448">
        <v>1201211</v>
      </c>
      <c r="C448">
        <v>9359.3799999999992</v>
      </c>
      <c r="D448" s="4">
        <f>+VLOOKUP(A448,Portfolio!$G$3:$I$6,3)</f>
        <v>5</v>
      </c>
      <c r="E448">
        <f t="shared" si="6"/>
        <v>46796.899999999994</v>
      </c>
    </row>
    <row r="449" spans="1:5" x14ac:dyDescent="0.25">
      <c r="A449" t="s">
        <v>0</v>
      </c>
      <c r="B449">
        <v>1201213</v>
      </c>
      <c r="C449">
        <v>8937.5</v>
      </c>
      <c r="D449" s="4">
        <f>+VLOOKUP(A449,Portfolio!$G$3:$I$6,3)</f>
        <v>5</v>
      </c>
      <c r="E449">
        <f t="shared" si="6"/>
        <v>44687.5</v>
      </c>
    </row>
    <row r="450" spans="1:5" x14ac:dyDescent="0.25">
      <c r="A450" t="s">
        <v>0</v>
      </c>
      <c r="B450">
        <v>1201214</v>
      </c>
      <c r="C450">
        <v>8953.1200000000008</v>
      </c>
      <c r="D450" s="4">
        <f>+VLOOKUP(A450,Portfolio!$G$3:$I$6,3)</f>
        <v>5</v>
      </c>
      <c r="E450">
        <f t="shared" si="6"/>
        <v>44765.600000000006</v>
      </c>
    </row>
    <row r="451" spans="1:5" x14ac:dyDescent="0.25">
      <c r="A451" t="s">
        <v>0</v>
      </c>
      <c r="B451">
        <v>1201215</v>
      </c>
      <c r="C451">
        <v>8671.8799999999992</v>
      </c>
      <c r="D451" s="4">
        <f>+VLOOKUP(A451,Portfolio!$G$3:$I$6,3)</f>
        <v>5</v>
      </c>
      <c r="E451">
        <f t="shared" ref="E451:E514" si="7">+C451*D451</f>
        <v>43359.399999999994</v>
      </c>
    </row>
    <row r="452" spans="1:5" x14ac:dyDescent="0.25">
      <c r="A452" t="s">
        <v>0</v>
      </c>
      <c r="B452">
        <v>1201216</v>
      </c>
      <c r="C452">
        <v>8593.75</v>
      </c>
      <c r="D452" s="4">
        <f>+VLOOKUP(A452,Portfolio!$G$3:$I$6,3)</f>
        <v>5</v>
      </c>
      <c r="E452">
        <f t="shared" si="7"/>
        <v>42968.75</v>
      </c>
    </row>
    <row r="453" spans="1:5" x14ac:dyDescent="0.25">
      <c r="A453" t="s">
        <v>0</v>
      </c>
      <c r="B453">
        <v>1201217</v>
      </c>
      <c r="C453">
        <v>8703.1200000000008</v>
      </c>
      <c r="D453" s="4">
        <f>+VLOOKUP(A453,Portfolio!$G$3:$I$6,3)</f>
        <v>5</v>
      </c>
      <c r="E453">
        <f t="shared" si="7"/>
        <v>43515.600000000006</v>
      </c>
    </row>
    <row r="454" spans="1:5" x14ac:dyDescent="0.25">
      <c r="A454" t="s">
        <v>0</v>
      </c>
      <c r="B454">
        <v>1201218</v>
      </c>
      <c r="C454">
        <v>8125</v>
      </c>
      <c r="D454" s="4">
        <f>+VLOOKUP(A454,Portfolio!$G$3:$I$6,3)</f>
        <v>5</v>
      </c>
      <c r="E454">
        <f t="shared" si="7"/>
        <v>40625</v>
      </c>
    </row>
    <row r="455" spans="1:5" x14ac:dyDescent="0.25">
      <c r="A455" t="s">
        <v>0</v>
      </c>
      <c r="B455">
        <v>1201220</v>
      </c>
      <c r="C455">
        <v>8218.75</v>
      </c>
      <c r="D455" s="4">
        <f>+VLOOKUP(A455,Portfolio!$G$3:$I$6,3)</f>
        <v>5</v>
      </c>
      <c r="E455">
        <f t="shared" si="7"/>
        <v>41093.75</v>
      </c>
    </row>
    <row r="456" spans="1:5" x14ac:dyDescent="0.25">
      <c r="A456" t="s">
        <v>0</v>
      </c>
      <c r="B456">
        <v>1201221</v>
      </c>
      <c r="C456">
        <v>8156.25</v>
      </c>
      <c r="D456" s="4">
        <f>+VLOOKUP(A456,Portfolio!$G$3:$I$6,3)</f>
        <v>5</v>
      </c>
      <c r="E456">
        <f t="shared" si="7"/>
        <v>40781.25</v>
      </c>
    </row>
    <row r="457" spans="1:5" x14ac:dyDescent="0.25">
      <c r="A457" t="s">
        <v>0</v>
      </c>
      <c r="B457">
        <v>1201222</v>
      </c>
      <c r="C457">
        <v>8187.5</v>
      </c>
      <c r="D457" s="4">
        <f>+VLOOKUP(A457,Portfolio!$G$3:$I$6,3)</f>
        <v>5</v>
      </c>
      <c r="E457">
        <f t="shared" si="7"/>
        <v>40937.5</v>
      </c>
    </row>
    <row r="458" spans="1:5" x14ac:dyDescent="0.25">
      <c r="A458" t="s">
        <v>0</v>
      </c>
      <c r="B458">
        <v>1201223</v>
      </c>
      <c r="C458">
        <v>8203.1200000000008</v>
      </c>
      <c r="D458" s="4">
        <f>+VLOOKUP(A458,Portfolio!$G$3:$I$6,3)</f>
        <v>5</v>
      </c>
      <c r="E458">
        <f t="shared" si="7"/>
        <v>41015.600000000006</v>
      </c>
    </row>
    <row r="459" spans="1:5" x14ac:dyDescent="0.25">
      <c r="A459" t="s">
        <v>0</v>
      </c>
      <c r="B459">
        <v>1201224</v>
      </c>
      <c r="C459">
        <v>8203.1200000000008</v>
      </c>
      <c r="D459" s="4">
        <f>+VLOOKUP(A459,Portfolio!$G$3:$I$6,3)</f>
        <v>5</v>
      </c>
      <c r="E459">
        <f t="shared" si="7"/>
        <v>41015.600000000006</v>
      </c>
    </row>
    <row r="460" spans="1:5" x14ac:dyDescent="0.25">
      <c r="A460" t="s">
        <v>0</v>
      </c>
      <c r="B460">
        <v>1201227</v>
      </c>
      <c r="C460">
        <v>8156.25</v>
      </c>
      <c r="D460" s="4">
        <f>+VLOOKUP(A460,Portfolio!$G$3:$I$6,3)</f>
        <v>5</v>
      </c>
      <c r="E460">
        <f t="shared" si="7"/>
        <v>40781.25</v>
      </c>
    </row>
    <row r="461" spans="1:5" x14ac:dyDescent="0.25">
      <c r="A461" t="s">
        <v>0</v>
      </c>
      <c r="B461">
        <v>1201228</v>
      </c>
      <c r="C461">
        <v>8062.5</v>
      </c>
      <c r="D461" s="4">
        <f>+VLOOKUP(A461,Portfolio!$G$3:$I$6,3)</f>
        <v>5</v>
      </c>
      <c r="E461">
        <f t="shared" si="7"/>
        <v>40312.5</v>
      </c>
    </row>
    <row r="462" spans="1:5" x14ac:dyDescent="0.25">
      <c r="A462" t="s">
        <v>0</v>
      </c>
      <c r="B462">
        <v>1201229</v>
      </c>
      <c r="C462">
        <v>7843.75</v>
      </c>
      <c r="D462" s="4">
        <f>+VLOOKUP(A462,Portfolio!$G$3:$I$6,3)</f>
        <v>5</v>
      </c>
      <c r="E462">
        <f t="shared" si="7"/>
        <v>39218.75</v>
      </c>
    </row>
    <row r="463" spans="1:5" x14ac:dyDescent="0.25">
      <c r="A463" t="s">
        <v>0</v>
      </c>
      <c r="B463">
        <v>1201230</v>
      </c>
      <c r="C463">
        <v>7796.88</v>
      </c>
      <c r="D463" s="4">
        <f>+VLOOKUP(A463,Portfolio!$G$3:$I$6,3)</f>
        <v>5</v>
      </c>
      <c r="E463">
        <f t="shared" si="7"/>
        <v>38984.400000000001</v>
      </c>
    </row>
    <row r="464" spans="1:5" x14ac:dyDescent="0.25">
      <c r="A464" t="s">
        <v>0</v>
      </c>
      <c r="B464">
        <v>1201231</v>
      </c>
      <c r="C464">
        <v>7859.38</v>
      </c>
      <c r="D464" s="4">
        <f>+VLOOKUP(A464,Portfolio!$G$3:$I$6,3)</f>
        <v>5</v>
      </c>
      <c r="E464">
        <f t="shared" si="7"/>
        <v>39296.9</v>
      </c>
    </row>
    <row r="465" spans="1:5" x14ac:dyDescent="0.25">
      <c r="A465" t="s">
        <v>0</v>
      </c>
      <c r="B465">
        <v>1210103</v>
      </c>
      <c r="C465">
        <v>7703.12</v>
      </c>
      <c r="D465" s="4">
        <f>+VLOOKUP(A465,Portfolio!$G$3:$I$6,3)</f>
        <v>5</v>
      </c>
      <c r="E465">
        <f t="shared" si="7"/>
        <v>38515.599999999999</v>
      </c>
    </row>
    <row r="466" spans="1:5" x14ac:dyDescent="0.25">
      <c r="A466" t="s">
        <v>0</v>
      </c>
      <c r="B466">
        <v>1210104</v>
      </c>
      <c r="C466">
        <v>7609.38</v>
      </c>
      <c r="D466" s="4">
        <f>+VLOOKUP(A466,Portfolio!$G$3:$I$6,3)</f>
        <v>5</v>
      </c>
      <c r="E466">
        <f t="shared" si="7"/>
        <v>38046.9</v>
      </c>
    </row>
    <row r="467" spans="1:5" x14ac:dyDescent="0.25">
      <c r="A467" t="s">
        <v>0</v>
      </c>
      <c r="B467">
        <v>1210105</v>
      </c>
      <c r="C467">
        <v>7359.38</v>
      </c>
      <c r="D467" s="4">
        <f>+VLOOKUP(A467,Portfolio!$G$3:$I$6,3)</f>
        <v>5</v>
      </c>
      <c r="E467">
        <f t="shared" si="7"/>
        <v>36796.9</v>
      </c>
    </row>
    <row r="468" spans="1:5" x14ac:dyDescent="0.25">
      <c r="A468" t="s">
        <v>0</v>
      </c>
      <c r="B468">
        <v>1210106</v>
      </c>
      <c r="C468">
        <v>7796.88</v>
      </c>
      <c r="D468" s="4">
        <f>+VLOOKUP(A468,Portfolio!$G$3:$I$6,3)</f>
        <v>5</v>
      </c>
      <c r="E468">
        <f t="shared" si="7"/>
        <v>38984.400000000001</v>
      </c>
    </row>
    <row r="469" spans="1:5" x14ac:dyDescent="0.25">
      <c r="A469" t="s">
        <v>0</v>
      </c>
      <c r="B469">
        <v>1210107</v>
      </c>
      <c r="C469">
        <v>8093.75</v>
      </c>
      <c r="D469" s="4">
        <f>+VLOOKUP(A469,Portfolio!$G$3:$I$6,3)</f>
        <v>5</v>
      </c>
      <c r="E469">
        <f t="shared" si="7"/>
        <v>40468.75</v>
      </c>
    </row>
    <row r="470" spans="1:5" x14ac:dyDescent="0.25">
      <c r="A470" t="s">
        <v>0</v>
      </c>
      <c r="B470">
        <v>1210108</v>
      </c>
      <c r="C470">
        <v>8500</v>
      </c>
      <c r="D470" s="4">
        <f>+VLOOKUP(A470,Portfolio!$G$3:$I$6,3)</f>
        <v>5</v>
      </c>
      <c r="E470">
        <f t="shared" si="7"/>
        <v>42500</v>
      </c>
    </row>
    <row r="471" spans="1:5" x14ac:dyDescent="0.25">
      <c r="A471" t="s">
        <v>0</v>
      </c>
      <c r="B471">
        <v>1210110</v>
      </c>
      <c r="C471">
        <v>8265.6200000000008</v>
      </c>
      <c r="D471" s="4">
        <f>+VLOOKUP(A471,Portfolio!$G$3:$I$6,3)</f>
        <v>5</v>
      </c>
      <c r="E471">
        <f t="shared" si="7"/>
        <v>41328.100000000006</v>
      </c>
    </row>
    <row r="472" spans="1:5" x14ac:dyDescent="0.25">
      <c r="A472" t="s">
        <v>0</v>
      </c>
      <c r="B472">
        <v>1210111</v>
      </c>
      <c r="C472">
        <v>8234.3799999999992</v>
      </c>
      <c r="D472" s="4">
        <f>+VLOOKUP(A472,Portfolio!$G$3:$I$6,3)</f>
        <v>5</v>
      </c>
      <c r="E472">
        <f t="shared" si="7"/>
        <v>41171.899999999994</v>
      </c>
    </row>
    <row r="473" spans="1:5" x14ac:dyDescent="0.25">
      <c r="A473" t="s">
        <v>0</v>
      </c>
      <c r="B473">
        <v>1210112</v>
      </c>
      <c r="C473">
        <v>8562.5</v>
      </c>
      <c r="D473" s="4">
        <f>+VLOOKUP(A473,Portfolio!$G$3:$I$6,3)</f>
        <v>5</v>
      </c>
      <c r="E473">
        <f t="shared" si="7"/>
        <v>42812.5</v>
      </c>
    </row>
    <row r="474" spans="1:5" x14ac:dyDescent="0.25">
      <c r="A474" t="s">
        <v>0</v>
      </c>
      <c r="B474">
        <v>1210113</v>
      </c>
      <c r="C474">
        <v>8359.3799999999992</v>
      </c>
      <c r="D474" s="4">
        <f>+VLOOKUP(A474,Portfolio!$G$3:$I$6,3)</f>
        <v>5</v>
      </c>
      <c r="E474">
        <f t="shared" si="7"/>
        <v>41796.899999999994</v>
      </c>
    </row>
    <row r="475" spans="1:5" x14ac:dyDescent="0.25">
      <c r="A475" t="s">
        <v>0</v>
      </c>
      <c r="B475">
        <v>1210114</v>
      </c>
      <c r="C475">
        <v>8218.75</v>
      </c>
      <c r="D475" s="4">
        <f>+VLOOKUP(A475,Portfolio!$G$3:$I$6,3)</f>
        <v>5</v>
      </c>
      <c r="E475">
        <f t="shared" si="7"/>
        <v>41093.75</v>
      </c>
    </row>
    <row r="476" spans="1:5" x14ac:dyDescent="0.25">
      <c r="A476" t="s">
        <v>0</v>
      </c>
      <c r="B476">
        <v>1210115</v>
      </c>
      <c r="C476">
        <v>8421.8799999999992</v>
      </c>
      <c r="D476" s="4">
        <f>+VLOOKUP(A476,Portfolio!$G$3:$I$6,3)</f>
        <v>5</v>
      </c>
      <c r="E476">
        <f t="shared" si="7"/>
        <v>42109.399999999994</v>
      </c>
    </row>
    <row r="477" spans="1:5" x14ac:dyDescent="0.25">
      <c r="A477" t="s">
        <v>0</v>
      </c>
      <c r="B477">
        <v>1210117</v>
      </c>
      <c r="C477">
        <v>8593.75</v>
      </c>
      <c r="D477" s="4">
        <f>+VLOOKUP(A477,Portfolio!$G$3:$I$6,3)</f>
        <v>5</v>
      </c>
      <c r="E477">
        <f t="shared" si="7"/>
        <v>42968.75</v>
      </c>
    </row>
    <row r="478" spans="1:5" x14ac:dyDescent="0.25">
      <c r="A478" t="s">
        <v>0</v>
      </c>
      <c r="B478">
        <v>1210118</v>
      </c>
      <c r="C478">
        <v>8625</v>
      </c>
      <c r="D478" s="4">
        <f>+VLOOKUP(A478,Portfolio!$G$3:$I$6,3)</f>
        <v>5</v>
      </c>
      <c r="E478">
        <f t="shared" si="7"/>
        <v>43125</v>
      </c>
    </row>
    <row r="479" spans="1:5" x14ac:dyDescent="0.25">
      <c r="A479" t="s">
        <v>0</v>
      </c>
      <c r="B479">
        <v>1210119</v>
      </c>
      <c r="C479">
        <v>8625</v>
      </c>
      <c r="D479" s="4">
        <f>+VLOOKUP(A479,Portfolio!$G$3:$I$6,3)</f>
        <v>5</v>
      </c>
      <c r="E479">
        <f t="shared" si="7"/>
        <v>43125</v>
      </c>
    </row>
    <row r="480" spans="1:5" x14ac:dyDescent="0.25">
      <c r="A480" t="s">
        <v>0</v>
      </c>
      <c r="B480">
        <v>1210120</v>
      </c>
      <c r="C480">
        <v>8578.1200000000008</v>
      </c>
      <c r="D480" s="4">
        <f>+VLOOKUP(A480,Portfolio!$G$3:$I$6,3)</f>
        <v>5</v>
      </c>
      <c r="E480">
        <f t="shared" si="7"/>
        <v>42890.600000000006</v>
      </c>
    </row>
    <row r="481" spans="1:5" x14ac:dyDescent="0.25">
      <c r="A481" t="s">
        <v>0</v>
      </c>
      <c r="B481">
        <v>1210121</v>
      </c>
      <c r="C481">
        <v>8437.5</v>
      </c>
      <c r="D481" s="4">
        <f>+VLOOKUP(A481,Portfolio!$G$3:$I$6,3)</f>
        <v>5</v>
      </c>
      <c r="E481">
        <f t="shared" si="7"/>
        <v>42187.5</v>
      </c>
    </row>
    <row r="482" spans="1:5" x14ac:dyDescent="0.25">
      <c r="A482" t="s">
        <v>0</v>
      </c>
      <c r="B482">
        <v>1210122</v>
      </c>
      <c r="C482">
        <v>8359.3799999999992</v>
      </c>
      <c r="D482" s="4">
        <f>+VLOOKUP(A482,Portfolio!$G$3:$I$6,3)</f>
        <v>5</v>
      </c>
      <c r="E482">
        <f t="shared" si="7"/>
        <v>41796.899999999994</v>
      </c>
    </row>
    <row r="483" spans="1:5" x14ac:dyDescent="0.25">
      <c r="A483" t="s">
        <v>0</v>
      </c>
      <c r="B483">
        <v>1210124</v>
      </c>
      <c r="C483">
        <v>8218.75</v>
      </c>
      <c r="D483" s="4">
        <f>+VLOOKUP(A483,Portfolio!$G$3:$I$6,3)</f>
        <v>5</v>
      </c>
      <c r="E483">
        <f t="shared" si="7"/>
        <v>41093.75</v>
      </c>
    </row>
    <row r="484" spans="1:5" x14ac:dyDescent="0.25">
      <c r="A484" t="s">
        <v>0</v>
      </c>
      <c r="B484">
        <v>1210125</v>
      </c>
      <c r="C484">
        <v>8218.75</v>
      </c>
      <c r="D484" s="4">
        <f>+VLOOKUP(A484,Portfolio!$G$3:$I$6,3)</f>
        <v>5</v>
      </c>
      <c r="E484">
        <f t="shared" si="7"/>
        <v>41093.75</v>
      </c>
    </row>
    <row r="485" spans="1:5" x14ac:dyDescent="0.25">
      <c r="A485" t="s">
        <v>0</v>
      </c>
      <c r="B485">
        <v>1210126</v>
      </c>
      <c r="C485">
        <v>8671.8799999999992</v>
      </c>
      <c r="D485" s="4">
        <f>+VLOOKUP(A485,Portfolio!$G$3:$I$6,3)</f>
        <v>5</v>
      </c>
      <c r="E485">
        <f t="shared" si="7"/>
        <v>43359.399999999994</v>
      </c>
    </row>
    <row r="486" spans="1:5" x14ac:dyDescent="0.25">
      <c r="A486" t="s">
        <v>0</v>
      </c>
      <c r="B486">
        <v>1210127</v>
      </c>
      <c r="C486">
        <v>8406.25</v>
      </c>
      <c r="D486" s="4">
        <f>+VLOOKUP(A486,Portfolio!$G$3:$I$6,3)</f>
        <v>5</v>
      </c>
      <c r="E486">
        <f t="shared" si="7"/>
        <v>42031.25</v>
      </c>
    </row>
    <row r="487" spans="1:5" x14ac:dyDescent="0.25">
      <c r="A487" t="s">
        <v>0</v>
      </c>
      <c r="B487">
        <v>1210128</v>
      </c>
      <c r="C487">
        <v>8437.5</v>
      </c>
      <c r="D487" s="4">
        <f>+VLOOKUP(A487,Portfolio!$G$3:$I$6,3)</f>
        <v>5</v>
      </c>
      <c r="E487">
        <f t="shared" si="7"/>
        <v>42187.5</v>
      </c>
    </row>
    <row r="488" spans="1:5" x14ac:dyDescent="0.25">
      <c r="A488" t="s">
        <v>0</v>
      </c>
      <c r="B488">
        <v>1210129</v>
      </c>
      <c r="C488">
        <v>8437.5</v>
      </c>
      <c r="D488" s="4">
        <f>+VLOOKUP(A488,Portfolio!$G$3:$I$6,3)</f>
        <v>5</v>
      </c>
      <c r="E488">
        <f t="shared" si="7"/>
        <v>42187.5</v>
      </c>
    </row>
    <row r="489" spans="1:5" x14ac:dyDescent="0.25">
      <c r="A489" t="s">
        <v>0</v>
      </c>
      <c r="B489">
        <v>1210131</v>
      </c>
      <c r="C489">
        <v>8531.25</v>
      </c>
      <c r="D489" s="4">
        <f>+VLOOKUP(A489,Portfolio!$G$3:$I$6,3)</f>
        <v>5</v>
      </c>
      <c r="E489">
        <f t="shared" si="7"/>
        <v>42656.25</v>
      </c>
    </row>
    <row r="490" spans="1:5" x14ac:dyDescent="0.25">
      <c r="A490" t="s">
        <v>0</v>
      </c>
      <c r="B490">
        <v>1210201</v>
      </c>
      <c r="C490">
        <v>8609.3799999999992</v>
      </c>
      <c r="D490" s="4">
        <f>+VLOOKUP(A490,Portfolio!$G$3:$I$6,3)</f>
        <v>5</v>
      </c>
      <c r="E490">
        <f t="shared" si="7"/>
        <v>43046.899999999994</v>
      </c>
    </row>
    <row r="491" spans="1:5" x14ac:dyDescent="0.25">
      <c r="A491" t="s">
        <v>0</v>
      </c>
      <c r="B491">
        <v>1210202</v>
      </c>
      <c r="C491">
        <v>8406.25</v>
      </c>
      <c r="D491" s="4">
        <f>+VLOOKUP(A491,Portfolio!$G$3:$I$6,3)</f>
        <v>5</v>
      </c>
      <c r="E491">
        <f t="shared" si="7"/>
        <v>42031.25</v>
      </c>
    </row>
    <row r="492" spans="1:5" x14ac:dyDescent="0.25">
      <c r="A492" t="s">
        <v>0</v>
      </c>
      <c r="B492">
        <v>1210203</v>
      </c>
      <c r="C492">
        <v>8218.75</v>
      </c>
      <c r="D492" s="4">
        <f>+VLOOKUP(A492,Portfolio!$G$3:$I$6,3)</f>
        <v>5</v>
      </c>
      <c r="E492">
        <f t="shared" si="7"/>
        <v>41093.75</v>
      </c>
    </row>
    <row r="493" spans="1:5" x14ac:dyDescent="0.25">
      <c r="A493" t="s">
        <v>0</v>
      </c>
      <c r="B493">
        <v>1210204</v>
      </c>
      <c r="C493">
        <v>8453.1200000000008</v>
      </c>
      <c r="D493" s="4">
        <f>+VLOOKUP(A493,Portfolio!$G$3:$I$6,3)</f>
        <v>5</v>
      </c>
      <c r="E493">
        <f t="shared" si="7"/>
        <v>42265.600000000006</v>
      </c>
    </row>
    <row r="494" spans="1:5" x14ac:dyDescent="0.25">
      <c r="A494" t="s">
        <v>0</v>
      </c>
      <c r="B494">
        <v>1210205</v>
      </c>
      <c r="C494">
        <v>8312.5</v>
      </c>
      <c r="D494" s="4">
        <f>+VLOOKUP(A494,Portfolio!$G$3:$I$6,3)</f>
        <v>5</v>
      </c>
      <c r="E494">
        <f t="shared" si="7"/>
        <v>41562.5</v>
      </c>
    </row>
    <row r="495" spans="1:5" x14ac:dyDescent="0.25">
      <c r="A495" t="s">
        <v>0</v>
      </c>
      <c r="B495">
        <v>1210207</v>
      </c>
      <c r="C495">
        <v>8500</v>
      </c>
      <c r="D495" s="4">
        <f>+VLOOKUP(A495,Portfolio!$G$3:$I$6,3)</f>
        <v>5</v>
      </c>
      <c r="E495">
        <f t="shared" si="7"/>
        <v>42500</v>
      </c>
    </row>
    <row r="496" spans="1:5" x14ac:dyDescent="0.25">
      <c r="A496" t="s">
        <v>0</v>
      </c>
      <c r="B496">
        <v>1210208</v>
      </c>
      <c r="C496">
        <v>8578.1200000000008</v>
      </c>
      <c r="D496" s="4">
        <f>+VLOOKUP(A496,Portfolio!$G$3:$I$6,3)</f>
        <v>5</v>
      </c>
      <c r="E496">
        <f t="shared" si="7"/>
        <v>42890.600000000006</v>
      </c>
    </row>
    <row r="497" spans="1:5" x14ac:dyDescent="0.25">
      <c r="A497" t="s">
        <v>0</v>
      </c>
      <c r="B497">
        <v>1210209</v>
      </c>
      <c r="C497">
        <v>8468.75</v>
      </c>
      <c r="D497" s="4">
        <f>+VLOOKUP(A497,Portfolio!$G$3:$I$6,3)</f>
        <v>5</v>
      </c>
      <c r="E497">
        <f t="shared" si="7"/>
        <v>42343.75</v>
      </c>
    </row>
    <row r="498" spans="1:5" x14ac:dyDescent="0.25">
      <c r="A498" t="s">
        <v>0</v>
      </c>
      <c r="B498">
        <v>1210210</v>
      </c>
      <c r="C498">
        <v>8484.3799999999992</v>
      </c>
      <c r="D498" s="4">
        <f>+VLOOKUP(A498,Portfolio!$G$3:$I$6,3)</f>
        <v>5</v>
      </c>
      <c r="E498">
        <f t="shared" si="7"/>
        <v>42421.899999999994</v>
      </c>
    </row>
    <row r="499" spans="1:5" x14ac:dyDescent="0.25">
      <c r="A499" t="s">
        <v>0</v>
      </c>
      <c r="B499">
        <v>1210211</v>
      </c>
      <c r="C499">
        <v>8484.3799999999992</v>
      </c>
      <c r="D499" s="4">
        <f>+VLOOKUP(A499,Portfolio!$G$3:$I$6,3)</f>
        <v>5</v>
      </c>
      <c r="E499">
        <f t="shared" si="7"/>
        <v>42421.899999999994</v>
      </c>
    </row>
    <row r="500" spans="1:5" x14ac:dyDescent="0.25">
      <c r="A500" t="s">
        <v>0</v>
      </c>
      <c r="B500">
        <v>1210212</v>
      </c>
      <c r="C500">
        <v>8500</v>
      </c>
      <c r="D500" s="4">
        <f>+VLOOKUP(A500,Portfolio!$G$3:$I$6,3)</f>
        <v>5</v>
      </c>
      <c r="E500">
        <f t="shared" si="7"/>
        <v>42500</v>
      </c>
    </row>
    <row r="501" spans="1:5" x14ac:dyDescent="0.25">
      <c r="A501" t="s">
        <v>0</v>
      </c>
      <c r="B501">
        <v>1210214</v>
      </c>
      <c r="C501">
        <v>9046.8799999999992</v>
      </c>
      <c r="D501" s="4">
        <f>+VLOOKUP(A501,Portfolio!$G$3:$I$6,3)</f>
        <v>5</v>
      </c>
      <c r="E501">
        <f t="shared" si="7"/>
        <v>45234.399999999994</v>
      </c>
    </row>
    <row r="502" spans="1:5" x14ac:dyDescent="0.25">
      <c r="A502" t="s">
        <v>0</v>
      </c>
      <c r="B502">
        <v>1210215</v>
      </c>
      <c r="C502">
        <v>9187.5</v>
      </c>
      <c r="D502" s="4">
        <f>+VLOOKUP(A502,Portfolio!$G$3:$I$6,3)</f>
        <v>5</v>
      </c>
      <c r="E502">
        <f t="shared" si="7"/>
        <v>45937.5</v>
      </c>
    </row>
    <row r="503" spans="1:5" x14ac:dyDescent="0.25">
      <c r="A503" t="s">
        <v>0</v>
      </c>
      <c r="B503">
        <v>1210216</v>
      </c>
      <c r="C503">
        <v>9078.1200000000008</v>
      </c>
      <c r="D503" s="4">
        <f>+VLOOKUP(A503,Portfolio!$G$3:$I$6,3)</f>
        <v>5</v>
      </c>
      <c r="E503">
        <f t="shared" si="7"/>
        <v>45390.600000000006</v>
      </c>
    </row>
    <row r="504" spans="1:5" x14ac:dyDescent="0.25">
      <c r="A504" t="s">
        <v>0</v>
      </c>
      <c r="B504">
        <v>1210217</v>
      </c>
      <c r="C504">
        <v>9640.6200000000008</v>
      </c>
      <c r="D504" s="4">
        <f>+VLOOKUP(A504,Portfolio!$G$3:$I$6,3)</f>
        <v>5</v>
      </c>
      <c r="E504">
        <f t="shared" si="7"/>
        <v>48203.100000000006</v>
      </c>
    </row>
    <row r="505" spans="1:5" x14ac:dyDescent="0.25">
      <c r="A505" t="s">
        <v>0</v>
      </c>
      <c r="B505">
        <v>1210218</v>
      </c>
      <c r="C505">
        <v>9500</v>
      </c>
      <c r="D505" s="4">
        <f>+VLOOKUP(A505,Portfolio!$G$3:$I$6,3)</f>
        <v>5</v>
      </c>
      <c r="E505">
        <f t="shared" si="7"/>
        <v>47500</v>
      </c>
    </row>
    <row r="506" spans="1:5" x14ac:dyDescent="0.25">
      <c r="A506" t="s">
        <v>0</v>
      </c>
      <c r="B506">
        <v>1210219</v>
      </c>
      <c r="C506">
        <v>9421.8799999999992</v>
      </c>
      <c r="D506" s="4">
        <f>+VLOOKUP(A506,Portfolio!$G$3:$I$6,3)</f>
        <v>5</v>
      </c>
      <c r="E506">
        <f t="shared" si="7"/>
        <v>47109.399999999994</v>
      </c>
    </row>
    <row r="507" spans="1:5" x14ac:dyDescent="0.25">
      <c r="A507" t="s">
        <v>0</v>
      </c>
      <c r="B507">
        <v>1210221</v>
      </c>
      <c r="C507">
        <v>9906.25</v>
      </c>
      <c r="D507" s="4">
        <f>+VLOOKUP(A507,Portfolio!$G$3:$I$6,3)</f>
        <v>5</v>
      </c>
      <c r="E507">
        <f t="shared" si="7"/>
        <v>49531.25</v>
      </c>
    </row>
    <row r="508" spans="1:5" x14ac:dyDescent="0.25">
      <c r="A508" t="s">
        <v>0</v>
      </c>
      <c r="B508">
        <v>1210222</v>
      </c>
      <c r="C508">
        <v>10062.5</v>
      </c>
      <c r="D508" s="4">
        <f>+VLOOKUP(A508,Portfolio!$G$3:$I$6,3)</f>
        <v>5</v>
      </c>
      <c r="E508">
        <f t="shared" si="7"/>
        <v>50312.5</v>
      </c>
    </row>
    <row r="509" spans="1:5" x14ac:dyDescent="0.25">
      <c r="A509" t="s">
        <v>0</v>
      </c>
      <c r="B509">
        <v>1210223</v>
      </c>
      <c r="C509">
        <v>9875</v>
      </c>
      <c r="D509" s="4">
        <f>+VLOOKUP(A509,Portfolio!$G$3:$I$6,3)</f>
        <v>5</v>
      </c>
      <c r="E509">
        <f t="shared" si="7"/>
        <v>49375</v>
      </c>
    </row>
    <row r="510" spans="1:5" x14ac:dyDescent="0.25">
      <c r="A510" t="s">
        <v>0</v>
      </c>
      <c r="B510">
        <v>1210224</v>
      </c>
      <c r="C510">
        <v>9109.3799999999992</v>
      </c>
      <c r="D510" s="4">
        <f>+VLOOKUP(A510,Portfolio!$G$3:$I$6,3)</f>
        <v>5</v>
      </c>
      <c r="E510">
        <f t="shared" si="7"/>
        <v>45546.899999999994</v>
      </c>
    </row>
    <row r="511" spans="1:5" x14ac:dyDescent="0.25">
      <c r="A511" t="s">
        <v>0</v>
      </c>
      <c r="B511">
        <v>1210225</v>
      </c>
      <c r="C511">
        <v>9093.75</v>
      </c>
      <c r="D511" s="4">
        <f>+VLOOKUP(A511,Portfolio!$G$3:$I$6,3)</f>
        <v>5</v>
      </c>
      <c r="E511">
        <f t="shared" si="7"/>
        <v>45468.75</v>
      </c>
    </row>
    <row r="512" spans="1:5" x14ac:dyDescent="0.25">
      <c r="A512" t="s">
        <v>0</v>
      </c>
      <c r="B512">
        <v>1210226</v>
      </c>
      <c r="C512">
        <v>10218.75</v>
      </c>
      <c r="D512" s="4">
        <f>+VLOOKUP(A512,Portfolio!$G$3:$I$6,3)</f>
        <v>5</v>
      </c>
      <c r="E512">
        <f t="shared" si="7"/>
        <v>51093.75</v>
      </c>
    </row>
    <row r="513" spans="1:5" x14ac:dyDescent="0.25">
      <c r="A513" t="s">
        <v>0</v>
      </c>
      <c r="B513">
        <v>1210228</v>
      </c>
      <c r="C513">
        <v>9703.1200000000008</v>
      </c>
      <c r="D513" s="4">
        <f>+VLOOKUP(A513,Portfolio!$G$3:$I$6,3)</f>
        <v>5</v>
      </c>
      <c r="E513">
        <f t="shared" si="7"/>
        <v>48515.600000000006</v>
      </c>
    </row>
    <row r="514" spans="1:5" x14ac:dyDescent="0.25">
      <c r="A514" t="s">
        <v>0</v>
      </c>
      <c r="B514">
        <v>1210301</v>
      </c>
      <c r="C514">
        <v>9750</v>
      </c>
      <c r="D514" s="4">
        <f>+VLOOKUP(A514,Portfolio!$G$3:$I$6,3)</f>
        <v>5</v>
      </c>
      <c r="E514">
        <f t="shared" si="7"/>
        <v>48750</v>
      </c>
    </row>
    <row r="515" spans="1:5" x14ac:dyDescent="0.25">
      <c r="A515" t="s">
        <v>0</v>
      </c>
      <c r="B515">
        <v>1210302</v>
      </c>
      <c r="C515">
        <v>9656.25</v>
      </c>
      <c r="D515" s="4">
        <f>+VLOOKUP(A515,Portfolio!$G$3:$I$6,3)</f>
        <v>5</v>
      </c>
      <c r="E515">
        <f t="shared" ref="E515:E578" si="8">+C515*D515</f>
        <v>48281.25</v>
      </c>
    </row>
    <row r="516" spans="1:5" x14ac:dyDescent="0.25">
      <c r="A516" t="s">
        <v>0</v>
      </c>
      <c r="B516">
        <v>1210303</v>
      </c>
      <c r="C516">
        <v>9671.8799999999992</v>
      </c>
      <c r="D516" s="4">
        <f>+VLOOKUP(A516,Portfolio!$G$3:$I$6,3)</f>
        <v>5</v>
      </c>
      <c r="E516">
        <f t="shared" si="8"/>
        <v>48359.399999999994</v>
      </c>
    </row>
    <row r="517" spans="1:5" x14ac:dyDescent="0.25">
      <c r="A517" t="s">
        <v>0</v>
      </c>
      <c r="B517">
        <v>1210304</v>
      </c>
      <c r="C517">
        <v>9421.8799999999992</v>
      </c>
      <c r="D517" s="4">
        <f>+VLOOKUP(A517,Portfolio!$G$3:$I$6,3)</f>
        <v>5</v>
      </c>
      <c r="E517">
        <f t="shared" si="8"/>
        <v>47109.399999999994</v>
      </c>
    </row>
    <row r="518" spans="1:5" x14ac:dyDescent="0.25">
      <c r="A518" t="s">
        <v>0</v>
      </c>
      <c r="B518">
        <v>1210305</v>
      </c>
      <c r="C518">
        <v>10140.620000000001</v>
      </c>
      <c r="D518" s="4">
        <f>+VLOOKUP(A518,Portfolio!$G$3:$I$6,3)</f>
        <v>5</v>
      </c>
      <c r="E518">
        <f t="shared" si="8"/>
        <v>50703.100000000006</v>
      </c>
    </row>
    <row r="519" spans="1:5" x14ac:dyDescent="0.25">
      <c r="A519" t="s">
        <v>0</v>
      </c>
      <c r="B519">
        <v>1210307</v>
      </c>
      <c r="C519">
        <v>10437.5</v>
      </c>
      <c r="D519" s="4">
        <f>+VLOOKUP(A519,Portfolio!$G$3:$I$6,3)</f>
        <v>5</v>
      </c>
      <c r="E519">
        <f t="shared" si="8"/>
        <v>52187.5</v>
      </c>
    </row>
    <row r="520" spans="1:5" x14ac:dyDescent="0.25">
      <c r="A520" t="s">
        <v>0</v>
      </c>
      <c r="B520">
        <v>1210308</v>
      </c>
      <c r="C520">
        <v>10359.379999999999</v>
      </c>
      <c r="D520" s="4">
        <f>+VLOOKUP(A520,Portfolio!$G$3:$I$6,3)</f>
        <v>5</v>
      </c>
      <c r="E520">
        <f t="shared" si="8"/>
        <v>51796.899999999994</v>
      </c>
    </row>
    <row r="521" spans="1:5" x14ac:dyDescent="0.25">
      <c r="A521" t="s">
        <v>0</v>
      </c>
      <c r="B521">
        <v>1210309</v>
      </c>
      <c r="C521">
        <v>10390.620000000001</v>
      </c>
      <c r="D521" s="4">
        <f>+VLOOKUP(A521,Portfolio!$G$3:$I$6,3)</f>
        <v>5</v>
      </c>
      <c r="E521">
        <f t="shared" si="8"/>
        <v>51953.100000000006</v>
      </c>
    </row>
    <row r="522" spans="1:5" x14ac:dyDescent="0.25">
      <c r="A522" t="s">
        <v>0</v>
      </c>
      <c r="B522">
        <v>1210310</v>
      </c>
      <c r="C522">
        <v>10046.879999999999</v>
      </c>
      <c r="D522" s="4">
        <f>+VLOOKUP(A522,Portfolio!$G$3:$I$6,3)</f>
        <v>5</v>
      </c>
      <c r="E522">
        <f t="shared" si="8"/>
        <v>50234.399999999994</v>
      </c>
    </row>
    <row r="523" spans="1:5" x14ac:dyDescent="0.25">
      <c r="A523" t="s">
        <v>0</v>
      </c>
      <c r="B523">
        <v>1210311</v>
      </c>
      <c r="C523">
        <v>9562.5</v>
      </c>
      <c r="D523" s="4">
        <f>+VLOOKUP(A523,Portfolio!$G$3:$I$6,3)</f>
        <v>5</v>
      </c>
      <c r="E523">
        <f t="shared" si="8"/>
        <v>47812.5</v>
      </c>
    </row>
    <row r="524" spans="1:5" x14ac:dyDescent="0.25">
      <c r="A524" t="s">
        <v>0</v>
      </c>
      <c r="B524">
        <v>1210312</v>
      </c>
      <c r="C524">
        <v>9500</v>
      </c>
      <c r="D524" s="4">
        <f>+VLOOKUP(A524,Portfolio!$G$3:$I$6,3)</f>
        <v>5</v>
      </c>
      <c r="E524">
        <f t="shared" si="8"/>
        <v>47500</v>
      </c>
    </row>
    <row r="525" spans="1:5" x14ac:dyDescent="0.25">
      <c r="A525" t="s">
        <v>0</v>
      </c>
      <c r="B525">
        <v>1210314</v>
      </c>
      <c r="C525">
        <v>10140.620000000001</v>
      </c>
      <c r="D525" s="4">
        <f>+VLOOKUP(A525,Portfolio!$G$3:$I$6,3)</f>
        <v>5</v>
      </c>
      <c r="E525">
        <f t="shared" si="8"/>
        <v>50703.100000000006</v>
      </c>
    </row>
    <row r="526" spans="1:5" x14ac:dyDescent="0.25">
      <c r="A526" t="s">
        <v>0</v>
      </c>
      <c r="B526">
        <v>1210315</v>
      </c>
      <c r="C526">
        <v>10156.25</v>
      </c>
      <c r="D526" s="4">
        <f>+VLOOKUP(A526,Portfolio!$G$3:$I$6,3)</f>
        <v>5</v>
      </c>
      <c r="E526">
        <f t="shared" si="8"/>
        <v>50781.25</v>
      </c>
    </row>
    <row r="527" spans="1:5" x14ac:dyDescent="0.25">
      <c r="A527" t="s">
        <v>0</v>
      </c>
      <c r="B527">
        <v>1210316</v>
      </c>
      <c r="C527">
        <v>9984.3799999999992</v>
      </c>
      <c r="D527" s="4">
        <f>+VLOOKUP(A527,Portfolio!$G$3:$I$6,3)</f>
        <v>5</v>
      </c>
      <c r="E527">
        <f t="shared" si="8"/>
        <v>49921.899999999994</v>
      </c>
    </row>
    <row r="528" spans="1:5" x14ac:dyDescent="0.25">
      <c r="A528" t="s">
        <v>0</v>
      </c>
      <c r="B528">
        <v>1210317</v>
      </c>
      <c r="C528">
        <v>9765.6200000000008</v>
      </c>
      <c r="D528" s="4">
        <f>+VLOOKUP(A528,Portfolio!$G$3:$I$6,3)</f>
        <v>5</v>
      </c>
      <c r="E528">
        <f t="shared" si="8"/>
        <v>48828.100000000006</v>
      </c>
    </row>
    <row r="529" spans="1:5" x14ac:dyDescent="0.25">
      <c r="A529" t="s">
        <v>0</v>
      </c>
      <c r="B529">
        <v>1210318</v>
      </c>
      <c r="C529">
        <v>9421.8799999999992</v>
      </c>
      <c r="D529" s="4">
        <f>+VLOOKUP(A529,Portfolio!$G$3:$I$6,3)</f>
        <v>5</v>
      </c>
      <c r="E529">
        <f t="shared" si="8"/>
        <v>47109.399999999994</v>
      </c>
    </row>
    <row r="530" spans="1:5" x14ac:dyDescent="0.25">
      <c r="A530" t="s">
        <v>0</v>
      </c>
      <c r="B530">
        <v>1210319</v>
      </c>
      <c r="C530">
        <v>9765.6200000000008</v>
      </c>
      <c r="D530" s="4">
        <f>+VLOOKUP(A530,Portfolio!$G$3:$I$6,3)</f>
        <v>5</v>
      </c>
      <c r="E530">
        <f t="shared" si="8"/>
        <v>48828.100000000006</v>
      </c>
    </row>
    <row r="531" spans="1:5" x14ac:dyDescent="0.25">
      <c r="A531" t="s">
        <v>0</v>
      </c>
      <c r="B531">
        <v>1210321</v>
      </c>
      <c r="C531">
        <v>9906.25</v>
      </c>
      <c r="D531" s="4">
        <f>+VLOOKUP(A531,Portfolio!$G$3:$I$6,3)</f>
        <v>5</v>
      </c>
      <c r="E531">
        <f t="shared" si="8"/>
        <v>49531.25</v>
      </c>
    </row>
    <row r="532" spans="1:5" x14ac:dyDescent="0.25">
      <c r="A532" t="s">
        <v>0</v>
      </c>
      <c r="B532">
        <v>1210322</v>
      </c>
      <c r="C532">
        <v>9640.6200000000008</v>
      </c>
      <c r="D532" s="4">
        <f>+VLOOKUP(A532,Portfolio!$G$3:$I$6,3)</f>
        <v>5</v>
      </c>
      <c r="E532">
        <f t="shared" si="8"/>
        <v>48203.100000000006</v>
      </c>
    </row>
    <row r="533" spans="1:5" x14ac:dyDescent="0.25">
      <c r="A533" t="s">
        <v>0</v>
      </c>
      <c r="B533">
        <v>1210323</v>
      </c>
      <c r="C533">
        <v>9578.1200000000008</v>
      </c>
      <c r="D533" s="4">
        <f>+VLOOKUP(A533,Portfolio!$G$3:$I$6,3)</f>
        <v>5</v>
      </c>
      <c r="E533">
        <f t="shared" si="8"/>
        <v>47890.600000000006</v>
      </c>
    </row>
    <row r="534" spans="1:5" x14ac:dyDescent="0.25">
      <c r="A534" t="s">
        <v>0</v>
      </c>
      <c r="B534">
        <v>1210324</v>
      </c>
      <c r="C534">
        <v>9453.1200000000008</v>
      </c>
      <c r="D534" s="4">
        <f>+VLOOKUP(A534,Portfolio!$G$3:$I$6,3)</f>
        <v>5</v>
      </c>
      <c r="E534">
        <f t="shared" si="8"/>
        <v>47265.600000000006</v>
      </c>
    </row>
    <row r="535" spans="1:5" x14ac:dyDescent="0.25">
      <c r="A535" t="s">
        <v>0</v>
      </c>
      <c r="B535">
        <v>1210325</v>
      </c>
      <c r="C535">
        <v>9062.5</v>
      </c>
      <c r="D535" s="4">
        <f>+VLOOKUP(A535,Portfolio!$G$3:$I$6,3)</f>
        <v>5</v>
      </c>
      <c r="E535">
        <f t="shared" si="8"/>
        <v>45312.5</v>
      </c>
    </row>
    <row r="536" spans="1:5" x14ac:dyDescent="0.25">
      <c r="A536" t="s">
        <v>0</v>
      </c>
      <c r="B536">
        <v>1210326</v>
      </c>
      <c r="C536">
        <v>8843.75</v>
      </c>
      <c r="D536" s="4">
        <f>+VLOOKUP(A536,Portfolio!$G$3:$I$6,3)</f>
        <v>5</v>
      </c>
      <c r="E536">
        <f t="shared" si="8"/>
        <v>44218.75</v>
      </c>
    </row>
    <row r="537" spans="1:5" x14ac:dyDescent="0.25">
      <c r="A537" t="s">
        <v>0</v>
      </c>
      <c r="B537">
        <v>1210328</v>
      </c>
      <c r="C537">
        <v>8421.8799999999992</v>
      </c>
      <c r="D537" s="4">
        <f>+VLOOKUP(A537,Portfolio!$G$3:$I$6,3)</f>
        <v>5</v>
      </c>
      <c r="E537">
        <f t="shared" si="8"/>
        <v>42109.399999999994</v>
      </c>
    </row>
    <row r="538" spans="1:5" x14ac:dyDescent="0.25">
      <c r="A538" t="s">
        <v>0</v>
      </c>
      <c r="B538">
        <v>1210329</v>
      </c>
      <c r="C538">
        <v>8375</v>
      </c>
      <c r="D538" s="4">
        <f>+VLOOKUP(A538,Portfolio!$G$3:$I$6,3)</f>
        <v>5</v>
      </c>
      <c r="E538">
        <f t="shared" si="8"/>
        <v>41875</v>
      </c>
    </row>
    <row r="539" spans="1:5" x14ac:dyDescent="0.25">
      <c r="A539" t="s">
        <v>0</v>
      </c>
      <c r="B539">
        <v>1210330</v>
      </c>
      <c r="C539">
        <v>9046.8799999999992</v>
      </c>
      <c r="D539" s="4">
        <f>+VLOOKUP(A539,Portfolio!$G$3:$I$6,3)</f>
        <v>5</v>
      </c>
      <c r="E539">
        <f t="shared" si="8"/>
        <v>45234.399999999994</v>
      </c>
    </row>
    <row r="540" spans="1:5" x14ac:dyDescent="0.25">
      <c r="A540" t="s">
        <v>0</v>
      </c>
      <c r="B540">
        <v>1210331</v>
      </c>
      <c r="C540">
        <v>9078.1200000000008</v>
      </c>
      <c r="D540" s="4">
        <f>+VLOOKUP(A540,Portfolio!$G$3:$I$6,3)</f>
        <v>5</v>
      </c>
      <c r="E540">
        <f t="shared" si="8"/>
        <v>45390.600000000006</v>
      </c>
    </row>
    <row r="541" spans="1:5" x14ac:dyDescent="0.25">
      <c r="A541" t="s">
        <v>0</v>
      </c>
      <c r="B541">
        <v>1210401</v>
      </c>
      <c r="C541">
        <v>8687.5</v>
      </c>
      <c r="D541" s="4">
        <f>+VLOOKUP(A541,Portfolio!$G$3:$I$6,3)</f>
        <v>5</v>
      </c>
      <c r="E541">
        <f t="shared" si="8"/>
        <v>43437.5</v>
      </c>
    </row>
    <row r="542" spans="1:5" x14ac:dyDescent="0.25">
      <c r="A542" t="s">
        <v>0</v>
      </c>
      <c r="B542">
        <v>1210402</v>
      </c>
      <c r="C542">
        <v>9000</v>
      </c>
      <c r="D542" s="4">
        <f>+VLOOKUP(A542,Portfolio!$G$3:$I$6,3)</f>
        <v>5</v>
      </c>
      <c r="E542">
        <f t="shared" si="8"/>
        <v>45000</v>
      </c>
    </row>
    <row r="543" spans="1:5" x14ac:dyDescent="0.25">
      <c r="A543" t="s">
        <v>0</v>
      </c>
      <c r="B543">
        <v>1210404</v>
      </c>
      <c r="C543">
        <v>8703.1200000000008</v>
      </c>
      <c r="D543" s="4">
        <f>+VLOOKUP(A543,Portfolio!$G$3:$I$6,3)</f>
        <v>5</v>
      </c>
      <c r="E543">
        <f t="shared" si="8"/>
        <v>43515.600000000006</v>
      </c>
    </row>
    <row r="544" spans="1:5" x14ac:dyDescent="0.25">
      <c r="A544" t="s">
        <v>0</v>
      </c>
      <c r="B544">
        <v>1210405</v>
      </c>
      <c r="C544">
        <v>8781.25</v>
      </c>
      <c r="D544" s="4">
        <f>+VLOOKUP(A544,Portfolio!$G$3:$I$6,3)</f>
        <v>5</v>
      </c>
      <c r="E544">
        <f t="shared" si="8"/>
        <v>43906.25</v>
      </c>
    </row>
    <row r="545" spans="1:5" x14ac:dyDescent="0.25">
      <c r="A545" t="s">
        <v>0</v>
      </c>
      <c r="B545">
        <v>1210406</v>
      </c>
      <c r="C545">
        <v>8843.75</v>
      </c>
      <c r="D545" s="4">
        <f>+VLOOKUP(A545,Portfolio!$G$3:$I$6,3)</f>
        <v>5</v>
      </c>
      <c r="E545">
        <f t="shared" si="8"/>
        <v>44218.75</v>
      </c>
    </row>
    <row r="546" spans="1:5" x14ac:dyDescent="0.25">
      <c r="A546" t="s">
        <v>0</v>
      </c>
      <c r="B546">
        <v>1210407</v>
      </c>
      <c r="C546">
        <v>9109.3799999999992</v>
      </c>
      <c r="D546" s="4">
        <f>+VLOOKUP(A546,Portfolio!$G$3:$I$6,3)</f>
        <v>5</v>
      </c>
      <c r="E546">
        <f t="shared" si="8"/>
        <v>45546.899999999994</v>
      </c>
    </row>
    <row r="547" spans="1:5" x14ac:dyDescent="0.25">
      <c r="A547" t="s">
        <v>0</v>
      </c>
      <c r="B547">
        <v>1210408</v>
      </c>
      <c r="C547">
        <v>9203.1200000000008</v>
      </c>
      <c r="D547" s="4">
        <f>+VLOOKUP(A547,Portfolio!$G$3:$I$6,3)</f>
        <v>5</v>
      </c>
      <c r="E547">
        <f t="shared" si="8"/>
        <v>46015.600000000006</v>
      </c>
    </row>
    <row r="548" spans="1:5" x14ac:dyDescent="0.25">
      <c r="A548" t="s">
        <v>0</v>
      </c>
      <c r="B548">
        <v>1210409</v>
      </c>
      <c r="C548">
        <v>9453.1200000000008</v>
      </c>
      <c r="D548" s="4">
        <f>+VLOOKUP(A548,Portfolio!$G$3:$I$6,3)</f>
        <v>5</v>
      </c>
      <c r="E548">
        <f t="shared" si="8"/>
        <v>47265.600000000006</v>
      </c>
    </row>
    <row r="549" spans="1:5" x14ac:dyDescent="0.25">
      <c r="A549" t="s">
        <v>0</v>
      </c>
      <c r="B549">
        <v>1210411</v>
      </c>
      <c r="C549">
        <v>9062.5</v>
      </c>
      <c r="D549" s="4">
        <f>+VLOOKUP(A549,Portfolio!$G$3:$I$6,3)</f>
        <v>5</v>
      </c>
      <c r="E549">
        <f t="shared" si="8"/>
        <v>45312.5</v>
      </c>
    </row>
    <row r="550" spans="1:5" x14ac:dyDescent="0.25">
      <c r="A550" t="s">
        <v>0</v>
      </c>
      <c r="B550">
        <v>1210412</v>
      </c>
      <c r="C550">
        <v>8968.75</v>
      </c>
      <c r="D550" s="4">
        <f>+VLOOKUP(A550,Portfolio!$G$3:$I$6,3)</f>
        <v>5</v>
      </c>
      <c r="E550">
        <f t="shared" si="8"/>
        <v>44843.75</v>
      </c>
    </row>
    <row r="551" spans="1:5" x14ac:dyDescent="0.25">
      <c r="A551" t="s">
        <v>0</v>
      </c>
      <c r="B551">
        <v>1210413</v>
      </c>
      <c r="C551">
        <v>9250</v>
      </c>
      <c r="D551" s="4">
        <f>+VLOOKUP(A551,Portfolio!$G$3:$I$6,3)</f>
        <v>5</v>
      </c>
      <c r="E551">
        <f t="shared" si="8"/>
        <v>46250</v>
      </c>
    </row>
    <row r="552" spans="1:5" x14ac:dyDescent="0.25">
      <c r="A552" t="s">
        <v>0</v>
      </c>
      <c r="B552">
        <v>1210414</v>
      </c>
      <c r="C552">
        <v>9453.1200000000008</v>
      </c>
      <c r="D552" s="4">
        <f>+VLOOKUP(A552,Portfolio!$G$3:$I$6,3)</f>
        <v>5</v>
      </c>
      <c r="E552">
        <f t="shared" si="8"/>
        <v>47265.600000000006</v>
      </c>
    </row>
    <row r="553" spans="1:5" x14ac:dyDescent="0.25">
      <c r="A553" t="s">
        <v>0</v>
      </c>
      <c r="B553">
        <v>1210415</v>
      </c>
      <c r="C553">
        <v>9187.5</v>
      </c>
      <c r="D553" s="4">
        <f>+VLOOKUP(A553,Portfolio!$G$3:$I$6,3)</f>
        <v>5</v>
      </c>
      <c r="E553">
        <f t="shared" si="8"/>
        <v>45937.5</v>
      </c>
    </row>
    <row r="554" spans="1:5" x14ac:dyDescent="0.25">
      <c r="A554" t="s">
        <v>0</v>
      </c>
      <c r="B554">
        <v>1210416</v>
      </c>
      <c r="C554">
        <v>9281.25</v>
      </c>
      <c r="D554" s="4">
        <f>+VLOOKUP(A554,Portfolio!$G$3:$I$6,3)</f>
        <v>5</v>
      </c>
      <c r="E554">
        <f t="shared" si="8"/>
        <v>46406.25</v>
      </c>
    </row>
    <row r="555" spans="1:5" x14ac:dyDescent="0.25">
      <c r="A555" t="s">
        <v>0</v>
      </c>
      <c r="B555">
        <v>1210418</v>
      </c>
      <c r="C555">
        <v>9140.6200000000008</v>
      </c>
      <c r="D555" s="4">
        <f>+VLOOKUP(A555,Portfolio!$G$3:$I$6,3)</f>
        <v>5</v>
      </c>
      <c r="E555">
        <f t="shared" si="8"/>
        <v>45703.100000000006</v>
      </c>
    </row>
    <row r="556" spans="1:5" x14ac:dyDescent="0.25">
      <c r="A556" t="s">
        <v>0</v>
      </c>
      <c r="B556">
        <v>1210419</v>
      </c>
      <c r="C556">
        <v>9000</v>
      </c>
      <c r="D556" s="4">
        <f>+VLOOKUP(A556,Portfolio!$G$3:$I$6,3)</f>
        <v>5</v>
      </c>
      <c r="E556">
        <f t="shared" si="8"/>
        <v>45000</v>
      </c>
    </row>
    <row r="557" spans="1:5" x14ac:dyDescent="0.25">
      <c r="A557" t="s">
        <v>0</v>
      </c>
      <c r="B557">
        <v>1210420</v>
      </c>
      <c r="C557">
        <v>9265.6200000000008</v>
      </c>
      <c r="D557" s="4">
        <f>+VLOOKUP(A557,Portfolio!$G$3:$I$6,3)</f>
        <v>5</v>
      </c>
      <c r="E557">
        <f t="shared" si="8"/>
        <v>46328.100000000006</v>
      </c>
    </row>
    <row r="558" spans="1:5" x14ac:dyDescent="0.25">
      <c r="A558" t="s">
        <v>0</v>
      </c>
      <c r="B558">
        <v>1210421</v>
      </c>
      <c r="C558">
        <v>9390.6200000000008</v>
      </c>
      <c r="D558" s="4">
        <f>+VLOOKUP(A558,Portfolio!$G$3:$I$6,3)</f>
        <v>5</v>
      </c>
      <c r="E558">
        <f t="shared" si="8"/>
        <v>46953.100000000006</v>
      </c>
    </row>
    <row r="559" spans="1:5" x14ac:dyDescent="0.25">
      <c r="A559" t="s">
        <v>0</v>
      </c>
      <c r="B559">
        <v>1210422</v>
      </c>
      <c r="C559">
        <v>8890.6200000000008</v>
      </c>
      <c r="D559" s="4">
        <f>+VLOOKUP(A559,Portfolio!$G$3:$I$6,3)</f>
        <v>5</v>
      </c>
      <c r="E559">
        <f t="shared" si="8"/>
        <v>44453.100000000006</v>
      </c>
    </row>
    <row r="560" spans="1:5" x14ac:dyDescent="0.25">
      <c r="A560" t="s">
        <v>0</v>
      </c>
      <c r="B560">
        <v>1210423</v>
      </c>
      <c r="C560">
        <v>9125</v>
      </c>
      <c r="D560" s="4">
        <f>+VLOOKUP(A560,Portfolio!$G$3:$I$6,3)</f>
        <v>5</v>
      </c>
      <c r="E560">
        <f t="shared" si="8"/>
        <v>45625</v>
      </c>
    </row>
    <row r="561" spans="1:5" x14ac:dyDescent="0.25">
      <c r="A561" t="s">
        <v>0</v>
      </c>
      <c r="B561">
        <v>1210425</v>
      </c>
      <c r="C561">
        <v>8796.8799999999992</v>
      </c>
      <c r="D561" s="4">
        <f>+VLOOKUP(A561,Portfolio!$G$3:$I$6,3)</f>
        <v>5</v>
      </c>
      <c r="E561">
        <f t="shared" si="8"/>
        <v>43984.399999999994</v>
      </c>
    </row>
    <row r="562" spans="1:5" x14ac:dyDescent="0.25">
      <c r="A562" t="s">
        <v>0</v>
      </c>
      <c r="B562">
        <v>1210426</v>
      </c>
      <c r="C562">
        <v>8890.6200000000008</v>
      </c>
      <c r="D562" s="4">
        <f>+VLOOKUP(A562,Portfolio!$G$3:$I$6,3)</f>
        <v>5</v>
      </c>
      <c r="E562">
        <f t="shared" si="8"/>
        <v>44453.100000000006</v>
      </c>
    </row>
    <row r="563" spans="1:5" x14ac:dyDescent="0.25">
      <c r="A563" t="s">
        <v>0</v>
      </c>
      <c r="B563">
        <v>1210427</v>
      </c>
      <c r="C563">
        <v>8625</v>
      </c>
      <c r="D563" s="4">
        <f>+VLOOKUP(A563,Portfolio!$G$3:$I$6,3)</f>
        <v>5</v>
      </c>
      <c r="E563">
        <f t="shared" si="8"/>
        <v>43125</v>
      </c>
    </row>
    <row r="564" spans="1:5" x14ac:dyDescent="0.25">
      <c r="A564" t="s">
        <v>0</v>
      </c>
      <c r="B564">
        <v>1210428</v>
      </c>
      <c r="C564">
        <v>8750</v>
      </c>
      <c r="D564" s="4">
        <f>+VLOOKUP(A564,Portfolio!$G$3:$I$6,3)</f>
        <v>5</v>
      </c>
      <c r="E564">
        <f t="shared" si="8"/>
        <v>43750</v>
      </c>
    </row>
    <row r="565" spans="1:5" x14ac:dyDescent="0.25">
      <c r="A565" t="s">
        <v>0</v>
      </c>
      <c r="B565">
        <v>1210429</v>
      </c>
      <c r="C565">
        <v>8656.25</v>
      </c>
      <c r="D565" s="4">
        <f>+VLOOKUP(A565,Portfolio!$G$3:$I$6,3)</f>
        <v>5</v>
      </c>
      <c r="E565">
        <f t="shared" si="8"/>
        <v>43281.25</v>
      </c>
    </row>
    <row r="566" spans="1:5" x14ac:dyDescent="0.25">
      <c r="A566" t="s">
        <v>0</v>
      </c>
      <c r="B566">
        <v>1210430</v>
      </c>
      <c r="C566">
        <v>8812.5</v>
      </c>
      <c r="D566" s="4">
        <f>+VLOOKUP(A566,Portfolio!$G$3:$I$6,3)</f>
        <v>5</v>
      </c>
      <c r="E566">
        <f t="shared" si="8"/>
        <v>44062.5</v>
      </c>
    </row>
    <row r="567" spans="1:5" x14ac:dyDescent="0.25">
      <c r="A567" t="s">
        <v>0</v>
      </c>
      <c r="B567">
        <v>1210502</v>
      </c>
      <c r="C567">
        <v>8765.6200000000008</v>
      </c>
      <c r="D567" s="4">
        <f>+VLOOKUP(A567,Portfolio!$G$3:$I$6,3)</f>
        <v>5</v>
      </c>
      <c r="E567">
        <f t="shared" si="8"/>
        <v>43828.100000000006</v>
      </c>
    </row>
    <row r="568" spans="1:5" x14ac:dyDescent="0.25">
      <c r="A568" t="s">
        <v>0</v>
      </c>
      <c r="B568">
        <v>1210503</v>
      </c>
      <c r="C568">
        <v>8750</v>
      </c>
      <c r="D568" s="4">
        <f>+VLOOKUP(A568,Portfolio!$G$3:$I$6,3)</f>
        <v>5</v>
      </c>
      <c r="E568">
        <f t="shared" si="8"/>
        <v>43750</v>
      </c>
    </row>
    <row r="569" spans="1:5" x14ac:dyDescent="0.25">
      <c r="A569" t="s">
        <v>0</v>
      </c>
      <c r="B569">
        <v>1210504</v>
      </c>
      <c r="C569">
        <v>9000</v>
      </c>
      <c r="D569" s="4">
        <f>+VLOOKUP(A569,Portfolio!$G$3:$I$6,3)</f>
        <v>5</v>
      </c>
      <c r="E569">
        <f t="shared" si="8"/>
        <v>45000</v>
      </c>
    </row>
    <row r="570" spans="1:5" x14ac:dyDescent="0.25">
      <c r="A570" t="s">
        <v>0</v>
      </c>
      <c r="B570">
        <v>1210505</v>
      </c>
      <c r="C570">
        <v>8703.1200000000008</v>
      </c>
      <c r="D570" s="4">
        <f>+VLOOKUP(A570,Portfolio!$G$3:$I$6,3)</f>
        <v>5</v>
      </c>
      <c r="E570">
        <f t="shared" si="8"/>
        <v>43515.600000000006</v>
      </c>
    </row>
    <row r="571" spans="1:5" x14ac:dyDescent="0.25">
      <c r="A571" t="s">
        <v>0</v>
      </c>
      <c r="B571">
        <v>1210506</v>
      </c>
      <c r="C571">
        <v>8546.8799999999992</v>
      </c>
      <c r="D571" s="4">
        <f>+VLOOKUP(A571,Portfolio!$G$3:$I$6,3)</f>
        <v>5</v>
      </c>
      <c r="E571">
        <f t="shared" si="8"/>
        <v>42734.399999999994</v>
      </c>
    </row>
    <row r="572" spans="1:5" x14ac:dyDescent="0.25">
      <c r="A572" t="s">
        <v>0</v>
      </c>
      <c r="B572">
        <v>1210507</v>
      </c>
      <c r="C572">
        <v>8218.75</v>
      </c>
      <c r="D572" s="4">
        <f>+VLOOKUP(A572,Portfolio!$G$3:$I$6,3)</f>
        <v>5</v>
      </c>
      <c r="E572">
        <f t="shared" si="8"/>
        <v>41093.75</v>
      </c>
    </row>
    <row r="573" spans="1:5" x14ac:dyDescent="0.25">
      <c r="A573" t="s">
        <v>0</v>
      </c>
      <c r="B573">
        <v>1210509</v>
      </c>
      <c r="C573">
        <v>8312.5</v>
      </c>
      <c r="D573" s="4">
        <f>+VLOOKUP(A573,Portfolio!$G$3:$I$6,3)</f>
        <v>5</v>
      </c>
      <c r="E573">
        <f t="shared" si="8"/>
        <v>41562.5</v>
      </c>
    </row>
    <row r="574" spans="1:5" x14ac:dyDescent="0.25">
      <c r="A574" t="s">
        <v>0</v>
      </c>
      <c r="B574">
        <v>1210510</v>
      </c>
      <c r="C574">
        <v>8250</v>
      </c>
      <c r="D574" s="4">
        <f>+VLOOKUP(A574,Portfolio!$G$3:$I$6,3)</f>
        <v>5</v>
      </c>
      <c r="E574">
        <f t="shared" si="8"/>
        <v>41250</v>
      </c>
    </row>
    <row r="575" spans="1:5" x14ac:dyDescent="0.25">
      <c r="A575" t="s">
        <v>0</v>
      </c>
      <c r="B575">
        <v>1210511</v>
      </c>
      <c r="C575">
        <v>8234.3799999999992</v>
      </c>
      <c r="D575" s="4">
        <f>+VLOOKUP(A575,Portfolio!$G$3:$I$6,3)</f>
        <v>5</v>
      </c>
      <c r="E575">
        <f t="shared" si="8"/>
        <v>41171.899999999994</v>
      </c>
    </row>
    <row r="576" spans="1:5" x14ac:dyDescent="0.25">
      <c r="A576" t="s">
        <v>0</v>
      </c>
      <c r="B576">
        <v>1210512</v>
      </c>
      <c r="C576">
        <v>8062.5</v>
      </c>
      <c r="D576" s="4">
        <f>+VLOOKUP(A576,Portfolio!$G$3:$I$6,3)</f>
        <v>5</v>
      </c>
      <c r="E576">
        <f t="shared" si="8"/>
        <v>40312.5</v>
      </c>
    </row>
    <row r="577" spans="1:5" x14ac:dyDescent="0.25">
      <c r="A577" t="s">
        <v>0</v>
      </c>
      <c r="B577">
        <v>1210513</v>
      </c>
      <c r="C577">
        <v>8515.6200000000008</v>
      </c>
      <c r="D577" s="4">
        <f>+VLOOKUP(A577,Portfolio!$G$3:$I$6,3)</f>
        <v>5</v>
      </c>
      <c r="E577">
        <f t="shared" si="8"/>
        <v>42578.100000000006</v>
      </c>
    </row>
    <row r="578" spans="1:5" x14ac:dyDescent="0.25">
      <c r="A578" t="s">
        <v>0</v>
      </c>
      <c r="B578">
        <v>1210514</v>
      </c>
      <c r="C578">
        <v>8593.75</v>
      </c>
      <c r="D578" s="4">
        <f>+VLOOKUP(A578,Portfolio!$G$3:$I$6,3)</f>
        <v>5</v>
      </c>
      <c r="E578">
        <f t="shared" si="8"/>
        <v>42968.75</v>
      </c>
    </row>
    <row r="579" spans="1:5" x14ac:dyDescent="0.25">
      <c r="A579" t="s">
        <v>0</v>
      </c>
      <c r="B579">
        <v>1210516</v>
      </c>
      <c r="C579">
        <v>8703.1200000000008</v>
      </c>
      <c r="D579" s="4">
        <f>+VLOOKUP(A579,Portfolio!$G$3:$I$6,3)</f>
        <v>5</v>
      </c>
      <c r="E579">
        <f t="shared" ref="E579:E642" si="9">+C579*D579</f>
        <v>43515.600000000006</v>
      </c>
    </row>
    <row r="580" spans="1:5" x14ac:dyDescent="0.25">
      <c r="A580" t="s">
        <v>0</v>
      </c>
      <c r="B580">
        <v>1210517</v>
      </c>
      <c r="C580">
        <v>8828.1200000000008</v>
      </c>
      <c r="D580" s="4">
        <f>+VLOOKUP(A580,Portfolio!$G$3:$I$6,3)</f>
        <v>5</v>
      </c>
      <c r="E580">
        <f t="shared" si="9"/>
        <v>44140.600000000006</v>
      </c>
    </row>
    <row r="581" spans="1:5" x14ac:dyDescent="0.25">
      <c r="A581" t="s">
        <v>0</v>
      </c>
      <c r="B581">
        <v>1210518</v>
      </c>
      <c r="C581">
        <v>8750</v>
      </c>
      <c r="D581" s="4">
        <f>+VLOOKUP(A581,Portfolio!$G$3:$I$6,3)</f>
        <v>5</v>
      </c>
      <c r="E581">
        <f t="shared" si="9"/>
        <v>43750</v>
      </c>
    </row>
    <row r="582" spans="1:5" x14ac:dyDescent="0.25">
      <c r="A582" t="s">
        <v>0</v>
      </c>
      <c r="B582">
        <v>1210519</v>
      </c>
      <c r="C582">
        <v>8468.75</v>
      </c>
      <c r="D582" s="4">
        <f>+VLOOKUP(A582,Portfolio!$G$3:$I$6,3)</f>
        <v>5</v>
      </c>
      <c r="E582">
        <f t="shared" si="9"/>
        <v>42343.75</v>
      </c>
    </row>
    <row r="583" spans="1:5" x14ac:dyDescent="0.25">
      <c r="A583" t="s">
        <v>0</v>
      </c>
      <c r="B583">
        <v>1210520</v>
      </c>
      <c r="C583">
        <v>7687.5</v>
      </c>
      <c r="D583" s="4">
        <f>+VLOOKUP(A583,Portfolio!$G$3:$I$6,3)</f>
        <v>5</v>
      </c>
      <c r="E583">
        <f t="shared" si="9"/>
        <v>38437.5</v>
      </c>
    </row>
    <row r="584" spans="1:5" x14ac:dyDescent="0.25">
      <c r="A584" t="s">
        <v>0</v>
      </c>
      <c r="B584">
        <v>1210521</v>
      </c>
      <c r="C584">
        <v>8015.62</v>
      </c>
      <c r="D584" s="4">
        <f>+VLOOKUP(A584,Portfolio!$G$3:$I$6,3)</f>
        <v>5</v>
      </c>
      <c r="E584">
        <f t="shared" si="9"/>
        <v>40078.1</v>
      </c>
    </row>
    <row r="585" spans="1:5" x14ac:dyDescent="0.25">
      <c r="A585" t="s">
        <v>0</v>
      </c>
      <c r="B585">
        <v>1210523</v>
      </c>
      <c r="C585">
        <v>7843.75</v>
      </c>
      <c r="D585" s="4">
        <f>+VLOOKUP(A585,Portfolio!$G$3:$I$6,3)</f>
        <v>5</v>
      </c>
      <c r="E585">
        <f t="shared" si="9"/>
        <v>39218.75</v>
      </c>
    </row>
    <row r="586" spans="1:5" x14ac:dyDescent="0.25">
      <c r="A586" t="s">
        <v>0</v>
      </c>
      <c r="B586">
        <v>1210524</v>
      </c>
      <c r="C586">
        <v>7843.75</v>
      </c>
      <c r="D586" s="4">
        <f>+VLOOKUP(A586,Portfolio!$G$3:$I$6,3)</f>
        <v>5</v>
      </c>
      <c r="E586">
        <f t="shared" si="9"/>
        <v>39218.75</v>
      </c>
    </row>
    <row r="587" spans="1:5" x14ac:dyDescent="0.25">
      <c r="A587" t="s">
        <v>0</v>
      </c>
      <c r="B587">
        <v>1210525</v>
      </c>
      <c r="C587">
        <v>7828.12</v>
      </c>
      <c r="D587" s="4">
        <f>+VLOOKUP(A587,Portfolio!$G$3:$I$6,3)</f>
        <v>5</v>
      </c>
      <c r="E587">
        <f t="shared" si="9"/>
        <v>39140.6</v>
      </c>
    </row>
    <row r="588" spans="1:5" x14ac:dyDescent="0.25">
      <c r="A588" t="s">
        <v>0</v>
      </c>
      <c r="B588">
        <v>1210526</v>
      </c>
      <c r="C588">
        <v>8078.12</v>
      </c>
      <c r="D588" s="4">
        <f>+VLOOKUP(A588,Portfolio!$G$3:$I$6,3)</f>
        <v>5</v>
      </c>
      <c r="E588">
        <f t="shared" si="9"/>
        <v>40390.6</v>
      </c>
    </row>
    <row r="589" spans="1:5" x14ac:dyDescent="0.25">
      <c r="A589" t="s">
        <v>0</v>
      </c>
      <c r="B589">
        <v>1210527</v>
      </c>
      <c r="C589">
        <v>8062.5</v>
      </c>
      <c r="D589" s="4">
        <f>+VLOOKUP(A589,Portfolio!$G$3:$I$6,3)</f>
        <v>5</v>
      </c>
      <c r="E589">
        <f t="shared" si="9"/>
        <v>40312.5</v>
      </c>
    </row>
    <row r="590" spans="1:5" x14ac:dyDescent="0.25">
      <c r="A590" t="s">
        <v>0</v>
      </c>
      <c r="B590">
        <v>1210528</v>
      </c>
      <c r="C590">
        <v>8156.25</v>
      </c>
      <c r="D590" s="4">
        <f>+VLOOKUP(A590,Portfolio!$G$3:$I$6,3)</f>
        <v>5</v>
      </c>
      <c r="E590">
        <f t="shared" si="9"/>
        <v>40781.25</v>
      </c>
    </row>
    <row r="591" spans="1:5" x14ac:dyDescent="0.25">
      <c r="A591" t="s">
        <v>0</v>
      </c>
      <c r="B591">
        <v>1210530</v>
      </c>
      <c r="C591">
        <v>8171.88</v>
      </c>
      <c r="D591" s="4">
        <f>+VLOOKUP(A591,Portfolio!$G$3:$I$6,3)</f>
        <v>5</v>
      </c>
      <c r="E591">
        <f t="shared" si="9"/>
        <v>40859.4</v>
      </c>
    </row>
    <row r="592" spans="1:5" x14ac:dyDescent="0.25">
      <c r="A592" t="s">
        <v>0</v>
      </c>
      <c r="B592">
        <v>1210531</v>
      </c>
      <c r="C592">
        <v>8109.38</v>
      </c>
      <c r="D592" s="4">
        <f>+VLOOKUP(A592,Portfolio!$G$3:$I$6,3)</f>
        <v>5</v>
      </c>
      <c r="E592">
        <f t="shared" si="9"/>
        <v>40546.9</v>
      </c>
    </row>
    <row r="593" spans="1:5" x14ac:dyDescent="0.25">
      <c r="A593" t="s">
        <v>0</v>
      </c>
      <c r="B593">
        <v>1210601</v>
      </c>
      <c r="C593">
        <v>8078.12</v>
      </c>
      <c r="D593" s="4">
        <f>+VLOOKUP(A593,Portfolio!$G$3:$I$6,3)</f>
        <v>5</v>
      </c>
      <c r="E593">
        <f t="shared" si="9"/>
        <v>40390.6</v>
      </c>
    </row>
    <row r="594" spans="1:5" x14ac:dyDescent="0.25">
      <c r="A594" t="s">
        <v>0</v>
      </c>
      <c r="B594">
        <v>1210602</v>
      </c>
      <c r="C594">
        <v>7781.25</v>
      </c>
      <c r="D594" s="4">
        <f>+VLOOKUP(A594,Portfolio!$G$3:$I$6,3)</f>
        <v>5</v>
      </c>
      <c r="E594">
        <f t="shared" si="9"/>
        <v>38906.25</v>
      </c>
    </row>
    <row r="595" spans="1:5" x14ac:dyDescent="0.25">
      <c r="A595" t="s">
        <v>0</v>
      </c>
      <c r="B595">
        <v>1210603</v>
      </c>
      <c r="C595">
        <v>7781.25</v>
      </c>
      <c r="D595" s="4">
        <f>+VLOOKUP(A595,Portfolio!$G$3:$I$6,3)</f>
        <v>5</v>
      </c>
      <c r="E595">
        <f t="shared" si="9"/>
        <v>38906.25</v>
      </c>
    </row>
    <row r="596" spans="1:5" x14ac:dyDescent="0.25">
      <c r="A596" t="s">
        <v>0</v>
      </c>
      <c r="B596">
        <v>1210604</v>
      </c>
      <c r="C596">
        <v>7921.88</v>
      </c>
      <c r="D596" s="4">
        <f>+VLOOKUP(A596,Portfolio!$G$3:$I$6,3)</f>
        <v>5</v>
      </c>
      <c r="E596">
        <f t="shared" si="9"/>
        <v>39609.4</v>
      </c>
    </row>
    <row r="597" spans="1:5" x14ac:dyDescent="0.25">
      <c r="A597" t="s">
        <v>0</v>
      </c>
      <c r="B597">
        <v>1210606</v>
      </c>
      <c r="C597">
        <v>8296.8799999999992</v>
      </c>
      <c r="D597" s="4">
        <f>+VLOOKUP(A597,Portfolio!$G$3:$I$6,3)</f>
        <v>5</v>
      </c>
      <c r="E597">
        <f t="shared" si="9"/>
        <v>41484.399999999994</v>
      </c>
    </row>
    <row r="598" spans="1:5" x14ac:dyDescent="0.25">
      <c r="A598" t="s">
        <v>0</v>
      </c>
      <c r="B598">
        <v>1210607</v>
      </c>
      <c r="C598">
        <v>8234.3799999999992</v>
      </c>
      <c r="D598" s="4">
        <f>+VLOOKUP(A598,Portfolio!$G$3:$I$6,3)</f>
        <v>5</v>
      </c>
      <c r="E598">
        <f t="shared" si="9"/>
        <v>41171.899999999994</v>
      </c>
    </row>
    <row r="599" spans="1:5" x14ac:dyDescent="0.25">
      <c r="A599" t="s">
        <v>0</v>
      </c>
      <c r="B599">
        <v>1210608</v>
      </c>
      <c r="C599">
        <v>8000</v>
      </c>
      <c r="D599" s="4">
        <f>+VLOOKUP(A599,Portfolio!$G$3:$I$6,3)</f>
        <v>5</v>
      </c>
      <c r="E599">
        <f t="shared" si="9"/>
        <v>40000</v>
      </c>
    </row>
    <row r="600" spans="1:5" x14ac:dyDescent="0.25">
      <c r="A600" t="s">
        <v>0</v>
      </c>
      <c r="B600">
        <v>1210609</v>
      </c>
      <c r="C600">
        <v>8234.3799999999992</v>
      </c>
      <c r="D600" s="4">
        <f>+VLOOKUP(A600,Portfolio!$G$3:$I$6,3)</f>
        <v>5</v>
      </c>
      <c r="E600">
        <f t="shared" si="9"/>
        <v>41171.899999999994</v>
      </c>
    </row>
    <row r="601" spans="1:5" x14ac:dyDescent="0.25">
      <c r="A601" t="s">
        <v>0</v>
      </c>
      <c r="B601">
        <v>1210610</v>
      </c>
      <c r="C601">
        <v>8640.6200000000008</v>
      </c>
      <c r="D601" s="4">
        <f>+VLOOKUP(A601,Portfolio!$G$3:$I$6,3)</f>
        <v>5</v>
      </c>
      <c r="E601">
        <f t="shared" si="9"/>
        <v>43203.100000000006</v>
      </c>
    </row>
    <row r="602" spans="1:5" x14ac:dyDescent="0.25">
      <c r="A602" t="s">
        <v>0</v>
      </c>
      <c r="B602">
        <v>1210611</v>
      </c>
      <c r="C602">
        <v>8437.5</v>
      </c>
      <c r="D602" s="4">
        <f>+VLOOKUP(A602,Portfolio!$G$3:$I$6,3)</f>
        <v>5</v>
      </c>
      <c r="E602">
        <f t="shared" si="9"/>
        <v>42187.5</v>
      </c>
    </row>
    <row r="603" spans="1:5" x14ac:dyDescent="0.25">
      <c r="A603" t="s">
        <v>0</v>
      </c>
      <c r="B603">
        <v>1210613</v>
      </c>
      <c r="C603">
        <v>8515.6200000000008</v>
      </c>
      <c r="D603" s="4">
        <f>+VLOOKUP(A603,Portfolio!$G$3:$I$6,3)</f>
        <v>5</v>
      </c>
      <c r="E603">
        <f t="shared" si="9"/>
        <v>42578.100000000006</v>
      </c>
    </row>
    <row r="604" spans="1:5" x14ac:dyDescent="0.25">
      <c r="A604" t="s">
        <v>0</v>
      </c>
      <c r="B604">
        <v>1210614</v>
      </c>
      <c r="C604">
        <v>8546.8799999999992</v>
      </c>
      <c r="D604" s="4">
        <f>+VLOOKUP(A604,Portfolio!$G$3:$I$6,3)</f>
        <v>5</v>
      </c>
      <c r="E604">
        <f t="shared" si="9"/>
        <v>42734.399999999994</v>
      </c>
    </row>
    <row r="605" spans="1:5" x14ac:dyDescent="0.25">
      <c r="A605" t="s">
        <v>0</v>
      </c>
      <c r="B605">
        <v>1210615</v>
      </c>
      <c r="C605">
        <v>8781.25</v>
      </c>
      <c r="D605" s="4">
        <f>+VLOOKUP(A605,Portfolio!$G$3:$I$6,3)</f>
        <v>5</v>
      </c>
      <c r="E605">
        <f t="shared" si="9"/>
        <v>43906.25</v>
      </c>
    </row>
    <row r="606" spans="1:5" x14ac:dyDescent="0.25">
      <c r="A606" t="s">
        <v>0</v>
      </c>
      <c r="B606">
        <v>1210616</v>
      </c>
      <c r="C606">
        <v>8609.3799999999992</v>
      </c>
      <c r="D606" s="4">
        <f>+VLOOKUP(A606,Portfolio!$G$3:$I$6,3)</f>
        <v>5</v>
      </c>
      <c r="E606">
        <f t="shared" si="9"/>
        <v>43046.899999999994</v>
      </c>
    </row>
    <row r="607" spans="1:5" x14ac:dyDescent="0.25">
      <c r="A607" t="s">
        <v>0</v>
      </c>
      <c r="B607">
        <v>1210617</v>
      </c>
      <c r="C607">
        <v>7500</v>
      </c>
      <c r="D607" s="4">
        <f>+VLOOKUP(A607,Portfolio!$G$3:$I$6,3)</f>
        <v>5</v>
      </c>
      <c r="E607">
        <f t="shared" si="9"/>
        <v>37500</v>
      </c>
    </row>
    <row r="608" spans="1:5" x14ac:dyDescent="0.25">
      <c r="A608" t="s">
        <v>0</v>
      </c>
      <c r="B608">
        <v>1210618</v>
      </c>
      <c r="C608">
        <v>7812.5</v>
      </c>
      <c r="D608" s="4">
        <f>+VLOOKUP(A608,Portfolio!$G$3:$I$6,3)</f>
        <v>5</v>
      </c>
      <c r="E608">
        <f t="shared" si="9"/>
        <v>39062.5</v>
      </c>
    </row>
    <row r="609" spans="1:5" x14ac:dyDescent="0.25">
      <c r="A609" t="s">
        <v>0</v>
      </c>
      <c r="B609">
        <v>1210620</v>
      </c>
      <c r="C609">
        <v>7265.62</v>
      </c>
      <c r="D609" s="4">
        <f>+VLOOKUP(A609,Portfolio!$G$3:$I$6,3)</f>
        <v>5</v>
      </c>
      <c r="E609">
        <f t="shared" si="9"/>
        <v>36328.1</v>
      </c>
    </row>
    <row r="610" spans="1:5" x14ac:dyDescent="0.25">
      <c r="A610" t="s">
        <v>0</v>
      </c>
      <c r="B610">
        <v>1210621</v>
      </c>
      <c r="C610">
        <v>7718.75</v>
      </c>
      <c r="D610" s="4">
        <f>+VLOOKUP(A610,Portfolio!$G$3:$I$6,3)</f>
        <v>5</v>
      </c>
      <c r="E610">
        <f t="shared" si="9"/>
        <v>38593.75</v>
      </c>
    </row>
    <row r="611" spans="1:5" x14ac:dyDescent="0.25">
      <c r="A611" t="s">
        <v>0</v>
      </c>
      <c r="B611">
        <v>1210622</v>
      </c>
      <c r="C611">
        <v>7468.75</v>
      </c>
      <c r="D611" s="4">
        <f>+VLOOKUP(A611,Portfolio!$G$3:$I$6,3)</f>
        <v>5</v>
      </c>
      <c r="E611">
        <f t="shared" si="9"/>
        <v>37343.75</v>
      </c>
    </row>
    <row r="612" spans="1:5" x14ac:dyDescent="0.25">
      <c r="A612" t="s">
        <v>0</v>
      </c>
      <c r="B612">
        <v>1210623</v>
      </c>
      <c r="C612">
        <v>7375</v>
      </c>
      <c r="D612" s="4">
        <f>+VLOOKUP(A612,Portfolio!$G$3:$I$6,3)</f>
        <v>5</v>
      </c>
      <c r="E612">
        <f t="shared" si="9"/>
        <v>36875</v>
      </c>
    </row>
    <row r="613" spans="1:5" x14ac:dyDescent="0.25">
      <c r="A613" t="s">
        <v>0</v>
      </c>
      <c r="B613">
        <v>1210624</v>
      </c>
      <c r="C613">
        <v>7296.88</v>
      </c>
      <c r="D613" s="4">
        <f>+VLOOKUP(A613,Portfolio!$G$3:$I$6,3)</f>
        <v>5</v>
      </c>
      <c r="E613">
        <f t="shared" si="9"/>
        <v>36484.400000000001</v>
      </c>
    </row>
    <row r="614" spans="1:5" x14ac:dyDescent="0.25">
      <c r="A614" t="s">
        <v>0</v>
      </c>
      <c r="B614">
        <v>1210625</v>
      </c>
      <c r="C614">
        <v>7093.75</v>
      </c>
      <c r="D614" s="4">
        <f>+VLOOKUP(A614,Portfolio!$G$3:$I$6,3)</f>
        <v>5</v>
      </c>
      <c r="E614">
        <f t="shared" si="9"/>
        <v>35468.75</v>
      </c>
    </row>
    <row r="615" spans="1:5" x14ac:dyDescent="0.25">
      <c r="A615" t="s">
        <v>0</v>
      </c>
      <c r="B615">
        <v>1210627</v>
      </c>
      <c r="C615">
        <v>7156.25</v>
      </c>
      <c r="D615" s="4">
        <f>+VLOOKUP(A615,Portfolio!$G$3:$I$6,3)</f>
        <v>5</v>
      </c>
      <c r="E615">
        <f t="shared" si="9"/>
        <v>35781.25</v>
      </c>
    </row>
    <row r="616" spans="1:5" x14ac:dyDescent="0.25">
      <c r="A616" t="s">
        <v>0</v>
      </c>
      <c r="B616">
        <v>1210628</v>
      </c>
      <c r="C616">
        <v>7171.88</v>
      </c>
      <c r="D616" s="4">
        <f>+VLOOKUP(A616,Portfolio!$G$3:$I$6,3)</f>
        <v>5</v>
      </c>
      <c r="E616">
        <f t="shared" si="9"/>
        <v>35859.4</v>
      </c>
    </row>
    <row r="617" spans="1:5" x14ac:dyDescent="0.25">
      <c r="A617" t="s">
        <v>0</v>
      </c>
      <c r="B617">
        <v>1210629</v>
      </c>
      <c r="C617">
        <v>7218.75</v>
      </c>
      <c r="D617" s="4">
        <f>+VLOOKUP(A617,Portfolio!$G$3:$I$6,3)</f>
        <v>5</v>
      </c>
      <c r="E617">
        <f t="shared" si="9"/>
        <v>36093.75</v>
      </c>
    </row>
    <row r="618" spans="1:5" x14ac:dyDescent="0.25">
      <c r="A618" t="s">
        <v>0</v>
      </c>
      <c r="B618">
        <v>1210630</v>
      </c>
      <c r="C618">
        <v>6875</v>
      </c>
      <c r="D618" s="4">
        <f>+VLOOKUP(A618,Portfolio!$G$3:$I$6,3)</f>
        <v>5</v>
      </c>
      <c r="E618">
        <f t="shared" si="9"/>
        <v>34375</v>
      </c>
    </row>
    <row r="619" spans="1:5" x14ac:dyDescent="0.25">
      <c r="A619" t="s">
        <v>0</v>
      </c>
      <c r="B619">
        <v>1210701</v>
      </c>
      <c r="C619">
        <v>6921.88</v>
      </c>
      <c r="D619" s="4">
        <f>+VLOOKUP(A619,Portfolio!$G$3:$I$6,3)</f>
        <v>5</v>
      </c>
      <c r="E619">
        <f t="shared" si="9"/>
        <v>34609.4</v>
      </c>
    </row>
    <row r="620" spans="1:5" x14ac:dyDescent="0.25">
      <c r="A620" t="s">
        <v>0</v>
      </c>
      <c r="B620">
        <v>1210702</v>
      </c>
      <c r="C620">
        <v>6546.88</v>
      </c>
      <c r="D620" s="4">
        <f>+VLOOKUP(A620,Portfolio!$G$3:$I$6,3)</f>
        <v>5</v>
      </c>
      <c r="E620">
        <f t="shared" si="9"/>
        <v>32734.400000000001</v>
      </c>
    </row>
    <row r="621" spans="1:5" x14ac:dyDescent="0.25">
      <c r="A621" t="s">
        <v>0</v>
      </c>
      <c r="B621">
        <v>1210704</v>
      </c>
      <c r="C621">
        <v>5750</v>
      </c>
      <c r="D621" s="4">
        <f>+VLOOKUP(A621,Portfolio!$G$3:$I$6,3)</f>
        <v>5</v>
      </c>
      <c r="E621">
        <f t="shared" si="9"/>
        <v>28750</v>
      </c>
    </row>
    <row r="622" spans="1:5" x14ac:dyDescent="0.25">
      <c r="A622" t="s">
        <v>0</v>
      </c>
      <c r="B622">
        <v>1210705</v>
      </c>
      <c r="C622">
        <v>5796.88</v>
      </c>
      <c r="D622" s="4">
        <f>+VLOOKUP(A622,Portfolio!$G$3:$I$6,3)</f>
        <v>5</v>
      </c>
      <c r="E622">
        <f t="shared" si="9"/>
        <v>28984.400000000001</v>
      </c>
    </row>
    <row r="623" spans="1:5" x14ac:dyDescent="0.25">
      <c r="A623" t="s">
        <v>0</v>
      </c>
      <c r="B623">
        <v>1210706</v>
      </c>
      <c r="C623">
        <v>5781.25</v>
      </c>
      <c r="D623" s="4">
        <f>+VLOOKUP(A623,Portfolio!$G$3:$I$6,3)</f>
        <v>5</v>
      </c>
      <c r="E623">
        <f t="shared" si="9"/>
        <v>28906.25</v>
      </c>
    </row>
    <row r="624" spans="1:5" x14ac:dyDescent="0.25">
      <c r="A624" t="s">
        <v>0</v>
      </c>
      <c r="B624">
        <v>1210707</v>
      </c>
      <c r="C624">
        <v>6046.88</v>
      </c>
      <c r="D624" s="4">
        <f>+VLOOKUP(A624,Portfolio!$G$3:$I$6,3)</f>
        <v>5</v>
      </c>
      <c r="E624">
        <f t="shared" si="9"/>
        <v>30234.400000000001</v>
      </c>
    </row>
    <row r="625" spans="1:5" x14ac:dyDescent="0.25">
      <c r="A625" t="s">
        <v>0</v>
      </c>
      <c r="B625">
        <v>1210708</v>
      </c>
      <c r="C625">
        <v>6328.12</v>
      </c>
      <c r="D625" s="4">
        <f>+VLOOKUP(A625,Portfolio!$G$3:$I$6,3)</f>
        <v>5</v>
      </c>
      <c r="E625">
        <f t="shared" si="9"/>
        <v>31640.6</v>
      </c>
    </row>
    <row r="626" spans="1:5" x14ac:dyDescent="0.25">
      <c r="A626" t="s">
        <v>0</v>
      </c>
      <c r="B626">
        <v>1210709</v>
      </c>
      <c r="C626">
        <v>6250</v>
      </c>
      <c r="D626" s="4">
        <f>+VLOOKUP(A626,Portfolio!$G$3:$I$6,3)</f>
        <v>5</v>
      </c>
      <c r="E626">
        <f t="shared" si="9"/>
        <v>31250</v>
      </c>
    </row>
    <row r="627" spans="1:5" x14ac:dyDescent="0.25">
      <c r="A627" t="s">
        <v>0</v>
      </c>
      <c r="B627">
        <v>1210711</v>
      </c>
      <c r="C627">
        <v>6234.38</v>
      </c>
      <c r="D627" s="4">
        <f>+VLOOKUP(A627,Portfolio!$G$3:$I$6,3)</f>
        <v>5</v>
      </c>
      <c r="E627">
        <f t="shared" si="9"/>
        <v>31171.9</v>
      </c>
    </row>
    <row r="628" spans="1:5" x14ac:dyDescent="0.25">
      <c r="A628" t="s">
        <v>0</v>
      </c>
      <c r="B628">
        <v>1210712</v>
      </c>
      <c r="C628">
        <v>6218.75</v>
      </c>
      <c r="D628" s="4">
        <f>+VLOOKUP(A628,Portfolio!$G$3:$I$6,3)</f>
        <v>5</v>
      </c>
      <c r="E628">
        <f t="shared" si="9"/>
        <v>31093.75</v>
      </c>
    </row>
    <row r="629" spans="1:5" x14ac:dyDescent="0.25">
      <c r="A629" t="s">
        <v>0</v>
      </c>
      <c r="B629">
        <v>1210713</v>
      </c>
      <c r="C629">
        <v>6328.12</v>
      </c>
      <c r="D629" s="4">
        <f>+VLOOKUP(A629,Portfolio!$G$3:$I$6,3)</f>
        <v>5</v>
      </c>
      <c r="E629">
        <f t="shared" si="9"/>
        <v>31640.6</v>
      </c>
    </row>
    <row r="630" spans="1:5" x14ac:dyDescent="0.25">
      <c r="A630" t="s">
        <v>0</v>
      </c>
      <c r="B630">
        <v>1210714</v>
      </c>
      <c r="C630">
        <v>6218.75</v>
      </c>
      <c r="D630" s="4">
        <f>+VLOOKUP(A630,Portfolio!$G$3:$I$6,3)</f>
        <v>5</v>
      </c>
      <c r="E630">
        <f t="shared" si="9"/>
        <v>31093.75</v>
      </c>
    </row>
    <row r="631" spans="1:5" x14ac:dyDescent="0.25">
      <c r="A631" t="s">
        <v>0</v>
      </c>
      <c r="B631">
        <v>1210715</v>
      </c>
      <c r="C631">
        <v>6531.25</v>
      </c>
      <c r="D631" s="4">
        <f>+VLOOKUP(A631,Portfolio!$G$3:$I$6,3)</f>
        <v>5</v>
      </c>
      <c r="E631">
        <f t="shared" si="9"/>
        <v>32656.25</v>
      </c>
    </row>
    <row r="632" spans="1:5" x14ac:dyDescent="0.25">
      <c r="A632" t="s">
        <v>0</v>
      </c>
      <c r="B632">
        <v>1210716</v>
      </c>
      <c r="C632">
        <v>6296.88</v>
      </c>
      <c r="D632" s="4">
        <f>+VLOOKUP(A632,Portfolio!$G$3:$I$6,3)</f>
        <v>5</v>
      </c>
      <c r="E632">
        <f t="shared" si="9"/>
        <v>31484.400000000001</v>
      </c>
    </row>
    <row r="633" spans="1:5" x14ac:dyDescent="0.25">
      <c r="A633" t="s">
        <v>0</v>
      </c>
      <c r="B633">
        <v>1210718</v>
      </c>
      <c r="C633">
        <v>5984.38</v>
      </c>
      <c r="D633" s="4">
        <f>+VLOOKUP(A633,Portfolio!$G$3:$I$6,3)</f>
        <v>5</v>
      </c>
      <c r="E633">
        <f t="shared" si="9"/>
        <v>29921.9</v>
      </c>
    </row>
    <row r="634" spans="1:5" x14ac:dyDescent="0.25">
      <c r="A634" t="s">
        <v>0</v>
      </c>
      <c r="B634">
        <v>1210719</v>
      </c>
      <c r="C634">
        <v>5953.12</v>
      </c>
      <c r="D634" s="4">
        <f>+VLOOKUP(A634,Portfolio!$G$3:$I$6,3)</f>
        <v>5</v>
      </c>
      <c r="E634">
        <f t="shared" si="9"/>
        <v>29765.599999999999</v>
      </c>
    </row>
    <row r="635" spans="1:5" x14ac:dyDescent="0.25">
      <c r="A635" t="s">
        <v>0</v>
      </c>
      <c r="B635">
        <v>1210720</v>
      </c>
      <c r="C635">
        <v>6171.88</v>
      </c>
      <c r="D635" s="4">
        <f>+VLOOKUP(A635,Portfolio!$G$3:$I$6,3)</f>
        <v>5</v>
      </c>
      <c r="E635">
        <f t="shared" si="9"/>
        <v>30859.4</v>
      </c>
    </row>
    <row r="636" spans="1:5" x14ac:dyDescent="0.25">
      <c r="A636" t="s">
        <v>0</v>
      </c>
      <c r="B636">
        <v>1210721</v>
      </c>
      <c r="C636">
        <v>6265.62</v>
      </c>
      <c r="D636" s="4">
        <f>+VLOOKUP(A636,Portfolio!$G$3:$I$6,3)</f>
        <v>5</v>
      </c>
      <c r="E636">
        <f t="shared" si="9"/>
        <v>31328.1</v>
      </c>
    </row>
    <row r="637" spans="1:5" x14ac:dyDescent="0.25">
      <c r="A637" t="s">
        <v>0</v>
      </c>
      <c r="B637">
        <v>1210722</v>
      </c>
      <c r="C637">
        <v>6140.62</v>
      </c>
      <c r="D637" s="4">
        <f>+VLOOKUP(A637,Portfolio!$G$3:$I$6,3)</f>
        <v>5</v>
      </c>
      <c r="E637">
        <f t="shared" si="9"/>
        <v>30703.1</v>
      </c>
    </row>
    <row r="638" spans="1:5" x14ac:dyDescent="0.25">
      <c r="A638" t="s">
        <v>0</v>
      </c>
      <c r="B638">
        <v>1210723</v>
      </c>
      <c r="C638">
        <v>5921.88</v>
      </c>
      <c r="D638" s="4">
        <f>+VLOOKUP(A638,Portfolio!$G$3:$I$6,3)</f>
        <v>5</v>
      </c>
      <c r="E638">
        <f t="shared" si="9"/>
        <v>29609.4</v>
      </c>
    </row>
    <row r="639" spans="1:5" x14ac:dyDescent="0.25">
      <c r="A639" t="s">
        <v>0</v>
      </c>
      <c r="B639">
        <v>1210725</v>
      </c>
      <c r="C639">
        <v>5640.62</v>
      </c>
      <c r="D639" s="4">
        <f>+VLOOKUP(A639,Portfolio!$G$3:$I$6,3)</f>
        <v>5</v>
      </c>
      <c r="E639">
        <f t="shared" si="9"/>
        <v>28203.1</v>
      </c>
    </row>
    <row r="640" spans="1:5" x14ac:dyDescent="0.25">
      <c r="A640" t="s">
        <v>0</v>
      </c>
      <c r="B640">
        <v>1210726</v>
      </c>
      <c r="C640">
        <v>5484.38</v>
      </c>
      <c r="D640" s="4">
        <f>+VLOOKUP(A640,Portfolio!$G$3:$I$6,3)</f>
        <v>5</v>
      </c>
      <c r="E640">
        <f t="shared" si="9"/>
        <v>27421.9</v>
      </c>
    </row>
    <row r="641" spans="1:5" x14ac:dyDescent="0.25">
      <c r="A641" t="s">
        <v>0</v>
      </c>
      <c r="B641">
        <v>1210727</v>
      </c>
      <c r="C641">
        <v>5640.62</v>
      </c>
      <c r="D641" s="4">
        <f>+VLOOKUP(A641,Portfolio!$G$3:$I$6,3)</f>
        <v>5</v>
      </c>
      <c r="E641">
        <f t="shared" si="9"/>
        <v>28203.1</v>
      </c>
    </row>
    <row r="642" spans="1:5" x14ac:dyDescent="0.25">
      <c r="A642" t="s">
        <v>0</v>
      </c>
      <c r="B642">
        <v>1210728</v>
      </c>
      <c r="C642">
        <v>5250</v>
      </c>
      <c r="D642" s="4">
        <f>+VLOOKUP(A642,Portfolio!$G$3:$I$6,3)</f>
        <v>5</v>
      </c>
      <c r="E642">
        <f t="shared" si="9"/>
        <v>26250</v>
      </c>
    </row>
    <row r="643" spans="1:5" x14ac:dyDescent="0.25">
      <c r="A643" t="s">
        <v>0</v>
      </c>
      <c r="B643">
        <v>1210729</v>
      </c>
      <c r="C643">
        <v>4968.75</v>
      </c>
      <c r="D643" s="4">
        <f>+VLOOKUP(A643,Portfolio!$G$3:$I$6,3)</f>
        <v>5</v>
      </c>
      <c r="E643">
        <f t="shared" ref="E643:E706" si="10">+C643*D643</f>
        <v>24843.75</v>
      </c>
    </row>
    <row r="644" spans="1:5" x14ac:dyDescent="0.25">
      <c r="A644" t="s">
        <v>0</v>
      </c>
      <c r="B644">
        <v>1210730</v>
      </c>
      <c r="C644">
        <v>5031.25</v>
      </c>
      <c r="D644" s="4">
        <f>+VLOOKUP(A644,Portfolio!$G$3:$I$6,3)</f>
        <v>5</v>
      </c>
      <c r="E644">
        <f t="shared" si="10"/>
        <v>25156.25</v>
      </c>
    </row>
    <row r="645" spans="1:5" x14ac:dyDescent="0.25">
      <c r="A645" t="s">
        <v>0</v>
      </c>
      <c r="B645">
        <v>1210801</v>
      </c>
      <c r="C645">
        <v>4937.5</v>
      </c>
      <c r="D645" s="4">
        <f>+VLOOKUP(A645,Portfolio!$G$3:$I$6,3)</f>
        <v>5</v>
      </c>
      <c r="E645">
        <f t="shared" si="10"/>
        <v>24687.5</v>
      </c>
    </row>
    <row r="646" spans="1:5" x14ac:dyDescent="0.25">
      <c r="A646" t="s">
        <v>0</v>
      </c>
      <c r="B646">
        <v>1210802</v>
      </c>
      <c r="C646">
        <v>5015.62</v>
      </c>
      <c r="D646" s="4">
        <f>+VLOOKUP(A646,Portfolio!$G$3:$I$6,3)</f>
        <v>5</v>
      </c>
      <c r="E646">
        <f t="shared" si="10"/>
        <v>25078.1</v>
      </c>
    </row>
    <row r="647" spans="1:5" x14ac:dyDescent="0.25">
      <c r="A647" t="s">
        <v>0</v>
      </c>
      <c r="B647">
        <v>1210803</v>
      </c>
      <c r="C647">
        <v>5312.5</v>
      </c>
      <c r="D647" s="4">
        <f>+VLOOKUP(A647,Portfolio!$G$3:$I$6,3)</f>
        <v>5</v>
      </c>
      <c r="E647">
        <f t="shared" si="10"/>
        <v>26562.5</v>
      </c>
    </row>
    <row r="648" spans="1:5" x14ac:dyDescent="0.25">
      <c r="A648" t="s">
        <v>0</v>
      </c>
      <c r="B648">
        <v>1210804</v>
      </c>
      <c r="C648">
        <v>5343.75</v>
      </c>
      <c r="D648" s="4">
        <f>+VLOOKUP(A648,Portfolio!$G$3:$I$6,3)</f>
        <v>5</v>
      </c>
      <c r="E648">
        <f t="shared" si="10"/>
        <v>26718.75</v>
      </c>
    </row>
    <row r="649" spans="1:5" x14ac:dyDescent="0.25">
      <c r="A649" t="s">
        <v>0</v>
      </c>
      <c r="B649">
        <v>1210805</v>
      </c>
      <c r="C649">
        <v>5484.38</v>
      </c>
      <c r="D649" s="4">
        <f>+VLOOKUP(A649,Portfolio!$G$3:$I$6,3)</f>
        <v>5</v>
      </c>
      <c r="E649">
        <f t="shared" si="10"/>
        <v>27421.9</v>
      </c>
    </row>
    <row r="650" spans="1:5" x14ac:dyDescent="0.25">
      <c r="A650" t="s">
        <v>0</v>
      </c>
      <c r="B650">
        <v>1210806</v>
      </c>
      <c r="C650">
        <v>5515.62</v>
      </c>
      <c r="D650" s="4">
        <f>+VLOOKUP(A650,Portfolio!$G$3:$I$6,3)</f>
        <v>5</v>
      </c>
      <c r="E650">
        <f t="shared" si="10"/>
        <v>27578.1</v>
      </c>
    </row>
    <row r="651" spans="1:5" x14ac:dyDescent="0.25">
      <c r="A651" t="s">
        <v>0</v>
      </c>
      <c r="B651">
        <v>1210808</v>
      </c>
      <c r="C651">
        <v>5984.38</v>
      </c>
      <c r="D651" s="4">
        <f>+VLOOKUP(A651,Portfolio!$G$3:$I$6,3)</f>
        <v>5</v>
      </c>
      <c r="E651">
        <f t="shared" si="10"/>
        <v>29921.9</v>
      </c>
    </row>
    <row r="652" spans="1:5" x14ac:dyDescent="0.25">
      <c r="A652" t="s">
        <v>0</v>
      </c>
      <c r="B652">
        <v>1210809</v>
      </c>
      <c r="C652">
        <v>5937.5</v>
      </c>
      <c r="D652" s="4">
        <f>+VLOOKUP(A652,Portfolio!$G$3:$I$6,3)</f>
        <v>5</v>
      </c>
      <c r="E652">
        <f t="shared" si="10"/>
        <v>29687.5</v>
      </c>
    </row>
    <row r="653" spans="1:5" x14ac:dyDescent="0.25">
      <c r="A653" t="s">
        <v>0</v>
      </c>
      <c r="B653">
        <v>1210810</v>
      </c>
      <c r="C653">
        <v>5500</v>
      </c>
      <c r="D653" s="4">
        <f>+VLOOKUP(A653,Portfolio!$G$3:$I$6,3)</f>
        <v>5</v>
      </c>
      <c r="E653">
        <f t="shared" si="10"/>
        <v>27500</v>
      </c>
    </row>
    <row r="654" spans="1:5" x14ac:dyDescent="0.25">
      <c r="A654" t="s">
        <v>0</v>
      </c>
      <c r="B654">
        <v>1210811</v>
      </c>
      <c r="C654">
        <v>5781.25</v>
      </c>
      <c r="D654" s="4">
        <f>+VLOOKUP(A654,Portfolio!$G$3:$I$6,3)</f>
        <v>5</v>
      </c>
      <c r="E654">
        <f t="shared" si="10"/>
        <v>28906.25</v>
      </c>
    </row>
    <row r="655" spans="1:5" x14ac:dyDescent="0.25">
      <c r="A655" t="s">
        <v>0</v>
      </c>
      <c r="B655">
        <v>1210812</v>
      </c>
      <c r="C655">
        <v>5875</v>
      </c>
      <c r="D655" s="4">
        <f>+VLOOKUP(A655,Portfolio!$G$3:$I$6,3)</f>
        <v>5</v>
      </c>
      <c r="E655">
        <f t="shared" si="10"/>
        <v>29375</v>
      </c>
    </row>
    <row r="656" spans="1:5" x14ac:dyDescent="0.25">
      <c r="A656" t="s">
        <v>0</v>
      </c>
      <c r="B656">
        <v>1210813</v>
      </c>
      <c r="C656">
        <v>5796.88</v>
      </c>
      <c r="D656" s="4">
        <f>+VLOOKUP(A656,Portfolio!$G$3:$I$6,3)</f>
        <v>5</v>
      </c>
      <c r="E656">
        <f t="shared" si="10"/>
        <v>28984.400000000001</v>
      </c>
    </row>
    <row r="657" spans="1:5" x14ac:dyDescent="0.25">
      <c r="A657" t="s">
        <v>0</v>
      </c>
      <c r="B657">
        <v>1210815</v>
      </c>
      <c r="C657">
        <v>6031.25</v>
      </c>
      <c r="D657" s="4">
        <f>+VLOOKUP(A657,Portfolio!$G$3:$I$6,3)</f>
        <v>5</v>
      </c>
      <c r="E657">
        <f t="shared" si="10"/>
        <v>30156.25</v>
      </c>
    </row>
    <row r="658" spans="1:5" x14ac:dyDescent="0.25">
      <c r="A658" t="s">
        <v>0</v>
      </c>
      <c r="B658">
        <v>1210816</v>
      </c>
      <c r="C658">
        <v>6250</v>
      </c>
      <c r="D658" s="4">
        <f>+VLOOKUP(A658,Portfolio!$G$3:$I$6,3)</f>
        <v>5</v>
      </c>
      <c r="E658">
        <f t="shared" si="10"/>
        <v>31250</v>
      </c>
    </row>
    <row r="659" spans="1:5" x14ac:dyDescent="0.25">
      <c r="A659" t="s">
        <v>0</v>
      </c>
      <c r="B659">
        <v>1210817</v>
      </c>
      <c r="C659">
        <v>6281.25</v>
      </c>
      <c r="D659" s="4">
        <f>+VLOOKUP(A659,Portfolio!$G$3:$I$6,3)</f>
        <v>5</v>
      </c>
      <c r="E659">
        <f t="shared" si="10"/>
        <v>31406.25</v>
      </c>
    </row>
    <row r="660" spans="1:5" x14ac:dyDescent="0.25">
      <c r="A660" t="s">
        <v>0</v>
      </c>
      <c r="B660">
        <v>1210818</v>
      </c>
      <c r="C660">
        <v>6203.12</v>
      </c>
      <c r="D660" s="4">
        <f>+VLOOKUP(A660,Portfolio!$G$3:$I$6,3)</f>
        <v>5</v>
      </c>
      <c r="E660">
        <f t="shared" si="10"/>
        <v>31015.599999999999</v>
      </c>
    </row>
    <row r="661" spans="1:5" x14ac:dyDescent="0.25">
      <c r="A661" t="s">
        <v>0</v>
      </c>
      <c r="B661">
        <v>1210819</v>
      </c>
      <c r="C661">
        <v>6125</v>
      </c>
      <c r="D661" s="4">
        <f>+VLOOKUP(A661,Portfolio!$G$3:$I$6,3)</f>
        <v>5</v>
      </c>
      <c r="E661">
        <f t="shared" si="10"/>
        <v>30625</v>
      </c>
    </row>
    <row r="662" spans="1:5" x14ac:dyDescent="0.25">
      <c r="A662" t="s">
        <v>0</v>
      </c>
      <c r="B662">
        <v>1210820</v>
      </c>
      <c r="C662">
        <v>6015.62</v>
      </c>
      <c r="D662" s="4">
        <f>+VLOOKUP(A662,Portfolio!$G$3:$I$6,3)</f>
        <v>5</v>
      </c>
      <c r="E662">
        <f t="shared" si="10"/>
        <v>30078.1</v>
      </c>
    </row>
    <row r="663" spans="1:5" x14ac:dyDescent="0.25">
      <c r="A663" t="s">
        <v>0</v>
      </c>
      <c r="B663">
        <v>1210822</v>
      </c>
      <c r="C663">
        <v>6218.75</v>
      </c>
      <c r="D663" s="4">
        <f>+VLOOKUP(A663,Portfolio!$G$3:$I$6,3)</f>
        <v>5</v>
      </c>
      <c r="E663">
        <f t="shared" si="10"/>
        <v>31093.75</v>
      </c>
    </row>
    <row r="664" spans="1:5" x14ac:dyDescent="0.25">
      <c r="A664" t="s">
        <v>0</v>
      </c>
      <c r="B664">
        <v>1210823</v>
      </c>
      <c r="C664">
        <v>6312.5</v>
      </c>
      <c r="D664" s="4">
        <f>+VLOOKUP(A664,Portfolio!$G$3:$I$6,3)</f>
        <v>5</v>
      </c>
      <c r="E664">
        <f t="shared" si="10"/>
        <v>31562.5</v>
      </c>
    </row>
    <row r="665" spans="1:5" x14ac:dyDescent="0.25">
      <c r="A665" t="s">
        <v>0</v>
      </c>
      <c r="B665">
        <v>1210824</v>
      </c>
      <c r="C665">
        <v>6187.5</v>
      </c>
      <c r="D665" s="4">
        <f>+VLOOKUP(A665,Portfolio!$G$3:$I$6,3)</f>
        <v>5</v>
      </c>
      <c r="E665">
        <f t="shared" si="10"/>
        <v>30937.5</v>
      </c>
    </row>
    <row r="666" spans="1:5" x14ac:dyDescent="0.25">
      <c r="A666" t="s">
        <v>0</v>
      </c>
      <c r="B666">
        <v>1210825</v>
      </c>
      <c r="C666">
        <v>6171.88</v>
      </c>
      <c r="D666" s="4">
        <f>+VLOOKUP(A666,Portfolio!$G$3:$I$6,3)</f>
        <v>5</v>
      </c>
      <c r="E666">
        <f t="shared" si="10"/>
        <v>30859.4</v>
      </c>
    </row>
    <row r="667" spans="1:5" x14ac:dyDescent="0.25">
      <c r="A667" t="s">
        <v>0</v>
      </c>
      <c r="B667">
        <v>1210826</v>
      </c>
      <c r="C667">
        <v>6484.38</v>
      </c>
      <c r="D667" s="4">
        <f>+VLOOKUP(A667,Portfolio!$G$3:$I$6,3)</f>
        <v>5</v>
      </c>
      <c r="E667">
        <f t="shared" si="10"/>
        <v>32421.9</v>
      </c>
    </row>
    <row r="668" spans="1:5" x14ac:dyDescent="0.25">
      <c r="A668" t="s">
        <v>0</v>
      </c>
      <c r="B668">
        <v>1210827</v>
      </c>
      <c r="C668">
        <v>6578.12</v>
      </c>
      <c r="D668" s="4">
        <f>+VLOOKUP(A668,Portfolio!$G$3:$I$6,3)</f>
        <v>5</v>
      </c>
      <c r="E668">
        <f t="shared" si="10"/>
        <v>32890.6</v>
      </c>
    </row>
    <row r="669" spans="1:5" x14ac:dyDescent="0.25">
      <c r="A669" t="s">
        <v>0</v>
      </c>
      <c r="B669">
        <v>1210829</v>
      </c>
      <c r="C669">
        <v>6531.25</v>
      </c>
      <c r="D669" s="4">
        <f>+VLOOKUP(A669,Portfolio!$G$3:$I$6,3)</f>
        <v>5</v>
      </c>
      <c r="E669">
        <f t="shared" si="10"/>
        <v>32656.25</v>
      </c>
    </row>
    <row r="670" spans="1:5" x14ac:dyDescent="0.25">
      <c r="A670" t="s">
        <v>0</v>
      </c>
      <c r="B670">
        <v>1210830</v>
      </c>
      <c r="C670">
        <v>6546.88</v>
      </c>
      <c r="D670" s="4">
        <f>+VLOOKUP(A670,Portfolio!$G$3:$I$6,3)</f>
        <v>5</v>
      </c>
      <c r="E670">
        <f t="shared" si="10"/>
        <v>32734.400000000001</v>
      </c>
    </row>
    <row r="671" spans="1:5" x14ac:dyDescent="0.25">
      <c r="A671" t="s">
        <v>0</v>
      </c>
      <c r="B671">
        <v>1210831</v>
      </c>
      <c r="C671">
        <v>6562.5</v>
      </c>
      <c r="D671" s="4">
        <f>+VLOOKUP(A671,Portfolio!$G$3:$I$6,3)</f>
        <v>5</v>
      </c>
      <c r="E671">
        <f t="shared" si="10"/>
        <v>32812.5</v>
      </c>
    </row>
    <row r="672" spans="1:5" x14ac:dyDescent="0.25">
      <c r="A672" t="s">
        <v>0</v>
      </c>
      <c r="B672">
        <v>1210901</v>
      </c>
      <c r="C672">
        <v>6578.12</v>
      </c>
      <c r="D672" s="4">
        <f>+VLOOKUP(A672,Portfolio!$G$3:$I$6,3)</f>
        <v>5</v>
      </c>
      <c r="E672">
        <f t="shared" si="10"/>
        <v>32890.6</v>
      </c>
    </row>
    <row r="673" spans="1:5" x14ac:dyDescent="0.25">
      <c r="A673" t="s">
        <v>0</v>
      </c>
      <c r="B673">
        <v>1210902</v>
      </c>
      <c r="C673">
        <v>6468.75</v>
      </c>
      <c r="D673" s="4">
        <f>+VLOOKUP(A673,Portfolio!$G$3:$I$6,3)</f>
        <v>5</v>
      </c>
      <c r="E673">
        <f t="shared" si="10"/>
        <v>32343.75</v>
      </c>
    </row>
    <row r="674" spans="1:5" x14ac:dyDescent="0.25">
      <c r="A674" t="s">
        <v>0</v>
      </c>
      <c r="B674">
        <v>1210903</v>
      </c>
      <c r="C674">
        <v>6531.25</v>
      </c>
      <c r="D674" s="4">
        <f>+VLOOKUP(A674,Portfolio!$G$3:$I$6,3)</f>
        <v>5</v>
      </c>
      <c r="E674">
        <f t="shared" si="10"/>
        <v>32656.25</v>
      </c>
    </row>
    <row r="675" spans="1:5" x14ac:dyDescent="0.25">
      <c r="A675" t="s">
        <v>0</v>
      </c>
      <c r="B675">
        <v>1210905</v>
      </c>
      <c r="C675">
        <v>6109.38</v>
      </c>
      <c r="D675" s="4">
        <f>+VLOOKUP(A675,Portfolio!$G$3:$I$6,3)</f>
        <v>5</v>
      </c>
      <c r="E675">
        <f t="shared" si="10"/>
        <v>30546.9</v>
      </c>
    </row>
    <row r="676" spans="1:5" x14ac:dyDescent="0.25">
      <c r="A676" t="s">
        <v>0</v>
      </c>
      <c r="B676">
        <v>1210906</v>
      </c>
      <c r="C676">
        <v>6093.75</v>
      </c>
      <c r="D676" s="4">
        <f>+VLOOKUP(A676,Portfolio!$G$3:$I$6,3)</f>
        <v>5</v>
      </c>
      <c r="E676">
        <f t="shared" si="10"/>
        <v>30468.75</v>
      </c>
    </row>
    <row r="677" spans="1:5" x14ac:dyDescent="0.25">
      <c r="A677" t="s">
        <v>0</v>
      </c>
      <c r="B677">
        <v>1210907</v>
      </c>
      <c r="C677">
        <v>6218.75</v>
      </c>
      <c r="D677" s="4">
        <f>+VLOOKUP(A677,Portfolio!$G$3:$I$6,3)</f>
        <v>5</v>
      </c>
      <c r="E677">
        <f t="shared" si="10"/>
        <v>31093.75</v>
      </c>
    </row>
    <row r="678" spans="1:5" x14ac:dyDescent="0.25">
      <c r="A678" t="s">
        <v>0</v>
      </c>
      <c r="B678">
        <v>1210908</v>
      </c>
      <c r="C678">
        <v>6390.62</v>
      </c>
      <c r="D678" s="4">
        <f>+VLOOKUP(A678,Portfolio!$G$3:$I$6,3)</f>
        <v>5</v>
      </c>
      <c r="E678">
        <f t="shared" si="10"/>
        <v>31953.1</v>
      </c>
    </row>
    <row r="679" spans="1:5" x14ac:dyDescent="0.25">
      <c r="A679" t="s">
        <v>0</v>
      </c>
      <c r="B679">
        <v>1210909</v>
      </c>
      <c r="C679">
        <v>6312.5</v>
      </c>
      <c r="D679" s="4">
        <f>+VLOOKUP(A679,Portfolio!$G$3:$I$6,3)</f>
        <v>5</v>
      </c>
      <c r="E679">
        <f t="shared" si="10"/>
        <v>31562.5</v>
      </c>
    </row>
    <row r="680" spans="1:5" x14ac:dyDescent="0.25">
      <c r="A680" t="s">
        <v>0</v>
      </c>
      <c r="B680">
        <v>1210910</v>
      </c>
      <c r="C680">
        <v>6093.75</v>
      </c>
      <c r="D680" s="4">
        <f>+VLOOKUP(A680,Portfolio!$G$3:$I$6,3)</f>
        <v>5</v>
      </c>
      <c r="E680">
        <f t="shared" si="10"/>
        <v>30468.75</v>
      </c>
    </row>
    <row r="681" spans="1:5" x14ac:dyDescent="0.25">
      <c r="A681" t="s">
        <v>0</v>
      </c>
      <c r="B681">
        <v>1210912</v>
      </c>
      <c r="C681">
        <v>6031.25</v>
      </c>
      <c r="D681" s="4">
        <f>+VLOOKUP(A681,Portfolio!$G$3:$I$6,3)</f>
        <v>5</v>
      </c>
      <c r="E681">
        <f t="shared" si="10"/>
        <v>30156.25</v>
      </c>
    </row>
    <row r="682" spans="1:5" x14ac:dyDescent="0.25">
      <c r="A682" t="s">
        <v>0</v>
      </c>
      <c r="B682">
        <v>1210913</v>
      </c>
      <c r="C682">
        <v>6015.62</v>
      </c>
      <c r="D682" s="4">
        <f>+VLOOKUP(A682,Portfolio!$G$3:$I$6,3)</f>
        <v>5</v>
      </c>
      <c r="E682">
        <f t="shared" si="10"/>
        <v>30078.1</v>
      </c>
    </row>
    <row r="683" spans="1:5" x14ac:dyDescent="0.25">
      <c r="A683" t="s">
        <v>0</v>
      </c>
      <c r="B683">
        <v>1210914</v>
      </c>
      <c r="C683">
        <v>5890.62</v>
      </c>
      <c r="D683" s="4">
        <f>+VLOOKUP(A683,Portfolio!$G$3:$I$6,3)</f>
        <v>5</v>
      </c>
      <c r="E683">
        <f t="shared" si="10"/>
        <v>29453.1</v>
      </c>
    </row>
    <row r="684" spans="1:5" x14ac:dyDescent="0.25">
      <c r="A684" t="s">
        <v>0</v>
      </c>
      <c r="B684">
        <v>1210915</v>
      </c>
      <c r="C684">
        <v>5875</v>
      </c>
      <c r="D684" s="4">
        <f>+VLOOKUP(A684,Portfolio!$G$3:$I$6,3)</f>
        <v>5</v>
      </c>
      <c r="E684">
        <f t="shared" si="10"/>
        <v>29375</v>
      </c>
    </row>
    <row r="685" spans="1:5" x14ac:dyDescent="0.25">
      <c r="A685" t="s">
        <v>0</v>
      </c>
      <c r="B685">
        <v>1210916</v>
      </c>
      <c r="C685">
        <v>5843.75</v>
      </c>
      <c r="D685" s="4">
        <f>+VLOOKUP(A685,Portfolio!$G$3:$I$6,3)</f>
        <v>5</v>
      </c>
      <c r="E685">
        <f t="shared" si="10"/>
        <v>29218.75</v>
      </c>
    </row>
    <row r="686" spans="1:5" x14ac:dyDescent="0.25">
      <c r="A686" t="s">
        <v>0</v>
      </c>
      <c r="B686">
        <v>1210917</v>
      </c>
      <c r="C686">
        <v>6187.5</v>
      </c>
      <c r="D686" s="4">
        <f>+VLOOKUP(A686,Portfolio!$G$3:$I$6,3)</f>
        <v>5</v>
      </c>
      <c r="E686">
        <f t="shared" si="10"/>
        <v>30937.5</v>
      </c>
    </row>
    <row r="687" spans="1:5" x14ac:dyDescent="0.25">
      <c r="A687" t="s">
        <v>0</v>
      </c>
      <c r="B687">
        <v>1210919</v>
      </c>
      <c r="C687">
        <v>6453.12</v>
      </c>
      <c r="D687" s="4">
        <f>+VLOOKUP(A687,Portfolio!$G$3:$I$6,3)</f>
        <v>5</v>
      </c>
      <c r="E687">
        <f t="shared" si="10"/>
        <v>32265.599999999999</v>
      </c>
    </row>
    <row r="688" spans="1:5" x14ac:dyDescent="0.25">
      <c r="A688" t="s">
        <v>0</v>
      </c>
      <c r="B688">
        <v>1210920</v>
      </c>
      <c r="C688">
        <v>6390.62</v>
      </c>
      <c r="D688" s="4">
        <f>+VLOOKUP(A688,Portfolio!$G$3:$I$6,3)</f>
        <v>5</v>
      </c>
      <c r="E688">
        <f t="shared" si="10"/>
        <v>31953.1</v>
      </c>
    </row>
    <row r="689" spans="1:5" x14ac:dyDescent="0.25">
      <c r="A689" t="s">
        <v>0</v>
      </c>
      <c r="B689">
        <v>1210921</v>
      </c>
      <c r="C689">
        <v>6203.12</v>
      </c>
      <c r="D689" s="4">
        <f>+VLOOKUP(A689,Portfolio!$G$3:$I$6,3)</f>
        <v>5</v>
      </c>
      <c r="E689">
        <f t="shared" si="10"/>
        <v>31015.599999999999</v>
      </c>
    </row>
    <row r="690" spans="1:5" x14ac:dyDescent="0.25">
      <c r="A690" t="s">
        <v>0</v>
      </c>
      <c r="B690">
        <v>1210922</v>
      </c>
      <c r="C690">
        <v>6234.38</v>
      </c>
      <c r="D690" s="4">
        <f>+VLOOKUP(A690,Portfolio!$G$3:$I$6,3)</f>
        <v>5</v>
      </c>
      <c r="E690">
        <f t="shared" si="10"/>
        <v>31171.9</v>
      </c>
    </row>
    <row r="691" spans="1:5" x14ac:dyDescent="0.25">
      <c r="A691" t="s">
        <v>0</v>
      </c>
      <c r="B691">
        <v>1210923</v>
      </c>
      <c r="C691">
        <v>6093.75</v>
      </c>
      <c r="D691" s="4">
        <f>+VLOOKUP(A691,Portfolio!$G$3:$I$6,3)</f>
        <v>5</v>
      </c>
      <c r="E691">
        <f t="shared" si="10"/>
        <v>30468.75</v>
      </c>
    </row>
    <row r="692" spans="1:5" x14ac:dyDescent="0.25">
      <c r="A692" t="s">
        <v>0</v>
      </c>
      <c r="B692">
        <v>1210924</v>
      </c>
      <c r="C692">
        <v>6453.12</v>
      </c>
      <c r="D692" s="4">
        <f>+VLOOKUP(A692,Portfolio!$G$3:$I$6,3)</f>
        <v>5</v>
      </c>
      <c r="E692">
        <f t="shared" si="10"/>
        <v>32265.599999999999</v>
      </c>
    </row>
    <row r="693" spans="1:5" x14ac:dyDescent="0.25">
      <c r="A693" t="s">
        <v>0</v>
      </c>
      <c r="B693">
        <v>1210926</v>
      </c>
      <c r="C693">
        <v>6593.75</v>
      </c>
      <c r="D693" s="4">
        <f>+VLOOKUP(A693,Portfolio!$G$3:$I$6,3)</f>
        <v>5</v>
      </c>
      <c r="E693">
        <f t="shared" si="10"/>
        <v>32968.75</v>
      </c>
    </row>
    <row r="694" spans="1:5" x14ac:dyDescent="0.25">
      <c r="A694" t="s">
        <v>0</v>
      </c>
      <c r="B694">
        <v>1210927</v>
      </c>
      <c r="C694">
        <v>6468.75</v>
      </c>
      <c r="D694" s="4">
        <f>+VLOOKUP(A694,Portfolio!$G$3:$I$6,3)</f>
        <v>5</v>
      </c>
      <c r="E694">
        <f t="shared" si="10"/>
        <v>32343.75</v>
      </c>
    </row>
    <row r="695" spans="1:5" x14ac:dyDescent="0.25">
      <c r="A695" t="s">
        <v>0</v>
      </c>
      <c r="B695">
        <v>1210928</v>
      </c>
      <c r="C695">
        <v>7015.62</v>
      </c>
      <c r="D695" s="4">
        <f>+VLOOKUP(A695,Portfolio!$G$3:$I$6,3)</f>
        <v>5</v>
      </c>
      <c r="E695">
        <f t="shared" si="10"/>
        <v>35078.1</v>
      </c>
    </row>
    <row r="696" spans="1:5" x14ac:dyDescent="0.25">
      <c r="A696" t="s">
        <v>0</v>
      </c>
      <c r="B696">
        <v>1210929</v>
      </c>
      <c r="C696">
        <v>7093.75</v>
      </c>
      <c r="D696" s="4">
        <f>+VLOOKUP(A696,Portfolio!$G$3:$I$6,3)</f>
        <v>5</v>
      </c>
      <c r="E696">
        <f t="shared" si="10"/>
        <v>35468.75</v>
      </c>
    </row>
    <row r="697" spans="1:5" x14ac:dyDescent="0.25">
      <c r="A697" t="s">
        <v>0</v>
      </c>
      <c r="B697">
        <v>1210930</v>
      </c>
      <c r="C697">
        <v>6984.38</v>
      </c>
      <c r="D697" s="4">
        <f>+VLOOKUP(A697,Portfolio!$G$3:$I$6,3)</f>
        <v>5</v>
      </c>
      <c r="E697">
        <f t="shared" si="10"/>
        <v>34921.9</v>
      </c>
    </row>
    <row r="698" spans="1:5" x14ac:dyDescent="0.25">
      <c r="A698" t="s">
        <v>0</v>
      </c>
      <c r="B698">
        <v>1211001</v>
      </c>
      <c r="C698">
        <v>6906.25</v>
      </c>
      <c r="D698" s="4">
        <f>+VLOOKUP(A698,Portfolio!$G$3:$I$6,3)</f>
        <v>5</v>
      </c>
      <c r="E698">
        <f t="shared" si="10"/>
        <v>34531.25</v>
      </c>
    </row>
    <row r="699" spans="1:5" x14ac:dyDescent="0.25">
      <c r="A699" t="s">
        <v>0</v>
      </c>
      <c r="B699">
        <v>1211003</v>
      </c>
      <c r="C699">
        <v>7078.12</v>
      </c>
      <c r="D699" s="4">
        <f>+VLOOKUP(A699,Portfolio!$G$3:$I$6,3)</f>
        <v>5</v>
      </c>
      <c r="E699">
        <f t="shared" si="10"/>
        <v>35390.6</v>
      </c>
    </row>
    <row r="700" spans="1:5" x14ac:dyDescent="0.25">
      <c r="A700" t="s">
        <v>0</v>
      </c>
      <c r="B700">
        <v>1211004</v>
      </c>
      <c r="C700">
        <v>7015.62</v>
      </c>
      <c r="D700" s="4">
        <f>+VLOOKUP(A700,Portfolio!$G$3:$I$6,3)</f>
        <v>5</v>
      </c>
      <c r="E700">
        <f t="shared" si="10"/>
        <v>35078.1</v>
      </c>
    </row>
    <row r="701" spans="1:5" x14ac:dyDescent="0.25">
      <c r="A701" t="s">
        <v>0</v>
      </c>
      <c r="B701">
        <v>1211005</v>
      </c>
      <c r="C701">
        <v>6812.5</v>
      </c>
      <c r="D701" s="4">
        <f>+VLOOKUP(A701,Portfolio!$G$3:$I$6,3)</f>
        <v>5</v>
      </c>
      <c r="E701">
        <f t="shared" si="10"/>
        <v>34062.5</v>
      </c>
    </row>
    <row r="702" spans="1:5" x14ac:dyDescent="0.25">
      <c r="A702" t="s">
        <v>0</v>
      </c>
      <c r="B702">
        <v>1211006</v>
      </c>
      <c r="C702">
        <v>7281.25</v>
      </c>
      <c r="D702" s="4">
        <f>+VLOOKUP(A702,Portfolio!$G$3:$I$6,3)</f>
        <v>5</v>
      </c>
      <c r="E702">
        <f t="shared" si="10"/>
        <v>36406.25</v>
      </c>
    </row>
    <row r="703" spans="1:5" x14ac:dyDescent="0.25">
      <c r="A703" t="s">
        <v>0</v>
      </c>
      <c r="B703">
        <v>1211007</v>
      </c>
      <c r="C703">
        <v>6953.12</v>
      </c>
      <c r="D703" s="4">
        <f>+VLOOKUP(A703,Portfolio!$G$3:$I$6,3)</f>
        <v>5</v>
      </c>
      <c r="E703">
        <f t="shared" si="10"/>
        <v>34765.599999999999</v>
      </c>
    </row>
    <row r="704" spans="1:5" x14ac:dyDescent="0.25">
      <c r="A704" t="s">
        <v>0</v>
      </c>
      <c r="B704">
        <v>1211008</v>
      </c>
      <c r="C704">
        <v>7156.25</v>
      </c>
      <c r="D704" s="4">
        <f>+VLOOKUP(A704,Portfolio!$G$3:$I$6,3)</f>
        <v>5</v>
      </c>
      <c r="E704">
        <f t="shared" si="10"/>
        <v>35781.25</v>
      </c>
    </row>
    <row r="705" spans="1:5" x14ac:dyDescent="0.25">
      <c r="A705" t="s">
        <v>0</v>
      </c>
      <c r="B705">
        <v>1211010</v>
      </c>
      <c r="C705">
        <v>7031.25</v>
      </c>
      <c r="D705" s="4">
        <f>+VLOOKUP(A705,Portfolio!$G$3:$I$6,3)</f>
        <v>5</v>
      </c>
      <c r="E705">
        <f t="shared" si="10"/>
        <v>35156.25</v>
      </c>
    </row>
    <row r="706" spans="1:5" x14ac:dyDescent="0.25">
      <c r="A706" t="s">
        <v>0</v>
      </c>
      <c r="B706">
        <v>1211011</v>
      </c>
      <c r="C706">
        <v>7171.88</v>
      </c>
      <c r="D706" s="4">
        <f>+VLOOKUP(A706,Portfolio!$G$3:$I$6,3)</f>
        <v>5</v>
      </c>
      <c r="E706">
        <f t="shared" si="10"/>
        <v>35859.4</v>
      </c>
    </row>
    <row r="707" spans="1:5" x14ac:dyDescent="0.25">
      <c r="A707" t="s">
        <v>0</v>
      </c>
      <c r="B707">
        <v>1211012</v>
      </c>
      <c r="C707">
        <v>7000</v>
      </c>
      <c r="D707" s="4">
        <f>+VLOOKUP(A707,Portfolio!$G$3:$I$6,3)</f>
        <v>5</v>
      </c>
      <c r="E707">
        <f t="shared" ref="E707:E770" si="11">+C707*D707</f>
        <v>35000</v>
      </c>
    </row>
    <row r="708" spans="1:5" x14ac:dyDescent="0.25">
      <c r="A708" t="s">
        <v>0</v>
      </c>
      <c r="B708">
        <v>1211013</v>
      </c>
      <c r="C708">
        <v>6828.12</v>
      </c>
      <c r="D708" s="4">
        <f>+VLOOKUP(A708,Portfolio!$G$3:$I$6,3)</f>
        <v>5</v>
      </c>
      <c r="E708">
        <f t="shared" si="11"/>
        <v>34140.6</v>
      </c>
    </row>
    <row r="709" spans="1:5" x14ac:dyDescent="0.25">
      <c r="A709" t="s">
        <v>0</v>
      </c>
      <c r="B709">
        <v>1211014</v>
      </c>
      <c r="C709">
        <v>6562.5</v>
      </c>
      <c r="D709" s="4">
        <f>+VLOOKUP(A709,Portfolio!$G$3:$I$6,3)</f>
        <v>5</v>
      </c>
      <c r="E709">
        <f t="shared" si="11"/>
        <v>32812.5</v>
      </c>
    </row>
    <row r="710" spans="1:5" x14ac:dyDescent="0.25">
      <c r="A710" t="s">
        <v>0</v>
      </c>
      <c r="B710">
        <v>1211015</v>
      </c>
      <c r="C710">
        <v>6734.38</v>
      </c>
      <c r="D710" s="4">
        <f>+VLOOKUP(A710,Portfolio!$G$3:$I$6,3)</f>
        <v>5</v>
      </c>
      <c r="E710">
        <f t="shared" si="11"/>
        <v>33671.9</v>
      </c>
    </row>
    <row r="711" spans="1:5" x14ac:dyDescent="0.25">
      <c r="A711" t="s">
        <v>0</v>
      </c>
      <c r="B711">
        <v>1211017</v>
      </c>
      <c r="C711">
        <v>7000</v>
      </c>
      <c r="D711" s="4">
        <f>+VLOOKUP(A711,Portfolio!$G$3:$I$6,3)</f>
        <v>5</v>
      </c>
      <c r="E711">
        <f t="shared" si="11"/>
        <v>35000</v>
      </c>
    </row>
    <row r="712" spans="1:5" x14ac:dyDescent="0.25">
      <c r="A712" t="s">
        <v>0</v>
      </c>
      <c r="B712">
        <v>1211018</v>
      </c>
      <c r="C712">
        <v>7078.12</v>
      </c>
      <c r="D712" s="4">
        <f>+VLOOKUP(A712,Portfolio!$G$3:$I$6,3)</f>
        <v>5</v>
      </c>
      <c r="E712">
        <f t="shared" si="11"/>
        <v>35390.6</v>
      </c>
    </row>
    <row r="713" spans="1:5" x14ac:dyDescent="0.25">
      <c r="A713" t="s">
        <v>0</v>
      </c>
      <c r="B713">
        <v>1211019</v>
      </c>
      <c r="C713">
        <v>7000</v>
      </c>
      <c r="D713" s="4">
        <f>+VLOOKUP(A713,Portfolio!$G$3:$I$6,3)</f>
        <v>5</v>
      </c>
      <c r="E713">
        <f t="shared" si="11"/>
        <v>35000</v>
      </c>
    </row>
    <row r="714" spans="1:5" x14ac:dyDescent="0.25">
      <c r="A714" t="s">
        <v>0</v>
      </c>
      <c r="B714">
        <v>1211020</v>
      </c>
      <c r="C714">
        <v>7296.88</v>
      </c>
      <c r="D714" s="4">
        <f>+VLOOKUP(A714,Portfolio!$G$3:$I$6,3)</f>
        <v>5</v>
      </c>
      <c r="E714">
        <f t="shared" si="11"/>
        <v>36484.400000000001</v>
      </c>
    </row>
    <row r="715" spans="1:5" x14ac:dyDescent="0.25">
      <c r="A715" t="s">
        <v>0</v>
      </c>
      <c r="B715">
        <v>1211021</v>
      </c>
      <c r="C715">
        <v>6937.5</v>
      </c>
      <c r="D715" s="4">
        <f>+VLOOKUP(A715,Portfolio!$G$3:$I$6,3)</f>
        <v>5</v>
      </c>
      <c r="E715">
        <f t="shared" si="11"/>
        <v>34687.5</v>
      </c>
    </row>
    <row r="716" spans="1:5" x14ac:dyDescent="0.25">
      <c r="A716" t="s">
        <v>0</v>
      </c>
      <c r="B716">
        <v>1211022</v>
      </c>
      <c r="C716">
        <v>7046.88</v>
      </c>
      <c r="D716" s="4">
        <f>+VLOOKUP(A716,Portfolio!$G$3:$I$6,3)</f>
        <v>5</v>
      </c>
      <c r="E716">
        <f t="shared" si="11"/>
        <v>35234.400000000001</v>
      </c>
    </row>
    <row r="717" spans="1:5" x14ac:dyDescent="0.25">
      <c r="A717" t="s">
        <v>0</v>
      </c>
      <c r="B717">
        <v>1211024</v>
      </c>
      <c r="C717">
        <v>7125</v>
      </c>
      <c r="D717" s="4">
        <f>+VLOOKUP(A717,Portfolio!$G$3:$I$6,3)</f>
        <v>5</v>
      </c>
      <c r="E717">
        <f t="shared" si="11"/>
        <v>35625</v>
      </c>
    </row>
    <row r="718" spans="1:5" x14ac:dyDescent="0.25">
      <c r="A718" t="s">
        <v>0</v>
      </c>
      <c r="B718">
        <v>1211025</v>
      </c>
      <c r="C718">
        <v>7125</v>
      </c>
      <c r="D718" s="4">
        <f>+VLOOKUP(A718,Portfolio!$G$3:$I$6,3)</f>
        <v>5</v>
      </c>
      <c r="E718">
        <f t="shared" si="11"/>
        <v>35625</v>
      </c>
    </row>
    <row r="719" spans="1:5" x14ac:dyDescent="0.25">
      <c r="A719" t="s">
        <v>0</v>
      </c>
      <c r="B719">
        <v>1211026</v>
      </c>
      <c r="C719">
        <v>6718.75</v>
      </c>
      <c r="D719" s="4">
        <f>+VLOOKUP(A719,Portfolio!$G$3:$I$6,3)</f>
        <v>5</v>
      </c>
      <c r="E719">
        <f t="shared" si="11"/>
        <v>33593.75</v>
      </c>
    </row>
    <row r="720" spans="1:5" x14ac:dyDescent="0.25">
      <c r="A720" t="s">
        <v>0</v>
      </c>
      <c r="B720">
        <v>1211027</v>
      </c>
      <c r="C720">
        <v>6609.38</v>
      </c>
      <c r="D720" s="4">
        <f>+VLOOKUP(A720,Portfolio!$G$3:$I$6,3)</f>
        <v>5</v>
      </c>
      <c r="E720">
        <f t="shared" si="11"/>
        <v>33046.9</v>
      </c>
    </row>
    <row r="721" spans="1:5" x14ac:dyDescent="0.25">
      <c r="A721" t="s">
        <v>0</v>
      </c>
      <c r="B721">
        <v>1211028</v>
      </c>
      <c r="C721">
        <v>6421.88</v>
      </c>
      <c r="D721" s="4">
        <f>+VLOOKUP(A721,Portfolio!$G$3:$I$6,3)</f>
        <v>5</v>
      </c>
      <c r="E721">
        <f t="shared" si="11"/>
        <v>32109.4</v>
      </c>
    </row>
    <row r="722" spans="1:5" x14ac:dyDescent="0.25">
      <c r="A722" t="s">
        <v>0</v>
      </c>
      <c r="B722">
        <v>1211029</v>
      </c>
      <c r="C722">
        <v>6546.88</v>
      </c>
      <c r="D722" s="4">
        <f>+VLOOKUP(A722,Portfolio!$G$3:$I$6,3)</f>
        <v>5</v>
      </c>
      <c r="E722">
        <f t="shared" si="11"/>
        <v>32734.400000000001</v>
      </c>
    </row>
    <row r="723" spans="1:5" x14ac:dyDescent="0.25">
      <c r="A723" t="s">
        <v>0</v>
      </c>
      <c r="B723">
        <v>1211031</v>
      </c>
      <c r="C723">
        <v>6546.88</v>
      </c>
      <c r="D723" s="4">
        <f>+VLOOKUP(A723,Portfolio!$G$3:$I$6,3)</f>
        <v>5</v>
      </c>
      <c r="E723">
        <f t="shared" si="11"/>
        <v>32734.400000000001</v>
      </c>
    </row>
    <row r="724" spans="1:5" x14ac:dyDescent="0.25">
      <c r="A724" t="s">
        <v>0</v>
      </c>
      <c r="B724">
        <v>1211101</v>
      </c>
      <c r="C724">
        <v>6531.25</v>
      </c>
      <c r="D724" s="4">
        <f>+VLOOKUP(A724,Portfolio!$G$3:$I$6,3)</f>
        <v>5</v>
      </c>
      <c r="E724">
        <f t="shared" si="11"/>
        <v>32656.25</v>
      </c>
    </row>
    <row r="725" spans="1:5" x14ac:dyDescent="0.25">
      <c r="A725" t="s">
        <v>0</v>
      </c>
      <c r="B725">
        <v>1211102</v>
      </c>
      <c r="C725">
        <v>6234.38</v>
      </c>
      <c r="D725" s="4">
        <f>+VLOOKUP(A725,Portfolio!$G$3:$I$6,3)</f>
        <v>5</v>
      </c>
      <c r="E725">
        <f t="shared" si="11"/>
        <v>31171.9</v>
      </c>
    </row>
    <row r="726" spans="1:5" x14ac:dyDescent="0.25">
      <c r="A726" t="s">
        <v>0</v>
      </c>
      <c r="B726">
        <v>1211103</v>
      </c>
      <c r="C726">
        <v>6218.75</v>
      </c>
      <c r="D726" s="4">
        <f>+VLOOKUP(A726,Portfolio!$G$3:$I$6,3)</f>
        <v>5</v>
      </c>
      <c r="E726">
        <f t="shared" si="11"/>
        <v>31093.75</v>
      </c>
    </row>
    <row r="727" spans="1:5" x14ac:dyDescent="0.25">
      <c r="A727" t="s">
        <v>0</v>
      </c>
      <c r="B727">
        <v>1211104</v>
      </c>
      <c r="C727">
        <v>6375</v>
      </c>
      <c r="D727" s="4">
        <f>+VLOOKUP(A727,Portfolio!$G$3:$I$6,3)</f>
        <v>5</v>
      </c>
      <c r="E727">
        <f t="shared" si="11"/>
        <v>31875</v>
      </c>
    </row>
    <row r="728" spans="1:5" x14ac:dyDescent="0.25">
      <c r="A728" t="s">
        <v>0</v>
      </c>
      <c r="B728">
        <v>1211105</v>
      </c>
      <c r="C728">
        <v>6437.5</v>
      </c>
      <c r="D728" s="4">
        <f>+VLOOKUP(A728,Portfolio!$G$3:$I$6,3)</f>
        <v>5</v>
      </c>
      <c r="E728">
        <f t="shared" si="11"/>
        <v>32187.5</v>
      </c>
    </row>
    <row r="729" spans="1:5" x14ac:dyDescent="0.25">
      <c r="A729" t="s">
        <v>0</v>
      </c>
      <c r="B729">
        <v>1211107</v>
      </c>
      <c r="C729">
        <v>6437.5</v>
      </c>
      <c r="D729" s="4">
        <f>+VLOOKUP(A729,Portfolio!$G$3:$I$6,3)</f>
        <v>5</v>
      </c>
      <c r="E729">
        <f t="shared" si="11"/>
        <v>32187.5</v>
      </c>
    </row>
    <row r="730" spans="1:5" x14ac:dyDescent="0.25">
      <c r="A730" t="s">
        <v>0</v>
      </c>
      <c r="B730">
        <v>1211108</v>
      </c>
      <c r="C730">
        <v>6343.75</v>
      </c>
      <c r="D730" s="4">
        <f>+VLOOKUP(A730,Portfolio!$G$3:$I$6,3)</f>
        <v>5</v>
      </c>
      <c r="E730">
        <f t="shared" si="11"/>
        <v>31718.75</v>
      </c>
    </row>
    <row r="731" spans="1:5" x14ac:dyDescent="0.25">
      <c r="A731" t="s">
        <v>0</v>
      </c>
      <c r="B731">
        <v>1211109</v>
      </c>
      <c r="C731">
        <v>6093.75</v>
      </c>
      <c r="D731" s="4">
        <f>+VLOOKUP(A731,Portfolio!$G$3:$I$6,3)</f>
        <v>5</v>
      </c>
      <c r="E731">
        <f t="shared" si="11"/>
        <v>30468.75</v>
      </c>
    </row>
    <row r="732" spans="1:5" x14ac:dyDescent="0.25">
      <c r="A732" t="s">
        <v>0</v>
      </c>
      <c r="B732">
        <v>1211110</v>
      </c>
      <c r="C732">
        <v>5984.38</v>
      </c>
      <c r="D732" s="4">
        <f>+VLOOKUP(A732,Portfolio!$G$3:$I$6,3)</f>
        <v>5</v>
      </c>
      <c r="E732">
        <f t="shared" si="11"/>
        <v>29921.9</v>
      </c>
    </row>
    <row r="733" spans="1:5" x14ac:dyDescent="0.25">
      <c r="A733" t="s">
        <v>0</v>
      </c>
      <c r="B733">
        <v>1211111</v>
      </c>
      <c r="C733">
        <v>6500</v>
      </c>
      <c r="D733" s="4">
        <f>+VLOOKUP(A733,Portfolio!$G$3:$I$6,3)</f>
        <v>5</v>
      </c>
      <c r="E733">
        <f t="shared" si="11"/>
        <v>32500</v>
      </c>
    </row>
    <row r="734" spans="1:5" x14ac:dyDescent="0.25">
      <c r="A734" t="s">
        <v>0</v>
      </c>
      <c r="B734">
        <v>1211112</v>
      </c>
      <c r="C734">
        <v>6640.62</v>
      </c>
      <c r="D734" s="4">
        <f>+VLOOKUP(A734,Portfolio!$G$3:$I$6,3)</f>
        <v>5</v>
      </c>
      <c r="E734">
        <f t="shared" si="11"/>
        <v>33203.1</v>
      </c>
    </row>
    <row r="735" spans="1:5" x14ac:dyDescent="0.25">
      <c r="A735" t="s">
        <v>0</v>
      </c>
      <c r="B735">
        <v>1211114</v>
      </c>
      <c r="C735">
        <v>6625</v>
      </c>
      <c r="D735" s="4">
        <f>+VLOOKUP(A735,Portfolio!$G$3:$I$6,3)</f>
        <v>5</v>
      </c>
      <c r="E735">
        <f t="shared" si="11"/>
        <v>33125</v>
      </c>
    </row>
    <row r="736" spans="1:5" x14ac:dyDescent="0.25">
      <c r="A736" t="s">
        <v>0</v>
      </c>
      <c r="B736">
        <v>1211115</v>
      </c>
      <c r="C736">
        <v>6796.88</v>
      </c>
      <c r="D736" s="4">
        <f>+VLOOKUP(A736,Portfolio!$G$3:$I$6,3)</f>
        <v>5</v>
      </c>
      <c r="E736">
        <f t="shared" si="11"/>
        <v>33984.400000000001</v>
      </c>
    </row>
    <row r="737" spans="1:5" x14ac:dyDescent="0.25">
      <c r="A737" t="s">
        <v>0</v>
      </c>
      <c r="B737">
        <v>1211116</v>
      </c>
      <c r="C737">
        <v>6750</v>
      </c>
      <c r="D737" s="4">
        <f>+VLOOKUP(A737,Portfolio!$G$3:$I$6,3)</f>
        <v>5</v>
      </c>
      <c r="E737">
        <f t="shared" si="11"/>
        <v>33750</v>
      </c>
    </row>
    <row r="738" spans="1:5" x14ac:dyDescent="0.25">
      <c r="A738" t="s">
        <v>0</v>
      </c>
      <c r="B738">
        <v>1211117</v>
      </c>
      <c r="C738">
        <v>7062.5</v>
      </c>
      <c r="D738" s="4">
        <f>+VLOOKUP(A738,Portfolio!$G$3:$I$6,3)</f>
        <v>5</v>
      </c>
      <c r="E738">
        <f t="shared" si="11"/>
        <v>35312.5</v>
      </c>
    </row>
    <row r="739" spans="1:5" x14ac:dyDescent="0.25">
      <c r="A739" t="s">
        <v>0</v>
      </c>
      <c r="B739">
        <v>1211118</v>
      </c>
      <c r="C739">
        <v>7265.62</v>
      </c>
      <c r="D739" s="4">
        <f>+VLOOKUP(A739,Portfolio!$G$3:$I$6,3)</f>
        <v>5</v>
      </c>
      <c r="E739">
        <f t="shared" si="11"/>
        <v>36328.1</v>
      </c>
    </row>
    <row r="740" spans="1:5" x14ac:dyDescent="0.25">
      <c r="A740" t="s">
        <v>0</v>
      </c>
      <c r="B740">
        <v>1211119</v>
      </c>
      <c r="C740">
        <v>6812.5</v>
      </c>
      <c r="D740" s="4">
        <f>+VLOOKUP(A740,Portfolio!$G$3:$I$6,3)</f>
        <v>5</v>
      </c>
      <c r="E740">
        <f t="shared" si="11"/>
        <v>34062.5</v>
      </c>
    </row>
    <row r="741" spans="1:5" x14ac:dyDescent="0.25">
      <c r="A741" t="s">
        <v>0</v>
      </c>
      <c r="B741">
        <v>1211121</v>
      </c>
      <c r="C741">
        <v>6921.88</v>
      </c>
      <c r="D741" s="4">
        <f>+VLOOKUP(A741,Portfolio!$G$3:$I$6,3)</f>
        <v>5</v>
      </c>
      <c r="E741">
        <f t="shared" si="11"/>
        <v>34609.4</v>
      </c>
    </row>
    <row r="742" spans="1:5" x14ac:dyDescent="0.25">
      <c r="A742" t="s">
        <v>0</v>
      </c>
      <c r="B742">
        <v>1211122</v>
      </c>
      <c r="C742">
        <v>6984.38</v>
      </c>
      <c r="D742" s="4">
        <f>+VLOOKUP(A742,Portfolio!$G$3:$I$6,3)</f>
        <v>5</v>
      </c>
      <c r="E742">
        <f t="shared" si="11"/>
        <v>34921.9</v>
      </c>
    </row>
    <row r="743" spans="1:5" x14ac:dyDescent="0.25">
      <c r="A743" t="s">
        <v>0</v>
      </c>
      <c r="B743">
        <v>1211123</v>
      </c>
      <c r="C743">
        <v>7234.38</v>
      </c>
      <c r="D743" s="4">
        <f>+VLOOKUP(A743,Portfolio!$G$3:$I$6,3)</f>
        <v>5</v>
      </c>
      <c r="E743">
        <f t="shared" si="11"/>
        <v>36171.9</v>
      </c>
    </row>
    <row r="744" spans="1:5" x14ac:dyDescent="0.25">
      <c r="A744" t="s">
        <v>0</v>
      </c>
      <c r="B744">
        <v>1211124</v>
      </c>
      <c r="C744">
        <v>7015.62</v>
      </c>
      <c r="D744" s="4">
        <f>+VLOOKUP(A744,Portfolio!$G$3:$I$6,3)</f>
        <v>5</v>
      </c>
      <c r="E744">
        <f t="shared" si="11"/>
        <v>35078.1</v>
      </c>
    </row>
    <row r="745" spans="1:5" x14ac:dyDescent="0.25">
      <c r="A745" t="s">
        <v>0</v>
      </c>
      <c r="B745">
        <v>1211125</v>
      </c>
      <c r="C745">
        <v>7312.5</v>
      </c>
      <c r="D745" s="4">
        <f>+VLOOKUP(A745,Portfolio!$G$3:$I$6,3)</f>
        <v>5</v>
      </c>
      <c r="E745">
        <f t="shared" si="11"/>
        <v>36562.5</v>
      </c>
    </row>
    <row r="746" spans="1:5" x14ac:dyDescent="0.25">
      <c r="A746" t="s">
        <v>0</v>
      </c>
      <c r="B746">
        <v>1211126</v>
      </c>
      <c r="C746">
        <v>8093.75</v>
      </c>
      <c r="D746" s="4">
        <f>+VLOOKUP(A746,Portfolio!$G$3:$I$6,3)</f>
        <v>5</v>
      </c>
      <c r="E746">
        <f t="shared" si="11"/>
        <v>40468.75</v>
      </c>
    </row>
    <row r="747" spans="1:5" x14ac:dyDescent="0.25">
      <c r="A747" t="s">
        <v>0</v>
      </c>
      <c r="B747">
        <v>1211128</v>
      </c>
      <c r="C747">
        <v>8281.25</v>
      </c>
      <c r="D747" s="4">
        <f>+VLOOKUP(A747,Portfolio!$G$3:$I$6,3)</f>
        <v>5</v>
      </c>
      <c r="E747">
        <f t="shared" si="11"/>
        <v>41406.25</v>
      </c>
    </row>
    <row r="748" spans="1:5" x14ac:dyDescent="0.25">
      <c r="A748" t="s">
        <v>0</v>
      </c>
      <c r="B748">
        <v>1211129</v>
      </c>
      <c r="C748">
        <v>8281.25</v>
      </c>
      <c r="D748" s="4">
        <f>+VLOOKUP(A748,Portfolio!$G$3:$I$6,3)</f>
        <v>5</v>
      </c>
      <c r="E748">
        <f t="shared" si="11"/>
        <v>41406.25</v>
      </c>
    </row>
    <row r="749" spans="1:5" x14ac:dyDescent="0.25">
      <c r="A749" t="s">
        <v>0</v>
      </c>
      <c r="B749">
        <v>1211130</v>
      </c>
      <c r="C749">
        <v>9078.1200000000008</v>
      </c>
      <c r="D749" s="4">
        <f>+VLOOKUP(A749,Portfolio!$G$3:$I$6,3)</f>
        <v>5</v>
      </c>
      <c r="E749">
        <f t="shared" si="11"/>
        <v>45390.600000000006</v>
      </c>
    </row>
    <row r="750" spans="1:5" x14ac:dyDescent="0.25">
      <c r="A750" t="s">
        <v>0</v>
      </c>
      <c r="B750">
        <v>1211201</v>
      </c>
      <c r="C750">
        <v>8265.6200000000008</v>
      </c>
      <c r="D750" s="4">
        <f>+VLOOKUP(A750,Portfolio!$G$3:$I$6,3)</f>
        <v>5</v>
      </c>
      <c r="E750">
        <f t="shared" si="11"/>
        <v>41328.100000000006</v>
      </c>
    </row>
    <row r="751" spans="1:5" x14ac:dyDescent="0.25">
      <c r="A751" t="s">
        <v>0</v>
      </c>
      <c r="B751">
        <v>1211202</v>
      </c>
      <c r="C751">
        <v>8265.6200000000008</v>
      </c>
      <c r="D751" s="4">
        <f>+VLOOKUP(A751,Portfolio!$G$3:$I$6,3)</f>
        <v>5</v>
      </c>
      <c r="E751">
        <f t="shared" si="11"/>
        <v>41328.100000000006</v>
      </c>
    </row>
    <row r="752" spans="1:5" x14ac:dyDescent="0.25">
      <c r="A752" t="s">
        <v>0</v>
      </c>
      <c r="B752">
        <v>1211203</v>
      </c>
      <c r="C752">
        <v>7953.12</v>
      </c>
      <c r="D752" s="4">
        <f>+VLOOKUP(A752,Portfolio!$G$3:$I$6,3)</f>
        <v>5</v>
      </c>
      <c r="E752">
        <f t="shared" si="11"/>
        <v>39765.599999999999</v>
      </c>
    </row>
    <row r="753" spans="1:5" x14ac:dyDescent="0.25">
      <c r="A753" t="s">
        <v>0</v>
      </c>
      <c r="B753">
        <v>1211205</v>
      </c>
      <c r="C753">
        <v>7125</v>
      </c>
      <c r="D753" s="4">
        <f>+VLOOKUP(A753,Portfolio!$G$3:$I$6,3)</f>
        <v>5</v>
      </c>
      <c r="E753">
        <f t="shared" si="11"/>
        <v>35625</v>
      </c>
    </row>
    <row r="754" spans="1:5" x14ac:dyDescent="0.25">
      <c r="A754" t="s">
        <v>0</v>
      </c>
      <c r="B754">
        <v>1211206</v>
      </c>
      <c r="C754">
        <v>7046.88</v>
      </c>
      <c r="D754" s="4">
        <f>+VLOOKUP(A754,Portfolio!$G$3:$I$6,3)</f>
        <v>5</v>
      </c>
      <c r="E754">
        <f t="shared" si="11"/>
        <v>35234.400000000001</v>
      </c>
    </row>
    <row r="755" spans="1:5" x14ac:dyDescent="0.25">
      <c r="A755" t="s">
        <v>0</v>
      </c>
      <c r="B755">
        <v>1211207</v>
      </c>
      <c r="C755">
        <v>6875</v>
      </c>
      <c r="D755" s="4">
        <f>+VLOOKUP(A755,Portfolio!$G$3:$I$6,3)</f>
        <v>5</v>
      </c>
      <c r="E755">
        <f t="shared" si="11"/>
        <v>34375</v>
      </c>
    </row>
    <row r="756" spans="1:5" x14ac:dyDescent="0.25">
      <c r="A756" t="s">
        <v>0</v>
      </c>
      <c r="B756">
        <v>1211208</v>
      </c>
      <c r="C756">
        <v>6968.75</v>
      </c>
      <c r="D756" s="4">
        <f>+VLOOKUP(A756,Portfolio!$G$3:$I$6,3)</f>
        <v>5</v>
      </c>
      <c r="E756">
        <f t="shared" si="11"/>
        <v>34843.75</v>
      </c>
    </row>
    <row r="757" spans="1:5" x14ac:dyDescent="0.25">
      <c r="A757" t="s">
        <v>0</v>
      </c>
      <c r="B757">
        <v>1211209</v>
      </c>
      <c r="C757">
        <v>7218.75</v>
      </c>
      <c r="D757" s="4">
        <f>+VLOOKUP(A757,Portfolio!$G$3:$I$6,3)</f>
        <v>5</v>
      </c>
      <c r="E757">
        <f t="shared" si="11"/>
        <v>36093.75</v>
      </c>
    </row>
    <row r="758" spans="1:5" x14ac:dyDescent="0.25">
      <c r="A758" t="s">
        <v>0</v>
      </c>
      <c r="B758">
        <v>1211210</v>
      </c>
      <c r="C758">
        <v>6968.75</v>
      </c>
      <c r="D758" s="4">
        <f>+VLOOKUP(A758,Portfolio!$G$3:$I$6,3)</f>
        <v>5</v>
      </c>
      <c r="E758">
        <f t="shared" si="11"/>
        <v>34843.75</v>
      </c>
    </row>
    <row r="759" spans="1:5" x14ac:dyDescent="0.25">
      <c r="A759" t="s">
        <v>0</v>
      </c>
      <c r="B759">
        <v>1211212</v>
      </c>
      <c r="C759">
        <v>7031.25</v>
      </c>
      <c r="D759" s="4">
        <f>+VLOOKUP(A759,Portfolio!$G$3:$I$6,3)</f>
        <v>5</v>
      </c>
      <c r="E759">
        <f t="shared" si="11"/>
        <v>35156.25</v>
      </c>
    </row>
    <row r="760" spans="1:5" x14ac:dyDescent="0.25">
      <c r="A760" t="s">
        <v>0</v>
      </c>
      <c r="B760">
        <v>1211213</v>
      </c>
      <c r="C760">
        <v>7015.62</v>
      </c>
      <c r="D760" s="4">
        <f>+VLOOKUP(A760,Portfolio!$G$3:$I$6,3)</f>
        <v>5</v>
      </c>
      <c r="E760">
        <f t="shared" si="11"/>
        <v>35078.1</v>
      </c>
    </row>
    <row r="761" spans="1:5" x14ac:dyDescent="0.25">
      <c r="A761" t="s">
        <v>0</v>
      </c>
      <c r="B761">
        <v>1211214</v>
      </c>
      <c r="C761">
        <v>7500</v>
      </c>
      <c r="D761" s="4">
        <f>+VLOOKUP(A761,Portfolio!$G$3:$I$6,3)</f>
        <v>5</v>
      </c>
      <c r="E761">
        <f t="shared" si="11"/>
        <v>37500</v>
      </c>
    </row>
    <row r="762" spans="1:5" x14ac:dyDescent="0.25">
      <c r="A762" t="s">
        <v>0</v>
      </c>
      <c r="B762">
        <v>1211215</v>
      </c>
      <c r="C762">
        <v>7328.12</v>
      </c>
      <c r="D762" s="4">
        <f>+VLOOKUP(A762,Portfolio!$G$3:$I$6,3)</f>
        <v>5</v>
      </c>
      <c r="E762">
        <f t="shared" si="11"/>
        <v>36640.6</v>
      </c>
    </row>
    <row r="763" spans="1:5" x14ac:dyDescent="0.25">
      <c r="A763" t="s">
        <v>0</v>
      </c>
      <c r="B763">
        <v>1211216</v>
      </c>
      <c r="C763">
        <v>7437.5</v>
      </c>
      <c r="D763" s="4">
        <f>+VLOOKUP(A763,Portfolio!$G$3:$I$6,3)</f>
        <v>5</v>
      </c>
      <c r="E763">
        <f t="shared" si="11"/>
        <v>37187.5</v>
      </c>
    </row>
    <row r="764" spans="1:5" x14ac:dyDescent="0.25">
      <c r="A764" t="s">
        <v>0</v>
      </c>
      <c r="B764">
        <v>1211217</v>
      </c>
      <c r="C764">
        <v>7343.75</v>
      </c>
      <c r="D764" s="4">
        <f>+VLOOKUP(A764,Portfolio!$G$3:$I$6,3)</f>
        <v>5</v>
      </c>
      <c r="E764">
        <f t="shared" si="11"/>
        <v>36718.75</v>
      </c>
    </row>
    <row r="765" spans="1:5" x14ac:dyDescent="0.25">
      <c r="A765" t="s">
        <v>0</v>
      </c>
      <c r="B765">
        <v>1211219</v>
      </c>
      <c r="C765">
        <v>7640.62</v>
      </c>
      <c r="D765" s="4">
        <f>+VLOOKUP(A765,Portfolio!$G$3:$I$6,3)</f>
        <v>5</v>
      </c>
      <c r="E765">
        <f t="shared" si="11"/>
        <v>38203.1</v>
      </c>
    </row>
    <row r="766" spans="1:5" x14ac:dyDescent="0.25">
      <c r="A766" t="s">
        <v>0</v>
      </c>
      <c r="B766">
        <v>1211220</v>
      </c>
      <c r="C766">
        <v>7750</v>
      </c>
      <c r="D766" s="4">
        <f>+VLOOKUP(A766,Portfolio!$G$3:$I$6,3)</f>
        <v>5</v>
      </c>
      <c r="E766">
        <f t="shared" si="11"/>
        <v>38750</v>
      </c>
    </row>
    <row r="767" spans="1:5" x14ac:dyDescent="0.25">
      <c r="A767" t="s">
        <v>0</v>
      </c>
      <c r="B767">
        <v>1211221</v>
      </c>
      <c r="C767">
        <v>7781.25</v>
      </c>
      <c r="D767" s="4">
        <f>+VLOOKUP(A767,Portfolio!$G$3:$I$6,3)</f>
        <v>5</v>
      </c>
      <c r="E767">
        <f t="shared" si="11"/>
        <v>38906.25</v>
      </c>
    </row>
    <row r="768" spans="1:5" x14ac:dyDescent="0.25">
      <c r="A768" t="s">
        <v>0</v>
      </c>
      <c r="B768">
        <v>1211222</v>
      </c>
      <c r="C768">
        <v>8078.12</v>
      </c>
      <c r="D768" s="4">
        <f>+VLOOKUP(A768,Portfolio!$G$3:$I$6,3)</f>
        <v>5</v>
      </c>
      <c r="E768">
        <f t="shared" si="11"/>
        <v>40390.6</v>
      </c>
    </row>
    <row r="769" spans="1:5" x14ac:dyDescent="0.25">
      <c r="A769" t="s">
        <v>0</v>
      </c>
      <c r="B769">
        <v>1211223</v>
      </c>
      <c r="C769">
        <v>8078.12</v>
      </c>
      <c r="D769" s="4">
        <f>+VLOOKUP(A769,Portfolio!$G$3:$I$6,3)</f>
        <v>5</v>
      </c>
      <c r="E769">
        <f t="shared" si="11"/>
        <v>40390.6</v>
      </c>
    </row>
    <row r="770" spans="1:5" x14ac:dyDescent="0.25">
      <c r="A770" t="s">
        <v>0</v>
      </c>
      <c r="B770">
        <v>1211226</v>
      </c>
      <c r="C770">
        <v>8250</v>
      </c>
      <c r="D770" s="4">
        <f>+VLOOKUP(A770,Portfolio!$G$3:$I$6,3)</f>
        <v>5</v>
      </c>
      <c r="E770">
        <f t="shared" si="11"/>
        <v>41250</v>
      </c>
    </row>
    <row r="771" spans="1:5" x14ac:dyDescent="0.25">
      <c r="A771" t="s">
        <v>0</v>
      </c>
      <c r="B771">
        <v>1211227</v>
      </c>
      <c r="C771">
        <v>8250</v>
      </c>
      <c r="D771" s="4">
        <f>+VLOOKUP(A771,Portfolio!$G$3:$I$6,3)</f>
        <v>5</v>
      </c>
      <c r="E771">
        <f t="shared" ref="E771:E834" si="12">+C771*D771</f>
        <v>41250</v>
      </c>
    </row>
    <row r="772" spans="1:5" x14ac:dyDescent="0.25">
      <c r="A772" t="s">
        <v>0</v>
      </c>
      <c r="B772">
        <v>1211228</v>
      </c>
      <c r="C772">
        <v>8218.75</v>
      </c>
      <c r="D772" s="4">
        <f>+VLOOKUP(A772,Portfolio!$G$3:$I$6,3)</f>
        <v>5</v>
      </c>
      <c r="E772">
        <f t="shared" si="12"/>
        <v>41093.75</v>
      </c>
    </row>
    <row r="773" spans="1:5" x14ac:dyDescent="0.25">
      <c r="A773" t="s">
        <v>0</v>
      </c>
      <c r="B773">
        <v>1211229</v>
      </c>
      <c r="C773">
        <v>8140.62</v>
      </c>
      <c r="D773" s="4">
        <f>+VLOOKUP(A773,Portfolio!$G$3:$I$6,3)</f>
        <v>5</v>
      </c>
      <c r="E773">
        <f t="shared" si="12"/>
        <v>40703.1</v>
      </c>
    </row>
    <row r="774" spans="1:5" x14ac:dyDescent="0.25">
      <c r="A774" t="s">
        <v>0</v>
      </c>
      <c r="B774">
        <v>1211230</v>
      </c>
      <c r="C774">
        <v>8265.6200000000008</v>
      </c>
      <c r="D774" s="4">
        <f>+VLOOKUP(A774,Portfolio!$G$3:$I$6,3)</f>
        <v>5</v>
      </c>
      <c r="E774">
        <f t="shared" si="12"/>
        <v>41328.100000000006</v>
      </c>
    </row>
    <row r="775" spans="1:5" x14ac:dyDescent="0.25">
      <c r="A775" t="s">
        <v>0</v>
      </c>
      <c r="B775">
        <v>1211231</v>
      </c>
      <c r="C775">
        <v>8140.62</v>
      </c>
      <c r="D775" s="4">
        <f>+VLOOKUP(A775,Portfolio!$G$3:$I$6,3)</f>
        <v>5</v>
      </c>
      <c r="E775">
        <f t="shared" si="12"/>
        <v>40703.1</v>
      </c>
    </row>
    <row r="776" spans="1:5" x14ac:dyDescent="0.25">
      <c r="A776" t="s">
        <v>0</v>
      </c>
      <c r="B776">
        <v>1220102</v>
      </c>
      <c r="C776">
        <v>7890.62</v>
      </c>
      <c r="D776" s="4">
        <f>+VLOOKUP(A776,Portfolio!$G$3:$I$6,3)</f>
        <v>5</v>
      </c>
      <c r="E776">
        <f t="shared" si="12"/>
        <v>39453.1</v>
      </c>
    </row>
    <row r="777" spans="1:5" x14ac:dyDescent="0.25">
      <c r="A777" t="s">
        <v>0</v>
      </c>
      <c r="B777">
        <v>1220103</v>
      </c>
      <c r="C777">
        <v>7796.88</v>
      </c>
      <c r="D777" s="4">
        <f>+VLOOKUP(A777,Portfolio!$G$3:$I$6,3)</f>
        <v>5</v>
      </c>
      <c r="E777">
        <f t="shared" si="12"/>
        <v>38984.400000000001</v>
      </c>
    </row>
    <row r="778" spans="1:5" x14ac:dyDescent="0.25">
      <c r="A778" t="s">
        <v>0</v>
      </c>
      <c r="B778">
        <v>1220104</v>
      </c>
      <c r="C778">
        <v>8218.75</v>
      </c>
      <c r="D778" s="4">
        <f>+VLOOKUP(A778,Portfolio!$G$3:$I$6,3)</f>
        <v>5</v>
      </c>
      <c r="E778">
        <f t="shared" si="12"/>
        <v>41093.75</v>
      </c>
    </row>
    <row r="779" spans="1:5" x14ac:dyDescent="0.25">
      <c r="A779" t="s">
        <v>0</v>
      </c>
      <c r="B779">
        <v>1220105</v>
      </c>
      <c r="C779">
        <v>8296.8799999999992</v>
      </c>
      <c r="D779" s="4">
        <f>+VLOOKUP(A779,Portfolio!$G$3:$I$6,3)</f>
        <v>5</v>
      </c>
      <c r="E779">
        <f t="shared" si="12"/>
        <v>41484.399999999994</v>
      </c>
    </row>
    <row r="780" spans="1:5" x14ac:dyDescent="0.25">
      <c r="A780" t="s">
        <v>0</v>
      </c>
      <c r="B780">
        <v>1220106</v>
      </c>
      <c r="C780">
        <v>9062.5</v>
      </c>
      <c r="D780" s="4">
        <f>+VLOOKUP(A780,Portfolio!$G$3:$I$6,3)</f>
        <v>5</v>
      </c>
      <c r="E780">
        <f t="shared" si="12"/>
        <v>45312.5</v>
      </c>
    </row>
    <row r="781" spans="1:5" x14ac:dyDescent="0.25">
      <c r="A781" t="s">
        <v>0</v>
      </c>
      <c r="B781">
        <v>1220107</v>
      </c>
      <c r="C781">
        <v>9093.75</v>
      </c>
      <c r="D781" s="4">
        <f>+VLOOKUP(A781,Portfolio!$G$3:$I$6,3)</f>
        <v>5</v>
      </c>
      <c r="E781">
        <f t="shared" si="12"/>
        <v>45468.75</v>
      </c>
    </row>
    <row r="782" spans="1:5" x14ac:dyDescent="0.25">
      <c r="A782" t="s">
        <v>0</v>
      </c>
      <c r="B782">
        <v>1220109</v>
      </c>
      <c r="C782">
        <v>9500</v>
      </c>
      <c r="D782" s="4">
        <f>+VLOOKUP(A782,Portfolio!$G$3:$I$6,3)</f>
        <v>5</v>
      </c>
      <c r="E782">
        <f t="shared" si="12"/>
        <v>47500</v>
      </c>
    </row>
    <row r="783" spans="1:5" x14ac:dyDescent="0.25">
      <c r="A783" t="s">
        <v>0</v>
      </c>
      <c r="B783">
        <v>1220110</v>
      </c>
      <c r="C783">
        <v>9656.25</v>
      </c>
      <c r="D783" s="4">
        <f>+VLOOKUP(A783,Portfolio!$G$3:$I$6,3)</f>
        <v>5</v>
      </c>
      <c r="E783">
        <f t="shared" si="12"/>
        <v>48281.25</v>
      </c>
    </row>
    <row r="784" spans="1:5" x14ac:dyDescent="0.25">
      <c r="A784" t="s">
        <v>0</v>
      </c>
      <c r="B784">
        <v>1220111</v>
      </c>
      <c r="C784">
        <v>8765.6200000000008</v>
      </c>
      <c r="D784" s="4">
        <f>+VLOOKUP(A784,Portfolio!$G$3:$I$6,3)</f>
        <v>5</v>
      </c>
      <c r="E784">
        <f t="shared" si="12"/>
        <v>43828.100000000006</v>
      </c>
    </row>
    <row r="785" spans="1:5" x14ac:dyDescent="0.25">
      <c r="A785" t="s">
        <v>0</v>
      </c>
      <c r="B785">
        <v>1220112</v>
      </c>
      <c r="C785">
        <v>8468.75</v>
      </c>
      <c r="D785" s="4">
        <f>+VLOOKUP(A785,Portfolio!$G$3:$I$6,3)</f>
        <v>5</v>
      </c>
      <c r="E785">
        <f t="shared" si="12"/>
        <v>42343.75</v>
      </c>
    </row>
    <row r="786" spans="1:5" x14ac:dyDescent="0.25">
      <c r="A786" t="s">
        <v>0</v>
      </c>
      <c r="B786">
        <v>1220113</v>
      </c>
      <c r="C786">
        <v>8375</v>
      </c>
      <c r="D786" s="4">
        <f>+VLOOKUP(A786,Portfolio!$G$3:$I$6,3)</f>
        <v>5</v>
      </c>
      <c r="E786">
        <f t="shared" si="12"/>
        <v>41875</v>
      </c>
    </row>
    <row r="787" spans="1:5" x14ac:dyDescent="0.25">
      <c r="A787" t="s">
        <v>0</v>
      </c>
      <c r="B787">
        <v>1220114</v>
      </c>
      <c r="C787">
        <v>8531.25</v>
      </c>
      <c r="D787" s="4">
        <f>+VLOOKUP(A787,Portfolio!$G$3:$I$6,3)</f>
        <v>5</v>
      </c>
      <c r="E787">
        <f t="shared" si="12"/>
        <v>42656.25</v>
      </c>
    </row>
    <row r="788" spans="1:5" x14ac:dyDescent="0.25">
      <c r="A788" t="s">
        <v>0</v>
      </c>
      <c r="B788">
        <v>1220116</v>
      </c>
      <c r="C788">
        <v>8859.3799999999992</v>
      </c>
      <c r="D788" s="4">
        <f>+VLOOKUP(A788,Portfolio!$G$3:$I$6,3)</f>
        <v>5</v>
      </c>
      <c r="E788">
        <f t="shared" si="12"/>
        <v>44296.899999999994</v>
      </c>
    </row>
    <row r="789" spans="1:5" x14ac:dyDescent="0.25">
      <c r="A789" t="s">
        <v>0</v>
      </c>
      <c r="B789">
        <v>1220117</v>
      </c>
      <c r="C789">
        <v>8906.25</v>
      </c>
      <c r="D789" s="4">
        <f>+VLOOKUP(A789,Portfolio!$G$3:$I$6,3)</f>
        <v>5</v>
      </c>
      <c r="E789">
        <f t="shared" si="12"/>
        <v>44531.25</v>
      </c>
    </row>
    <row r="790" spans="1:5" x14ac:dyDescent="0.25">
      <c r="A790" t="s">
        <v>0</v>
      </c>
      <c r="B790">
        <v>1220118</v>
      </c>
      <c r="C790">
        <v>9109.3799999999992</v>
      </c>
      <c r="D790" s="4">
        <f>+VLOOKUP(A790,Portfolio!$G$3:$I$6,3)</f>
        <v>5</v>
      </c>
      <c r="E790">
        <f t="shared" si="12"/>
        <v>45546.899999999994</v>
      </c>
    </row>
    <row r="791" spans="1:5" x14ac:dyDescent="0.25">
      <c r="A791" t="s">
        <v>0</v>
      </c>
      <c r="B791">
        <v>1220119</v>
      </c>
      <c r="C791">
        <v>9484.3799999999992</v>
      </c>
      <c r="D791" s="4">
        <f>+VLOOKUP(A791,Portfolio!$G$3:$I$6,3)</f>
        <v>5</v>
      </c>
      <c r="E791">
        <f t="shared" si="12"/>
        <v>47421.899999999994</v>
      </c>
    </row>
    <row r="792" spans="1:5" x14ac:dyDescent="0.25">
      <c r="A792" t="s">
        <v>0</v>
      </c>
      <c r="B792">
        <v>1220120</v>
      </c>
      <c r="C792">
        <v>9421.8799999999992</v>
      </c>
      <c r="D792" s="4">
        <f>+VLOOKUP(A792,Portfolio!$G$3:$I$6,3)</f>
        <v>5</v>
      </c>
      <c r="E792">
        <f t="shared" si="12"/>
        <v>47109.399999999994</v>
      </c>
    </row>
    <row r="793" spans="1:5" x14ac:dyDescent="0.25">
      <c r="A793" t="s">
        <v>0</v>
      </c>
      <c r="B793">
        <v>1220121</v>
      </c>
      <c r="C793">
        <v>10203.120000000001</v>
      </c>
      <c r="D793" s="4">
        <f>+VLOOKUP(A793,Portfolio!$G$3:$I$6,3)</f>
        <v>5</v>
      </c>
      <c r="E793">
        <f t="shared" si="12"/>
        <v>51015.600000000006</v>
      </c>
    </row>
    <row r="794" spans="1:5" x14ac:dyDescent="0.25">
      <c r="A794" t="s">
        <v>0</v>
      </c>
      <c r="B794">
        <v>1220123</v>
      </c>
      <c r="C794">
        <v>9515.6200000000008</v>
      </c>
      <c r="D794" s="4">
        <f>+VLOOKUP(A794,Portfolio!$G$3:$I$6,3)</f>
        <v>5</v>
      </c>
      <c r="E794">
        <f t="shared" si="12"/>
        <v>47578.100000000006</v>
      </c>
    </row>
    <row r="795" spans="1:5" x14ac:dyDescent="0.25">
      <c r="A795" t="s">
        <v>0</v>
      </c>
      <c r="B795">
        <v>1220124</v>
      </c>
      <c r="C795">
        <v>9484.3799999999992</v>
      </c>
      <c r="D795" s="4">
        <f>+VLOOKUP(A795,Portfolio!$G$3:$I$6,3)</f>
        <v>5</v>
      </c>
      <c r="E795">
        <f t="shared" si="12"/>
        <v>47421.899999999994</v>
      </c>
    </row>
    <row r="796" spans="1:5" x14ac:dyDescent="0.25">
      <c r="A796" t="s">
        <v>0</v>
      </c>
      <c r="B796">
        <v>1220125</v>
      </c>
      <c r="C796">
        <v>9625</v>
      </c>
      <c r="D796" s="4">
        <f>+VLOOKUP(A796,Portfolio!$G$3:$I$6,3)</f>
        <v>5</v>
      </c>
      <c r="E796">
        <f t="shared" si="12"/>
        <v>48125</v>
      </c>
    </row>
    <row r="797" spans="1:5" x14ac:dyDescent="0.25">
      <c r="A797" t="s">
        <v>0</v>
      </c>
      <c r="B797">
        <v>1220126</v>
      </c>
      <c r="C797">
        <v>9593.75</v>
      </c>
      <c r="D797" s="4">
        <f>+VLOOKUP(A797,Portfolio!$G$3:$I$6,3)</f>
        <v>5</v>
      </c>
      <c r="E797">
        <f t="shared" si="12"/>
        <v>47968.75</v>
      </c>
    </row>
    <row r="798" spans="1:5" x14ac:dyDescent="0.25">
      <c r="A798" t="s">
        <v>0</v>
      </c>
      <c r="B798">
        <v>1220127</v>
      </c>
      <c r="C798">
        <v>8406.25</v>
      </c>
      <c r="D798" s="4">
        <f>+VLOOKUP(A798,Portfolio!$G$3:$I$6,3)</f>
        <v>5</v>
      </c>
      <c r="E798">
        <f t="shared" si="12"/>
        <v>42031.25</v>
      </c>
    </row>
    <row r="799" spans="1:5" x14ac:dyDescent="0.25">
      <c r="A799" t="s">
        <v>0</v>
      </c>
      <c r="B799">
        <v>1220128</v>
      </c>
      <c r="C799">
        <v>8562.5</v>
      </c>
      <c r="D799" s="4">
        <f>+VLOOKUP(A799,Portfolio!$G$3:$I$6,3)</f>
        <v>5</v>
      </c>
      <c r="E799">
        <f t="shared" si="12"/>
        <v>42812.5</v>
      </c>
    </row>
    <row r="800" spans="1:5" x14ac:dyDescent="0.25">
      <c r="A800" t="s">
        <v>0</v>
      </c>
      <c r="B800">
        <v>1220130</v>
      </c>
      <c r="C800">
        <v>8234.3799999999992</v>
      </c>
      <c r="D800" s="4">
        <f>+VLOOKUP(A800,Portfolio!$G$3:$I$6,3)</f>
        <v>5</v>
      </c>
      <c r="E800">
        <f t="shared" si="12"/>
        <v>41171.899999999994</v>
      </c>
    </row>
    <row r="801" spans="1:5" x14ac:dyDescent="0.25">
      <c r="A801" t="s">
        <v>0</v>
      </c>
      <c r="B801">
        <v>1220131</v>
      </c>
      <c r="C801">
        <v>8234.3799999999992</v>
      </c>
      <c r="D801" s="4">
        <f>+VLOOKUP(A801,Portfolio!$G$3:$I$6,3)</f>
        <v>5</v>
      </c>
      <c r="E801">
        <f t="shared" si="12"/>
        <v>41171.899999999994</v>
      </c>
    </row>
    <row r="802" spans="1:5" x14ac:dyDescent="0.25">
      <c r="A802" t="s">
        <v>0</v>
      </c>
      <c r="B802">
        <v>1220201</v>
      </c>
      <c r="C802">
        <v>7875</v>
      </c>
      <c r="D802" s="4">
        <f>+VLOOKUP(A802,Portfolio!$G$3:$I$6,3)</f>
        <v>5</v>
      </c>
      <c r="E802">
        <f t="shared" si="12"/>
        <v>39375</v>
      </c>
    </row>
    <row r="803" spans="1:5" x14ac:dyDescent="0.25">
      <c r="A803" t="s">
        <v>0</v>
      </c>
      <c r="B803">
        <v>1220202</v>
      </c>
      <c r="C803">
        <v>7281.25</v>
      </c>
      <c r="D803" s="4">
        <f>+VLOOKUP(A803,Portfolio!$G$3:$I$6,3)</f>
        <v>5</v>
      </c>
      <c r="E803">
        <f t="shared" si="12"/>
        <v>36406.25</v>
      </c>
    </row>
    <row r="804" spans="1:5" x14ac:dyDescent="0.25">
      <c r="A804" t="s">
        <v>0</v>
      </c>
      <c r="B804">
        <v>1220203</v>
      </c>
      <c r="C804">
        <v>6734.38</v>
      </c>
      <c r="D804" s="4">
        <f>+VLOOKUP(A804,Portfolio!$G$3:$I$6,3)</f>
        <v>5</v>
      </c>
      <c r="E804">
        <f t="shared" si="12"/>
        <v>33671.9</v>
      </c>
    </row>
    <row r="805" spans="1:5" x14ac:dyDescent="0.25">
      <c r="A805" t="s">
        <v>0</v>
      </c>
      <c r="B805">
        <v>1220204</v>
      </c>
      <c r="C805">
        <v>7218.75</v>
      </c>
      <c r="D805" s="4">
        <f>+VLOOKUP(A805,Portfolio!$G$3:$I$6,3)</f>
        <v>5</v>
      </c>
      <c r="E805">
        <f t="shared" si="12"/>
        <v>36093.75</v>
      </c>
    </row>
    <row r="806" spans="1:5" x14ac:dyDescent="0.25">
      <c r="A806" t="s">
        <v>0</v>
      </c>
      <c r="B806">
        <v>1220206</v>
      </c>
      <c r="C806">
        <v>7250</v>
      </c>
      <c r="D806" s="4">
        <f>+VLOOKUP(A806,Portfolio!$G$3:$I$6,3)</f>
        <v>5</v>
      </c>
      <c r="E806">
        <f t="shared" si="12"/>
        <v>36250</v>
      </c>
    </row>
    <row r="807" spans="1:5" x14ac:dyDescent="0.25">
      <c r="A807" t="s">
        <v>0</v>
      </c>
      <c r="B807">
        <v>1220207</v>
      </c>
      <c r="C807">
        <v>7171.88</v>
      </c>
      <c r="D807" s="4">
        <f>+VLOOKUP(A807,Portfolio!$G$3:$I$6,3)</f>
        <v>5</v>
      </c>
      <c r="E807">
        <f t="shared" si="12"/>
        <v>35859.4</v>
      </c>
    </row>
    <row r="808" spans="1:5" x14ac:dyDescent="0.25">
      <c r="A808" t="s">
        <v>0</v>
      </c>
      <c r="B808">
        <v>1220208</v>
      </c>
      <c r="C808">
        <v>7531.25</v>
      </c>
      <c r="D808" s="4">
        <f>+VLOOKUP(A808,Portfolio!$G$3:$I$6,3)</f>
        <v>5</v>
      </c>
      <c r="E808">
        <f t="shared" si="12"/>
        <v>37656.25</v>
      </c>
    </row>
    <row r="809" spans="1:5" x14ac:dyDescent="0.25">
      <c r="A809" t="s">
        <v>0</v>
      </c>
      <c r="B809">
        <v>1220209</v>
      </c>
      <c r="C809">
        <v>7453.12</v>
      </c>
      <c r="D809" s="4">
        <f>+VLOOKUP(A809,Portfolio!$G$3:$I$6,3)</f>
        <v>5</v>
      </c>
      <c r="E809">
        <f t="shared" si="12"/>
        <v>37265.599999999999</v>
      </c>
    </row>
    <row r="810" spans="1:5" x14ac:dyDescent="0.25">
      <c r="A810" t="s">
        <v>0</v>
      </c>
      <c r="B810">
        <v>1220210</v>
      </c>
      <c r="C810">
        <v>7437.5</v>
      </c>
      <c r="D810" s="4">
        <f>+VLOOKUP(A810,Portfolio!$G$3:$I$6,3)</f>
        <v>5</v>
      </c>
      <c r="E810">
        <f t="shared" si="12"/>
        <v>37187.5</v>
      </c>
    </row>
    <row r="811" spans="1:5" x14ac:dyDescent="0.25">
      <c r="A811" t="s">
        <v>0</v>
      </c>
      <c r="B811">
        <v>1220211</v>
      </c>
      <c r="C811">
        <v>8078.12</v>
      </c>
      <c r="D811" s="4">
        <f>+VLOOKUP(A811,Portfolio!$G$3:$I$6,3)</f>
        <v>5</v>
      </c>
      <c r="E811">
        <f t="shared" si="12"/>
        <v>40390.6</v>
      </c>
    </row>
    <row r="812" spans="1:5" x14ac:dyDescent="0.25">
      <c r="A812" t="s">
        <v>0</v>
      </c>
      <c r="B812">
        <v>1220213</v>
      </c>
      <c r="C812">
        <v>6484.38</v>
      </c>
      <c r="D812" s="4">
        <f>+VLOOKUP(A812,Portfolio!$G$3:$I$6,3)</f>
        <v>5</v>
      </c>
      <c r="E812">
        <f t="shared" si="12"/>
        <v>32421.9</v>
      </c>
    </row>
    <row r="813" spans="1:5" x14ac:dyDescent="0.25">
      <c r="A813" t="s">
        <v>0</v>
      </c>
      <c r="B813">
        <v>1220214</v>
      </c>
      <c r="C813">
        <v>6406.25</v>
      </c>
      <c r="D813" s="4">
        <f>+VLOOKUP(A813,Portfolio!$G$3:$I$6,3)</f>
        <v>5</v>
      </c>
      <c r="E813">
        <f t="shared" si="12"/>
        <v>32031.25</v>
      </c>
    </row>
    <row r="814" spans="1:5" x14ac:dyDescent="0.25">
      <c r="A814" t="s">
        <v>0</v>
      </c>
      <c r="B814">
        <v>1220215</v>
      </c>
      <c r="C814">
        <v>6671.88</v>
      </c>
      <c r="D814" s="4">
        <f>+VLOOKUP(A814,Portfolio!$G$3:$I$6,3)</f>
        <v>5</v>
      </c>
      <c r="E814">
        <f t="shared" si="12"/>
        <v>33359.4</v>
      </c>
    </row>
    <row r="815" spans="1:5" x14ac:dyDescent="0.25">
      <c r="A815" t="s">
        <v>0</v>
      </c>
      <c r="B815">
        <v>1220216</v>
      </c>
      <c r="C815">
        <v>7015.62</v>
      </c>
      <c r="D815" s="4">
        <f>+VLOOKUP(A815,Portfolio!$G$3:$I$6,3)</f>
        <v>5</v>
      </c>
      <c r="E815">
        <f t="shared" si="12"/>
        <v>35078.1</v>
      </c>
    </row>
    <row r="816" spans="1:5" x14ac:dyDescent="0.25">
      <c r="A816" t="s">
        <v>0</v>
      </c>
      <c r="B816">
        <v>1220217</v>
      </c>
      <c r="C816">
        <v>7187.5</v>
      </c>
      <c r="D816" s="4">
        <f>+VLOOKUP(A816,Portfolio!$G$3:$I$6,3)</f>
        <v>5</v>
      </c>
      <c r="E816">
        <f t="shared" si="12"/>
        <v>35937.5</v>
      </c>
    </row>
    <row r="817" spans="1:5" x14ac:dyDescent="0.25">
      <c r="A817" t="s">
        <v>0</v>
      </c>
      <c r="B817">
        <v>1220218</v>
      </c>
      <c r="C817">
        <v>7296.88</v>
      </c>
      <c r="D817" s="4">
        <f>+VLOOKUP(A817,Portfolio!$G$3:$I$6,3)</f>
        <v>5</v>
      </c>
      <c r="E817">
        <f t="shared" si="12"/>
        <v>36484.400000000001</v>
      </c>
    </row>
    <row r="818" spans="1:5" x14ac:dyDescent="0.25">
      <c r="A818" t="s">
        <v>0</v>
      </c>
      <c r="B818">
        <v>1220220</v>
      </c>
      <c r="C818">
        <v>7765.62</v>
      </c>
      <c r="D818" s="4">
        <f>+VLOOKUP(A818,Portfolio!$G$3:$I$6,3)</f>
        <v>5</v>
      </c>
      <c r="E818">
        <f t="shared" si="12"/>
        <v>38828.1</v>
      </c>
    </row>
    <row r="819" spans="1:5" x14ac:dyDescent="0.25">
      <c r="A819" t="s">
        <v>0</v>
      </c>
      <c r="B819">
        <v>1220221</v>
      </c>
      <c r="C819">
        <v>7546.88</v>
      </c>
      <c r="D819" s="4">
        <f>+VLOOKUP(A819,Portfolio!$G$3:$I$6,3)</f>
        <v>5</v>
      </c>
      <c r="E819">
        <f t="shared" si="12"/>
        <v>37734.400000000001</v>
      </c>
    </row>
    <row r="820" spans="1:5" x14ac:dyDescent="0.25">
      <c r="A820" t="s">
        <v>0</v>
      </c>
      <c r="B820">
        <v>1220222</v>
      </c>
      <c r="C820">
        <v>8078.12</v>
      </c>
      <c r="D820" s="4">
        <f>+VLOOKUP(A820,Portfolio!$G$3:$I$6,3)</f>
        <v>5</v>
      </c>
      <c r="E820">
        <f t="shared" si="12"/>
        <v>40390.6</v>
      </c>
    </row>
    <row r="821" spans="1:5" x14ac:dyDescent="0.25">
      <c r="A821" t="s">
        <v>0</v>
      </c>
      <c r="B821">
        <v>1220223</v>
      </c>
      <c r="C821">
        <v>7218.75</v>
      </c>
      <c r="D821" s="4">
        <f>+VLOOKUP(A821,Portfolio!$G$3:$I$6,3)</f>
        <v>5</v>
      </c>
      <c r="E821">
        <f t="shared" si="12"/>
        <v>36093.75</v>
      </c>
    </row>
    <row r="822" spans="1:5" x14ac:dyDescent="0.25">
      <c r="A822" t="s">
        <v>0</v>
      </c>
      <c r="B822">
        <v>1220224</v>
      </c>
      <c r="C822">
        <v>6562.5</v>
      </c>
      <c r="D822" s="4">
        <f>+VLOOKUP(A822,Portfolio!$G$3:$I$6,3)</f>
        <v>5</v>
      </c>
      <c r="E822">
        <f t="shared" si="12"/>
        <v>32812.5</v>
      </c>
    </row>
    <row r="823" spans="1:5" x14ac:dyDescent="0.25">
      <c r="A823" t="s">
        <v>0</v>
      </c>
      <c r="B823">
        <v>1220225</v>
      </c>
      <c r="C823">
        <v>7296.88</v>
      </c>
      <c r="D823" s="4">
        <f>+VLOOKUP(A823,Portfolio!$G$3:$I$6,3)</f>
        <v>5</v>
      </c>
      <c r="E823">
        <f t="shared" si="12"/>
        <v>36484.400000000001</v>
      </c>
    </row>
    <row r="824" spans="1:5" x14ac:dyDescent="0.25">
      <c r="A824" t="s">
        <v>0</v>
      </c>
      <c r="B824">
        <v>1220227</v>
      </c>
      <c r="C824">
        <v>6718.75</v>
      </c>
      <c r="D824" s="4">
        <f>+VLOOKUP(A824,Portfolio!$G$3:$I$6,3)</f>
        <v>5</v>
      </c>
      <c r="E824">
        <f t="shared" si="12"/>
        <v>33593.75</v>
      </c>
    </row>
    <row r="825" spans="1:5" x14ac:dyDescent="0.25">
      <c r="A825" t="s">
        <v>0</v>
      </c>
      <c r="B825">
        <v>1220228</v>
      </c>
      <c r="C825">
        <v>6718.75</v>
      </c>
      <c r="D825" s="4">
        <f>+VLOOKUP(A825,Portfolio!$G$3:$I$6,3)</f>
        <v>5</v>
      </c>
      <c r="E825">
        <f t="shared" si="12"/>
        <v>33593.75</v>
      </c>
    </row>
    <row r="826" spans="1:5" x14ac:dyDescent="0.25">
      <c r="A826" t="s">
        <v>0</v>
      </c>
      <c r="B826">
        <v>1220301</v>
      </c>
      <c r="C826">
        <v>6828.12</v>
      </c>
      <c r="D826" s="4">
        <f>+VLOOKUP(A826,Portfolio!$G$3:$I$6,3)</f>
        <v>5</v>
      </c>
      <c r="E826">
        <f t="shared" si="12"/>
        <v>34140.6</v>
      </c>
    </row>
    <row r="827" spans="1:5" x14ac:dyDescent="0.25">
      <c r="A827" t="s">
        <v>0</v>
      </c>
      <c r="B827">
        <v>1220302</v>
      </c>
      <c r="C827">
        <v>8156.25</v>
      </c>
      <c r="D827" s="4">
        <f>+VLOOKUP(A827,Portfolio!$G$3:$I$6,3)</f>
        <v>5</v>
      </c>
      <c r="E827">
        <f t="shared" si="12"/>
        <v>40781.25</v>
      </c>
    </row>
    <row r="828" spans="1:5" x14ac:dyDescent="0.25">
      <c r="A828" t="s">
        <v>0</v>
      </c>
      <c r="B828">
        <v>1220303</v>
      </c>
      <c r="C828">
        <v>8421.8799999999992</v>
      </c>
      <c r="D828" s="4">
        <f>+VLOOKUP(A828,Portfolio!$G$3:$I$6,3)</f>
        <v>5</v>
      </c>
      <c r="E828">
        <f t="shared" si="12"/>
        <v>42109.399999999994</v>
      </c>
    </row>
    <row r="829" spans="1:5" x14ac:dyDescent="0.25">
      <c r="A829" t="s">
        <v>0</v>
      </c>
      <c r="B829">
        <v>1220304</v>
      </c>
      <c r="C829">
        <v>8609.3799999999992</v>
      </c>
      <c r="D829" s="4">
        <f>+VLOOKUP(A829,Portfolio!$G$3:$I$6,3)</f>
        <v>5</v>
      </c>
      <c r="E829">
        <f t="shared" si="12"/>
        <v>43046.899999999994</v>
      </c>
    </row>
    <row r="830" spans="1:5" x14ac:dyDescent="0.25">
      <c r="A830" t="s">
        <v>0</v>
      </c>
      <c r="B830">
        <v>1220306</v>
      </c>
      <c r="C830">
        <v>9593.75</v>
      </c>
      <c r="D830" s="4">
        <f>+VLOOKUP(A830,Portfolio!$G$3:$I$6,3)</f>
        <v>5</v>
      </c>
      <c r="E830">
        <f t="shared" si="12"/>
        <v>47968.75</v>
      </c>
    </row>
    <row r="831" spans="1:5" x14ac:dyDescent="0.25">
      <c r="A831" t="s">
        <v>0</v>
      </c>
      <c r="B831">
        <v>1220307</v>
      </c>
      <c r="C831">
        <v>9375</v>
      </c>
      <c r="D831" s="4">
        <f>+VLOOKUP(A831,Portfolio!$G$3:$I$6,3)</f>
        <v>5</v>
      </c>
      <c r="E831">
        <f t="shared" si="12"/>
        <v>46875</v>
      </c>
    </row>
    <row r="832" spans="1:5" x14ac:dyDescent="0.25">
      <c r="A832" t="s">
        <v>0</v>
      </c>
      <c r="B832">
        <v>1220308</v>
      </c>
      <c r="C832">
        <v>9500</v>
      </c>
      <c r="D832" s="4">
        <f>+VLOOKUP(A832,Portfolio!$G$3:$I$6,3)</f>
        <v>5</v>
      </c>
      <c r="E832">
        <f t="shared" si="12"/>
        <v>47500</v>
      </c>
    </row>
    <row r="833" spans="1:5" x14ac:dyDescent="0.25">
      <c r="A833" t="s">
        <v>0</v>
      </c>
      <c r="B833">
        <v>1220309</v>
      </c>
      <c r="C833">
        <v>10000</v>
      </c>
      <c r="D833" s="4">
        <f>+VLOOKUP(A833,Portfolio!$G$3:$I$6,3)</f>
        <v>5</v>
      </c>
      <c r="E833">
        <f t="shared" si="12"/>
        <v>50000</v>
      </c>
    </row>
    <row r="834" spans="1:5" x14ac:dyDescent="0.25">
      <c r="A834" t="s">
        <v>0</v>
      </c>
      <c r="B834">
        <v>1220310</v>
      </c>
      <c r="C834">
        <v>10718.75</v>
      </c>
      <c r="D834" s="4">
        <f>+VLOOKUP(A834,Portfolio!$G$3:$I$6,3)</f>
        <v>5</v>
      </c>
      <c r="E834">
        <f t="shared" si="12"/>
        <v>53593.75</v>
      </c>
    </row>
    <row r="835" spans="1:5" x14ac:dyDescent="0.25">
      <c r="A835" t="s">
        <v>0</v>
      </c>
      <c r="B835">
        <v>1220311</v>
      </c>
      <c r="C835">
        <v>11078.12</v>
      </c>
      <c r="D835" s="4">
        <f>+VLOOKUP(A835,Portfolio!$G$3:$I$6,3)</f>
        <v>5</v>
      </c>
      <c r="E835">
        <f t="shared" ref="E835:E898" si="13">+C835*D835</f>
        <v>55390.600000000006</v>
      </c>
    </row>
    <row r="836" spans="1:5" x14ac:dyDescent="0.25">
      <c r="A836" t="s">
        <v>0</v>
      </c>
      <c r="B836">
        <v>1220313</v>
      </c>
      <c r="C836">
        <v>11546.88</v>
      </c>
      <c r="D836" s="4">
        <f>+VLOOKUP(A836,Portfolio!$G$3:$I$6,3)</f>
        <v>5</v>
      </c>
      <c r="E836">
        <f t="shared" si="13"/>
        <v>57734.399999999994</v>
      </c>
    </row>
    <row r="837" spans="1:5" x14ac:dyDescent="0.25">
      <c r="A837" t="s">
        <v>0</v>
      </c>
      <c r="B837">
        <v>1220314</v>
      </c>
      <c r="C837">
        <v>11781.25</v>
      </c>
      <c r="D837" s="4">
        <f>+VLOOKUP(A837,Portfolio!$G$3:$I$6,3)</f>
        <v>5</v>
      </c>
      <c r="E837">
        <f t="shared" si="13"/>
        <v>58906.25</v>
      </c>
    </row>
    <row r="838" spans="1:5" x14ac:dyDescent="0.25">
      <c r="A838" t="s">
        <v>0</v>
      </c>
      <c r="B838">
        <v>1220315</v>
      </c>
      <c r="C838">
        <v>12250</v>
      </c>
      <c r="D838" s="4">
        <f>+VLOOKUP(A838,Portfolio!$G$3:$I$6,3)</f>
        <v>5</v>
      </c>
      <c r="E838">
        <f t="shared" si="13"/>
        <v>61250</v>
      </c>
    </row>
    <row r="839" spans="1:5" x14ac:dyDescent="0.25">
      <c r="A839" t="s">
        <v>0</v>
      </c>
      <c r="B839">
        <v>1220316</v>
      </c>
      <c r="C839">
        <v>11765.62</v>
      </c>
      <c r="D839" s="4">
        <f>+VLOOKUP(A839,Portfolio!$G$3:$I$6,3)</f>
        <v>5</v>
      </c>
      <c r="E839">
        <f t="shared" si="13"/>
        <v>58828.100000000006</v>
      </c>
    </row>
    <row r="840" spans="1:5" x14ac:dyDescent="0.25">
      <c r="A840" t="s">
        <v>0</v>
      </c>
      <c r="B840">
        <v>1220317</v>
      </c>
      <c r="C840">
        <v>11687.5</v>
      </c>
      <c r="D840" s="4">
        <f>+VLOOKUP(A840,Portfolio!$G$3:$I$6,3)</f>
        <v>5</v>
      </c>
      <c r="E840">
        <f t="shared" si="13"/>
        <v>58437.5</v>
      </c>
    </row>
    <row r="841" spans="1:5" x14ac:dyDescent="0.25">
      <c r="A841" t="s">
        <v>0</v>
      </c>
      <c r="B841">
        <v>1220318</v>
      </c>
      <c r="C841">
        <v>11484.38</v>
      </c>
      <c r="D841" s="4">
        <f>+VLOOKUP(A841,Portfolio!$G$3:$I$6,3)</f>
        <v>5</v>
      </c>
      <c r="E841">
        <f t="shared" si="13"/>
        <v>57421.899999999994</v>
      </c>
    </row>
    <row r="842" spans="1:5" x14ac:dyDescent="0.25">
      <c r="A842" t="s">
        <v>0</v>
      </c>
      <c r="B842">
        <v>1220320</v>
      </c>
      <c r="C842">
        <v>11203.12</v>
      </c>
      <c r="D842" s="4">
        <f>+VLOOKUP(A842,Portfolio!$G$3:$I$6,3)</f>
        <v>5</v>
      </c>
      <c r="E842">
        <f t="shared" si="13"/>
        <v>56015.600000000006</v>
      </c>
    </row>
    <row r="843" spans="1:5" x14ac:dyDescent="0.25">
      <c r="A843" t="s">
        <v>0</v>
      </c>
      <c r="B843">
        <v>1220321</v>
      </c>
      <c r="C843">
        <v>11312.5</v>
      </c>
      <c r="D843" s="4">
        <f>+VLOOKUP(A843,Portfolio!$G$3:$I$6,3)</f>
        <v>5</v>
      </c>
      <c r="E843">
        <f t="shared" si="13"/>
        <v>56562.5</v>
      </c>
    </row>
    <row r="844" spans="1:5" x14ac:dyDescent="0.25">
      <c r="A844" t="s">
        <v>0</v>
      </c>
      <c r="B844">
        <v>1220322</v>
      </c>
      <c r="C844">
        <v>12765.62</v>
      </c>
      <c r="D844" s="4">
        <f>+VLOOKUP(A844,Portfolio!$G$3:$I$6,3)</f>
        <v>5</v>
      </c>
      <c r="E844">
        <f t="shared" si="13"/>
        <v>63828.100000000006</v>
      </c>
    </row>
    <row r="845" spans="1:5" x14ac:dyDescent="0.25">
      <c r="A845" t="s">
        <v>0</v>
      </c>
      <c r="B845">
        <v>1220323</v>
      </c>
      <c r="C845">
        <v>13203.12</v>
      </c>
      <c r="D845" s="4">
        <f>+VLOOKUP(A845,Portfolio!$G$3:$I$6,3)</f>
        <v>5</v>
      </c>
      <c r="E845">
        <f t="shared" si="13"/>
        <v>66015.600000000006</v>
      </c>
    </row>
    <row r="846" spans="1:5" x14ac:dyDescent="0.25">
      <c r="A846" t="s">
        <v>0</v>
      </c>
      <c r="B846">
        <v>1220324</v>
      </c>
      <c r="C846">
        <v>12750</v>
      </c>
      <c r="D846" s="4">
        <f>+VLOOKUP(A846,Portfolio!$G$3:$I$6,3)</f>
        <v>5</v>
      </c>
      <c r="E846">
        <f t="shared" si="13"/>
        <v>63750</v>
      </c>
    </row>
    <row r="847" spans="1:5" x14ac:dyDescent="0.25">
      <c r="A847" t="s">
        <v>0</v>
      </c>
      <c r="B847">
        <v>1220325</v>
      </c>
      <c r="C847">
        <v>12562.5</v>
      </c>
      <c r="D847" s="4">
        <f>+VLOOKUP(A847,Portfolio!$G$3:$I$6,3)</f>
        <v>5</v>
      </c>
      <c r="E847">
        <f t="shared" si="13"/>
        <v>62812.5</v>
      </c>
    </row>
    <row r="848" spans="1:5" x14ac:dyDescent="0.25">
      <c r="A848" t="s">
        <v>0</v>
      </c>
      <c r="B848">
        <v>1220327</v>
      </c>
      <c r="C848">
        <v>13468.75</v>
      </c>
      <c r="D848" s="4">
        <f>+VLOOKUP(A848,Portfolio!$G$3:$I$6,3)</f>
        <v>5</v>
      </c>
      <c r="E848">
        <f t="shared" si="13"/>
        <v>67343.75</v>
      </c>
    </row>
    <row r="849" spans="1:5" x14ac:dyDescent="0.25">
      <c r="A849" t="s">
        <v>0</v>
      </c>
      <c r="B849">
        <v>1220328</v>
      </c>
      <c r="C849">
        <v>13859.38</v>
      </c>
      <c r="D849" s="4">
        <f>+VLOOKUP(A849,Portfolio!$G$3:$I$6,3)</f>
        <v>5</v>
      </c>
      <c r="E849">
        <f t="shared" si="13"/>
        <v>69296.899999999994</v>
      </c>
    </row>
    <row r="850" spans="1:5" x14ac:dyDescent="0.25">
      <c r="A850" t="s">
        <v>0</v>
      </c>
      <c r="B850">
        <v>1220329</v>
      </c>
      <c r="C850">
        <v>12828.12</v>
      </c>
      <c r="D850" s="4">
        <f>+VLOOKUP(A850,Portfolio!$G$3:$I$6,3)</f>
        <v>5</v>
      </c>
      <c r="E850">
        <f t="shared" si="13"/>
        <v>64140.600000000006</v>
      </c>
    </row>
    <row r="851" spans="1:5" x14ac:dyDescent="0.25">
      <c r="A851" t="s">
        <v>0</v>
      </c>
      <c r="B851">
        <v>1220330</v>
      </c>
      <c r="C851">
        <v>12531.25</v>
      </c>
      <c r="D851" s="4">
        <f>+VLOOKUP(A851,Portfolio!$G$3:$I$6,3)</f>
        <v>5</v>
      </c>
      <c r="E851">
        <f t="shared" si="13"/>
        <v>62656.25</v>
      </c>
    </row>
    <row r="852" spans="1:5" x14ac:dyDescent="0.25">
      <c r="A852" t="s">
        <v>0</v>
      </c>
      <c r="B852">
        <v>1220331</v>
      </c>
      <c r="C852">
        <v>11375</v>
      </c>
      <c r="D852" s="4">
        <f>+VLOOKUP(A852,Portfolio!$G$3:$I$6,3)</f>
        <v>5</v>
      </c>
      <c r="E852">
        <f t="shared" si="13"/>
        <v>56875</v>
      </c>
    </row>
    <row r="853" spans="1:5" x14ac:dyDescent="0.25">
      <c r="A853" t="s">
        <v>0</v>
      </c>
      <c r="B853">
        <v>1220401</v>
      </c>
      <c r="C853">
        <v>10250</v>
      </c>
      <c r="D853" s="4">
        <f>+VLOOKUP(A853,Portfolio!$G$3:$I$6,3)</f>
        <v>5</v>
      </c>
      <c r="E853">
        <f t="shared" si="13"/>
        <v>51250</v>
      </c>
    </row>
    <row r="854" spans="1:5" x14ac:dyDescent="0.25">
      <c r="A854" t="s">
        <v>0</v>
      </c>
      <c r="B854">
        <v>1220403</v>
      </c>
      <c r="C854">
        <v>9671.8799999999992</v>
      </c>
      <c r="D854" s="4">
        <f>+VLOOKUP(A854,Portfolio!$G$3:$I$6,3)</f>
        <v>5</v>
      </c>
      <c r="E854">
        <f t="shared" si="13"/>
        <v>48359.399999999994</v>
      </c>
    </row>
    <row r="855" spans="1:5" x14ac:dyDescent="0.25">
      <c r="A855" t="s">
        <v>0</v>
      </c>
      <c r="B855">
        <v>1220404</v>
      </c>
      <c r="C855">
        <v>9781.25</v>
      </c>
      <c r="D855" s="4">
        <f>+VLOOKUP(A855,Portfolio!$G$3:$I$6,3)</f>
        <v>5</v>
      </c>
      <c r="E855">
        <f t="shared" si="13"/>
        <v>48906.25</v>
      </c>
    </row>
    <row r="856" spans="1:5" x14ac:dyDescent="0.25">
      <c r="A856" t="s">
        <v>0</v>
      </c>
      <c r="B856">
        <v>1220405</v>
      </c>
      <c r="C856">
        <v>9125</v>
      </c>
      <c r="D856" s="4">
        <f>+VLOOKUP(A856,Portfolio!$G$3:$I$6,3)</f>
        <v>5</v>
      </c>
      <c r="E856">
        <f t="shared" si="13"/>
        <v>45625</v>
      </c>
    </row>
    <row r="857" spans="1:5" x14ac:dyDescent="0.25">
      <c r="A857" t="s">
        <v>0</v>
      </c>
      <c r="B857">
        <v>1220406</v>
      </c>
      <c r="C857">
        <v>9984.3799999999992</v>
      </c>
      <c r="D857" s="4">
        <f>+VLOOKUP(A857,Portfolio!$G$3:$I$6,3)</f>
        <v>5</v>
      </c>
      <c r="E857">
        <f t="shared" si="13"/>
        <v>49921.899999999994</v>
      </c>
    </row>
    <row r="858" spans="1:5" x14ac:dyDescent="0.25">
      <c r="A858" t="s">
        <v>0</v>
      </c>
      <c r="B858">
        <v>1220407</v>
      </c>
      <c r="C858">
        <v>9265.6200000000008</v>
      </c>
      <c r="D858" s="4">
        <f>+VLOOKUP(A858,Portfolio!$G$3:$I$6,3)</f>
        <v>5</v>
      </c>
      <c r="E858">
        <f t="shared" si="13"/>
        <v>46328.100000000006</v>
      </c>
    </row>
    <row r="859" spans="1:5" x14ac:dyDescent="0.25">
      <c r="A859" t="s">
        <v>0</v>
      </c>
      <c r="B859">
        <v>1220408</v>
      </c>
      <c r="C859">
        <v>9828.1200000000008</v>
      </c>
      <c r="D859" s="4">
        <f>+VLOOKUP(A859,Portfolio!$G$3:$I$6,3)</f>
        <v>5</v>
      </c>
      <c r="E859">
        <f t="shared" si="13"/>
        <v>49140.600000000006</v>
      </c>
    </row>
    <row r="860" spans="1:5" x14ac:dyDescent="0.25">
      <c r="A860" t="s">
        <v>0</v>
      </c>
      <c r="B860">
        <v>1220410</v>
      </c>
      <c r="C860">
        <v>10218.75</v>
      </c>
      <c r="D860" s="4">
        <f>+VLOOKUP(A860,Portfolio!$G$3:$I$6,3)</f>
        <v>5</v>
      </c>
      <c r="E860">
        <f t="shared" si="13"/>
        <v>51093.75</v>
      </c>
    </row>
    <row r="861" spans="1:5" x14ac:dyDescent="0.25">
      <c r="A861" t="s">
        <v>0</v>
      </c>
      <c r="B861">
        <v>1220411</v>
      </c>
      <c r="C861">
        <v>10625</v>
      </c>
      <c r="D861" s="4">
        <f>+VLOOKUP(A861,Portfolio!$G$3:$I$6,3)</f>
        <v>5</v>
      </c>
      <c r="E861">
        <f t="shared" si="13"/>
        <v>53125</v>
      </c>
    </row>
    <row r="862" spans="1:5" x14ac:dyDescent="0.25">
      <c r="A862" t="s">
        <v>0</v>
      </c>
      <c r="B862">
        <v>1220412</v>
      </c>
      <c r="C862">
        <v>10718.75</v>
      </c>
      <c r="D862" s="4">
        <f>+VLOOKUP(A862,Portfolio!$G$3:$I$6,3)</f>
        <v>5</v>
      </c>
      <c r="E862">
        <f t="shared" si="13"/>
        <v>53593.75</v>
      </c>
    </row>
    <row r="863" spans="1:5" x14ac:dyDescent="0.25">
      <c r="A863" t="s">
        <v>0</v>
      </c>
      <c r="B863">
        <v>1220413</v>
      </c>
      <c r="C863">
        <v>11156.25</v>
      </c>
      <c r="D863" s="4">
        <f>+VLOOKUP(A863,Portfolio!$G$3:$I$6,3)</f>
        <v>5</v>
      </c>
      <c r="E863">
        <f t="shared" si="13"/>
        <v>55781.25</v>
      </c>
    </row>
    <row r="864" spans="1:5" x14ac:dyDescent="0.25">
      <c r="A864" t="s">
        <v>0</v>
      </c>
      <c r="B864">
        <v>1220414</v>
      </c>
      <c r="C864">
        <v>11937.5</v>
      </c>
      <c r="D864" s="4">
        <f>+VLOOKUP(A864,Portfolio!$G$3:$I$6,3)</f>
        <v>5</v>
      </c>
      <c r="E864">
        <f t="shared" si="13"/>
        <v>59687.5</v>
      </c>
    </row>
    <row r="865" spans="1:5" x14ac:dyDescent="0.25">
      <c r="A865" t="s">
        <v>0</v>
      </c>
      <c r="B865">
        <v>1220417</v>
      </c>
      <c r="C865">
        <v>12312.5</v>
      </c>
      <c r="D865" s="4">
        <f>+VLOOKUP(A865,Portfolio!$G$3:$I$6,3)</f>
        <v>5</v>
      </c>
      <c r="E865">
        <f t="shared" si="13"/>
        <v>61562.5</v>
      </c>
    </row>
    <row r="866" spans="1:5" x14ac:dyDescent="0.25">
      <c r="A866" t="s">
        <v>0</v>
      </c>
      <c r="B866">
        <v>1220418</v>
      </c>
      <c r="C866">
        <v>12640.62</v>
      </c>
      <c r="D866" s="4">
        <f>+VLOOKUP(A866,Portfolio!$G$3:$I$6,3)</f>
        <v>5</v>
      </c>
      <c r="E866">
        <f t="shared" si="13"/>
        <v>63203.100000000006</v>
      </c>
    </row>
    <row r="867" spans="1:5" x14ac:dyDescent="0.25">
      <c r="A867" t="s">
        <v>0</v>
      </c>
      <c r="B867">
        <v>1220419</v>
      </c>
      <c r="C867">
        <v>12281.25</v>
      </c>
      <c r="D867" s="4">
        <f>+VLOOKUP(A867,Portfolio!$G$3:$I$6,3)</f>
        <v>5</v>
      </c>
      <c r="E867">
        <f t="shared" si="13"/>
        <v>61406.25</v>
      </c>
    </row>
    <row r="868" spans="1:5" x14ac:dyDescent="0.25">
      <c r="A868" t="s">
        <v>0</v>
      </c>
      <c r="B868">
        <v>1220420</v>
      </c>
      <c r="C868">
        <v>12140.62</v>
      </c>
      <c r="D868" s="4">
        <f>+VLOOKUP(A868,Portfolio!$G$3:$I$6,3)</f>
        <v>5</v>
      </c>
      <c r="E868">
        <f t="shared" si="13"/>
        <v>60703.100000000006</v>
      </c>
    </row>
    <row r="869" spans="1:5" x14ac:dyDescent="0.25">
      <c r="A869" t="s">
        <v>0</v>
      </c>
      <c r="B869">
        <v>1220421</v>
      </c>
      <c r="C869">
        <v>11843.75</v>
      </c>
      <c r="D869" s="4">
        <f>+VLOOKUP(A869,Portfolio!$G$3:$I$6,3)</f>
        <v>5</v>
      </c>
      <c r="E869">
        <f t="shared" si="13"/>
        <v>59218.75</v>
      </c>
    </row>
    <row r="870" spans="1:5" x14ac:dyDescent="0.25">
      <c r="A870" t="s">
        <v>0</v>
      </c>
      <c r="B870">
        <v>1220422</v>
      </c>
      <c r="C870">
        <v>12468.75</v>
      </c>
      <c r="D870" s="4">
        <f>+VLOOKUP(A870,Portfolio!$G$3:$I$6,3)</f>
        <v>5</v>
      </c>
      <c r="E870">
        <f t="shared" si="13"/>
        <v>62343.75</v>
      </c>
    </row>
    <row r="871" spans="1:5" x14ac:dyDescent="0.25">
      <c r="A871" t="s">
        <v>0</v>
      </c>
      <c r="B871">
        <v>1220424</v>
      </c>
      <c r="C871">
        <v>12406.25</v>
      </c>
      <c r="D871" s="4">
        <f>+VLOOKUP(A871,Portfolio!$G$3:$I$6,3)</f>
        <v>5</v>
      </c>
      <c r="E871">
        <f t="shared" si="13"/>
        <v>62031.25</v>
      </c>
    </row>
    <row r="872" spans="1:5" x14ac:dyDescent="0.25">
      <c r="A872" t="s">
        <v>0</v>
      </c>
      <c r="B872">
        <v>1220425</v>
      </c>
      <c r="C872">
        <v>12671.88</v>
      </c>
      <c r="D872" s="4">
        <f>+VLOOKUP(A872,Portfolio!$G$3:$I$6,3)</f>
        <v>5</v>
      </c>
      <c r="E872">
        <f t="shared" si="13"/>
        <v>63359.399999999994</v>
      </c>
    </row>
    <row r="873" spans="1:5" x14ac:dyDescent="0.25">
      <c r="A873" t="s">
        <v>0</v>
      </c>
      <c r="B873">
        <v>1220426</v>
      </c>
      <c r="C873">
        <v>12656.25</v>
      </c>
      <c r="D873" s="4">
        <f>+VLOOKUP(A873,Portfolio!$G$3:$I$6,3)</f>
        <v>5</v>
      </c>
      <c r="E873">
        <f t="shared" si="13"/>
        <v>63281.25</v>
      </c>
    </row>
    <row r="874" spans="1:5" x14ac:dyDescent="0.25">
      <c r="A874" t="s">
        <v>0</v>
      </c>
      <c r="B874">
        <v>1220427</v>
      </c>
      <c r="C874">
        <v>13437.5</v>
      </c>
      <c r="D874" s="4">
        <f>+VLOOKUP(A874,Portfolio!$G$3:$I$6,3)</f>
        <v>5</v>
      </c>
      <c r="E874">
        <f t="shared" si="13"/>
        <v>67187.5</v>
      </c>
    </row>
    <row r="875" spans="1:5" x14ac:dyDescent="0.25">
      <c r="A875" t="s">
        <v>0</v>
      </c>
      <c r="B875">
        <v>1220428</v>
      </c>
      <c r="C875">
        <v>13453.12</v>
      </c>
      <c r="D875" s="4">
        <f>+VLOOKUP(A875,Portfolio!$G$3:$I$6,3)</f>
        <v>5</v>
      </c>
      <c r="E875">
        <f t="shared" si="13"/>
        <v>67265.600000000006</v>
      </c>
    </row>
    <row r="876" spans="1:5" x14ac:dyDescent="0.25">
      <c r="A876" t="s">
        <v>0</v>
      </c>
      <c r="B876">
        <v>1220429</v>
      </c>
      <c r="C876">
        <v>13609.38</v>
      </c>
      <c r="D876" s="4">
        <f>+VLOOKUP(A876,Portfolio!$G$3:$I$6,3)</f>
        <v>5</v>
      </c>
      <c r="E876">
        <f t="shared" si="13"/>
        <v>68046.899999999994</v>
      </c>
    </row>
    <row r="877" spans="1:5" x14ac:dyDescent="0.25">
      <c r="A877" t="s">
        <v>0</v>
      </c>
      <c r="B877">
        <v>1220501</v>
      </c>
      <c r="C877">
        <v>14281.25</v>
      </c>
      <c r="D877" s="4">
        <f>+VLOOKUP(A877,Portfolio!$G$3:$I$6,3)</f>
        <v>5</v>
      </c>
      <c r="E877">
        <f t="shared" si="13"/>
        <v>71406.25</v>
      </c>
    </row>
    <row r="878" spans="1:5" x14ac:dyDescent="0.25">
      <c r="A878" t="s">
        <v>0</v>
      </c>
      <c r="B878">
        <v>1220502</v>
      </c>
      <c r="C878">
        <v>14375</v>
      </c>
      <c r="D878" s="4">
        <f>+VLOOKUP(A878,Portfolio!$G$3:$I$6,3)</f>
        <v>5</v>
      </c>
      <c r="E878">
        <f t="shared" si="13"/>
        <v>71875</v>
      </c>
    </row>
    <row r="879" spans="1:5" x14ac:dyDescent="0.25">
      <c r="A879" t="s">
        <v>0</v>
      </c>
      <c r="B879">
        <v>1220503</v>
      </c>
      <c r="C879">
        <v>14093.75</v>
      </c>
      <c r="D879" s="4">
        <f>+VLOOKUP(A879,Portfolio!$G$3:$I$6,3)</f>
        <v>5</v>
      </c>
      <c r="E879">
        <f t="shared" si="13"/>
        <v>70468.75</v>
      </c>
    </row>
    <row r="880" spans="1:5" x14ac:dyDescent="0.25">
      <c r="A880" t="s">
        <v>0</v>
      </c>
      <c r="B880">
        <v>1220504</v>
      </c>
      <c r="C880">
        <v>13734.38</v>
      </c>
      <c r="D880" s="4">
        <f>+VLOOKUP(A880,Portfolio!$G$3:$I$6,3)</f>
        <v>5</v>
      </c>
      <c r="E880">
        <f t="shared" si="13"/>
        <v>68671.899999999994</v>
      </c>
    </row>
    <row r="881" spans="1:5" x14ac:dyDescent="0.25">
      <c r="A881" t="s">
        <v>0</v>
      </c>
      <c r="B881">
        <v>1220505</v>
      </c>
      <c r="C881">
        <v>12796.88</v>
      </c>
      <c r="D881" s="4">
        <f>+VLOOKUP(A881,Portfolio!$G$3:$I$6,3)</f>
        <v>5</v>
      </c>
      <c r="E881">
        <f t="shared" si="13"/>
        <v>63984.399999999994</v>
      </c>
    </row>
    <row r="882" spans="1:5" x14ac:dyDescent="0.25">
      <c r="A882" t="s">
        <v>0</v>
      </c>
      <c r="B882">
        <v>1220506</v>
      </c>
      <c r="C882">
        <v>13625</v>
      </c>
      <c r="D882" s="4">
        <f>+VLOOKUP(A882,Portfolio!$G$3:$I$6,3)</f>
        <v>5</v>
      </c>
      <c r="E882">
        <f t="shared" si="13"/>
        <v>68125</v>
      </c>
    </row>
    <row r="883" spans="1:5" x14ac:dyDescent="0.25">
      <c r="A883" t="s">
        <v>0</v>
      </c>
      <c r="B883">
        <v>1220508</v>
      </c>
      <c r="C883">
        <v>13281.25</v>
      </c>
      <c r="D883" s="4">
        <f>+VLOOKUP(A883,Portfolio!$G$3:$I$6,3)</f>
        <v>5</v>
      </c>
      <c r="E883">
        <f t="shared" si="13"/>
        <v>66406.25</v>
      </c>
    </row>
    <row r="884" spans="1:5" x14ac:dyDescent="0.25">
      <c r="A884" t="s">
        <v>0</v>
      </c>
      <c r="B884">
        <v>1220509</v>
      </c>
      <c r="C884">
        <v>13187.5</v>
      </c>
      <c r="D884" s="4">
        <f>+VLOOKUP(A884,Portfolio!$G$3:$I$6,3)</f>
        <v>5</v>
      </c>
      <c r="E884">
        <f t="shared" si="13"/>
        <v>65937.5</v>
      </c>
    </row>
    <row r="885" spans="1:5" x14ac:dyDescent="0.25">
      <c r="A885" t="s">
        <v>0</v>
      </c>
      <c r="B885">
        <v>1220510</v>
      </c>
      <c r="C885">
        <v>13640.62</v>
      </c>
      <c r="D885" s="4">
        <f>+VLOOKUP(A885,Portfolio!$G$3:$I$6,3)</f>
        <v>5</v>
      </c>
      <c r="E885">
        <f t="shared" si="13"/>
        <v>68203.100000000006</v>
      </c>
    </row>
    <row r="886" spans="1:5" x14ac:dyDescent="0.25">
      <c r="A886" t="s">
        <v>0</v>
      </c>
      <c r="B886">
        <v>1220511</v>
      </c>
      <c r="C886">
        <v>14015.62</v>
      </c>
      <c r="D886" s="4">
        <f>+VLOOKUP(A886,Portfolio!$G$3:$I$6,3)</f>
        <v>5</v>
      </c>
      <c r="E886">
        <f t="shared" si="13"/>
        <v>70078.100000000006</v>
      </c>
    </row>
    <row r="887" spans="1:5" x14ac:dyDescent="0.25">
      <c r="A887" t="s">
        <v>0</v>
      </c>
      <c r="B887">
        <v>1220512</v>
      </c>
      <c r="C887">
        <v>13359.38</v>
      </c>
      <c r="D887" s="4">
        <f>+VLOOKUP(A887,Portfolio!$G$3:$I$6,3)</f>
        <v>5</v>
      </c>
      <c r="E887">
        <f t="shared" si="13"/>
        <v>66796.899999999994</v>
      </c>
    </row>
    <row r="888" spans="1:5" x14ac:dyDescent="0.25">
      <c r="A888" t="s">
        <v>0</v>
      </c>
      <c r="B888">
        <v>1220513</v>
      </c>
      <c r="C888">
        <v>13250</v>
      </c>
      <c r="D888" s="4">
        <f>+VLOOKUP(A888,Portfolio!$G$3:$I$6,3)</f>
        <v>5</v>
      </c>
      <c r="E888">
        <f t="shared" si="13"/>
        <v>66250</v>
      </c>
    </row>
    <row r="889" spans="1:5" x14ac:dyDescent="0.25">
      <c r="A889" t="s">
        <v>0</v>
      </c>
      <c r="B889">
        <v>1220515</v>
      </c>
      <c r="C889">
        <v>13562.5</v>
      </c>
      <c r="D889" s="4">
        <f>+VLOOKUP(A889,Portfolio!$G$3:$I$6,3)</f>
        <v>5</v>
      </c>
      <c r="E889">
        <f t="shared" si="13"/>
        <v>67812.5</v>
      </c>
    </row>
    <row r="890" spans="1:5" x14ac:dyDescent="0.25">
      <c r="A890" t="s">
        <v>0</v>
      </c>
      <c r="B890">
        <v>1220516</v>
      </c>
      <c r="C890">
        <v>13296.88</v>
      </c>
      <c r="D890" s="4">
        <f>+VLOOKUP(A890,Portfolio!$G$3:$I$6,3)</f>
        <v>5</v>
      </c>
      <c r="E890">
        <f t="shared" si="13"/>
        <v>66484.399999999994</v>
      </c>
    </row>
    <row r="891" spans="1:5" x14ac:dyDescent="0.25">
      <c r="A891" t="s">
        <v>0</v>
      </c>
      <c r="B891">
        <v>1220517</v>
      </c>
      <c r="C891">
        <v>12937.5</v>
      </c>
      <c r="D891" s="4">
        <f>+VLOOKUP(A891,Portfolio!$G$3:$I$6,3)</f>
        <v>5</v>
      </c>
      <c r="E891">
        <f t="shared" si="13"/>
        <v>64687.5</v>
      </c>
    </row>
    <row r="892" spans="1:5" x14ac:dyDescent="0.25">
      <c r="A892" t="s">
        <v>0</v>
      </c>
      <c r="B892">
        <v>1220518</v>
      </c>
      <c r="C892">
        <v>13234.38</v>
      </c>
      <c r="D892" s="4">
        <f>+VLOOKUP(A892,Portfolio!$G$3:$I$6,3)</f>
        <v>5</v>
      </c>
      <c r="E892">
        <f t="shared" si="13"/>
        <v>66171.899999999994</v>
      </c>
    </row>
    <row r="893" spans="1:5" x14ac:dyDescent="0.25">
      <c r="A893" t="s">
        <v>0</v>
      </c>
      <c r="B893">
        <v>1220519</v>
      </c>
      <c r="C893">
        <v>13406.25</v>
      </c>
      <c r="D893" s="4">
        <f>+VLOOKUP(A893,Portfolio!$G$3:$I$6,3)</f>
        <v>5</v>
      </c>
      <c r="E893">
        <f t="shared" si="13"/>
        <v>67031.25</v>
      </c>
    </row>
    <row r="894" spans="1:5" x14ac:dyDescent="0.25">
      <c r="A894" t="s">
        <v>0</v>
      </c>
      <c r="B894">
        <v>1220520</v>
      </c>
      <c r="C894">
        <v>13906.25</v>
      </c>
      <c r="D894" s="4">
        <f>+VLOOKUP(A894,Portfolio!$G$3:$I$6,3)</f>
        <v>5</v>
      </c>
      <c r="E894">
        <f t="shared" si="13"/>
        <v>69531.25</v>
      </c>
    </row>
    <row r="895" spans="1:5" x14ac:dyDescent="0.25">
      <c r="A895" t="s">
        <v>0</v>
      </c>
      <c r="B895">
        <v>1220522</v>
      </c>
      <c r="C895">
        <v>13531.25</v>
      </c>
      <c r="D895" s="4">
        <f>+VLOOKUP(A895,Portfolio!$G$3:$I$6,3)</f>
        <v>5</v>
      </c>
      <c r="E895">
        <f t="shared" si="13"/>
        <v>67656.25</v>
      </c>
    </row>
    <row r="896" spans="1:5" x14ac:dyDescent="0.25">
      <c r="A896" t="s">
        <v>0</v>
      </c>
      <c r="B896">
        <v>1220523</v>
      </c>
      <c r="C896">
        <v>13328.12</v>
      </c>
      <c r="D896" s="4">
        <f>+VLOOKUP(A896,Portfolio!$G$3:$I$6,3)</f>
        <v>5</v>
      </c>
      <c r="E896">
        <f t="shared" si="13"/>
        <v>66640.600000000006</v>
      </c>
    </row>
    <row r="897" spans="1:5" x14ac:dyDescent="0.25">
      <c r="A897" t="s">
        <v>0</v>
      </c>
      <c r="B897">
        <v>1220524</v>
      </c>
      <c r="C897">
        <v>13078.12</v>
      </c>
      <c r="D897" s="4">
        <f>+VLOOKUP(A897,Portfolio!$G$3:$I$6,3)</f>
        <v>5</v>
      </c>
      <c r="E897">
        <f t="shared" si="13"/>
        <v>65390.600000000006</v>
      </c>
    </row>
    <row r="898" spans="1:5" x14ac:dyDescent="0.25">
      <c r="A898" t="s">
        <v>0</v>
      </c>
      <c r="B898">
        <v>1220525</v>
      </c>
      <c r="C898">
        <v>13000</v>
      </c>
      <c r="D898" s="4">
        <f>+VLOOKUP(A898,Portfolio!$G$3:$I$6,3)</f>
        <v>5</v>
      </c>
      <c r="E898">
        <f t="shared" si="13"/>
        <v>65000</v>
      </c>
    </row>
    <row r="899" spans="1:5" x14ac:dyDescent="0.25">
      <c r="A899" t="s">
        <v>0</v>
      </c>
      <c r="B899">
        <v>1220526</v>
      </c>
      <c r="C899">
        <v>13265.62</v>
      </c>
      <c r="D899" s="4">
        <f>+VLOOKUP(A899,Portfolio!$G$3:$I$6,3)</f>
        <v>5</v>
      </c>
      <c r="E899">
        <f t="shared" ref="E899:E962" si="14">+C899*D899</f>
        <v>66328.100000000006</v>
      </c>
    </row>
    <row r="900" spans="1:5" x14ac:dyDescent="0.25">
      <c r="A900" t="s">
        <v>0</v>
      </c>
      <c r="B900">
        <v>1220527</v>
      </c>
      <c r="C900">
        <v>12750</v>
      </c>
      <c r="D900" s="4">
        <f>+VLOOKUP(A900,Portfolio!$G$3:$I$6,3)</f>
        <v>5</v>
      </c>
      <c r="E900">
        <f t="shared" si="14"/>
        <v>63750</v>
      </c>
    </row>
    <row r="901" spans="1:5" x14ac:dyDescent="0.25">
      <c r="A901" t="s">
        <v>0</v>
      </c>
      <c r="B901">
        <v>1220529</v>
      </c>
      <c r="C901">
        <v>12453.12</v>
      </c>
      <c r="D901" s="4">
        <f>+VLOOKUP(A901,Portfolio!$G$3:$I$6,3)</f>
        <v>5</v>
      </c>
      <c r="E901">
        <f t="shared" si="14"/>
        <v>62265.600000000006</v>
      </c>
    </row>
    <row r="902" spans="1:5" x14ac:dyDescent="0.25">
      <c r="A902" t="s">
        <v>0</v>
      </c>
      <c r="B902">
        <v>1220530</v>
      </c>
      <c r="C902">
        <v>12343.75</v>
      </c>
      <c r="D902" s="4">
        <f>+VLOOKUP(A902,Portfolio!$G$3:$I$6,3)</f>
        <v>5</v>
      </c>
      <c r="E902">
        <f t="shared" si="14"/>
        <v>61718.75</v>
      </c>
    </row>
    <row r="903" spans="1:5" x14ac:dyDescent="0.25">
      <c r="A903" t="s">
        <v>0</v>
      </c>
      <c r="B903">
        <v>1220531</v>
      </c>
      <c r="C903">
        <v>12062.5</v>
      </c>
      <c r="D903" s="4">
        <f>+VLOOKUP(A903,Portfolio!$G$3:$I$6,3)</f>
        <v>5</v>
      </c>
      <c r="E903">
        <f t="shared" si="14"/>
        <v>60312.5</v>
      </c>
    </row>
    <row r="904" spans="1:5" x14ac:dyDescent="0.25">
      <c r="A904" t="s">
        <v>0</v>
      </c>
      <c r="B904">
        <v>1220601</v>
      </c>
      <c r="C904">
        <v>12203.12</v>
      </c>
      <c r="D904" s="4">
        <f>+VLOOKUP(A904,Portfolio!$G$3:$I$6,3)</f>
        <v>5</v>
      </c>
      <c r="E904">
        <f t="shared" si="14"/>
        <v>61015.600000000006</v>
      </c>
    </row>
    <row r="905" spans="1:5" x14ac:dyDescent="0.25">
      <c r="A905" t="s">
        <v>0</v>
      </c>
      <c r="B905">
        <v>1220602</v>
      </c>
      <c r="C905">
        <v>12203.12</v>
      </c>
      <c r="D905" s="4">
        <f>+VLOOKUP(A905,Portfolio!$G$3:$I$6,3)</f>
        <v>5</v>
      </c>
      <c r="E905">
        <f t="shared" si="14"/>
        <v>61015.600000000006</v>
      </c>
    </row>
    <row r="906" spans="1:5" x14ac:dyDescent="0.25">
      <c r="A906" t="s">
        <v>0</v>
      </c>
      <c r="B906">
        <v>1220603</v>
      </c>
      <c r="C906">
        <v>12031.25</v>
      </c>
      <c r="D906" s="4">
        <f>+VLOOKUP(A906,Portfolio!$G$3:$I$6,3)</f>
        <v>5</v>
      </c>
      <c r="E906">
        <f t="shared" si="14"/>
        <v>60156.25</v>
      </c>
    </row>
    <row r="907" spans="1:5" x14ac:dyDescent="0.25">
      <c r="A907" t="s">
        <v>0</v>
      </c>
      <c r="B907">
        <v>1220605</v>
      </c>
      <c r="C907">
        <v>12046.88</v>
      </c>
      <c r="D907" s="4">
        <f>+VLOOKUP(A907,Portfolio!$G$3:$I$6,3)</f>
        <v>5</v>
      </c>
      <c r="E907">
        <f t="shared" si="14"/>
        <v>60234.399999999994</v>
      </c>
    </row>
    <row r="908" spans="1:5" x14ac:dyDescent="0.25">
      <c r="A908" t="s">
        <v>0</v>
      </c>
      <c r="B908">
        <v>1220606</v>
      </c>
      <c r="C908">
        <v>12062.5</v>
      </c>
      <c r="D908" s="4">
        <f>+VLOOKUP(A908,Portfolio!$G$3:$I$6,3)</f>
        <v>5</v>
      </c>
      <c r="E908">
        <f t="shared" si="14"/>
        <v>60312.5</v>
      </c>
    </row>
    <row r="909" spans="1:5" x14ac:dyDescent="0.25">
      <c r="A909" t="s">
        <v>0</v>
      </c>
      <c r="B909">
        <v>1220607</v>
      </c>
      <c r="C909">
        <v>12906.25</v>
      </c>
      <c r="D909" s="4">
        <f>+VLOOKUP(A909,Portfolio!$G$3:$I$6,3)</f>
        <v>5</v>
      </c>
      <c r="E909">
        <f t="shared" si="14"/>
        <v>64531.25</v>
      </c>
    </row>
    <row r="910" spans="1:5" x14ac:dyDescent="0.25">
      <c r="A910" t="s">
        <v>0</v>
      </c>
      <c r="B910">
        <v>1220608</v>
      </c>
      <c r="C910">
        <v>12562.5</v>
      </c>
      <c r="D910" s="4">
        <f>+VLOOKUP(A910,Portfolio!$G$3:$I$6,3)</f>
        <v>5</v>
      </c>
      <c r="E910">
        <f t="shared" si="14"/>
        <v>62812.5</v>
      </c>
    </row>
    <row r="911" spans="1:5" x14ac:dyDescent="0.25">
      <c r="A911" t="s">
        <v>0</v>
      </c>
      <c r="B911">
        <v>1220609</v>
      </c>
      <c r="C911">
        <v>12531.25</v>
      </c>
      <c r="D911" s="4">
        <f>+VLOOKUP(A911,Portfolio!$G$3:$I$6,3)</f>
        <v>5</v>
      </c>
      <c r="E911">
        <f t="shared" si="14"/>
        <v>62656.25</v>
      </c>
    </row>
    <row r="912" spans="1:5" x14ac:dyDescent="0.25">
      <c r="A912" t="s">
        <v>0</v>
      </c>
      <c r="B912">
        <v>1220610</v>
      </c>
      <c r="C912">
        <v>12703.12</v>
      </c>
      <c r="D912" s="4">
        <f>+VLOOKUP(A912,Portfolio!$G$3:$I$6,3)</f>
        <v>5</v>
      </c>
      <c r="E912">
        <f t="shared" si="14"/>
        <v>63515.600000000006</v>
      </c>
    </row>
    <row r="913" spans="1:5" x14ac:dyDescent="0.25">
      <c r="A913" t="s">
        <v>0</v>
      </c>
      <c r="B913">
        <v>1220612</v>
      </c>
      <c r="C913">
        <v>13203.12</v>
      </c>
      <c r="D913" s="4">
        <f>+VLOOKUP(A913,Portfolio!$G$3:$I$6,3)</f>
        <v>5</v>
      </c>
      <c r="E913">
        <f t="shared" si="14"/>
        <v>66015.600000000006</v>
      </c>
    </row>
    <row r="914" spans="1:5" x14ac:dyDescent="0.25">
      <c r="A914" t="s">
        <v>0</v>
      </c>
      <c r="B914">
        <v>1220613</v>
      </c>
      <c r="C914">
        <v>13468.75</v>
      </c>
      <c r="D914" s="4">
        <f>+VLOOKUP(A914,Portfolio!$G$3:$I$6,3)</f>
        <v>5</v>
      </c>
      <c r="E914">
        <f t="shared" si="14"/>
        <v>67343.75</v>
      </c>
    </row>
    <row r="915" spans="1:5" x14ac:dyDescent="0.25">
      <c r="A915" t="s">
        <v>0</v>
      </c>
      <c r="B915">
        <v>1220614</v>
      </c>
      <c r="C915">
        <v>14671.88</v>
      </c>
      <c r="D915" s="4">
        <f>+VLOOKUP(A915,Portfolio!$G$3:$I$6,3)</f>
        <v>5</v>
      </c>
      <c r="E915">
        <f t="shared" si="14"/>
        <v>73359.399999999994</v>
      </c>
    </row>
    <row r="916" spans="1:5" x14ac:dyDescent="0.25">
      <c r="A916" t="s">
        <v>0</v>
      </c>
      <c r="B916">
        <v>1220615</v>
      </c>
      <c r="C916">
        <v>15187.5</v>
      </c>
      <c r="D916" s="4">
        <f>+VLOOKUP(A916,Portfolio!$G$3:$I$6,3)</f>
        <v>5</v>
      </c>
      <c r="E916">
        <f t="shared" si="14"/>
        <v>75937.5</v>
      </c>
    </row>
    <row r="917" spans="1:5" x14ac:dyDescent="0.25">
      <c r="A917" t="s">
        <v>0</v>
      </c>
      <c r="B917">
        <v>1220616</v>
      </c>
      <c r="C917">
        <v>14921.88</v>
      </c>
      <c r="D917" s="4">
        <f>+VLOOKUP(A917,Portfolio!$G$3:$I$6,3)</f>
        <v>5</v>
      </c>
      <c r="E917">
        <f t="shared" si="14"/>
        <v>74609.399999999994</v>
      </c>
    </row>
    <row r="918" spans="1:5" x14ac:dyDescent="0.25">
      <c r="A918" t="s">
        <v>0</v>
      </c>
      <c r="B918">
        <v>1220617</v>
      </c>
      <c r="C918">
        <v>12093.75</v>
      </c>
      <c r="D918" s="4">
        <f>+VLOOKUP(A918,Portfolio!$G$3:$I$6,3)</f>
        <v>5</v>
      </c>
      <c r="E918">
        <f t="shared" si="14"/>
        <v>60468.75</v>
      </c>
    </row>
    <row r="919" spans="1:5" x14ac:dyDescent="0.25">
      <c r="A919" t="s">
        <v>0</v>
      </c>
      <c r="B919">
        <v>1220619</v>
      </c>
      <c r="C919">
        <v>10921.88</v>
      </c>
      <c r="D919" s="4">
        <f>+VLOOKUP(A919,Portfolio!$G$3:$I$6,3)</f>
        <v>5</v>
      </c>
      <c r="E919">
        <f t="shared" si="14"/>
        <v>54609.399999999994</v>
      </c>
    </row>
    <row r="920" spans="1:5" x14ac:dyDescent="0.25">
      <c r="A920" t="s">
        <v>0</v>
      </c>
      <c r="B920">
        <v>1220620</v>
      </c>
      <c r="C920">
        <v>10781.25</v>
      </c>
      <c r="D920" s="4">
        <f>+VLOOKUP(A920,Portfolio!$G$3:$I$6,3)</f>
        <v>5</v>
      </c>
      <c r="E920">
        <f t="shared" si="14"/>
        <v>53906.25</v>
      </c>
    </row>
    <row r="921" spans="1:5" x14ac:dyDescent="0.25">
      <c r="A921" t="s">
        <v>0</v>
      </c>
      <c r="B921">
        <v>1220621</v>
      </c>
      <c r="C921">
        <v>11078.12</v>
      </c>
      <c r="D921" s="4">
        <f>+VLOOKUP(A921,Portfolio!$G$3:$I$6,3)</f>
        <v>5</v>
      </c>
      <c r="E921">
        <f t="shared" si="14"/>
        <v>55390.600000000006</v>
      </c>
    </row>
    <row r="922" spans="1:5" x14ac:dyDescent="0.25">
      <c r="A922" t="s">
        <v>0</v>
      </c>
      <c r="B922">
        <v>1220622</v>
      </c>
      <c r="C922">
        <v>10859.38</v>
      </c>
      <c r="D922" s="4">
        <f>+VLOOKUP(A922,Portfolio!$G$3:$I$6,3)</f>
        <v>5</v>
      </c>
      <c r="E922">
        <f t="shared" si="14"/>
        <v>54296.899999999994</v>
      </c>
    </row>
    <row r="923" spans="1:5" x14ac:dyDescent="0.25">
      <c r="A923" t="s">
        <v>0</v>
      </c>
      <c r="B923">
        <v>1220623</v>
      </c>
      <c r="C923">
        <v>11765.62</v>
      </c>
      <c r="D923" s="4">
        <f>+VLOOKUP(A923,Portfolio!$G$3:$I$6,3)</f>
        <v>5</v>
      </c>
      <c r="E923">
        <f t="shared" si="14"/>
        <v>58828.100000000006</v>
      </c>
    </row>
    <row r="924" spans="1:5" x14ac:dyDescent="0.25">
      <c r="A924" t="s">
        <v>0</v>
      </c>
      <c r="B924">
        <v>1220624</v>
      </c>
      <c r="C924">
        <v>12296.88</v>
      </c>
      <c r="D924" s="4">
        <f>+VLOOKUP(A924,Portfolio!$G$3:$I$6,3)</f>
        <v>5</v>
      </c>
      <c r="E924">
        <f t="shared" si="14"/>
        <v>61484.399999999994</v>
      </c>
    </row>
    <row r="925" spans="1:5" x14ac:dyDescent="0.25">
      <c r="A925" t="s">
        <v>0</v>
      </c>
      <c r="B925">
        <v>1220626</v>
      </c>
      <c r="C925">
        <v>12109.38</v>
      </c>
      <c r="D925" s="4">
        <f>+VLOOKUP(A925,Portfolio!$G$3:$I$6,3)</f>
        <v>5</v>
      </c>
      <c r="E925">
        <f t="shared" si="14"/>
        <v>60546.899999999994</v>
      </c>
    </row>
    <row r="926" spans="1:5" x14ac:dyDescent="0.25">
      <c r="A926" t="s">
        <v>0</v>
      </c>
      <c r="B926">
        <v>1220627</v>
      </c>
      <c r="C926">
        <v>12312.5</v>
      </c>
      <c r="D926" s="4">
        <f>+VLOOKUP(A926,Portfolio!$G$3:$I$6,3)</f>
        <v>5</v>
      </c>
      <c r="E926">
        <f t="shared" si="14"/>
        <v>61562.5</v>
      </c>
    </row>
    <row r="927" spans="1:5" x14ac:dyDescent="0.25">
      <c r="A927" t="s">
        <v>0</v>
      </c>
      <c r="B927">
        <v>1220628</v>
      </c>
      <c r="C927">
        <v>12437.5</v>
      </c>
      <c r="D927" s="4">
        <f>+VLOOKUP(A927,Portfolio!$G$3:$I$6,3)</f>
        <v>5</v>
      </c>
      <c r="E927">
        <f t="shared" si="14"/>
        <v>62187.5</v>
      </c>
    </row>
    <row r="928" spans="1:5" x14ac:dyDescent="0.25">
      <c r="A928" t="s">
        <v>0</v>
      </c>
      <c r="B928">
        <v>1220629</v>
      </c>
      <c r="C928">
        <v>12109.38</v>
      </c>
      <c r="D928" s="4">
        <f>+VLOOKUP(A928,Portfolio!$G$3:$I$6,3)</f>
        <v>5</v>
      </c>
      <c r="E928">
        <f t="shared" si="14"/>
        <v>60546.899999999994</v>
      </c>
    </row>
    <row r="929" spans="1:5" x14ac:dyDescent="0.25">
      <c r="A929" t="s">
        <v>0</v>
      </c>
      <c r="B929">
        <v>1220630</v>
      </c>
      <c r="C929">
        <v>12140.62</v>
      </c>
      <c r="D929" s="4">
        <f>+VLOOKUP(A929,Portfolio!$G$3:$I$6,3)</f>
        <v>5</v>
      </c>
      <c r="E929">
        <f t="shared" si="14"/>
        <v>60703.100000000006</v>
      </c>
    </row>
    <row r="930" spans="1:5" x14ac:dyDescent="0.25">
      <c r="A930" t="s">
        <v>0</v>
      </c>
      <c r="B930">
        <v>1220701</v>
      </c>
      <c r="C930">
        <v>13343.75</v>
      </c>
      <c r="D930" s="4">
        <f>+VLOOKUP(A930,Portfolio!$G$3:$I$6,3)</f>
        <v>5</v>
      </c>
      <c r="E930">
        <f t="shared" si="14"/>
        <v>66718.75</v>
      </c>
    </row>
    <row r="931" spans="1:5" x14ac:dyDescent="0.25">
      <c r="A931" t="s">
        <v>0</v>
      </c>
      <c r="B931">
        <v>1220703</v>
      </c>
      <c r="C931">
        <v>14031.25</v>
      </c>
      <c r="D931" s="4">
        <f>+VLOOKUP(A931,Portfolio!$G$3:$I$6,3)</f>
        <v>5</v>
      </c>
      <c r="E931">
        <f t="shared" si="14"/>
        <v>70156.25</v>
      </c>
    </row>
    <row r="932" spans="1:5" x14ac:dyDescent="0.25">
      <c r="A932" t="s">
        <v>0</v>
      </c>
      <c r="B932">
        <v>1220704</v>
      </c>
      <c r="C932">
        <v>14000</v>
      </c>
      <c r="D932" s="4">
        <f>+VLOOKUP(A932,Portfolio!$G$3:$I$6,3)</f>
        <v>5</v>
      </c>
      <c r="E932">
        <f t="shared" si="14"/>
        <v>70000</v>
      </c>
    </row>
    <row r="933" spans="1:5" x14ac:dyDescent="0.25">
      <c r="A933" t="s">
        <v>0</v>
      </c>
      <c r="B933">
        <v>1220705</v>
      </c>
      <c r="C933">
        <v>14171.88</v>
      </c>
      <c r="D933" s="4">
        <f>+VLOOKUP(A933,Portfolio!$G$3:$I$6,3)</f>
        <v>5</v>
      </c>
      <c r="E933">
        <f t="shared" si="14"/>
        <v>70859.399999999994</v>
      </c>
    </row>
    <row r="934" spans="1:5" x14ac:dyDescent="0.25">
      <c r="A934" t="s">
        <v>0</v>
      </c>
      <c r="B934">
        <v>1220706</v>
      </c>
      <c r="C934">
        <v>13781.25</v>
      </c>
      <c r="D934" s="4">
        <f>+VLOOKUP(A934,Portfolio!$G$3:$I$6,3)</f>
        <v>5</v>
      </c>
      <c r="E934">
        <f t="shared" si="14"/>
        <v>68906.25</v>
      </c>
    </row>
    <row r="935" spans="1:5" x14ac:dyDescent="0.25">
      <c r="A935" t="s">
        <v>0</v>
      </c>
      <c r="B935">
        <v>1220707</v>
      </c>
      <c r="C935">
        <v>14375</v>
      </c>
      <c r="D935" s="4">
        <f>+VLOOKUP(A935,Portfolio!$G$3:$I$6,3)</f>
        <v>5</v>
      </c>
      <c r="E935">
        <f t="shared" si="14"/>
        <v>71875</v>
      </c>
    </row>
    <row r="936" spans="1:5" x14ac:dyDescent="0.25">
      <c r="A936" t="s">
        <v>0</v>
      </c>
      <c r="B936">
        <v>1220708</v>
      </c>
      <c r="C936">
        <v>14812.5</v>
      </c>
      <c r="D936" s="4">
        <f>+VLOOKUP(A936,Portfolio!$G$3:$I$6,3)</f>
        <v>5</v>
      </c>
      <c r="E936">
        <f t="shared" si="14"/>
        <v>74062.5</v>
      </c>
    </row>
    <row r="937" spans="1:5" x14ac:dyDescent="0.25">
      <c r="A937" t="s">
        <v>0</v>
      </c>
      <c r="B937">
        <v>1220710</v>
      </c>
      <c r="C937">
        <v>15734.38</v>
      </c>
      <c r="D937" s="4">
        <f>+VLOOKUP(A937,Portfolio!$G$3:$I$6,3)</f>
        <v>5</v>
      </c>
      <c r="E937">
        <f t="shared" si="14"/>
        <v>78671.899999999994</v>
      </c>
    </row>
    <row r="938" spans="1:5" x14ac:dyDescent="0.25">
      <c r="A938" t="s">
        <v>0</v>
      </c>
      <c r="B938">
        <v>1220711</v>
      </c>
      <c r="C938">
        <v>15687.5</v>
      </c>
      <c r="D938" s="4">
        <f>+VLOOKUP(A938,Portfolio!$G$3:$I$6,3)</f>
        <v>5</v>
      </c>
      <c r="E938">
        <f t="shared" si="14"/>
        <v>78437.5</v>
      </c>
    </row>
    <row r="939" spans="1:5" x14ac:dyDescent="0.25">
      <c r="A939" t="s">
        <v>0</v>
      </c>
      <c r="B939">
        <v>1220712</v>
      </c>
      <c r="C939">
        <v>15937.5</v>
      </c>
      <c r="D939" s="4">
        <f>+VLOOKUP(A939,Portfolio!$G$3:$I$6,3)</f>
        <v>5</v>
      </c>
      <c r="E939">
        <f t="shared" si="14"/>
        <v>79687.5</v>
      </c>
    </row>
    <row r="940" spans="1:5" x14ac:dyDescent="0.25">
      <c r="A940" t="s">
        <v>0</v>
      </c>
      <c r="B940">
        <v>1220713</v>
      </c>
      <c r="C940">
        <v>15953.12</v>
      </c>
      <c r="D940" s="4">
        <f>+VLOOKUP(A940,Portfolio!$G$3:$I$6,3)</f>
        <v>5</v>
      </c>
      <c r="E940">
        <f t="shared" si="14"/>
        <v>79765.600000000006</v>
      </c>
    </row>
    <row r="941" spans="1:5" x14ac:dyDescent="0.25">
      <c r="A941" t="s">
        <v>0</v>
      </c>
      <c r="B941">
        <v>1220714</v>
      </c>
      <c r="C941">
        <v>15078.12</v>
      </c>
      <c r="D941" s="4">
        <f>+VLOOKUP(A941,Portfolio!$G$3:$I$6,3)</f>
        <v>5</v>
      </c>
      <c r="E941">
        <f t="shared" si="14"/>
        <v>75390.600000000006</v>
      </c>
    </row>
    <row r="942" spans="1:5" x14ac:dyDescent="0.25">
      <c r="A942" t="s">
        <v>0</v>
      </c>
      <c r="B942">
        <v>1220715</v>
      </c>
      <c r="C942">
        <v>14546.88</v>
      </c>
      <c r="D942" s="4">
        <f>+VLOOKUP(A942,Portfolio!$G$3:$I$6,3)</f>
        <v>5</v>
      </c>
      <c r="E942">
        <f t="shared" si="14"/>
        <v>72734.399999999994</v>
      </c>
    </row>
    <row r="943" spans="1:5" x14ac:dyDescent="0.25">
      <c r="A943" t="s">
        <v>0</v>
      </c>
      <c r="B943">
        <v>1220717</v>
      </c>
      <c r="C943">
        <v>13171.88</v>
      </c>
      <c r="D943" s="4">
        <f>+VLOOKUP(A943,Portfolio!$G$3:$I$6,3)</f>
        <v>5</v>
      </c>
      <c r="E943">
        <f t="shared" si="14"/>
        <v>65859.399999999994</v>
      </c>
    </row>
    <row r="944" spans="1:5" x14ac:dyDescent="0.25">
      <c r="A944" t="s">
        <v>0</v>
      </c>
      <c r="B944">
        <v>1220718</v>
      </c>
      <c r="C944">
        <v>13281.25</v>
      </c>
      <c r="D944" s="4">
        <f>+VLOOKUP(A944,Portfolio!$G$3:$I$6,3)</f>
        <v>5</v>
      </c>
      <c r="E944">
        <f t="shared" si="14"/>
        <v>66406.25</v>
      </c>
    </row>
    <row r="945" spans="1:5" x14ac:dyDescent="0.25">
      <c r="A945" t="s">
        <v>0</v>
      </c>
      <c r="B945">
        <v>1220719</v>
      </c>
      <c r="C945">
        <v>12843.75</v>
      </c>
      <c r="D945" s="4">
        <f>+VLOOKUP(A945,Portfolio!$G$3:$I$6,3)</f>
        <v>5</v>
      </c>
      <c r="E945">
        <f t="shared" si="14"/>
        <v>64218.75</v>
      </c>
    </row>
    <row r="946" spans="1:5" x14ac:dyDescent="0.25">
      <c r="A946" t="s">
        <v>0</v>
      </c>
      <c r="B946">
        <v>1220720</v>
      </c>
      <c r="C946">
        <v>13328.12</v>
      </c>
      <c r="D946" s="4">
        <f>+VLOOKUP(A946,Portfolio!$G$3:$I$6,3)</f>
        <v>5</v>
      </c>
      <c r="E946">
        <f t="shared" si="14"/>
        <v>66640.600000000006</v>
      </c>
    </row>
    <row r="947" spans="1:5" x14ac:dyDescent="0.25">
      <c r="A947" t="s">
        <v>0</v>
      </c>
      <c r="B947">
        <v>1220721</v>
      </c>
      <c r="C947">
        <v>12343.75</v>
      </c>
      <c r="D947" s="4">
        <f>+VLOOKUP(A947,Portfolio!$G$3:$I$6,3)</f>
        <v>5</v>
      </c>
      <c r="E947">
        <f t="shared" si="14"/>
        <v>61718.75</v>
      </c>
    </row>
    <row r="948" spans="1:5" x14ac:dyDescent="0.25">
      <c r="A948" t="s">
        <v>0</v>
      </c>
      <c r="B948">
        <v>1220722</v>
      </c>
      <c r="C948">
        <v>12609.38</v>
      </c>
      <c r="D948" s="4">
        <f>+VLOOKUP(A948,Portfolio!$G$3:$I$6,3)</f>
        <v>5</v>
      </c>
      <c r="E948">
        <f t="shared" si="14"/>
        <v>63046.899999999994</v>
      </c>
    </row>
    <row r="949" spans="1:5" x14ac:dyDescent="0.25">
      <c r="A949" t="s">
        <v>0</v>
      </c>
      <c r="B949">
        <v>1220724</v>
      </c>
      <c r="C949">
        <v>13453.12</v>
      </c>
      <c r="D949" s="4">
        <f>+VLOOKUP(A949,Portfolio!$G$3:$I$6,3)</f>
        <v>5</v>
      </c>
      <c r="E949">
        <f t="shared" si="14"/>
        <v>67265.600000000006</v>
      </c>
    </row>
    <row r="950" spans="1:5" x14ac:dyDescent="0.25">
      <c r="A950" t="s">
        <v>0</v>
      </c>
      <c r="B950">
        <v>1220725</v>
      </c>
      <c r="C950">
        <v>13484.38</v>
      </c>
      <c r="D950" s="4">
        <f>+VLOOKUP(A950,Portfolio!$G$3:$I$6,3)</f>
        <v>5</v>
      </c>
      <c r="E950">
        <f t="shared" si="14"/>
        <v>67421.899999999994</v>
      </c>
    </row>
    <row r="951" spans="1:5" x14ac:dyDescent="0.25">
      <c r="A951" t="s">
        <v>0</v>
      </c>
      <c r="B951">
        <v>1220726</v>
      </c>
      <c r="C951">
        <v>13093.75</v>
      </c>
      <c r="D951" s="4">
        <f>+VLOOKUP(A951,Portfolio!$G$3:$I$6,3)</f>
        <v>5</v>
      </c>
      <c r="E951">
        <f t="shared" si="14"/>
        <v>65468.75</v>
      </c>
    </row>
    <row r="952" spans="1:5" x14ac:dyDescent="0.25">
      <c r="A952" t="s">
        <v>0</v>
      </c>
      <c r="B952">
        <v>1220727</v>
      </c>
      <c r="C952">
        <v>12312.5</v>
      </c>
      <c r="D952" s="4">
        <f>+VLOOKUP(A952,Portfolio!$G$3:$I$6,3)</f>
        <v>5</v>
      </c>
      <c r="E952">
        <f t="shared" si="14"/>
        <v>61562.5</v>
      </c>
    </row>
    <row r="953" spans="1:5" x14ac:dyDescent="0.25">
      <c r="A953" t="s">
        <v>0</v>
      </c>
      <c r="B953">
        <v>1220728</v>
      </c>
      <c r="C953">
        <v>12625</v>
      </c>
      <c r="D953" s="4">
        <f>+VLOOKUP(A953,Portfolio!$G$3:$I$6,3)</f>
        <v>5</v>
      </c>
      <c r="E953">
        <f t="shared" si="14"/>
        <v>63125</v>
      </c>
    </row>
    <row r="954" spans="1:5" x14ac:dyDescent="0.25">
      <c r="A954" t="s">
        <v>0</v>
      </c>
      <c r="B954">
        <v>1220729</v>
      </c>
      <c r="C954">
        <v>13703.12</v>
      </c>
      <c r="D954" s="4">
        <f>+VLOOKUP(A954,Portfolio!$G$3:$I$6,3)</f>
        <v>5</v>
      </c>
      <c r="E954">
        <f t="shared" si="14"/>
        <v>68515.600000000006</v>
      </c>
    </row>
    <row r="955" spans="1:5" x14ac:dyDescent="0.25">
      <c r="A955" t="s">
        <v>0</v>
      </c>
      <c r="B955">
        <v>1220731</v>
      </c>
      <c r="C955">
        <v>12546.88</v>
      </c>
      <c r="D955" s="4">
        <f>+VLOOKUP(A955,Portfolio!$G$3:$I$6,3)</f>
        <v>5</v>
      </c>
      <c r="E955">
        <f t="shared" si="14"/>
        <v>62734.399999999994</v>
      </c>
    </row>
    <row r="956" spans="1:5" x14ac:dyDescent="0.25">
      <c r="A956" t="s">
        <v>0</v>
      </c>
      <c r="B956">
        <v>1220801</v>
      </c>
      <c r="C956">
        <v>12468.75</v>
      </c>
      <c r="D956" s="4">
        <f>+VLOOKUP(A956,Portfolio!$G$3:$I$6,3)</f>
        <v>5</v>
      </c>
      <c r="E956">
        <f t="shared" si="14"/>
        <v>62343.75</v>
      </c>
    </row>
    <row r="957" spans="1:5" x14ac:dyDescent="0.25">
      <c r="A957" t="s">
        <v>0</v>
      </c>
      <c r="B957">
        <v>1220802</v>
      </c>
      <c r="C957">
        <v>12578.12</v>
      </c>
      <c r="D957" s="4">
        <f>+VLOOKUP(A957,Portfolio!$G$3:$I$6,3)</f>
        <v>5</v>
      </c>
      <c r="E957">
        <f t="shared" si="14"/>
        <v>62890.600000000006</v>
      </c>
    </row>
    <row r="958" spans="1:5" x14ac:dyDescent="0.25">
      <c r="A958" t="s">
        <v>0</v>
      </c>
      <c r="B958">
        <v>1220803</v>
      </c>
      <c r="C958">
        <v>13453.12</v>
      </c>
      <c r="D958" s="4">
        <f>+VLOOKUP(A958,Portfolio!$G$3:$I$6,3)</f>
        <v>5</v>
      </c>
      <c r="E958">
        <f t="shared" si="14"/>
        <v>67265.600000000006</v>
      </c>
    </row>
    <row r="959" spans="1:5" x14ac:dyDescent="0.25">
      <c r="A959" t="s">
        <v>0</v>
      </c>
      <c r="B959">
        <v>1220804</v>
      </c>
      <c r="C959">
        <v>13625</v>
      </c>
      <c r="D959" s="4">
        <f>+VLOOKUP(A959,Portfolio!$G$3:$I$6,3)</f>
        <v>5</v>
      </c>
      <c r="E959">
        <f t="shared" si="14"/>
        <v>68125</v>
      </c>
    </row>
    <row r="960" spans="1:5" x14ac:dyDescent="0.25">
      <c r="A960" t="s">
        <v>0</v>
      </c>
      <c r="B960">
        <v>1220805</v>
      </c>
      <c r="C960">
        <v>13703.12</v>
      </c>
      <c r="D960" s="4">
        <f>+VLOOKUP(A960,Portfolio!$G$3:$I$6,3)</f>
        <v>5</v>
      </c>
      <c r="E960">
        <f t="shared" si="14"/>
        <v>68515.600000000006</v>
      </c>
    </row>
    <row r="961" spans="1:5" x14ac:dyDescent="0.25">
      <c r="A961" t="s">
        <v>0</v>
      </c>
      <c r="B961">
        <v>1220807</v>
      </c>
      <c r="C961">
        <v>14671.88</v>
      </c>
      <c r="D961" s="4">
        <f>+VLOOKUP(A961,Portfolio!$G$3:$I$6,3)</f>
        <v>5</v>
      </c>
      <c r="E961">
        <f t="shared" si="14"/>
        <v>73359.399999999994</v>
      </c>
    </row>
    <row r="962" spans="1:5" x14ac:dyDescent="0.25">
      <c r="A962" t="s">
        <v>0</v>
      </c>
      <c r="B962">
        <v>1220808</v>
      </c>
      <c r="C962">
        <v>14562.5</v>
      </c>
      <c r="D962" s="4">
        <f>+VLOOKUP(A962,Portfolio!$G$3:$I$6,3)</f>
        <v>5</v>
      </c>
      <c r="E962">
        <f t="shared" si="14"/>
        <v>72812.5</v>
      </c>
    </row>
    <row r="963" spans="1:5" x14ac:dyDescent="0.25">
      <c r="A963" t="s">
        <v>0</v>
      </c>
      <c r="B963">
        <v>1220809</v>
      </c>
      <c r="C963">
        <v>14390.62</v>
      </c>
      <c r="D963" s="4">
        <f>+VLOOKUP(A963,Portfolio!$G$3:$I$6,3)</f>
        <v>5</v>
      </c>
      <c r="E963">
        <f t="shared" ref="E963:E1026" si="15">+C963*D963</f>
        <v>71953.100000000006</v>
      </c>
    </row>
    <row r="964" spans="1:5" x14ac:dyDescent="0.25">
      <c r="A964" t="s">
        <v>0</v>
      </c>
      <c r="B964">
        <v>1220810</v>
      </c>
      <c r="C964">
        <v>14078.12</v>
      </c>
      <c r="D964" s="4">
        <f>+VLOOKUP(A964,Portfolio!$G$3:$I$6,3)</f>
        <v>5</v>
      </c>
      <c r="E964">
        <f t="shared" si="15"/>
        <v>70390.600000000006</v>
      </c>
    </row>
    <row r="965" spans="1:5" x14ac:dyDescent="0.25">
      <c r="A965" t="s">
        <v>0</v>
      </c>
      <c r="B965">
        <v>1220811</v>
      </c>
      <c r="C965">
        <v>13734.38</v>
      </c>
      <c r="D965" s="4">
        <f>+VLOOKUP(A965,Portfolio!$G$3:$I$6,3)</f>
        <v>5</v>
      </c>
      <c r="E965">
        <f t="shared" si="15"/>
        <v>68671.899999999994</v>
      </c>
    </row>
    <row r="966" spans="1:5" x14ac:dyDescent="0.25">
      <c r="A966" t="s">
        <v>0</v>
      </c>
      <c r="B966">
        <v>1220812</v>
      </c>
      <c r="C966">
        <v>13812.5</v>
      </c>
      <c r="D966" s="4">
        <f>+VLOOKUP(A966,Portfolio!$G$3:$I$6,3)</f>
        <v>5</v>
      </c>
      <c r="E966">
        <f t="shared" si="15"/>
        <v>69062.5</v>
      </c>
    </row>
    <row r="967" spans="1:5" x14ac:dyDescent="0.25">
      <c r="A967" t="s">
        <v>0</v>
      </c>
      <c r="B967">
        <v>1220814</v>
      </c>
      <c r="C967">
        <v>13765.62</v>
      </c>
      <c r="D967" s="4">
        <f>+VLOOKUP(A967,Portfolio!$G$3:$I$6,3)</f>
        <v>5</v>
      </c>
      <c r="E967">
        <f t="shared" si="15"/>
        <v>68828.100000000006</v>
      </c>
    </row>
    <row r="968" spans="1:5" x14ac:dyDescent="0.25">
      <c r="A968" t="s">
        <v>0</v>
      </c>
      <c r="B968">
        <v>1220815</v>
      </c>
      <c r="C968">
        <v>13750</v>
      </c>
      <c r="D968" s="4">
        <f>+VLOOKUP(A968,Portfolio!$G$3:$I$6,3)</f>
        <v>5</v>
      </c>
      <c r="E968">
        <f t="shared" si="15"/>
        <v>68750</v>
      </c>
    </row>
    <row r="969" spans="1:5" x14ac:dyDescent="0.25">
      <c r="A969" t="s">
        <v>0</v>
      </c>
      <c r="B969">
        <v>1220816</v>
      </c>
      <c r="C969">
        <v>14171.88</v>
      </c>
      <c r="D969" s="4">
        <f>+VLOOKUP(A969,Portfolio!$G$3:$I$6,3)</f>
        <v>5</v>
      </c>
      <c r="E969">
        <f t="shared" si="15"/>
        <v>70859.399999999994</v>
      </c>
    </row>
    <row r="970" spans="1:5" x14ac:dyDescent="0.25">
      <c r="A970" t="s">
        <v>0</v>
      </c>
      <c r="B970">
        <v>1220817</v>
      </c>
      <c r="C970">
        <v>14218.75</v>
      </c>
      <c r="D970" s="4">
        <f>+VLOOKUP(A970,Portfolio!$G$3:$I$6,3)</f>
        <v>5</v>
      </c>
      <c r="E970">
        <f t="shared" si="15"/>
        <v>71093.75</v>
      </c>
    </row>
    <row r="971" spans="1:5" x14ac:dyDescent="0.25">
      <c r="A971" t="s">
        <v>0</v>
      </c>
      <c r="B971">
        <v>1220818</v>
      </c>
      <c r="C971">
        <v>14593.75</v>
      </c>
      <c r="D971" s="4">
        <f>+VLOOKUP(A971,Portfolio!$G$3:$I$6,3)</f>
        <v>5</v>
      </c>
      <c r="E971">
        <f t="shared" si="15"/>
        <v>72968.75</v>
      </c>
    </row>
    <row r="972" spans="1:5" x14ac:dyDescent="0.25">
      <c r="A972" t="s">
        <v>0</v>
      </c>
      <c r="B972">
        <v>1220819</v>
      </c>
      <c r="C972">
        <v>14156.25</v>
      </c>
      <c r="D972" s="4">
        <f>+VLOOKUP(A972,Portfolio!$G$3:$I$6,3)</f>
        <v>5</v>
      </c>
      <c r="E972">
        <f t="shared" si="15"/>
        <v>70781.25</v>
      </c>
    </row>
    <row r="973" spans="1:5" x14ac:dyDescent="0.25">
      <c r="A973" t="s">
        <v>0</v>
      </c>
      <c r="B973">
        <v>1220821</v>
      </c>
      <c r="C973">
        <v>13984.38</v>
      </c>
      <c r="D973" s="4">
        <f>+VLOOKUP(A973,Portfolio!$G$3:$I$6,3)</f>
        <v>5</v>
      </c>
      <c r="E973">
        <f t="shared" si="15"/>
        <v>69921.899999999994</v>
      </c>
    </row>
    <row r="974" spans="1:5" x14ac:dyDescent="0.25">
      <c r="A974" t="s">
        <v>0</v>
      </c>
      <c r="B974">
        <v>1220822</v>
      </c>
      <c r="C974">
        <v>14031.25</v>
      </c>
      <c r="D974" s="4">
        <f>+VLOOKUP(A974,Portfolio!$G$3:$I$6,3)</f>
        <v>5</v>
      </c>
      <c r="E974">
        <f t="shared" si="15"/>
        <v>70156.25</v>
      </c>
    </row>
    <row r="975" spans="1:5" x14ac:dyDescent="0.25">
      <c r="A975" t="s">
        <v>0</v>
      </c>
      <c r="B975">
        <v>1220823</v>
      </c>
      <c r="C975">
        <v>14296.88</v>
      </c>
      <c r="D975" s="4">
        <f>+VLOOKUP(A975,Portfolio!$G$3:$I$6,3)</f>
        <v>5</v>
      </c>
      <c r="E975">
        <f t="shared" si="15"/>
        <v>71484.399999999994</v>
      </c>
    </row>
    <row r="976" spans="1:5" x14ac:dyDescent="0.25">
      <c r="A976" t="s">
        <v>0</v>
      </c>
      <c r="B976">
        <v>1220824</v>
      </c>
      <c r="C976">
        <v>13718.75</v>
      </c>
      <c r="D976" s="4">
        <f>+VLOOKUP(A976,Portfolio!$G$3:$I$6,3)</f>
        <v>5</v>
      </c>
      <c r="E976">
        <f t="shared" si="15"/>
        <v>68593.75</v>
      </c>
    </row>
    <row r="977" spans="1:5" x14ac:dyDescent="0.25">
      <c r="A977" t="s">
        <v>0</v>
      </c>
      <c r="B977">
        <v>1220825</v>
      </c>
      <c r="C977">
        <v>13734.38</v>
      </c>
      <c r="D977" s="4">
        <f>+VLOOKUP(A977,Portfolio!$G$3:$I$6,3)</f>
        <v>5</v>
      </c>
      <c r="E977">
        <f t="shared" si="15"/>
        <v>68671.899999999994</v>
      </c>
    </row>
    <row r="978" spans="1:5" x14ac:dyDescent="0.25">
      <c r="A978" t="s">
        <v>0</v>
      </c>
      <c r="B978">
        <v>1220826</v>
      </c>
      <c r="C978">
        <v>13453.12</v>
      </c>
      <c r="D978" s="4">
        <f>+VLOOKUP(A978,Portfolio!$G$3:$I$6,3)</f>
        <v>5</v>
      </c>
      <c r="E978">
        <f t="shared" si="15"/>
        <v>67265.600000000006</v>
      </c>
    </row>
    <row r="979" spans="1:5" x14ac:dyDescent="0.25">
      <c r="A979" t="s">
        <v>0</v>
      </c>
      <c r="B979">
        <v>1220828</v>
      </c>
      <c r="C979">
        <v>12140.62</v>
      </c>
      <c r="D979" s="4">
        <f>+VLOOKUP(A979,Portfolio!$G$3:$I$6,3)</f>
        <v>5</v>
      </c>
      <c r="E979">
        <f t="shared" si="15"/>
        <v>60703.100000000006</v>
      </c>
    </row>
    <row r="980" spans="1:5" x14ac:dyDescent="0.25">
      <c r="A980" t="s">
        <v>0</v>
      </c>
      <c r="B980">
        <v>1220829</v>
      </c>
      <c r="C980">
        <v>11656.25</v>
      </c>
      <c r="D980" s="4">
        <f>+VLOOKUP(A980,Portfolio!$G$3:$I$6,3)</f>
        <v>5</v>
      </c>
      <c r="E980">
        <f t="shared" si="15"/>
        <v>58281.25</v>
      </c>
    </row>
    <row r="981" spans="1:5" x14ac:dyDescent="0.25">
      <c r="A981" t="s">
        <v>0</v>
      </c>
      <c r="B981">
        <v>1220830</v>
      </c>
      <c r="C981">
        <v>12046.88</v>
      </c>
      <c r="D981" s="4">
        <f>+VLOOKUP(A981,Portfolio!$G$3:$I$6,3)</f>
        <v>5</v>
      </c>
      <c r="E981">
        <f t="shared" si="15"/>
        <v>60234.399999999994</v>
      </c>
    </row>
    <row r="982" spans="1:5" x14ac:dyDescent="0.25">
      <c r="A982" t="s">
        <v>0</v>
      </c>
      <c r="B982">
        <v>1220831</v>
      </c>
      <c r="C982">
        <v>11828.12</v>
      </c>
      <c r="D982" s="4">
        <f>+VLOOKUP(A982,Portfolio!$G$3:$I$6,3)</f>
        <v>5</v>
      </c>
      <c r="E982">
        <f t="shared" si="15"/>
        <v>59140.600000000006</v>
      </c>
    </row>
    <row r="983" spans="1:5" x14ac:dyDescent="0.25">
      <c r="A983" t="s">
        <v>0</v>
      </c>
      <c r="B983">
        <v>1220901</v>
      </c>
      <c r="C983">
        <v>12531.25</v>
      </c>
      <c r="D983" s="4">
        <f>+VLOOKUP(A983,Portfolio!$G$3:$I$6,3)</f>
        <v>5</v>
      </c>
      <c r="E983">
        <f t="shared" si="15"/>
        <v>62656.25</v>
      </c>
    </row>
    <row r="984" spans="1:5" x14ac:dyDescent="0.25">
      <c r="A984" t="s">
        <v>0</v>
      </c>
      <c r="B984">
        <v>1220902</v>
      </c>
      <c r="C984">
        <v>12859.38</v>
      </c>
      <c r="D984" s="4">
        <f>+VLOOKUP(A984,Portfolio!$G$3:$I$6,3)</f>
        <v>5</v>
      </c>
      <c r="E984">
        <f t="shared" si="15"/>
        <v>64296.899999999994</v>
      </c>
    </row>
    <row r="985" spans="1:5" x14ac:dyDescent="0.25">
      <c r="A985" t="s">
        <v>0</v>
      </c>
      <c r="B985">
        <v>1220904</v>
      </c>
      <c r="C985">
        <v>13234.38</v>
      </c>
      <c r="D985" s="4">
        <f>+VLOOKUP(A985,Portfolio!$G$3:$I$6,3)</f>
        <v>5</v>
      </c>
      <c r="E985">
        <f t="shared" si="15"/>
        <v>66171.899999999994</v>
      </c>
    </row>
    <row r="986" spans="1:5" x14ac:dyDescent="0.25">
      <c r="A986" t="s">
        <v>0</v>
      </c>
      <c r="B986">
        <v>1220905</v>
      </c>
      <c r="C986">
        <v>13140.62</v>
      </c>
      <c r="D986" s="4">
        <f>+VLOOKUP(A986,Portfolio!$G$3:$I$6,3)</f>
        <v>5</v>
      </c>
      <c r="E986">
        <f t="shared" si="15"/>
        <v>65703.100000000006</v>
      </c>
    </row>
    <row r="987" spans="1:5" x14ac:dyDescent="0.25">
      <c r="A987" t="s">
        <v>0</v>
      </c>
      <c r="B987">
        <v>1220906</v>
      </c>
      <c r="C987">
        <v>12500</v>
      </c>
      <c r="D987" s="4">
        <f>+VLOOKUP(A987,Portfolio!$G$3:$I$6,3)</f>
        <v>5</v>
      </c>
      <c r="E987">
        <f t="shared" si="15"/>
        <v>62500</v>
      </c>
    </row>
    <row r="988" spans="1:5" x14ac:dyDescent="0.25">
      <c r="A988" t="s">
        <v>0</v>
      </c>
      <c r="B988">
        <v>1220907</v>
      </c>
      <c r="C988">
        <v>13265.62</v>
      </c>
      <c r="D988" s="4">
        <f>+VLOOKUP(A988,Portfolio!$G$3:$I$6,3)</f>
        <v>5</v>
      </c>
      <c r="E988">
        <f t="shared" si="15"/>
        <v>66328.100000000006</v>
      </c>
    </row>
    <row r="989" spans="1:5" x14ac:dyDescent="0.25">
      <c r="A989" t="s">
        <v>0</v>
      </c>
      <c r="B989">
        <v>1220908</v>
      </c>
      <c r="C989">
        <v>13531.25</v>
      </c>
      <c r="D989" s="4">
        <f>+VLOOKUP(A989,Portfolio!$G$3:$I$6,3)</f>
        <v>5</v>
      </c>
      <c r="E989">
        <f t="shared" si="15"/>
        <v>67656.25</v>
      </c>
    </row>
    <row r="990" spans="1:5" x14ac:dyDescent="0.25">
      <c r="A990" t="s">
        <v>0</v>
      </c>
      <c r="B990">
        <v>1220909</v>
      </c>
      <c r="C990">
        <v>13328.12</v>
      </c>
      <c r="D990" s="4">
        <f>+VLOOKUP(A990,Portfolio!$G$3:$I$6,3)</f>
        <v>5</v>
      </c>
      <c r="E990">
        <f t="shared" si="15"/>
        <v>66640.600000000006</v>
      </c>
    </row>
    <row r="991" spans="1:5" x14ac:dyDescent="0.25">
      <c r="A991" t="s">
        <v>0</v>
      </c>
      <c r="B991">
        <v>1220911</v>
      </c>
      <c r="C991">
        <v>13531.25</v>
      </c>
      <c r="D991" s="4">
        <f>+VLOOKUP(A991,Portfolio!$G$3:$I$6,3)</f>
        <v>5</v>
      </c>
      <c r="E991">
        <f t="shared" si="15"/>
        <v>67656.25</v>
      </c>
    </row>
    <row r="992" spans="1:5" x14ac:dyDescent="0.25">
      <c r="A992" t="s">
        <v>0</v>
      </c>
      <c r="B992">
        <v>1220912</v>
      </c>
      <c r="C992">
        <v>13671.88</v>
      </c>
      <c r="D992" s="4">
        <f>+VLOOKUP(A992,Portfolio!$G$3:$I$6,3)</f>
        <v>5</v>
      </c>
      <c r="E992">
        <f t="shared" si="15"/>
        <v>68359.399999999994</v>
      </c>
    </row>
    <row r="993" spans="1:5" x14ac:dyDescent="0.25">
      <c r="A993" t="s">
        <v>0</v>
      </c>
      <c r="B993">
        <v>1220913</v>
      </c>
      <c r="C993">
        <v>13156.25</v>
      </c>
      <c r="D993" s="4">
        <f>+VLOOKUP(A993,Portfolio!$G$3:$I$6,3)</f>
        <v>5</v>
      </c>
      <c r="E993">
        <f t="shared" si="15"/>
        <v>65781.25</v>
      </c>
    </row>
    <row r="994" spans="1:5" x14ac:dyDescent="0.25">
      <c r="A994" t="s">
        <v>0</v>
      </c>
      <c r="B994">
        <v>1220914</v>
      </c>
      <c r="C994">
        <v>13812.5</v>
      </c>
      <c r="D994" s="4">
        <f>+VLOOKUP(A994,Portfolio!$G$3:$I$6,3)</f>
        <v>5</v>
      </c>
      <c r="E994">
        <f t="shared" si="15"/>
        <v>69062.5</v>
      </c>
    </row>
    <row r="995" spans="1:5" x14ac:dyDescent="0.25">
      <c r="A995" t="s">
        <v>0</v>
      </c>
      <c r="B995">
        <v>1220915</v>
      </c>
      <c r="C995">
        <v>13390.62</v>
      </c>
      <c r="D995" s="4">
        <f>+VLOOKUP(A995,Portfolio!$G$3:$I$6,3)</f>
        <v>5</v>
      </c>
      <c r="E995">
        <f t="shared" si="15"/>
        <v>66953.100000000006</v>
      </c>
    </row>
    <row r="996" spans="1:5" x14ac:dyDescent="0.25">
      <c r="A996" t="s">
        <v>0</v>
      </c>
      <c r="B996">
        <v>1220916</v>
      </c>
      <c r="C996">
        <v>13171.88</v>
      </c>
      <c r="D996" s="4">
        <f>+VLOOKUP(A996,Portfolio!$G$3:$I$6,3)</f>
        <v>5</v>
      </c>
      <c r="E996">
        <f t="shared" si="15"/>
        <v>65859.399999999994</v>
      </c>
    </row>
    <row r="997" spans="1:5" x14ac:dyDescent="0.25">
      <c r="A997" t="s">
        <v>0</v>
      </c>
      <c r="B997">
        <v>1220918</v>
      </c>
      <c r="C997">
        <v>13031.25</v>
      </c>
      <c r="D997" s="4">
        <f>+VLOOKUP(A997,Portfolio!$G$3:$I$6,3)</f>
        <v>5</v>
      </c>
      <c r="E997">
        <f t="shared" si="15"/>
        <v>65156.25</v>
      </c>
    </row>
    <row r="998" spans="1:5" x14ac:dyDescent="0.25">
      <c r="A998" t="s">
        <v>0</v>
      </c>
      <c r="B998">
        <v>1220919</v>
      </c>
      <c r="C998">
        <v>13000</v>
      </c>
      <c r="D998" s="4">
        <f>+VLOOKUP(A998,Portfolio!$G$3:$I$6,3)</f>
        <v>5</v>
      </c>
      <c r="E998">
        <f t="shared" si="15"/>
        <v>65000</v>
      </c>
    </row>
    <row r="999" spans="1:5" x14ac:dyDescent="0.25">
      <c r="A999" t="s">
        <v>0</v>
      </c>
      <c r="B999">
        <v>1220920</v>
      </c>
      <c r="C999">
        <v>12687.5</v>
      </c>
      <c r="D999" s="4">
        <f>+VLOOKUP(A999,Portfolio!$G$3:$I$6,3)</f>
        <v>5</v>
      </c>
      <c r="E999">
        <f t="shared" si="15"/>
        <v>63437.5</v>
      </c>
    </row>
    <row r="1000" spans="1:5" x14ac:dyDescent="0.25">
      <c r="A1000" t="s">
        <v>0</v>
      </c>
      <c r="B1000">
        <v>1220921</v>
      </c>
      <c r="C1000">
        <v>13171.88</v>
      </c>
      <c r="D1000" s="4">
        <f>+VLOOKUP(A1000,Portfolio!$G$3:$I$6,3)</f>
        <v>5</v>
      </c>
      <c r="E1000">
        <f t="shared" si="15"/>
        <v>65859.399999999994</v>
      </c>
    </row>
    <row r="1001" spans="1:5" x14ac:dyDescent="0.25">
      <c r="A1001" t="s">
        <v>0</v>
      </c>
      <c r="B1001">
        <v>1220922</v>
      </c>
      <c r="C1001">
        <v>13343.75</v>
      </c>
      <c r="D1001" s="4">
        <f>+VLOOKUP(A1001,Portfolio!$G$3:$I$6,3)</f>
        <v>5</v>
      </c>
      <c r="E1001">
        <f t="shared" si="15"/>
        <v>66718.75</v>
      </c>
    </row>
    <row r="1002" spans="1:5" x14ac:dyDescent="0.25">
      <c r="A1002" t="s">
        <v>0</v>
      </c>
      <c r="B1002">
        <v>1220923</v>
      </c>
      <c r="C1002">
        <v>14468.75</v>
      </c>
      <c r="D1002" s="4">
        <f>+VLOOKUP(A1002,Portfolio!$G$3:$I$6,3)</f>
        <v>5</v>
      </c>
      <c r="E1002">
        <f t="shared" si="15"/>
        <v>72343.75</v>
      </c>
    </row>
    <row r="1003" spans="1:5" x14ac:dyDescent="0.25">
      <c r="A1003" t="s">
        <v>0</v>
      </c>
      <c r="B1003">
        <v>1220925</v>
      </c>
      <c r="C1003">
        <v>14609.38</v>
      </c>
      <c r="D1003" s="4">
        <f>+VLOOKUP(A1003,Portfolio!$G$3:$I$6,3)</f>
        <v>5</v>
      </c>
      <c r="E1003">
        <f t="shared" si="15"/>
        <v>73046.899999999994</v>
      </c>
    </row>
    <row r="1004" spans="1:5" x14ac:dyDescent="0.25">
      <c r="A1004" t="s">
        <v>0</v>
      </c>
      <c r="B1004">
        <v>1220926</v>
      </c>
      <c r="C1004">
        <v>14953.12</v>
      </c>
      <c r="D1004" s="4">
        <f>+VLOOKUP(A1004,Portfolio!$G$3:$I$6,3)</f>
        <v>5</v>
      </c>
      <c r="E1004">
        <f t="shared" si="15"/>
        <v>74765.600000000006</v>
      </c>
    </row>
    <row r="1005" spans="1:5" x14ac:dyDescent="0.25">
      <c r="A1005" t="s">
        <v>0</v>
      </c>
      <c r="B1005">
        <v>1220927</v>
      </c>
      <c r="C1005">
        <v>15578.12</v>
      </c>
      <c r="D1005" s="4">
        <f>+VLOOKUP(A1005,Portfolio!$G$3:$I$6,3)</f>
        <v>5</v>
      </c>
      <c r="E1005">
        <f t="shared" si="15"/>
        <v>77890.600000000006</v>
      </c>
    </row>
    <row r="1006" spans="1:5" x14ac:dyDescent="0.25">
      <c r="A1006" t="s">
        <v>0</v>
      </c>
      <c r="B1006">
        <v>1220928</v>
      </c>
      <c r="C1006">
        <v>15125</v>
      </c>
      <c r="D1006" s="4">
        <f>+VLOOKUP(A1006,Portfolio!$G$3:$I$6,3)</f>
        <v>5</v>
      </c>
      <c r="E1006">
        <f t="shared" si="15"/>
        <v>75625</v>
      </c>
    </row>
    <row r="1007" spans="1:5" x14ac:dyDescent="0.25">
      <c r="A1007" t="s">
        <v>0</v>
      </c>
      <c r="B1007">
        <v>1220929</v>
      </c>
      <c r="C1007">
        <v>14968.75</v>
      </c>
      <c r="D1007" s="4">
        <f>+VLOOKUP(A1007,Portfolio!$G$3:$I$6,3)</f>
        <v>5</v>
      </c>
      <c r="E1007">
        <f t="shared" si="15"/>
        <v>74843.75</v>
      </c>
    </row>
    <row r="1008" spans="1:5" x14ac:dyDescent="0.25">
      <c r="A1008" t="s">
        <v>0</v>
      </c>
      <c r="B1008">
        <v>1220930</v>
      </c>
      <c r="C1008">
        <v>14718.75</v>
      </c>
      <c r="D1008" s="4">
        <f>+VLOOKUP(A1008,Portfolio!$G$3:$I$6,3)</f>
        <v>5</v>
      </c>
      <c r="E1008">
        <f t="shared" si="15"/>
        <v>73593.75</v>
      </c>
    </row>
    <row r="1009" spans="1:5" x14ac:dyDescent="0.25">
      <c r="A1009" t="s">
        <v>0</v>
      </c>
      <c r="B1009">
        <v>1221002</v>
      </c>
      <c r="C1009">
        <v>14609.38</v>
      </c>
      <c r="D1009" s="4">
        <f>+VLOOKUP(A1009,Portfolio!$G$3:$I$6,3)</f>
        <v>5</v>
      </c>
      <c r="E1009">
        <f t="shared" si="15"/>
        <v>73046.899999999994</v>
      </c>
    </row>
    <row r="1010" spans="1:5" x14ac:dyDescent="0.25">
      <c r="A1010" t="s">
        <v>0</v>
      </c>
      <c r="B1010">
        <v>1221003</v>
      </c>
      <c r="C1010">
        <v>14687.5</v>
      </c>
      <c r="D1010" s="4">
        <f>+VLOOKUP(A1010,Portfolio!$G$3:$I$6,3)</f>
        <v>5</v>
      </c>
      <c r="E1010">
        <f t="shared" si="15"/>
        <v>73437.5</v>
      </c>
    </row>
    <row r="1011" spans="1:5" x14ac:dyDescent="0.25">
      <c r="A1011" t="s">
        <v>0</v>
      </c>
      <c r="B1011">
        <v>1221004</v>
      </c>
      <c r="C1011">
        <v>16109.38</v>
      </c>
      <c r="D1011" s="4">
        <f>+VLOOKUP(A1011,Portfolio!$G$3:$I$6,3)</f>
        <v>5</v>
      </c>
      <c r="E1011">
        <f t="shared" si="15"/>
        <v>80546.899999999994</v>
      </c>
    </row>
    <row r="1012" spans="1:5" x14ac:dyDescent="0.25">
      <c r="A1012" t="s">
        <v>0</v>
      </c>
      <c r="B1012">
        <v>1221005</v>
      </c>
      <c r="C1012">
        <v>15671.88</v>
      </c>
      <c r="D1012" s="4">
        <f>+VLOOKUP(A1012,Portfolio!$G$3:$I$6,3)</f>
        <v>5</v>
      </c>
      <c r="E1012">
        <f t="shared" si="15"/>
        <v>78359.399999999994</v>
      </c>
    </row>
    <row r="1013" spans="1:5" x14ac:dyDescent="0.25">
      <c r="A1013" t="s">
        <v>0</v>
      </c>
      <c r="B1013">
        <v>1221006</v>
      </c>
      <c r="C1013">
        <v>16453.12</v>
      </c>
      <c r="D1013" s="4">
        <f>+VLOOKUP(A1013,Portfolio!$G$3:$I$6,3)</f>
        <v>5</v>
      </c>
      <c r="E1013">
        <f t="shared" si="15"/>
        <v>82265.599999999991</v>
      </c>
    </row>
    <row r="1014" spans="1:5" x14ac:dyDescent="0.25">
      <c r="A1014" t="s">
        <v>0</v>
      </c>
      <c r="B1014">
        <v>1221007</v>
      </c>
      <c r="C1014">
        <v>17140.62</v>
      </c>
      <c r="D1014" s="4">
        <f>+VLOOKUP(A1014,Portfolio!$G$3:$I$6,3)</f>
        <v>5</v>
      </c>
      <c r="E1014">
        <f t="shared" si="15"/>
        <v>85703.099999999991</v>
      </c>
    </row>
    <row r="1015" spans="1:5" x14ac:dyDescent="0.25">
      <c r="A1015" t="s">
        <v>0</v>
      </c>
      <c r="B1015">
        <v>1221009</v>
      </c>
      <c r="C1015">
        <v>17593.75</v>
      </c>
      <c r="D1015" s="4">
        <f>+VLOOKUP(A1015,Portfolio!$G$3:$I$6,3)</f>
        <v>5</v>
      </c>
      <c r="E1015">
        <f t="shared" si="15"/>
        <v>87968.75</v>
      </c>
    </row>
    <row r="1016" spans="1:5" x14ac:dyDescent="0.25">
      <c r="A1016" t="s">
        <v>0</v>
      </c>
      <c r="B1016">
        <v>1221010</v>
      </c>
      <c r="C1016">
        <v>17500</v>
      </c>
      <c r="D1016" s="4">
        <f>+VLOOKUP(A1016,Portfolio!$G$3:$I$6,3)</f>
        <v>5</v>
      </c>
      <c r="E1016">
        <f t="shared" si="15"/>
        <v>87500</v>
      </c>
    </row>
    <row r="1017" spans="1:5" x14ac:dyDescent="0.25">
      <c r="A1017" t="s">
        <v>0</v>
      </c>
      <c r="B1017">
        <v>1221011</v>
      </c>
      <c r="C1017">
        <v>18296.88</v>
      </c>
      <c r="D1017" s="4">
        <f>+VLOOKUP(A1017,Portfolio!$G$3:$I$6,3)</f>
        <v>5</v>
      </c>
      <c r="E1017">
        <f t="shared" si="15"/>
        <v>91484.400000000009</v>
      </c>
    </row>
    <row r="1018" spans="1:5" x14ac:dyDescent="0.25">
      <c r="A1018" t="s">
        <v>0</v>
      </c>
      <c r="B1018">
        <v>1221012</v>
      </c>
      <c r="C1018">
        <v>17906.25</v>
      </c>
      <c r="D1018" s="4">
        <f>+VLOOKUP(A1018,Portfolio!$G$3:$I$6,3)</f>
        <v>5</v>
      </c>
      <c r="E1018">
        <f t="shared" si="15"/>
        <v>89531.25</v>
      </c>
    </row>
    <row r="1019" spans="1:5" x14ac:dyDescent="0.25">
      <c r="A1019" t="s">
        <v>0</v>
      </c>
      <c r="B1019">
        <v>1221013</v>
      </c>
      <c r="C1019">
        <v>17312.5</v>
      </c>
      <c r="D1019" s="4">
        <f>+VLOOKUP(A1019,Portfolio!$G$3:$I$6,3)</f>
        <v>5</v>
      </c>
      <c r="E1019">
        <f t="shared" si="15"/>
        <v>86562.5</v>
      </c>
    </row>
    <row r="1020" spans="1:5" x14ac:dyDescent="0.25">
      <c r="A1020" t="s">
        <v>0</v>
      </c>
      <c r="B1020">
        <v>1221014</v>
      </c>
      <c r="C1020">
        <v>16843.75</v>
      </c>
      <c r="D1020" s="4">
        <f>+VLOOKUP(A1020,Portfolio!$G$3:$I$6,3)</f>
        <v>5</v>
      </c>
      <c r="E1020">
        <f t="shared" si="15"/>
        <v>84218.75</v>
      </c>
    </row>
    <row r="1021" spans="1:5" x14ac:dyDescent="0.25">
      <c r="A1021" t="s">
        <v>0</v>
      </c>
      <c r="B1021">
        <v>1221016</v>
      </c>
      <c r="C1021">
        <v>15953.12</v>
      </c>
      <c r="D1021" s="4">
        <f>+VLOOKUP(A1021,Portfolio!$G$3:$I$6,3)</f>
        <v>5</v>
      </c>
      <c r="E1021">
        <f t="shared" si="15"/>
        <v>79765.600000000006</v>
      </c>
    </row>
    <row r="1022" spans="1:5" x14ac:dyDescent="0.25">
      <c r="A1022" t="s">
        <v>0</v>
      </c>
      <c r="B1022">
        <v>1221017</v>
      </c>
      <c r="C1022">
        <v>15859.38</v>
      </c>
      <c r="D1022" s="4">
        <f>+VLOOKUP(A1022,Portfolio!$G$3:$I$6,3)</f>
        <v>5</v>
      </c>
      <c r="E1022">
        <f t="shared" si="15"/>
        <v>79296.899999999994</v>
      </c>
    </row>
    <row r="1023" spans="1:5" x14ac:dyDescent="0.25">
      <c r="A1023" t="s">
        <v>0</v>
      </c>
      <c r="B1023">
        <v>1221018</v>
      </c>
      <c r="C1023">
        <v>15250</v>
      </c>
      <c r="D1023" s="4">
        <f>+VLOOKUP(A1023,Portfolio!$G$3:$I$6,3)</f>
        <v>5</v>
      </c>
      <c r="E1023">
        <f t="shared" si="15"/>
        <v>76250</v>
      </c>
    </row>
    <row r="1024" spans="1:5" x14ac:dyDescent="0.25">
      <c r="A1024" t="s">
        <v>0</v>
      </c>
      <c r="B1024">
        <v>1221019</v>
      </c>
      <c r="C1024">
        <v>14484.38</v>
      </c>
      <c r="D1024" s="4">
        <f>+VLOOKUP(A1024,Portfolio!$G$3:$I$6,3)</f>
        <v>5</v>
      </c>
      <c r="E1024">
        <f t="shared" si="15"/>
        <v>72421.899999999994</v>
      </c>
    </row>
    <row r="1025" spans="1:5" x14ac:dyDescent="0.25">
      <c r="A1025" t="s">
        <v>0</v>
      </c>
      <c r="B1025">
        <v>1221020</v>
      </c>
      <c r="C1025">
        <v>15343.75</v>
      </c>
      <c r="D1025" s="4">
        <f>+VLOOKUP(A1025,Portfolio!$G$3:$I$6,3)</f>
        <v>5</v>
      </c>
      <c r="E1025">
        <f t="shared" si="15"/>
        <v>76718.75</v>
      </c>
    </row>
    <row r="1026" spans="1:5" x14ac:dyDescent="0.25">
      <c r="A1026" t="s">
        <v>0</v>
      </c>
      <c r="B1026">
        <v>1221021</v>
      </c>
      <c r="C1026">
        <v>14109.38</v>
      </c>
      <c r="D1026" s="4">
        <f>+VLOOKUP(A1026,Portfolio!$G$3:$I$6,3)</f>
        <v>5</v>
      </c>
      <c r="E1026">
        <f t="shared" si="15"/>
        <v>70546.899999999994</v>
      </c>
    </row>
    <row r="1027" spans="1:5" x14ac:dyDescent="0.25">
      <c r="A1027" t="s">
        <v>0</v>
      </c>
      <c r="B1027">
        <v>1221023</v>
      </c>
      <c r="C1027">
        <v>14093.75</v>
      </c>
      <c r="D1027" s="4">
        <f>+VLOOKUP(A1027,Portfolio!$G$3:$I$6,3)</f>
        <v>5</v>
      </c>
      <c r="E1027">
        <f t="shared" ref="E1027:E1090" si="16">+C1027*D1027</f>
        <v>70468.75</v>
      </c>
    </row>
    <row r="1028" spans="1:5" x14ac:dyDescent="0.25">
      <c r="A1028" t="s">
        <v>0</v>
      </c>
      <c r="B1028">
        <v>1221024</v>
      </c>
      <c r="C1028">
        <v>14421.88</v>
      </c>
      <c r="D1028" s="4">
        <f>+VLOOKUP(A1028,Portfolio!$G$3:$I$6,3)</f>
        <v>5</v>
      </c>
      <c r="E1028">
        <f t="shared" si="16"/>
        <v>72109.399999999994</v>
      </c>
    </row>
    <row r="1029" spans="1:5" x14ac:dyDescent="0.25">
      <c r="A1029" t="s">
        <v>0</v>
      </c>
      <c r="B1029">
        <v>1221025</v>
      </c>
      <c r="C1029">
        <v>13875</v>
      </c>
      <c r="D1029" s="4">
        <f>+VLOOKUP(A1029,Portfolio!$G$3:$I$6,3)</f>
        <v>5</v>
      </c>
      <c r="E1029">
        <f t="shared" si="16"/>
        <v>69375</v>
      </c>
    </row>
    <row r="1030" spans="1:5" x14ac:dyDescent="0.25">
      <c r="A1030" t="s">
        <v>0</v>
      </c>
      <c r="B1030">
        <v>1221026</v>
      </c>
      <c r="C1030">
        <v>14015.62</v>
      </c>
      <c r="D1030" s="4">
        <f>+VLOOKUP(A1030,Portfolio!$G$3:$I$6,3)</f>
        <v>5</v>
      </c>
      <c r="E1030">
        <f t="shared" si="16"/>
        <v>70078.100000000006</v>
      </c>
    </row>
    <row r="1031" spans="1:5" x14ac:dyDescent="0.25">
      <c r="A1031" t="s">
        <v>0</v>
      </c>
      <c r="B1031">
        <v>1221027</v>
      </c>
      <c r="C1031">
        <v>14421.88</v>
      </c>
      <c r="D1031" s="4">
        <f>+VLOOKUP(A1031,Portfolio!$G$3:$I$6,3)</f>
        <v>5</v>
      </c>
      <c r="E1031">
        <f t="shared" si="16"/>
        <v>72109.399999999994</v>
      </c>
    </row>
    <row r="1032" spans="1:5" x14ac:dyDescent="0.25">
      <c r="A1032" t="s">
        <v>0</v>
      </c>
      <c r="B1032">
        <v>1221028</v>
      </c>
      <c r="C1032">
        <v>15093.75</v>
      </c>
      <c r="D1032" s="4">
        <f>+VLOOKUP(A1032,Portfolio!$G$3:$I$6,3)</f>
        <v>5</v>
      </c>
      <c r="E1032">
        <f t="shared" si="16"/>
        <v>75468.75</v>
      </c>
    </row>
    <row r="1033" spans="1:5" x14ac:dyDescent="0.25">
      <c r="A1033" t="s">
        <v>0</v>
      </c>
      <c r="B1033">
        <v>1221030</v>
      </c>
      <c r="C1033">
        <v>14531.25</v>
      </c>
      <c r="D1033" s="4">
        <f>+VLOOKUP(A1033,Portfolio!$G$3:$I$6,3)</f>
        <v>5</v>
      </c>
      <c r="E1033">
        <f t="shared" si="16"/>
        <v>72656.25</v>
      </c>
    </row>
    <row r="1034" spans="1:5" x14ac:dyDescent="0.25">
      <c r="A1034" t="s">
        <v>0</v>
      </c>
      <c r="B1034">
        <v>1221031</v>
      </c>
      <c r="C1034">
        <v>14640.62</v>
      </c>
      <c r="D1034" s="4">
        <f>+VLOOKUP(A1034,Portfolio!$G$3:$I$6,3)</f>
        <v>5</v>
      </c>
      <c r="E1034">
        <f t="shared" si="16"/>
        <v>73203.100000000006</v>
      </c>
    </row>
    <row r="1035" spans="1:5" x14ac:dyDescent="0.25">
      <c r="A1035" t="s">
        <v>0</v>
      </c>
      <c r="B1035">
        <v>1221101</v>
      </c>
      <c r="C1035">
        <v>14515.62</v>
      </c>
      <c r="D1035" s="4">
        <f>+VLOOKUP(A1035,Portfolio!$G$3:$I$6,3)</f>
        <v>5</v>
      </c>
      <c r="E1035">
        <f t="shared" si="16"/>
        <v>72578.100000000006</v>
      </c>
    </row>
    <row r="1036" spans="1:5" x14ac:dyDescent="0.25">
      <c r="A1036" t="s">
        <v>0</v>
      </c>
      <c r="B1036">
        <v>1221102</v>
      </c>
      <c r="C1036">
        <v>13187.5</v>
      </c>
      <c r="D1036" s="4">
        <f>+VLOOKUP(A1036,Portfolio!$G$3:$I$6,3)</f>
        <v>5</v>
      </c>
      <c r="E1036">
        <f t="shared" si="16"/>
        <v>65937.5</v>
      </c>
    </row>
    <row r="1037" spans="1:5" x14ac:dyDescent="0.25">
      <c r="A1037" t="s">
        <v>0</v>
      </c>
      <c r="B1037">
        <v>1221103</v>
      </c>
      <c r="C1037">
        <v>12375</v>
      </c>
      <c r="D1037" s="4">
        <f>+VLOOKUP(A1037,Portfolio!$G$3:$I$6,3)</f>
        <v>5</v>
      </c>
      <c r="E1037">
        <f t="shared" si="16"/>
        <v>61875</v>
      </c>
    </row>
    <row r="1038" spans="1:5" x14ac:dyDescent="0.25">
      <c r="A1038" t="s">
        <v>0</v>
      </c>
      <c r="B1038">
        <v>1221104</v>
      </c>
      <c r="C1038">
        <v>11234.38</v>
      </c>
      <c r="D1038" s="4">
        <f>+VLOOKUP(A1038,Portfolio!$G$3:$I$6,3)</f>
        <v>5</v>
      </c>
      <c r="E1038">
        <f t="shared" si="16"/>
        <v>56171.899999999994</v>
      </c>
    </row>
    <row r="1039" spans="1:5" x14ac:dyDescent="0.25">
      <c r="A1039" t="s">
        <v>0</v>
      </c>
      <c r="B1039">
        <v>1221106</v>
      </c>
      <c r="C1039">
        <v>11062.5</v>
      </c>
      <c r="D1039" s="4">
        <f>+VLOOKUP(A1039,Portfolio!$G$3:$I$6,3)</f>
        <v>5</v>
      </c>
      <c r="E1039">
        <f t="shared" si="16"/>
        <v>55312.5</v>
      </c>
    </row>
    <row r="1040" spans="1:5" x14ac:dyDescent="0.25">
      <c r="A1040" t="s">
        <v>0</v>
      </c>
      <c r="B1040">
        <v>1221107</v>
      </c>
      <c r="C1040">
        <v>11015.62</v>
      </c>
      <c r="D1040" s="4">
        <f>+VLOOKUP(A1040,Portfolio!$G$3:$I$6,3)</f>
        <v>5</v>
      </c>
      <c r="E1040">
        <f t="shared" si="16"/>
        <v>55078.100000000006</v>
      </c>
    </row>
    <row r="1041" spans="1:5" x14ac:dyDescent="0.25">
      <c r="A1041" t="s">
        <v>0</v>
      </c>
      <c r="B1041">
        <v>1221108</v>
      </c>
      <c r="C1041">
        <v>11078.12</v>
      </c>
      <c r="D1041" s="4">
        <f>+VLOOKUP(A1041,Portfolio!$G$3:$I$6,3)</f>
        <v>5</v>
      </c>
      <c r="E1041">
        <f t="shared" si="16"/>
        <v>55390.600000000006</v>
      </c>
    </row>
    <row r="1042" spans="1:5" x14ac:dyDescent="0.25">
      <c r="A1042" t="s">
        <v>0</v>
      </c>
      <c r="B1042">
        <v>1221109</v>
      </c>
      <c r="C1042">
        <v>11281.25</v>
      </c>
      <c r="D1042" s="4">
        <f>+VLOOKUP(A1042,Portfolio!$G$3:$I$6,3)</f>
        <v>5</v>
      </c>
      <c r="E1042">
        <f t="shared" si="16"/>
        <v>56406.25</v>
      </c>
    </row>
    <row r="1043" spans="1:5" x14ac:dyDescent="0.25">
      <c r="A1043" t="s">
        <v>0</v>
      </c>
      <c r="B1043">
        <v>1221110</v>
      </c>
      <c r="C1043">
        <v>10937.5</v>
      </c>
      <c r="D1043" s="4">
        <f>+VLOOKUP(A1043,Portfolio!$G$3:$I$6,3)</f>
        <v>5</v>
      </c>
      <c r="E1043">
        <f t="shared" si="16"/>
        <v>54687.5</v>
      </c>
    </row>
    <row r="1044" spans="1:5" x14ac:dyDescent="0.25">
      <c r="A1044" t="s">
        <v>0</v>
      </c>
      <c r="B1044">
        <v>1221111</v>
      </c>
      <c r="C1044">
        <v>12484.38</v>
      </c>
      <c r="D1044" s="4">
        <f>+VLOOKUP(A1044,Portfolio!$G$3:$I$6,3)</f>
        <v>5</v>
      </c>
      <c r="E1044">
        <f t="shared" si="16"/>
        <v>62421.899999999994</v>
      </c>
    </row>
    <row r="1045" spans="1:5" x14ac:dyDescent="0.25">
      <c r="A1045" t="s">
        <v>0</v>
      </c>
      <c r="B1045">
        <v>1221113</v>
      </c>
      <c r="C1045">
        <v>12437.5</v>
      </c>
      <c r="D1045" s="4">
        <f>+VLOOKUP(A1045,Portfolio!$G$3:$I$6,3)</f>
        <v>5</v>
      </c>
      <c r="E1045">
        <f t="shared" si="16"/>
        <v>62187.5</v>
      </c>
    </row>
    <row r="1046" spans="1:5" x14ac:dyDescent="0.25">
      <c r="A1046" t="s">
        <v>0</v>
      </c>
      <c r="B1046">
        <v>1221114</v>
      </c>
      <c r="C1046">
        <v>12453.12</v>
      </c>
      <c r="D1046" s="4">
        <f>+VLOOKUP(A1046,Portfolio!$G$3:$I$6,3)</f>
        <v>5</v>
      </c>
      <c r="E1046">
        <f t="shared" si="16"/>
        <v>62265.600000000006</v>
      </c>
    </row>
    <row r="1047" spans="1:5" x14ac:dyDescent="0.25">
      <c r="A1047" t="s">
        <v>0</v>
      </c>
      <c r="B1047">
        <v>1221115</v>
      </c>
      <c r="C1047">
        <v>11812.5</v>
      </c>
      <c r="D1047" s="4">
        <f>+VLOOKUP(A1047,Portfolio!$G$3:$I$6,3)</f>
        <v>5</v>
      </c>
      <c r="E1047">
        <f t="shared" si="16"/>
        <v>59062.5</v>
      </c>
    </row>
    <row r="1048" spans="1:5" x14ac:dyDescent="0.25">
      <c r="A1048" t="s">
        <v>0</v>
      </c>
      <c r="B1048">
        <v>1221116</v>
      </c>
      <c r="C1048">
        <v>10921.88</v>
      </c>
      <c r="D1048" s="4">
        <f>+VLOOKUP(A1048,Portfolio!$G$3:$I$6,3)</f>
        <v>5</v>
      </c>
      <c r="E1048">
        <f t="shared" si="16"/>
        <v>54609.399999999994</v>
      </c>
    </row>
    <row r="1049" spans="1:5" x14ac:dyDescent="0.25">
      <c r="A1049" t="s">
        <v>0</v>
      </c>
      <c r="B1049">
        <v>1221117</v>
      </c>
      <c r="C1049">
        <v>11562.5</v>
      </c>
      <c r="D1049" s="4">
        <f>+VLOOKUP(A1049,Portfolio!$G$3:$I$6,3)</f>
        <v>5</v>
      </c>
      <c r="E1049">
        <f t="shared" si="16"/>
        <v>57812.5</v>
      </c>
    </row>
    <row r="1050" spans="1:5" x14ac:dyDescent="0.25">
      <c r="A1050" t="s">
        <v>0</v>
      </c>
      <c r="B1050">
        <v>1221118</v>
      </c>
      <c r="C1050">
        <v>11500</v>
      </c>
      <c r="D1050" s="4">
        <f>+VLOOKUP(A1050,Portfolio!$G$3:$I$6,3)</f>
        <v>5</v>
      </c>
      <c r="E1050">
        <f t="shared" si="16"/>
        <v>57500</v>
      </c>
    </row>
    <row r="1051" spans="1:5" x14ac:dyDescent="0.25">
      <c r="A1051" t="s">
        <v>0</v>
      </c>
      <c r="B1051">
        <v>1221120</v>
      </c>
      <c r="C1051">
        <v>11859.38</v>
      </c>
      <c r="D1051" s="4">
        <f>+VLOOKUP(A1051,Portfolio!$G$3:$I$6,3)</f>
        <v>5</v>
      </c>
      <c r="E1051">
        <f t="shared" si="16"/>
        <v>59296.899999999994</v>
      </c>
    </row>
    <row r="1052" spans="1:5" x14ac:dyDescent="0.25">
      <c r="A1052" t="s">
        <v>0</v>
      </c>
      <c r="B1052">
        <v>1221121</v>
      </c>
      <c r="C1052">
        <v>11734.38</v>
      </c>
      <c r="D1052" s="4">
        <f>+VLOOKUP(A1052,Portfolio!$G$3:$I$6,3)</f>
        <v>5</v>
      </c>
      <c r="E1052">
        <f t="shared" si="16"/>
        <v>58671.899999999994</v>
      </c>
    </row>
    <row r="1053" spans="1:5" x14ac:dyDescent="0.25">
      <c r="A1053" t="s">
        <v>0</v>
      </c>
      <c r="B1053">
        <v>1221122</v>
      </c>
      <c r="C1053">
        <v>11484.38</v>
      </c>
      <c r="D1053" s="4">
        <f>+VLOOKUP(A1053,Portfolio!$G$3:$I$6,3)</f>
        <v>5</v>
      </c>
      <c r="E1053">
        <f t="shared" si="16"/>
        <v>57421.899999999994</v>
      </c>
    </row>
    <row r="1054" spans="1:5" x14ac:dyDescent="0.25">
      <c r="A1054" t="s">
        <v>0</v>
      </c>
      <c r="B1054">
        <v>1221123</v>
      </c>
      <c r="C1054">
        <v>11687.5</v>
      </c>
      <c r="D1054" s="4">
        <f>+VLOOKUP(A1054,Portfolio!$G$3:$I$6,3)</f>
        <v>5</v>
      </c>
      <c r="E1054">
        <f t="shared" si="16"/>
        <v>58437.5</v>
      </c>
    </row>
    <row r="1055" spans="1:5" x14ac:dyDescent="0.25">
      <c r="A1055" t="s">
        <v>0</v>
      </c>
      <c r="B1055">
        <v>1221124</v>
      </c>
      <c r="C1055">
        <v>11625</v>
      </c>
      <c r="D1055" s="4">
        <f>+VLOOKUP(A1055,Portfolio!$G$3:$I$6,3)</f>
        <v>5</v>
      </c>
      <c r="E1055">
        <f t="shared" si="16"/>
        <v>58125</v>
      </c>
    </row>
    <row r="1056" spans="1:5" x14ac:dyDescent="0.25">
      <c r="A1056" t="s">
        <v>0</v>
      </c>
      <c r="B1056">
        <v>1221125</v>
      </c>
      <c r="C1056">
        <v>11843.75</v>
      </c>
      <c r="D1056" s="4">
        <f>+VLOOKUP(A1056,Portfolio!$G$3:$I$6,3)</f>
        <v>5</v>
      </c>
      <c r="E1056">
        <f t="shared" si="16"/>
        <v>59218.75</v>
      </c>
    </row>
    <row r="1057" spans="1:5" x14ac:dyDescent="0.25">
      <c r="A1057" t="s">
        <v>0</v>
      </c>
      <c r="B1057">
        <v>1221127</v>
      </c>
      <c r="C1057">
        <v>10984.38</v>
      </c>
      <c r="D1057" s="4">
        <f>+VLOOKUP(A1057,Portfolio!$G$3:$I$6,3)</f>
        <v>5</v>
      </c>
      <c r="E1057">
        <f t="shared" si="16"/>
        <v>54921.899999999994</v>
      </c>
    </row>
    <row r="1058" spans="1:5" x14ac:dyDescent="0.25">
      <c r="A1058" t="s">
        <v>0</v>
      </c>
      <c r="B1058">
        <v>1221128</v>
      </c>
      <c r="C1058">
        <v>10640.62</v>
      </c>
      <c r="D1058" s="4">
        <f>+VLOOKUP(A1058,Portfolio!$G$3:$I$6,3)</f>
        <v>5</v>
      </c>
      <c r="E1058">
        <f t="shared" si="16"/>
        <v>53203.100000000006</v>
      </c>
    </row>
    <row r="1059" spans="1:5" x14ac:dyDescent="0.25">
      <c r="A1059" t="s">
        <v>0</v>
      </c>
      <c r="B1059">
        <v>1221129</v>
      </c>
      <c r="C1059">
        <v>11203.12</v>
      </c>
      <c r="D1059" s="4">
        <f>+VLOOKUP(A1059,Portfolio!$G$3:$I$6,3)</f>
        <v>5</v>
      </c>
      <c r="E1059">
        <f t="shared" si="16"/>
        <v>56015.600000000006</v>
      </c>
    </row>
    <row r="1060" spans="1:5" x14ac:dyDescent="0.25">
      <c r="A1060" t="s">
        <v>0</v>
      </c>
      <c r="B1060">
        <v>1221130</v>
      </c>
      <c r="C1060">
        <v>11250</v>
      </c>
      <c r="D1060" s="4">
        <f>+VLOOKUP(A1060,Portfolio!$G$3:$I$6,3)</f>
        <v>5</v>
      </c>
      <c r="E1060">
        <f t="shared" si="16"/>
        <v>56250</v>
      </c>
    </row>
    <row r="1061" spans="1:5" x14ac:dyDescent="0.25">
      <c r="A1061" t="s">
        <v>0</v>
      </c>
      <c r="B1061">
        <v>1221201</v>
      </c>
      <c r="C1061">
        <v>10375</v>
      </c>
      <c r="D1061" s="4">
        <f>+VLOOKUP(A1061,Portfolio!$G$3:$I$6,3)</f>
        <v>5</v>
      </c>
      <c r="E1061">
        <f t="shared" si="16"/>
        <v>51875</v>
      </c>
    </row>
    <row r="1062" spans="1:5" x14ac:dyDescent="0.25">
      <c r="A1062" t="s">
        <v>0</v>
      </c>
      <c r="B1062">
        <v>1221202</v>
      </c>
      <c r="C1062">
        <v>10625</v>
      </c>
      <c r="D1062" s="4">
        <f>+VLOOKUP(A1062,Portfolio!$G$3:$I$6,3)</f>
        <v>5</v>
      </c>
      <c r="E1062">
        <f t="shared" si="16"/>
        <v>53125</v>
      </c>
    </row>
    <row r="1063" spans="1:5" x14ac:dyDescent="0.25">
      <c r="A1063" t="s">
        <v>0</v>
      </c>
      <c r="B1063">
        <v>1221204</v>
      </c>
      <c r="C1063">
        <v>10468.75</v>
      </c>
      <c r="D1063" s="4">
        <f>+VLOOKUP(A1063,Portfolio!$G$3:$I$6,3)</f>
        <v>5</v>
      </c>
      <c r="E1063">
        <f t="shared" si="16"/>
        <v>52343.75</v>
      </c>
    </row>
    <row r="1064" spans="1:5" x14ac:dyDescent="0.25">
      <c r="A1064" t="s">
        <v>0</v>
      </c>
      <c r="B1064">
        <v>1221205</v>
      </c>
      <c r="C1064">
        <v>10593.75</v>
      </c>
      <c r="D1064" s="4">
        <f>+VLOOKUP(A1064,Portfolio!$G$3:$I$6,3)</f>
        <v>5</v>
      </c>
      <c r="E1064">
        <f t="shared" si="16"/>
        <v>52968.75</v>
      </c>
    </row>
    <row r="1065" spans="1:5" x14ac:dyDescent="0.25">
      <c r="A1065" t="s">
        <v>0</v>
      </c>
      <c r="B1065">
        <v>1221206</v>
      </c>
      <c r="C1065">
        <v>10687.5</v>
      </c>
      <c r="D1065" s="4">
        <f>+VLOOKUP(A1065,Portfolio!$G$3:$I$6,3)</f>
        <v>5</v>
      </c>
      <c r="E1065">
        <f t="shared" si="16"/>
        <v>53437.5</v>
      </c>
    </row>
    <row r="1066" spans="1:5" x14ac:dyDescent="0.25">
      <c r="A1066" t="s">
        <v>0</v>
      </c>
      <c r="B1066">
        <v>1221207</v>
      </c>
      <c r="C1066">
        <v>10531.25</v>
      </c>
      <c r="D1066" s="4">
        <f>+VLOOKUP(A1066,Portfolio!$G$3:$I$6,3)</f>
        <v>5</v>
      </c>
      <c r="E1066">
        <f t="shared" si="16"/>
        <v>52656.25</v>
      </c>
    </row>
    <row r="1067" spans="1:5" x14ac:dyDescent="0.25">
      <c r="A1067" t="s">
        <v>0</v>
      </c>
      <c r="B1067">
        <v>1221208</v>
      </c>
      <c r="C1067">
        <v>10515.62</v>
      </c>
      <c r="D1067" s="4">
        <f>+VLOOKUP(A1067,Portfolio!$G$3:$I$6,3)</f>
        <v>5</v>
      </c>
      <c r="E1067">
        <f t="shared" si="16"/>
        <v>52578.100000000006</v>
      </c>
    </row>
    <row r="1068" spans="1:5" x14ac:dyDescent="0.25">
      <c r="A1068" t="s">
        <v>0</v>
      </c>
      <c r="B1068">
        <v>1221209</v>
      </c>
      <c r="C1068">
        <v>10437.5</v>
      </c>
      <c r="D1068" s="4">
        <f>+VLOOKUP(A1068,Portfolio!$G$3:$I$6,3)</f>
        <v>5</v>
      </c>
      <c r="E1068">
        <f t="shared" si="16"/>
        <v>52187.5</v>
      </c>
    </row>
    <row r="1069" spans="1:5" x14ac:dyDescent="0.25">
      <c r="A1069" t="s">
        <v>0</v>
      </c>
      <c r="B1069">
        <v>1221211</v>
      </c>
      <c r="C1069">
        <v>10687.5</v>
      </c>
      <c r="D1069" s="4">
        <f>+VLOOKUP(A1069,Portfolio!$G$3:$I$6,3)</f>
        <v>5</v>
      </c>
      <c r="E1069">
        <f t="shared" si="16"/>
        <v>53437.5</v>
      </c>
    </row>
    <row r="1070" spans="1:5" x14ac:dyDescent="0.25">
      <c r="A1070" t="s">
        <v>0</v>
      </c>
      <c r="B1070">
        <v>1221212</v>
      </c>
      <c r="C1070">
        <v>10531.25</v>
      </c>
      <c r="D1070" s="4">
        <f>+VLOOKUP(A1070,Portfolio!$G$3:$I$6,3)</f>
        <v>5</v>
      </c>
      <c r="E1070">
        <f t="shared" si="16"/>
        <v>52656.25</v>
      </c>
    </row>
    <row r="1071" spans="1:5" x14ac:dyDescent="0.25">
      <c r="A1071" t="s">
        <v>0</v>
      </c>
      <c r="B1071">
        <v>1221213</v>
      </c>
      <c r="C1071">
        <v>10718.75</v>
      </c>
      <c r="D1071" s="4">
        <f>+VLOOKUP(A1071,Portfolio!$G$3:$I$6,3)</f>
        <v>5</v>
      </c>
      <c r="E1071">
        <f t="shared" si="16"/>
        <v>53593.75</v>
      </c>
    </row>
    <row r="1072" spans="1:5" x14ac:dyDescent="0.25">
      <c r="A1072" t="s">
        <v>0</v>
      </c>
      <c r="B1072">
        <v>1221214</v>
      </c>
      <c r="C1072">
        <v>11359.38</v>
      </c>
      <c r="D1072" s="4">
        <f>+VLOOKUP(A1072,Portfolio!$G$3:$I$6,3)</f>
        <v>5</v>
      </c>
      <c r="E1072">
        <f t="shared" si="16"/>
        <v>56796.899999999994</v>
      </c>
    </row>
    <row r="1073" spans="1:5" x14ac:dyDescent="0.25">
      <c r="A1073" t="s">
        <v>0</v>
      </c>
      <c r="B1073">
        <v>1221215</v>
      </c>
      <c r="C1073">
        <v>11125</v>
      </c>
      <c r="D1073" s="4">
        <f>+VLOOKUP(A1073,Portfolio!$G$3:$I$6,3)</f>
        <v>5</v>
      </c>
      <c r="E1073">
        <f t="shared" si="16"/>
        <v>55625</v>
      </c>
    </row>
    <row r="1074" spans="1:5" x14ac:dyDescent="0.25">
      <c r="A1074" t="s">
        <v>0</v>
      </c>
      <c r="B1074">
        <v>1221216</v>
      </c>
      <c r="C1074">
        <v>10109.379999999999</v>
      </c>
      <c r="D1074" s="4">
        <f>+VLOOKUP(A1074,Portfolio!$G$3:$I$6,3)</f>
        <v>5</v>
      </c>
      <c r="E1074">
        <f t="shared" si="16"/>
        <v>50546.899999999994</v>
      </c>
    </row>
    <row r="1075" spans="1:5" x14ac:dyDescent="0.25">
      <c r="A1075" t="s">
        <v>0</v>
      </c>
      <c r="B1075">
        <v>1221218</v>
      </c>
      <c r="C1075">
        <v>9953.1200000000008</v>
      </c>
      <c r="D1075" s="4">
        <f>+VLOOKUP(A1075,Portfolio!$G$3:$I$6,3)</f>
        <v>5</v>
      </c>
      <c r="E1075">
        <f t="shared" si="16"/>
        <v>49765.600000000006</v>
      </c>
    </row>
    <row r="1076" spans="1:5" x14ac:dyDescent="0.25">
      <c r="A1076" t="s">
        <v>0</v>
      </c>
      <c r="B1076">
        <v>1221219</v>
      </c>
      <c r="C1076">
        <v>9968.75</v>
      </c>
      <c r="D1076" s="4">
        <f>+VLOOKUP(A1076,Portfolio!$G$3:$I$6,3)</f>
        <v>5</v>
      </c>
      <c r="E1076">
        <f t="shared" si="16"/>
        <v>49843.75</v>
      </c>
    </row>
    <row r="1077" spans="1:5" x14ac:dyDescent="0.25">
      <c r="A1077" t="s">
        <v>0</v>
      </c>
      <c r="B1077">
        <v>1221220</v>
      </c>
      <c r="C1077">
        <v>10937.5</v>
      </c>
      <c r="D1077" s="4">
        <f>+VLOOKUP(A1077,Portfolio!$G$3:$I$6,3)</f>
        <v>5</v>
      </c>
      <c r="E1077">
        <f t="shared" si="16"/>
        <v>54687.5</v>
      </c>
    </row>
    <row r="1078" spans="1:5" x14ac:dyDescent="0.25">
      <c r="A1078" t="s">
        <v>0</v>
      </c>
      <c r="B1078">
        <v>1221221</v>
      </c>
      <c r="C1078">
        <v>11125</v>
      </c>
      <c r="D1078" s="4">
        <f>+VLOOKUP(A1078,Portfolio!$G$3:$I$6,3)</f>
        <v>5</v>
      </c>
      <c r="E1078">
        <f t="shared" si="16"/>
        <v>55625</v>
      </c>
    </row>
    <row r="1079" spans="1:5" x14ac:dyDescent="0.25">
      <c r="A1079" t="s">
        <v>0</v>
      </c>
      <c r="B1079">
        <v>1221222</v>
      </c>
      <c r="C1079">
        <v>10937.5</v>
      </c>
      <c r="D1079" s="4">
        <f>+VLOOKUP(A1079,Portfolio!$G$3:$I$6,3)</f>
        <v>5</v>
      </c>
      <c r="E1079">
        <f t="shared" si="16"/>
        <v>54687.5</v>
      </c>
    </row>
    <row r="1080" spans="1:5" x14ac:dyDescent="0.25">
      <c r="A1080" t="s">
        <v>0</v>
      </c>
      <c r="B1080">
        <v>1221223</v>
      </c>
      <c r="C1080">
        <v>11062.5</v>
      </c>
      <c r="D1080" s="4">
        <f>+VLOOKUP(A1080,Portfolio!$G$3:$I$6,3)</f>
        <v>5</v>
      </c>
      <c r="E1080">
        <f t="shared" si="16"/>
        <v>55312.5</v>
      </c>
    </row>
    <row r="1081" spans="1:5" x14ac:dyDescent="0.25">
      <c r="A1081" t="s">
        <v>0</v>
      </c>
      <c r="B1081">
        <v>1221226</v>
      </c>
      <c r="C1081">
        <v>11281.25</v>
      </c>
      <c r="D1081" s="4">
        <f>+VLOOKUP(A1081,Portfolio!$G$3:$I$6,3)</f>
        <v>5</v>
      </c>
      <c r="E1081">
        <f t="shared" si="16"/>
        <v>56406.25</v>
      </c>
    </row>
    <row r="1082" spans="1:5" x14ac:dyDescent="0.25">
      <c r="A1082" t="s">
        <v>0</v>
      </c>
      <c r="B1082">
        <v>1221227</v>
      </c>
      <c r="C1082">
        <v>11343.75</v>
      </c>
      <c r="D1082" s="4">
        <f>+VLOOKUP(A1082,Portfolio!$G$3:$I$6,3)</f>
        <v>5</v>
      </c>
      <c r="E1082">
        <f t="shared" si="16"/>
        <v>56718.75</v>
      </c>
    </row>
    <row r="1083" spans="1:5" x14ac:dyDescent="0.25">
      <c r="A1083" t="s">
        <v>0</v>
      </c>
      <c r="B1083">
        <v>1221228</v>
      </c>
      <c r="C1083">
        <v>12000</v>
      </c>
      <c r="D1083" s="4">
        <f>+VLOOKUP(A1083,Portfolio!$G$3:$I$6,3)</f>
        <v>5</v>
      </c>
      <c r="E1083">
        <f t="shared" si="16"/>
        <v>60000</v>
      </c>
    </row>
    <row r="1084" spans="1:5" x14ac:dyDescent="0.25">
      <c r="A1084" t="s">
        <v>0</v>
      </c>
      <c r="B1084">
        <v>1221229</v>
      </c>
      <c r="C1084">
        <v>11593.75</v>
      </c>
      <c r="D1084" s="4">
        <f>+VLOOKUP(A1084,Portfolio!$G$3:$I$6,3)</f>
        <v>5</v>
      </c>
      <c r="E1084">
        <f t="shared" si="16"/>
        <v>57968.75</v>
      </c>
    </row>
    <row r="1085" spans="1:5" x14ac:dyDescent="0.25">
      <c r="A1085" t="s">
        <v>0</v>
      </c>
      <c r="B1085">
        <v>1221230</v>
      </c>
      <c r="C1085">
        <v>11562.5</v>
      </c>
      <c r="D1085" s="4">
        <f>+VLOOKUP(A1085,Portfolio!$G$3:$I$6,3)</f>
        <v>5</v>
      </c>
      <c r="E1085">
        <f t="shared" si="16"/>
        <v>57812.5</v>
      </c>
    </row>
    <row r="1086" spans="1:5" x14ac:dyDescent="0.25">
      <c r="A1086" t="s">
        <v>0</v>
      </c>
      <c r="B1086">
        <v>1230102</v>
      </c>
      <c r="C1086">
        <v>11453.12</v>
      </c>
      <c r="D1086" s="4">
        <f>+VLOOKUP(A1086,Portfolio!$G$3:$I$6,3)</f>
        <v>5</v>
      </c>
      <c r="E1086">
        <f t="shared" si="16"/>
        <v>57265.600000000006</v>
      </c>
    </row>
    <row r="1087" spans="1:5" x14ac:dyDescent="0.25">
      <c r="A1087" t="s">
        <v>0</v>
      </c>
      <c r="B1087">
        <v>1230103</v>
      </c>
      <c r="C1087">
        <v>11359.38</v>
      </c>
      <c r="D1087" s="4">
        <f>+VLOOKUP(A1087,Portfolio!$G$3:$I$6,3)</f>
        <v>5</v>
      </c>
      <c r="E1087">
        <f t="shared" si="16"/>
        <v>56796.899999999994</v>
      </c>
    </row>
    <row r="1088" spans="1:5" x14ac:dyDescent="0.25">
      <c r="A1088" t="s">
        <v>0</v>
      </c>
      <c r="B1088">
        <v>1230104</v>
      </c>
      <c r="C1088">
        <v>10890.62</v>
      </c>
      <c r="D1088" s="4">
        <f>+VLOOKUP(A1088,Portfolio!$G$3:$I$6,3)</f>
        <v>5</v>
      </c>
      <c r="E1088">
        <f t="shared" si="16"/>
        <v>54453.100000000006</v>
      </c>
    </row>
    <row r="1089" spans="1:5" x14ac:dyDescent="0.25">
      <c r="A1089" t="s">
        <v>0</v>
      </c>
      <c r="B1089">
        <v>1230105</v>
      </c>
      <c r="C1089">
        <v>10984.38</v>
      </c>
      <c r="D1089" s="4">
        <f>+VLOOKUP(A1089,Portfolio!$G$3:$I$6,3)</f>
        <v>5</v>
      </c>
      <c r="E1089">
        <f t="shared" si="16"/>
        <v>54921.899999999994</v>
      </c>
    </row>
    <row r="1090" spans="1:5" x14ac:dyDescent="0.25">
      <c r="A1090" t="s">
        <v>0</v>
      </c>
      <c r="B1090">
        <v>1230106</v>
      </c>
      <c r="C1090">
        <v>11031.25</v>
      </c>
      <c r="D1090" s="4">
        <f>+VLOOKUP(A1090,Portfolio!$G$3:$I$6,3)</f>
        <v>5</v>
      </c>
      <c r="E1090">
        <f t="shared" si="16"/>
        <v>55156.25</v>
      </c>
    </row>
    <row r="1091" spans="1:5" x14ac:dyDescent="0.25">
      <c r="A1091" t="s">
        <v>0</v>
      </c>
      <c r="B1091">
        <v>1230108</v>
      </c>
      <c r="C1091">
        <v>12109.38</v>
      </c>
      <c r="D1091" s="4">
        <f>+VLOOKUP(A1091,Portfolio!$G$3:$I$6,3)</f>
        <v>5</v>
      </c>
      <c r="E1091">
        <f t="shared" ref="E1091:E1154" si="17">+C1091*D1091</f>
        <v>60546.899999999994</v>
      </c>
    </row>
    <row r="1092" spans="1:5" x14ac:dyDescent="0.25">
      <c r="A1092" t="s">
        <v>0</v>
      </c>
      <c r="B1092">
        <v>1230109</v>
      </c>
      <c r="C1092">
        <v>12109.38</v>
      </c>
      <c r="D1092" s="4">
        <f>+VLOOKUP(A1092,Portfolio!$G$3:$I$6,3)</f>
        <v>5</v>
      </c>
      <c r="E1092">
        <f t="shared" si="17"/>
        <v>60546.899999999994</v>
      </c>
    </row>
    <row r="1093" spans="1:5" x14ac:dyDescent="0.25">
      <c r="A1093" t="s">
        <v>0</v>
      </c>
      <c r="B1093">
        <v>1230110</v>
      </c>
      <c r="C1093">
        <v>12390.62</v>
      </c>
      <c r="D1093" s="4">
        <f>+VLOOKUP(A1093,Portfolio!$G$3:$I$6,3)</f>
        <v>5</v>
      </c>
      <c r="E1093">
        <f t="shared" si="17"/>
        <v>61953.100000000006</v>
      </c>
    </row>
    <row r="1094" spans="1:5" x14ac:dyDescent="0.25">
      <c r="A1094" t="s">
        <v>0</v>
      </c>
      <c r="B1094">
        <v>1230111</v>
      </c>
      <c r="C1094">
        <v>12156.25</v>
      </c>
      <c r="D1094" s="4">
        <f>+VLOOKUP(A1094,Portfolio!$G$3:$I$6,3)</f>
        <v>5</v>
      </c>
      <c r="E1094">
        <f t="shared" si="17"/>
        <v>60781.25</v>
      </c>
    </row>
    <row r="1095" spans="1:5" x14ac:dyDescent="0.25">
      <c r="A1095" t="s">
        <v>0</v>
      </c>
      <c r="B1095">
        <v>1230112</v>
      </c>
      <c r="C1095">
        <v>11812.5</v>
      </c>
      <c r="D1095" s="4">
        <f>+VLOOKUP(A1095,Portfolio!$G$3:$I$6,3)</f>
        <v>5</v>
      </c>
      <c r="E1095">
        <f t="shared" si="17"/>
        <v>59062.5</v>
      </c>
    </row>
    <row r="1096" spans="1:5" x14ac:dyDescent="0.25">
      <c r="A1096" t="s">
        <v>0</v>
      </c>
      <c r="B1096">
        <v>1230113</v>
      </c>
      <c r="C1096">
        <v>10562.5</v>
      </c>
      <c r="D1096" s="4">
        <f>+VLOOKUP(A1096,Portfolio!$G$3:$I$6,3)</f>
        <v>5</v>
      </c>
      <c r="E1096">
        <f t="shared" si="17"/>
        <v>52812.5</v>
      </c>
    </row>
    <row r="1097" spans="1:5" x14ac:dyDescent="0.25">
      <c r="A1097" t="s">
        <v>0</v>
      </c>
      <c r="B1097">
        <v>1230115</v>
      </c>
      <c r="C1097">
        <v>10812.5</v>
      </c>
      <c r="D1097" s="4">
        <f>+VLOOKUP(A1097,Portfolio!$G$3:$I$6,3)</f>
        <v>5</v>
      </c>
      <c r="E1097">
        <f t="shared" si="17"/>
        <v>54062.5</v>
      </c>
    </row>
    <row r="1098" spans="1:5" x14ac:dyDescent="0.25">
      <c r="A1098" t="s">
        <v>0</v>
      </c>
      <c r="B1098">
        <v>1230116</v>
      </c>
      <c r="C1098">
        <v>10750</v>
      </c>
      <c r="D1098" s="4">
        <f>+VLOOKUP(A1098,Portfolio!$G$3:$I$6,3)</f>
        <v>5</v>
      </c>
      <c r="E1098">
        <f t="shared" si="17"/>
        <v>53750</v>
      </c>
    </row>
    <row r="1099" spans="1:5" x14ac:dyDescent="0.25">
      <c r="A1099" t="s">
        <v>0</v>
      </c>
      <c r="B1099">
        <v>1230117</v>
      </c>
      <c r="C1099">
        <v>10921.88</v>
      </c>
      <c r="D1099" s="4">
        <f>+VLOOKUP(A1099,Portfolio!$G$3:$I$6,3)</f>
        <v>5</v>
      </c>
      <c r="E1099">
        <f t="shared" si="17"/>
        <v>54609.399999999994</v>
      </c>
    </row>
    <row r="1100" spans="1:5" x14ac:dyDescent="0.25">
      <c r="A1100" t="s">
        <v>0</v>
      </c>
      <c r="B1100">
        <v>1230118</v>
      </c>
      <c r="C1100">
        <v>10859.38</v>
      </c>
      <c r="D1100" s="4">
        <f>+VLOOKUP(A1100,Portfolio!$G$3:$I$6,3)</f>
        <v>5</v>
      </c>
      <c r="E1100">
        <f t="shared" si="17"/>
        <v>54296.899999999994</v>
      </c>
    </row>
    <row r="1101" spans="1:5" x14ac:dyDescent="0.25">
      <c r="A1101" t="s">
        <v>0</v>
      </c>
      <c r="B1101">
        <v>1230119</v>
      </c>
      <c r="C1101">
        <v>12109.38</v>
      </c>
      <c r="D1101" s="4">
        <f>+VLOOKUP(A1101,Portfolio!$G$3:$I$6,3)</f>
        <v>5</v>
      </c>
      <c r="E1101">
        <f t="shared" si="17"/>
        <v>60546.899999999994</v>
      </c>
    </row>
    <row r="1102" spans="1:5" x14ac:dyDescent="0.25">
      <c r="A1102" t="s">
        <v>0</v>
      </c>
      <c r="B1102">
        <v>1230120</v>
      </c>
      <c r="C1102">
        <v>11906.25</v>
      </c>
      <c r="D1102" s="4">
        <f>+VLOOKUP(A1102,Portfolio!$G$3:$I$6,3)</f>
        <v>5</v>
      </c>
      <c r="E1102">
        <f t="shared" si="17"/>
        <v>59531.25</v>
      </c>
    </row>
    <row r="1103" spans="1:5" x14ac:dyDescent="0.25">
      <c r="A1103" t="s">
        <v>0</v>
      </c>
      <c r="B1103">
        <v>1230122</v>
      </c>
      <c r="C1103">
        <v>12359.38</v>
      </c>
      <c r="D1103" s="4">
        <f>+VLOOKUP(A1103,Portfolio!$G$3:$I$6,3)</f>
        <v>5</v>
      </c>
      <c r="E1103">
        <f t="shared" si="17"/>
        <v>61796.899999999994</v>
      </c>
    </row>
    <row r="1104" spans="1:5" x14ac:dyDescent="0.25">
      <c r="A1104" t="s">
        <v>0</v>
      </c>
      <c r="B1104">
        <v>1230123</v>
      </c>
      <c r="C1104">
        <v>12203.12</v>
      </c>
      <c r="D1104" s="4">
        <f>+VLOOKUP(A1104,Portfolio!$G$3:$I$6,3)</f>
        <v>5</v>
      </c>
      <c r="E1104">
        <f t="shared" si="17"/>
        <v>61015.600000000006</v>
      </c>
    </row>
    <row r="1105" spans="1:5" x14ac:dyDescent="0.25">
      <c r="A1105" t="s">
        <v>0</v>
      </c>
      <c r="B1105">
        <v>1230124</v>
      </c>
      <c r="C1105">
        <v>12609.38</v>
      </c>
      <c r="D1105" s="4">
        <f>+VLOOKUP(A1105,Portfolio!$G$3:$I$6,3)</f>
        <v>5</v>
      </c>
      <c r="E1105">
        <f t="shared" si="17"/>
        <v>63046.899999999994</v>
      </c>
    </row>
    <row r="1106" spans="1:5" x14ac:dyDescent="0.25">
      <c r="A1106" t="s">
        <v>0</v>
      </c>
      <c r="B1106">
        <v>1230125</v>
      </c>
      <c r="C1106">
        <v>11968.75</v>
      </c>
      <c r="D1106" s="4">
        <f>+VLOOKUP(A1106,Portfolio!$G$3:$I$6,3)</f>
        <v>5</v>
      </c>
      <c r="E1106">
        <f t="shared" si="17"/>
        <v>59843.75</v>
      </c>
    </row>
    <row r="1107" spans="1:5" x14ac:dyDescent="0.25">
      <c r="A1107" t="s">
        <v>0</v>
      </c>
      <c r="B1107">
        <v>1230126</v>
      </c>
      <c r="C1107">
        <v>11593.75</v>
      </c>
      <c r="D1107" s="4">
        <f>+VLOOKUP(A1107,Portfolio!$G$3:$I$6,3)</f>
        <v>5</v>
      </c>
      <c r="E1107">
        <f t="shared" si="17"/>
        <v>57968.75</v>
      </c>
    </row>
    <row r="1108" spans="1:5" x14ac:dyDescent="0.25">
      <c r="A1108" t="s">
        <v>0</v>
      </c>
      <c r="B1108">
        <v>1230127</v>
      </c>
      <c r="C1108">
        <v>12203.12</v>
      </c>
      <c r="D1108" s="4">
        <f>+VLOOKUP(A1108,Portfolio!$G$3:$I$6,3)</f>
        <v>5</v>
      </c>
      <c r="E1108">
        <f t="shared" si="17"/>
        <v>61015.600000000006</v>
      </c>
    </row>
    <row r="1109" spans="1:5" x14ac:dyDescent="0.25">
      <c r="A1109" t="s">
        <v>0</v>
      </c>
      <c r="B1109">
        <v>1230129</v>
      </c>
      <c r="C1109">
        <v>12187.5</v>
      </c>
      <c r="D1109" s="4">
        <f>+VLOOKUP(A1109,Portfolio!$G$3:$I$6,3)</f>
        <v>5</v>
      </c>
      <c r="E1109">
        <f t="shared" si="17"/>
        <v>60937.5</v>
      </c>
    </row>
    <row r="1110" spans="1:5" x14ac:dyDescent="0.25">
      <c r="A1110" t="s">
        <v>0</v>
      </c>
      <c r="B1110">
        <v>1230130</v>
      </c>
      <c r="C1110">
        <v>12093.75</v>
      </c>
      <c r="D1110" s="4">
        <f>+VLOOKUP(A1110,Portfolio!$G$3:$I$6,3)</f>
        <v>5</v>
      </c>
      <c r="E1110">
        <f t="shared" si="17"/>
        <v>60468.75</v>
      </c>
    </row>
    <row r="1111" spans="1:5" x14ac:dyDescent="0.25">
      <c r="A1111" t="s">
        <v>0</v>
      </c>
      <c r="B1111">
        <v>1230131</v>
      </c>
      <c r="C1111">
        <v>12468.75</v>
      </c>
      <c r="D1111" s="4">
        <f>+VLOOKUP(A1111,Portfolio!$G$3:$I$6,3)</f>
        <v>5</v>
      </c>
      <c r="E1111">
        <f t="shared" si="17"/>
        <v>62343.75</v>
      </c>
    </row>
    <row r="1112" spans="1:5" x14ac:dyDescent="0.25">
      <c r="A1112" t="s">
        <v>0</v>
      </c>
      <c r="B1112">
        <v>1230201</v>
      </c>
      <c r="C1112">
        <v>12234.38</v>
      </c>
      <c r="D1112" s="4">
        <f>+VLOOKUP(A1112,Portfolio!$G$3:$I$6,3)</f>
        <v>5</v>
      </c>
      <c r="E1112">
        <f t="shared" si="17"/>
        <v>61171.899999999994</v>
      </c>
    </row>
    <row r="1113" spans="1:5" x14ac:dyDescent="0.25">
      <c r="A1113" t="s">
        <v>0</v>
      </c>
      <c r="B1113">
        <v>1230202</v>
      </c>
      <c r="C1113">
        <v>12984.38</v>
      </c>
      <c r="D1113" s="4">
        <f>+VLOOKUP(A1113,Portfolio!$G$3:$I$6,3)</f>
        <v>5</v>
      </c>
      <c r="E1113">
        <f t="shared" si="17"/>
        <v>64921.899999999994</v>
      </c>
    </row>
    <row r="1114" spans="1:5" x14ac:dyDescent="0.25">
      <c r="A1114" t="s">
        <v>0</v>
      </c>
      <c r="B1114">
        <v>1230203</v>
      </c>
      <c r="C1114">
        <v>13234.38</v>
      </c>
      <c r="D1114" s="4">
        <f>+VLOOKUP(A1114,Portfolio!$G$3:$I$6,3)</f>
        <v>5</v>
      </c>
      <c r="E1114">
        <f t="shared" si="17"/>
        <v>66171.899999999994</v>
      </c>
    </row>
    <row r="1115" spans="1:5" x14ac:dyDescent="0.25">
      <c r="A1115" t="s">
        <v>0</v>
      </c>
      <c r="B1115">
        <v>1230205</v>
      </c>
      <c r="C1115">
        <v>14265.62</v>
      </c>
      <c r="D1115" s="4">
        <f>+VLOOKUP(A1115,Portfolio!$G$3:$I$6,3)</f>
        <v>5</v>
      </c>
      <c r="E1115">
        <f t="shared" si="17"/>
        <v>71328.100000000006</v>
      </c>
    </row>
    <row r="1116" spans="1:5" x14ac:dyDescent="0.25">
      <c r="A1116" t="s">
        <v>0</v>
      </c>
      <c r="B1116">
        <v>1230206</v>
      </c>
      <c r="C1116">
        <v>14218.75</v>
      </c>
      <c r="D1116" s="4">
        <f>+VLOOKUP(A1116,Portfolio!$G$3:$I$6,3)</f>
        <v>5</v>
      </c>
      <c r="E1116">
        <f t="shared" si="17"/>
        <v>71093.75</v>
      </c>
    </row>
    <row r="1117" spans="1:5" x14ac:dyDescent="0.25">
      <c r="A1117" t="s">
        <v>0</v>
      </c>
      <c r="B1117">
        <v>1230207</v>
      </c>
      <c r="C1117">
        <v>14875</v>
      </c>
      <c r="D1117" s="4">
        <f>+VLOOKUP(A1117,Portfolio!$G$3:$I$6,3)</f>
        <v>5</v>
      </c>
      <c r="E1117">
        <f t="shared" si="17"/>
        <v>74375</v>
      </c>
    </row>
    <row r="1118" spans="1:5" x14ac:dyDescent="0.25">
      <c r="A1118" t="s">
        <v>0</v>
      </c>
      <c r="B1118">
        <v>1230208</v>
      </c>
      <c r="C1118">
        <v>15000</v>
      </c>
      <c r="D1118" s="4">
        <f>+VLOOKUP(A1118,Portfolio!$G$3:$I$6,3)</f>
        <v>5</v>
      </c>
      <c r="E1118">
        <f t="shared" si="17"/>
        <v>75000</v>
      </c>
    </row>
    <row r="1119" spans="1:5" x14ac:dyDescent="0.25">
      <c r="A1119" t="s">
        <v>0</v>
      </c>
      <c r="B1119">
        <v>1230209</v>
      </c>
      <c r="C1119">
        <v>15031.25</v>
      </c>
      <c r="D1119" s="4">
        <f>+VLOOKUP(A1119,Portfolio!$G$3:$I$6,3)</f>
        <v>5</v>
      </c>
      <c r="E1119">
        <f t="shared" si="17"/>
        <v>75156.25</v>
      </c>
    </row>
    <row r="1120" spans="1:5" x14ac:dyDescent="0.25">
      <c r="A1120" t="s">
        <v>0</v>
      </c>
      <c r="B1120">
        <v>1230210</v>
      </c>
      <c r="C1120">
        <v>14125</v>
      </c>
      <c r="D1120" s="4">
        <f>+VLOOKUP(A1120,Portfolio!$G$3:$I$6,3)</f>
        <v>5</v>
      </c>
      <c r="E1120">
        <f t="shared" si="17"/>
        <v>70625</v>
      </c>
    </row>
    <row r="1121" spans="1:5" x14ac:dyDescent="0.25">
      <c r="A1121" t="s">
        <v>0</v>
      </c>
      <c r="B1121">
        <v>1230212</v>
      </c>
      <c r="C1121">
        <v>13843.75</v>
      </c>
      <c r="D1121" s="4">
        <f>+VLOOKUP(A1121,Portfolio!$G$3:$I$6,3)</f>
        <v>5</v>
      </c>
      <c r="E1121">
        <f t="shared" si="17"/>
        <v>69218.75</v>
      </c>
    </row>
    <row r="1122" spans="1:5" x14ac:dyDescent="0.25">
      <c r="A1122" t="s">
        <v>0</v>
      </c>
      <c r="B1122">
        <v>1230213</v>
      </c>
      <c r="C1122">
        <v>13843.75</v>
      </c>
      <c r="D1122" s="4">
        <f>+VLOOKUP(A1122,Portfolio!$G$3:$I$6,3)</f>
        <v>5</v>
      </c>
      <c r="E1122">
        <f t="shared" si="17"/>
        <v>69218.75</v>
      </c>
    </row>
    <row r="1123" spans="1:5" x14ac:dyDescent="0.25">
      <c r="A1123" t="s">
        <v>0</v>
      </c>
      <c r="B1123">
        <v>1230214</v>
      </c>
      <c r="C1123">
        <v>13984.38</v>
      </c>
      <c r="D1123" s="4">
        <f>+VLOOKUP(A1123,Portfolio!$G$3:$I$6,3)</f>
        <v>5</v>
      </c>
      <c r="E1123">
        <f t="shared" si="17"/>
        <v>69921.899999999994</v>
      </c>
    </row>
    <row r="1124" spans="1:5" x14ac:dyDescent="0.25">
      <c r="A1124" t="s">
        <v>0</v>
      </c>
      <c r="B1124">
        <v>1230215</v>
      </c>
      <c r="C1124">
        <v>14250</v>
      </c>
      <c r="D1124" s="4">
        <f>+VLOOKUP(A1124,Portfolio!$G$3:$I$6,3)</f>
        <v>5</v>
      </c>
      <c r="E1124">
        <f t="shared" si="17"/>
        <v>71250</v>
      </c>
    </row>
    <row r="1125" spans="1:5" x14ac:dyDescent="0.25">
      <c r="A1125" t="s">
        <v>0</v>
      </c>
      <c r="B1125">
        <v>1230216</v>
      </c>
      <c r="C1125">
        <v>14468.75</v>
      </c>
      <c r="D1125" s="4">
        <f>+VLOOKUP(A1125,Portfolio!$G$3:$I$6,3)</f>
        <v>5</v>
      </c>
      <c r="E1125">
        <f t="shared" si="17"/>
        <v>72343.75</v>
      </c>
    </row>
    <row r="1126" spans="1:5" x14ac:dyDescent="0.25">
      <c r="A1126" t="s">
        <v>0</v>
      </c>
      <c r="B1126">
        <v>1230217</v>
      </c>
      <c r="C1126">
        <v>15156.25</v>
      </c>
      <c r="D1126" s="4">
        <f>+VLOOKUP(A1126,Portfolio!$G$3:$I$6,3)</f>
        <v>5</v>
      </c>
      <c r="E1126">
        <f t="shared" si="17"/>
        <v>75781.25</v>
      </c>
    </row>
    <row r="1127" spans="1:5" x14ac:dyDescent="0.25">
      <c r="A1127" t="s">
        <v>0</v>
      </c>
      <c r="B1127">
        <v>1230219</v>
      </c>
      <c r="C1127">
        <v>15140.62</v>
      </c>
      <c r="D1127" s="4">
        <f>+VLOOKUP(A1127,Portfolio!$G$3:$I$6,3)</f>
        <v>5</v>
      </c>
      <c r="E1127">
        <f t="shared" si="17"/>
        <v>75703.100000000006</v>
      </c>
    </row>
    <row r="1128" spans="1:5" x14ac:dyDescent="0.25">
      <c r="A1128" t="s">
        <v>0</v>
      </c>
      <c r="B1128">
        <v>1230220</v>
      </c>
      <c r="C1128">
        <v>15078.12</v>
      </c>
      <c r="D1128" s="4">
        <f>+VLOOKUP(A1128,Portfolio!$G$3:$I$6,3)</f>
        <v>5</v>
      </c>
      <c r="E1128">
        <f t="shared" si="17"/>
        <v>75390.600000000006</v>
      </c>
    </row>
    <row r="1129" spans="1:5" x14ac:dyDescent="0.25">
      <c r="A1129" t="s">
        <v>0</v>
      </c>
      <c r="B1129">
        <v>1230221</v>
      </c>
      <c r="C1129">
        <v>14953.12</v>
      </c>
      <c r="D1129" s="4">
        <f>+VLOOKUP(A1129,Portfolio!$G$3:$I$6,3)</f>
        <v>5</v>
      </c>
      <c r="E1129">
        <f t="shared" si="17"/>
        <v>74765.600000000006</v>
      </c>
    </row>
    <row r="1130" spans="1:5" x14ac:dyDescent="0.25">
      <c r="A1130" t="s">
        <v>0</v>
      </c>
      <c r="B1130">
        <v>1230222</v>
      </c>
      <c r="C1130">
        <v>15625</v>
      </c>
      <c r="D1130" s="4">
        <f>+VLOOKUP(A1130,Portfolio!$G$3:$I$6,3)</f>
        <v>5</v>
      </c>
      <c r="E1130">
        <f t="shared" si="17"/>
        <v>78125</v>
      </c>
    </row>
    <row r="1131" spans="1:5" x14ac:dyDescent="0.25">
      <c r="A1131" t="s">
        <v>0</v>
      </c>
      <c r="B1131">
        <v>1230223</v>
      </c>
      <c r="C1131">
        <v>15421.88</v>
      </c>
      <c r="D1131" s="4">
        <f>+VLOOKUP(A1131,Portfolio!$G$3:$I$6,3)</f>
        <v>5</v>
      </c>
      <c r="E1131">
        <f t="shared" si="17"/>
        <v>77109.399999999994</v>
      </c>
    </row>
    <row r="1132" spans="1:5" x14ac:dyDescent="0.25">
      <c r="A1132" t="s">
        <v>0</v>
      </c>
      <c r="B1132">
        <v>1230224</v>
      </c>
      <c r="C1132">
        <v>15203.12</v>
      </c>
      <c r="D1132" s="4">
        <f>+VLOOKUP(A1132,Portfolio!$G$3:$I$6,3)</f>
        <v>5</v>
      </c>
      <c r="E1132">
        <f t="shared" si="17"/>
        <v>76015.600000000006</v>
      </c>
    </row>
    <row r="1133" spans="1:5" x14ac:dyDescent="0.25">
      <c r="A1133" t="s">
        <v>0</v>
      </c>
      <c r="B1133">
        <v>1230226</v>
      </c>
      <c r="C1133">
        <v>15156.25</v>
      </c>
      <c r="D1133" s="4">
        <f>+VLOOKUP(A1133,Portfolio!$G$3:$I$6,3)</f>
        <v>5</v>
      </c>
      <c r="E1133">
        <f t="shared" si="17"/>
        <v>75781.25</v>
      </c>
    </row>
    <row r="1134" spans="1:5" x14ac:dyDescent="0.25">
      <c r="A1134" t="s">
        <v>0</v>
      </c>
      <c r="B1134">
        <v>1230227</v>
      </c>
      <c r="C1134">
        <v>15234.38</v>
      </c>
      <c r="D1134" s="4">
        <f>+VLOOKUP(A1134,Portfolio!$G$3:$I$6,3)</f>
        <v>5</v>
      </c>
      <c r="E1134">
        <f t="shared" si="17"/>
        <v>76171.899999999994</v>
      </c>
    </row>
    <row r="1135" spans="1:5" x14ac:dyDescent="0.25">
      <c r="A1135" t="s">
        <v>0</v>
      </c>
      <c r="B1135">
        <v>1230228</v>
      </c>
      <c r="C1135">
        <v>15156.25</v>
      </c>
      <c r="D1135" s="4">
        <f>+VLOOKUP(A1135,Portfolio!$G$3:$I$6,3)</f>
        <v>5</v>
      </c>
      <c r="E1135">
        <f t="shared" si="17"/>
        <v>75781.25</v>
      </c>
    </row>
    <row r="1136" spans="1:5" x14ac:dyDescent="0.25">
      <c r="A1136" t="s">
        <v>0</v>
      </c>
      <c r="B1136">
        <v>1230301</v>
      </c>
      <c r="C1136">
        <v>14828.12</v>
      </c>
      <c r="D1136" s="4">
        <f>+VLOOKUP(A1136,Portfolio!$G$3:$I$6,3)</f>
        <v>5</v>
      </c>
      <c r="E1136">
        <f t="shared" si="17"/>
        <v>74140.600000000006</v>
      </c>
    </row>
    <row r="1137" spans="1:5" x14ac:dyDescent="0.25">
      <c r="A1137" t="s">
        <v>0</v>
      </c>
      <c r="B1137">
        <v>1230302</v>
      </c>
      <c r="C1137">
        <v>15453.12</v>
      </c>
      <c r="D1137" s="4">
        <f>+VLOOKUP(A1137,Portfolio!$G$3:$I$6,3)</f>
        <v>5</v>
      </c>
      <c r="E1137">
        <f t="shared" si="17"/>
        <v>77265.600000000006</v>
      </c>
    </row>
    <row r="1138" spans="1:5" x14ac:dyDescent="0.25">
      <c r="A1138" t="s">
        <v>0</v>
      </c>
      <c r="B1138">
        <v>1230303</v>
      </c>
      <c r="C1138">
        <v>15656.25</v>
      </c>
      <c r="D1138" s="4">
        <f>+VLOOKUP(A1138,Portfolio!$G$3:$I$6,3)</f>
        <v>5</v>
      </c>
      <c r="E1138">
        <f t="shared" si="17"/>
        <v>78281.25</v>
      </c>
    </row>
    <row r="1139" spans="1:5" x14ac:dyDescent="0.25">
      <c r="A1139" t="s">
        <v>0</v>
      </c>
      <c r="B1139">
        <v>1230305</v>
      </c>
      <c r="C1139">
        <v>15453.12</v>
      </c>
      <c r="D1139" s="4">
        <f>+VLOOKUP(A1139,Portfolio!$G$3:$I$6,3)</f>
        <v>5</v>
      </c>
      <c r="E1139">
        <f t="shared" si="17"/>
        <v>77265.600000000006</v>
      </c>
    </row>
    <row r="1140" spans="1:5" x14ac:dyDescent="0.25">
      <c r="A1140" t="s">
        <v>0</v>
      </c>
      <c r="B1140">
        <v>1230306</v>
      </c>
      <c r="C1140">
        <v>15625</v>
      </c>
      <c r="D1140" s="4">
        <f>+VLOOKUP(A1140,Portfolio!$G$3:$I$6,3)</f>
        <v>5</v>
      </c>
      <c r="E1140">
        <f t="shared" si="17"/>
        <v>78125</v>
      </c>
    </row>
    <row r="1141" spans="1:5" x14ac:dyDescent="0.25">
      <c r="A1141" t="s">
        <v>0</v>
      </c>
      <c r="B1141">
        <v>1230307</v>
      </c>
      <c r="C1141">
        <v>15328.12</v>
      </c>
      <c r="D1141" s="4">
        <f>+VLOOKUP(A1141,Portfolio!$G$3:$I$6,3)</f>
        <v>5</v>
      </c>
      <c r="E1141">
        <f t="shared" si="17"/>
        <v>76640.600000000006</v>
      </c>
    </row>
    <row r="1142" spans="1:5" x14ac:dyDescent="0.25">
      <c r="A1142" t="s">
        <v>0</v>
      </c>
      <c r="B1142">
        <v>1230308</v>
      </c>
      <c r="C1142">
        <v>15031.25</v>
      </c>
      <c r="D1142" s="4">
        <f>+VLOOKUP(A1142,Portfolio!$G$3:$I$6,3)</f>
        <v>5</v>
      </c>
      <c r="E1142">
        <f t="shared" si="17"/>
        <v>75156.25</v>
      </c>
    </row>
    <row r="1143" spans="1:5" x14ac:dyDescent="0.25">
      <c r="A1143" t="s">
        <v>0</v>
      </c>
      <c r="B1143">
        <v>1230309</v>
      </c>
      <c r="C1143">
        <v>14625</v>
      </c>
      <c r="D1143" s="4">
        <f>+VLOOKUP(A1143,Portfolio!$G$3:$I$6,3)</f>
        <v>5</v>
      </c>
      <c r="E1143">
        <f t="shared" si="17"/>
        <v>73125</v>
      </c>
    </row>
    <row r="1144" spans="1:5" x14ac:dyDescent="0.25">
      <c r="A1144" t="s">
        <v>0</v>
      </c>
      <c r="B1144">
        <v>1230310</v>
      </c>
      <c r="C1144">
        <v>15609.38</v>
      </c>
      <c r="D1144" s="4">
        <f>+VLOOKUP(A1144,Portfolio!$G$3:$I$6,3)</f>
        <v>5</v>
      </c>
      <c r="E1144">
        <f t="shared" si="17"/>
        <v>78046.899999999994</v>
      </c>
    </row>
    <row r="1145" spans="1:5" x14ac:dyDescent="0.25">
      <c r="A1145" t="s">
        <v>0</v>
      </c>
      <c r="B1145">
        <v>1230312</v>
      </c>
      <c r="C1145">
        <v>16765.62</v>
      </c>
      <c r="D1145" s="4">
        <f>+VLOOKUP(A1145,Portfolio!$G$3:$I$6,3)</f>
        <v>5</v>
      </c>
      <c r="E1145">
        <f t="shared" si="17"/>
        <v>83828.099999999991</v>
      </c>
    </row>
    <row r="1146" spans="1:5" x14ac:dyDescent="0.25">
      <c r="A1146" t="s">
        <v>0</v>
      </c>
      <c r="B1146">
        <v>1230313</v>
      </c>
      <c r="C1146">
        <v>16515.62</v>
      </c>
      <c r="D1146" s="4">
        <f>+VLOOKUP(A1146,Portfolio!$G$3:$I$6,3)</f>
        <v>5</v>
      </c>
      <c r="E1146">
        <f t="shared" si="17"/>
        <v>82578.099999999991</v>
      </c>
    </row>
    <row r="1147" spans="1:5" x14ac:dyDescent="0.25">
      <c r="A1147" t="s">
        <v>0</v>
      </c>
      <c r="B1147">
        <v>1230314</v>
      </c>
      <c r="C1147">
        <v>17468.75</v>
      </c>
      <c r="D1147" s="4">
        <f>+VLOOKUP(A1147,Portfolio!$G$3:$I$6,3)</f>
        <v>5</v>
      </c>
      <c r="E1147">
        <f t="shared" si="17"/>
        <v>87343.75</v>
      </c>
    </row>
    <row r="1148" spans="1:5" x14ac:dyDescent="0.25">
      <c r="A1148" t="s">
        <v>0</v>
      </c>
      <c r="B1148">
        <v>1230315</v>
      </c>
      <c r="C1148">
        <v>17140.62</v>
      </c>
      <c r="D1148" s="4">
        <f>+VLOOKUP(A1148,Portfolio!$G$3:$I$6,3)</f>
        <v>5</v>
      </c>
      <c r="E1148">
        <f t="shared" si="17"/>
        <v>85703.099999999991</v>
      </c>
    </row>
    <row r="1149" spans="1:5" x14ac:dyDescent="0.25">
      <c r="A1149" t="s">
        <v>0</v>
      </c>
      <c r="B1149">
        <v>1230316</v>
      </c>
      <c r="C1149">
        <v>15843.75</v>
      </c>
      <c r="D1149" s="4">
        <f>+VLOOKUP(A1149,Portfolio!$G$3:$I$6,3)</f>
        <v>5</v>
      </c>
      <c r="E1149">
        <f t="shared" si="17"/>
        <v>79218.75</v>
      </c>
    </row>
    <row r="1150" spans="1:5" x14ac:dyDescent="0.25">
      <c r="A1150" t="s">
        <v>0</v>
      </c>
      <c r="B1150">
        <v>1230317</v>
      </c>
      <c r="C1150">
        <v>16125</v>
      </c>
      <c r="D1150" s="4">
        <f>+VLOOKUP(A1150,Portfolio!$G$3:$I$6,3)</f>
        <v>5</v>
      </c>
      <c r="E1150">
        <f t="shared" si="17"/>
        <v>80625</v>
      </c>
    </row>
    <row r="1151" spans="1:5" x14ac:dyDescent="0.25">
      <c r="A1151" t="s">
        <v>0</v>
      </c>
      <c r="B1151">
        <v>1230319</v>
      </c>
      <c r="C1151">
        <v>16312.5</v>
      </c>
      <c r="D1151" s="4">
        <f>+VLOOKUP(A1151,Portfolio!$G$3:$I$6,3)</f>
        <v>5</v>
      </c>
      <c r="E1151">
        <f t="shared" si="17"/>
        <v>81562.5</v>
      </c>
    </row>
    <row r="1152" spans="1:5" x14ac:dyDescent="0.25">
      <c r="A1152" t="s">
        <v>0</v>
      </c>
      <c r="B1152">
        <v>1230320</v>
      </c>
      <c r="C1152">
        <v>16734.38</v>
      </c>
      <c r="D1152" s="4">
        <f>+VLOOKUP(A1152,Portfolio!$G$3:$I$6,3)</f>
        <v>5</v>
      </c>
      <c r="E1152">
        <f t="shared" si="17"/>
        <v>83671.900000000009</v>
      </c>
    </row>
    <row r="1153" spans="1:5" x14ac:dyDescent="0.25">
      <c r="A1153" t="s">
        <v>0</v>
      </c>
      <c r="B1153">
        <v>1230321</v>
      </c>
      <c r="C1153">
        <v>16468.75</v>
      </c>
      <c r="D1153" s="4">
        <f>+VLOOKUP(A1153,Portfolio!$G$3:$I$6,3)</f>
        <v>5</v>
      </c>
      <c r="E1153">
        <f t="shared" si="17"/>
        <v>82343.75</v>
      </c>
    </row>
    <row r="1154" spans="1:5" x14ac:dyDescent="0.25">
      <c r="A1154" t="s">
        <v>0</v>
      </c>
      <c r="B1154">
        <v>1230322</v>
      </c>
      <c r="C1154">
        <v>16046.88</v>
      </c>
      <c r="D1154" s="4">
        <f>+VLOOKUP(A1154,Portfolio!$G$3:$I$6,3)</f>
        <v>5</v>
      </c>
      <c r="E1154">
        <f t="shared" si="17"/>
        <v>80234.399999999994</v>
      </c>
    </row>
    <row r="1155" spans="1:5" x14ac:dyDescent="0.25">
      <c r="A1155" t="s">
        <v>0</v>
      </c>
      <c r="B1155">
        <v>1230323</v>
      </c>
      <c r="C1155">
        <v>14750</v>
      </c>
      <c r="D1155" s="4">
        <f>+VLOOKUP(A1155,Portfolio!$G$3:$I$6,3)</f>
        <v>5</v>
      </c>
      <c r="E1155">
        <f t="shared" ref="E1155:E1218" si="18">+C1155*D1155</f>
        <v>73750</v>
      </c>
    </row>
    <row r="1156" spans="1:5" x14ac:dyDescent="0.25">
      <c r="A1156" t="s">
        <v>0</v>
      </c>
      <c r="B1156">
        <v>1230324</v>
      </c>
      <c r="C1156">
        <v>14109.38</v>
      </c>
      <c r="D1156" s="4">
        <f>+VLOOKUP(A1156,Portfolio!$G$3:$I$6,3)</f>
        <v>5</v>
      </c>
      <c r="E1156">
        <f t="shared" si="18"/>
        <v>70546.899999999994</v>
      </c>
    </row>
    <row r="1157" spans="1:5" x14ac:dyDescent="0.25">
      <c r="A1157" t="s">
        <v>0</v>
      </c>
      <c r="B1157">
        <v>1230326</v>
      </c>
      <c r="C1157">
        <v>14265.62</v>
      </c>
      <c r="D1157" s="4">
        <f>+VLOOKUP(A1157,Portfolio!$G$3:$I$6,3)</f>
        <v>5</v>
      </c>
      <c r="E1157">
        <f t="shared" si="18"/>
        <v>71328.100000000006</v>
      </c>
    </row>
    <row r="1158" spans="1:5" x14ac:dyDescent="0.25">
      <c r="A1158" t="s">
        <v>0</v>
      </c>
      <c r="B1158">
        <v>1230327</v>
      </c>
      <c r="C1158">
        <v>14203.12</v>
      </c>
      <c r="D1158" s="4">
        <f>+VLOOKUP(A1158,Portfolio!$G$3:$I$6,3)</f>
        <v>5</v>
      </c>
      <c r="E1158">
        <f t="shared" si="18"/>
        <v>71015.600000000006</v>
      </c>
    </row>
    <row r="1159" spans="1:5" x14ac:dyDescent="0.25">
      <c r="A1159" t="s">
        <v>0</v>
      </c>
      <c r="B1159">
        <v>1230328</v>
      </c>
      <c r="C1159">
        <v>15140.62</v>
      </c>
      <c r="D1159" s="4">
        <f>+VLOOKUP(A1159,Portfolio!$G$3:$I$6,3)</f>
        <v>5</v>
      </c>
      <c r="E1159">
        <f t="shared" si="18"/>
        <v>75703.100000000006</v>
      </c>
    </row>
    <row r="1160" spans="1:5" x14ac:dyDescent="0.25">
      <c r="A1160" t="s">
        <v>0</v>
      </c>
      <c r="B1160">
        <v>1230329</v>
      </c>
      <c r="C1160">
        <v>15718.75</v>
      </c>
      <c r="D1160" s="4">
        <f>+VLOOKUP(A1160,Portfolio!$G$3:$I$6,3)</f>
        <v>5</v>
      </c>
      <c r="E1160">
        <f t="shared" si="18"/>
        <v>78593.75</v>
      </c>
    </row>
    <row r="1161" spans="1:5" x14ac:dyDescent="0.25">
      <c r="A1161" t="s">
        <v>0</v>
      </c>
      <c r="B1161">
        <v>1230330</v>
      </c>
      <c r="C1161">
        <v>15796.88</v>
      </c>
      <c r="D1161" s="4">
        <f>+VLOOKUP(A1161,Portfolio!$G$3:$I$6,3)</f>
        <v>5</v>
      </c>
      <c r="E1161">
        <f t="shared" si="18"/>
        <v>78984.399999999994</v>
      </c>
    </row>
    <row r="1162" spans="1:5" x14ac:dyDescent="0.25">
      <c r="A1162" t="s">
        <v>0</v>
      </c>
      <c r="B1162">
        <v>1230331</v>
      </c>
      <c r="C1162">
        <v>15656.25</v>
      </c>
      <c r="D1162" s="4">
        <f>+VLOOKUP(A1162,Portfolio!$G$3:$I$6,3)</f>
        <v>5</v>
      </c>
      <c r="E1162">
        <f t="shared" si="18"/>
        <v>78281.25</v>
      </c>
    </row>
    <row r="1163" spans="1:5" x14ac:dyDescent="0.25">
      <c r="A1163" t="s">
        <v>0</v>
      </c>
      <c r="B1163">
        <v>1230402</v>
      </c>
      <c r="C1163">
        <v>15609.38</v>
      </c>
      <c r="D1163" s="4">
        <f>+VLOOKUP(A1163,Portfolio!$G$3:$I$6,3)</f>
        <v>5</v>
      </c>
      <c r="E1163">
        <f t="shared" si="18"/>
        <v>78046.899999999994</v>
      </c>
    </row>
    <row r="1164" spans="1:5" x14ac:dyDescent="0.25">
      <c r="A1164" t="s">
        <v>0</v>
      </c>
      <c r="B1164">
        <v>1230403</v>
      </c>
      <c r="C1164">
        <v>15640.62</v>
      </c>
      <c r="D1164" s="4">
        <f>+VLOOKUP(A1164,Portfolio!$G$3:$I$6,3)</f>
        <v>5</v>
      </c>
      <c r="E1164">
        <f t="shared" si="18"/>
        <v>78203.100000000006</v>
      </c>
    </row>
    <row r="1165" spans="1:5" x14ac:dyDescent="0.25">
      <c r="A1165" t="s">
        <v>0</v>
      </c>
      <c r="B1165">
        <v>1230404</v>
      </c>
      <c r="C1165">
        <v>16468.75</v>
      </c>
      <c r="D1165" s="4">
        <f>+VLOOKUP(A1165,Portfolio!$G$3:$I$6,3)</f>
        <v>5</v>
      </c>
      <c r="E1165">
        <f t="shared" si="18"/>
        <v>82343.75</v>
      </c>
    </row>
    <row r="1166" spans="1:5" x14ac:dyDescent="0.25">
      <c r="A1166" t="s">
        <v>0</v>
      </c>
      <c r="B1166">
        <v>1230405</v>
      </c>
      <c r="C1166">
        <v>16265.62</v>
      </c>
      <c r="D1166" s="4">
        <f>+VLOOKUP(A1166,Portfolio!$G$3:$I$6,3)</f>
        <v>5</v>
      </c>
      <c r="E1166">
        <f t="shared" si="18"/>
        <v>81328.100000000006</v>
      </c>
    </row>
    <row r="1167" spans="1:5" x14ac:dyDescent="0.25">
      <c r="A1167" t="s">
        <v>0</v>
      </c>
      <c r="B1167">
        <v>1230406</v>
      </c>
      <c r="C1167">
        <v>16734.38</v>
      </c>
      <c r="D1167" s="4">
        <f>+VLOOKUP(A1167,Portfolio!$G$3:$I$6,3)</f>
        <v>5</v>
      </c>
      <c r="E1167">
        <f t="shared" si="18"/>
        <v>83671.900000000009</v>
      </c>
    </row>
    <row r="1168" spans="1:5" x14ac:dyDescent="0.25">
      <c r="A1168" t="s">
        <v>0</v>
      </c>
      <c r="B1168">
        <v>1230407</v>
      </c>
      <c r="C1168">
        <v>16546.88</v>
      </c>
      <c r="D1168" s="4">
        <f>+VLOOKUP(A1168,Portfolio!$G$3:$I$6,3)</f>
        <v>5</v>
      </c>
      <c r="E1168">
        <f t="shared" si="18"/>
        <v>82734.400000000009</v>
      </c>
    </row>
    <row r="1169" spans="1:5" x14ac:dyDescent="0.25">
      <c r="A1169" t="s">
        <v>0</v>
      </c>
      <c r="B1169">
        <v>1230409</v>
      </c>
      <c r="C1169">
        <v>16968.75</v>
      </c>
      <c r="D1169" s="4">
        <f>+VLOOKUP(A1169,Portfolio!$G$3:$I$6,3)</f>
        <v>5</v>
      </c>
      <c r="E1169">
        <f t="shared" si="18"/>
        <v>84843.75</v>
      </c>
    </row>
    <row r="1170" spans="1:5" x14ac:dyDescent="0.25">
      <c r="A1170" t="s">
        <v>0</v>
      </c>
      <c r="B1170">
        <v>1230410</v>
      </c>
      <c r="C1170">
        <v>16953.12</v>
      </c>
      <c r="D1170" s="4">
        <f>+VLOOKUP(A1170,Portfolio!$G$3:$I$6,3)</f>
        <v>5</v>
      </c>
      <c r="E1170">
        <f t="shared" si="18"/>
        <v>84765.599999999991</v>
      </c>
    </row>
    <row r="1171" spans="1:5" x14ac:dyDescent="0.25">
      <c r="A1171" t="s">
        <v>0</v>
      </c>
      <c r="B1171">
        <v>1230411</v>
      </c>
      <c r="C1171">
        <v>16828.12</v>
      </c>
      <c r="D1171" s="4">
        <f>+VLOOKUP(A1171,Portfolio!$G$3:$I$6,3)</f>
        <v>5</v>
      </c>
      <c r="E1171">
        <f t="shared" si="18"/>
        <v>84140.599999999991</v>
      </c>
    </row>
    <row r="1172" spans="1:5" x14ac:dyDescent="0.25">
      <c r="A1172" t="s">
        <v>0</v>
      </c>
      <c r="B1172">
        <v>1230412</v>
      </c>
      <c r="C1172">
        <v>17046.88</v>
      </c>
      <c r="D1172" s="4">
        <f>+VLOOKUP(A1172,Portfolio!$G$3:$I$6,3)</f>
        <v>5</v>
      </c>
      <c r="E1172">
        <f t="shared" si="18"/>
        <v>85234.400000000009</v>
      </c>
    </row>
    <row r="1173" spans="1:5" x14ac:dyDescent="0.25">
      <c r="A1173" t="s">
        <v>0</v>
      </c>
      <c r="B1173">
        <v>1230413</v>
      </c>
      <c r="C1173">
        <v>17171.88</v>
      </c>
      <c r="D1173" s="4">
        <f>+VLOOKUP(A1173,Portfolio!$G$3:$I$6,3)</f>
        <v>5</v>
      </c>
      <c r="E1173">
        <f t="shared" si="18"/>
        <v>85859.400000000009</v>
      </c>
    </row>
    <row r="1174" spans="1:5" x14ac:dyDescent="0.25">
      <c r="A1174" t="s">
        <v>0</v>
      </c>
      <c r="B1174">
        <v>1230414</v>
      </c>
      <c r="C1174">
        <v>16296.88</v>
      </c>
      <c r="D1174" s="4">
        <f>+VLOOKUP(A1174,Portfolio!$G$3:$I$6,3)</f>
        <v>5</v>
      </c>
      <c r="E1174">
        <f t="shared" si="18"/>
        <v>81484.399999999994</v>
      </c>
    </row>
    <row r="1175" spans="1:5" x14ac:dyDescent="0.25">
      <c r="A1175" t="s">
        <v>0</v>
      </c>
      <c r="B1175">
        <v>1230416</v>
      </c>
      <c r="C1175">
        <v>16796.88</v>
      </c>
      <c r="D1175" s="4">
        <f>+VLOOKUP(A1175,Portfolio!$G$3:$I$6,3)</f>
        <v>5</v>
      </c>
      <c r="E1175">
        <f t="shared" si="18"/>
        <v>83984.400000000009</v>
      </c>
    </row>
    <row r="1176" spans="1:5" x14ac:dyDescent="0.25">
      <c r="A1176" t="s">
        <v>0</v>
      </c>
      <c r="B1176">
        <v>1230417</v>
      </c>
      <c r="C1176">
        <v>16718.75</v>
      </c>
      <c r="D1176" s="4">
        <f>+VLOOKUP(A1176,Portfolio!$G$3:$I$6,3)</f>
        <v>5</v>
      </c>
      <c r="E1176">
        <f t="shared" si="18"/>
        <v>83593.75</v>
      </c>
    </row>
    <row r="1177" spans="1:5" x14ac:dyDescent="0.25">
      <c r="A1177" t="s">
        <v>0</v>
      </c>
      <c r="B1177">
        <v>1230418</v>
      </c>
      <c r="C1177">
        <v>17296.88</v>
      </c>
      <c r="D1177" s="4">
        <f>+VLOOKUP(A1177,Portfolio!$G$3:$I$6,3)</f>
        <v>5</v>
      </c>
      <c r="E1177">
        <f t="shared" si="18"/>
        <v>86484.400000000009</v>
      </c>
    </row>
    <row r="1178" spans="1:5" x14ac:dyDescent="0.25">
      <c r="A1178" t="s">
        <v>0</v>
      </c>
      <c r="B1178">
        <v>1230419</v>
      </c>
      <c r="C1178">
        <v>17062.5</v>
      </c>
      <c r="D1178" s="4">
        <f>+VLOOKUP(A1178,Portfolio!$G$3:$I$6,3)</f>
        <v>5</v>
      </c>
      <c r="E1178">
        <f t="shared" si="18"/>
        <v>85312.5</v>
      </c>
    </row>
    <row r="1179" spans="1:5" x14ac:dyDescent="0.25">
      <c r="A1179" t="s">
        <v>0</v>
      </c>
      <c r="B1179">
        <v>1230420</v>
      </c>
      <c r="C1179">
        <v>16921.88</v>
      </c>
      <c r="D1179" s="4">
        <f>+VLOOKUP(A1179,Portfolio!$G$3:$I$6,3)</f>
        <v>5</v>
      </c>
      <c r="E1179">
        <f t="shared" si="18"/>
        <v>84609.400000000009</v>
      </c>
    </row>
    <row r="1180" spans="1:5" x14ac:dyDescent="0.25">
      <c r="A1180" t="s">
        <v>0</v>
      </c>
      <c r="B1180">
        <v>1230421</v>
      </c>
      <c r="C1180">
        <v>17421.88</v>
      </c>
      <c r="D1180" s="4">
        <f>+VLOOKUP(A1180,Portfolio!$G$3:$I$6,3)</f>
        <v>5</v>
      </c>
      <c r="E1180">
        <f t="shared" si="18"/>
        <v>87109.400000000009</v>
      </c>
    </row>
    <row r="1181" spans="1:5" x14ac:dyDescent="0.25">
      <c r="A1181" t="s">
        <v>0</v>
      </c>
      <c r="B1181">
        <v>1230423</v>
      </c>
      <c r="C1181">
        <v>17265.62</v>
      </c>
      <c r="D1181" s="4">
        <f>+VLOOKUP(A1181,Portfolio!$G$3:$I$6,3)</f>
        <v>5</v>
      </c>
      <c r="E1181">
        <f t="shared" si="18"/>
        <v>86328.099999999991</v>
      </c>
    </row>
    <row r="1182" spans="1:5" x14ac:dyDescent="0.25">
      <c r="A1182" t="s">
        <v>0</v>
      </c>
      <c r="B1182">
        <v>1230424</v>
      </c>
      <c r="C1182">
        <v>17218.75</v>
      </c>
      <c r="D1182" s="4">
        <f>+VLOOKUP(A1182,Portfolio!$G$3:$I$6,3)</f>
        <v>5</v>
      </c>
      <c r="E1182">
        <f t="shared" si="18"/>
        <v>86093.75</v>
      </c>
    </row>
    <row r="1183" spans="1:5" x14ac:dyDescent="0.25">
      <c r="A1183" t="s">
        <v>0</v>
      </c>
      <c r="B1183">
        <v>1230425</v>
      </c>
      <c r="C1183">
        <v>17421.88</v>
      </c>
      <c r="D1183" s="4">
        <f>+VLOOKUP(A1183,Portfolio!$G$3:$I$6,3)</f>
        <v>5</v>
      </c>
      <c r="E1183">
        <f t="shared" si="18"/>
        <v>87109.400000000009</v>
      </c>
    </row>
    <row r="1184" spans="1:5" x14ac:dyDescent="0.25">
      <c r="A1184" t="s">
        <v>0</v>
      </c>
      <c r="B1184">
        <v>1230426</v>
      </c>
      <c r="C1184">
        <v>17890.62</v>
      </c>
      <c r="D1184" s="4">
        <f>+VLOOKUP(A1184,Portfolio!$G$3:$I$6,3)</f>
        <v>5</v>
      </c>
      <c r="E1184">
        <f t="shared" si="18"/>
        <v>89453.099999999991</v>
      </c>
    </row>
    <row r="1185" spans="1:5" x14ac:dyDescent="0.25">
      <c r="A1185" t="s">
        <v>0</v>
      </c>
      <c r="B1185">
        <v>1230427</v>
      </c>
      <c r="C1185">
        <v>17484.38</v>
      </c>
      <c r="D1185" s="4">
        <f>+VLOOKUP(A1185,Portfolio!$G$3:$I$6,3)</f>
        <v>5</v>
      </c>
      <c r="E1185">
        <f t="shared" si="18"/>
        <v>87421.900000000009</v>
      </c>
    </row>
    <row r="1186" spans="1:5" x14ac:dyDescent="0.25">
      <c r="A1186" t="s">
        <v>0</v>
      </c>
      <c r="B1186">
        <v>1230428</v>
      </c>
      <c r="C1186">
        <v>18062.5</v>
      </c>
      <c r="D1186" s="4">
        <f>+VLOOKUP(A1186,Portfolio!$G$3:$I$6,3)</f>
        <v>5</v>
      </c>
      <c r="E1186">
        <f t="shared" si="18"/>
        <v>90312.5</v>
      </c>
    </row>
    <row r="1187" spans="1:5" x14ac:dyDescent="0.25">
      <c r="A1187" t="s">
        <v>0</v>
      </c>
      <c r="B1187">
        <v>1230430</v>
      </c>
      <c r="C1187">
        <v>17640.62</v>
      </c>
      <c r="D1187" s="4">
        <f>+VLOOKUP(A1187,Portfolio!$G$3:$I$6,3)</f>
        <v>5</v>
      </c>
      <c r="E1187">
        <f t="shared" si="18"/>
        <v>88203.099999999991</v>
      </c>
    </row>
    <row r="1188" spans="1:5" x14ac:dyDescent="0.25">
      <c r="A1188" t="s">
        <v>0</v>
      </c>
      <c r="B1188">
        <v>1230501</v>
      </c>
      <c r="C1188">
        <v>17578.12</v>
      </c>
      <c r="D1188" s="4">
        <f>+VLOOKUP(A1188,Portfolio!$G$3:$I$6,3)</f>
        <v>5</v>
      </c>
      <c r="E1188">
        <f t="shared" si="18"/>
        <v>87890.599999999991</v>
      </c>
    </row>
    <row r="1189" spans="1:5" x14ac:dyDescent="0.25">
      <c r="A1189" t="s">
        <v>0</v>
      </c>
      <c r="B1189">
        <v>1230502</v>
      </c>
      <c r="C1189">
        <v>17906.25</v>
      </c>
      <c r="D1189" s="4">
        <f>+VLOOKUP(A1189,Portfolio!$G$3:$I$6,3)</f>
        <v>5</v>
      </c>
      <c r="E1189">
        <f t="shared" si="18"/>
        <v>89531.25</v>
      </c>
    </row>
    <row r="1190" spans="1:5" x14ac:dyDescent="0.25">
      <c r="A1190" t="s">
        <v>0</v>
      </c>
      <c r="B1190">
        <v>1230503</v>
      </c>
      <c r="C1190">
        <v>18218.75</v>
      </c>
      <c r="D1190" s="4">
        <f>+VLOOKUP(A1190,Portfolio!$G$3:$I$6,3)</f>
        <v>5</v>
      </c>
      <c r="E1190">
        <f t="shared" si="18"/>
        <v>91093.75</v>
      </c>
    </row>
    <row r="1191" spans="1:5" x14ac:dyDescent="0.25">
      <c r="A1191" t="s">
        <v>0</v>
      </c>
      <c r="B1191">
        <v>1230504</v>
      </c>
      <c r="C1191">
        <v>18984.38</v>
      </c>
      <c r="D1191" s="4">
        <f>+VLOOKUP(A1191,Portfolio!$G$3:$I$6,3)</f>
        <v>5</v>
      </c>
      <c r="E1191">
        <f t="shared" si="18"/>
        <v>94921.900000000009</v>
      </c>
    </row>
    <row r="1192" spans="1:5" x14ac:dyDescent="0.25">
      <c r="A1192" t="s">
        <v>0</v>
      </c>
      <c r="B1192">
        <v>1230505</v>
      </c>
      <c r="C1192">
        <v>17859.38</v>
      </c>
      <c r="D1192" s="4">
        <f>+VLOOKUP(A1192,Portfolio!$G$3:$I$6,3)</f>
        <v>5</v>
      </c>
      <c r="E1192">
        <f t="shared" si="18"/>
        <v>89296.900000000009</v>
      </c>
    </row>
    <row r="1193" spans="1:5" x14ac:dyDescent="0.25">
      <c r="A1193" t="s">
        <v>0</v>
      </c>
      <c r="B1193">
        <v>1230507</v>
      </c>
      <c r="C1193">
        <v>18062.5</v>
      </c>
      <c r="D1193" s="4">
        <f>+VLOOKUP(A1193,Portfolio!$G$3:$I$6,3)</f>
        <v>5</v>
      </c>
      <c r="E1193">
        <f t="shared" si="18"/>
        <v>90312.5</v>
      </c>
    </row>
    <row r="1194" spans="1:5" x14ac:dyDescent="0.25">
      <c r="A1194" t="s">
        <v>0</v>
      </c>
      <c r="B1194">
        <v>1230508</v>
      </c>
      <c r="C1194">
        <v>17968.75</v>
      </c>
      <c r="D1194" s="4">
        <f>+VLOOKUP(A1194,Portfolio!$G$3:$I$6,3)</f>
        <v>5</v>
      </c>
      <c r="E1194">
        <f t="shared" si="18"/>
        <v>89843.75</v>
      </c>
    </row>
    <row r="1195" spans="1:5" x14ac:dyDescent="0.25">
      <c r="A1195" t="s">
        <v>0</v>
      </c>
      <c r="B1195">
        <v>1230509</v>
      </c>
      <c r="C1195">
        <v>18453.12</v>
      </c>
      <c r="D1195" s="4">
        <f>+VLOOKUP(A1195,Portfolio!$G$3:$I$6,3)</f>
        <v>5</v>
      </c>
      <c r="E1195">
        <f t="shared" si="18"/>
        <v>92265.599999999991</v>
      </c>
    </row>
    <row r="1196" spans="1:5" x14ac:dyDescent="0.25">
      <c r="A1196" t="s">
        <v>0</v>
      </c>
      <c r="B1196">
        <v>1230510</v>
      </c>
      <c r="C1196">
        <v>18593.75</v>
      </c>
      <c r="D1196" s="4">
        <f>+VLOOKUP(A1196,Portfolio!$G$3:$I$6,3)</f>
        <v>5</v>
      </c>
      <c r="E1196">
        <f t="shared" si="18"/>
        <v>92968.75</v>
      </c>
    </row>
    <row r="1197" spans="1:5" x14ac:dyDescent="0.25">
      <c r="A1197" t="s">
        <v>0</v>
      </c>
      <c r="B1197">
        <v>1230511</v>
      </c>
      <c r="C1197">
        <v>18968.75</v>
      </c>
      <c r="D1197" s="4">
        <f>+VLOOKUP(A1197,Portfolio!$G$3:$I$6,3)</f>
        <v>5</v>
      </c>
      <c r="E1197">
        <f t="shared" si="18"/>
        <v>94843.75</v>
      </c>
    </row>
    <row r="1198" spans="1:5" x14ac:dyDescent="0.25">
      <c r="A1198" t="s">
        <v>0</v>
      </c>
      <c r="B1198">
        <v>1230512</v>
      </c>
      <c r="C1198">
        <v>19375</v>
      </c>
      <c r="D1198" s="4">
        <f>+VLOOKUP(A1198,Portfolio!$G$3:$I$6,3)</f>
        <v>5</v>
      </c>
      <c r="E1198">
        <f t="shared" si="18"/>
        <v>96875</v>
      </c>
    </row>
    <row r="1199" spans="1:5" x14ac:dyDescent="0.25">
      <c r="A1199" t="s">
        <v>0</v>
      </c>
      <c r="B1199">
        <v>1230514</v>
      </c>
      <c r="C1199">
        <v>19515.62</v>
      </c>
      <c r="D1199" s="4">
        <f>+VLOOKUP(A1199,Portfolio!$G$3:$I$6,3)</f>
        <v>5</v>
      </c>
      <c r="E1199">
        <f t="shared" si="18"/>
        <v>97578.099999999991</v>
      </c>
    </row>
    <row r="1200" spans="1:5" x14ac:dyDescent="0.25">
      <c r="A1200" t="s">
        <v>0</v>
      </c>
      <c r="B1200">
        <v>1230515</v>
      </c>
      <c r="C1200">
        <v>19515.62</v>
      </c>
      <c r="D1200" s="4">
        <f>+VLOOKUP(A1200,Portfolio!$G$3:$I$6,3)</f>
        <v>5</v>
      </c>
      <c r="E1200">
        <f t="shared" si="18"/>
        <v>97578.099999999991</v>
      </c>
    </row>
    <row r="1201" spans="1:5" x14ac:dyDescent="0.25">
      <c r="A1201" t="s">
        <v>0</v>
      </c>
      <c r="B1201">
        <v>1230516</v>
      </c>
      <c r="C1201">
        <v>19156.25</v>
      </c>
      <c r="D1201" s="4">
        <f>+VLOOKUP(A1201,Portfolio!$G$3:$I$6,3)</f>
        <v>5</v>
      </c>
      <c r="E1201">
        <f t="shared" si="18"/>
        <v>95781.25</v>
      </c>
    </row>
    <row r="1202" spans="1:5" x14ac:dyDescent="0.25">
      <c r="A1202" t="s">
        <v>0</v>
      </c>
      <c r="B1202">
        <v>1230517</v>
      </c>
      <c r="C1202">
        <v>19468.75</v>
      </c>
      <c r="D1202" s="4">
        <f>+VLOOKUP(A1202,Portfolio!$G$3:$I$6,3)</f>
        <v>5</v>
      </c>
      <c r="E1202">
        <f t="shared" si="18"/>
        <v>97343.75</v>
      </c>
    </row>
    <row r="1203" spans="1:5" x14ac:dyDescent="0.25">
      <c r="A1203" t="s">
        <v>0</v>
      </c>
      <c r="B1203">
        <v>1230518</v>
      </c>
      <c r="C1203">
        <v>19484.38</v>
      </c>
      <c r="D1203" s="4">
        <f>+VLOOKUP(A1203,Portfolio!$G$3:$I$6,3)</f>
        <v>5</v>
      </c>
      <c r="E1203">
        <f t="shared" si="18"/>
        <v>97421.900000000009</v>
      </c>
    </row>
    <row r="1204" spans="1:5" x14ac:dyDescent="0.25">
      <c r="A1204" t="s">
        <v>0</v>
      </c>
      <c r="B1204">
        <v>1230519</v>
      </c>
      <c r="C1204">
        <v>20109.38</v>
      </c>
      <c r="D1204" s="4">
        <f>+VLOOKUP(A1204,Portfolio!$G$3:$I$6,3)</f>
        <v>5</v>
      </c>
      <c r="E1204">
        <f t="shared" si="18"/>
        <v>100546.90000000001</v>
      </c>
    </row>
    <row r="1205" spans="1:5" x14ac:dyDescent="0.25">
      <c r="A1205" t="s">
        <v>0</v>
      </c>
      <c r="B1205">
        <v>1230521</v>
      </c>
      <c r="C1205">
        <v>20343.75</v>
      </c>
      <c r="D1205" s="4">
        <f>+VLOOKUP(A1205,Portfolio!$G$3:$I$6,3)</f>
        <v>5</v>
      </c>
      <c r="E1205">
        <f t="shared" si="18"/>
        <v>101718.75</v>
      </c>
    </row>
    <row r="1206" spans="1:5" x14ac:dyDescent="0.25">
      <c r="A1206" t="s">
        <v>0</v>
      </c>
      <c r="B1206">
        <v>1230522</v>
      </c>
      <c r="C1206">
        <v>20281.25</v>
      </c>
      <c r="D1206" s="4">
        <f>+VLOOKUP(A1206,Portfolio!$G$3:$I$6,3)</f>
        <v>5</v>
      </c>
      <c r="E1206">
        <f t="shared" si="18"/>
        <v>101406.25</v>
      </c>
    </row>
    <row r="1207" spans="1:5" x14ac:dyDescent="0.25">
      <c r="A1207" t="s">
        <v>0</v>
      </c>
      <c r="B1207">
        <v>1230523</v>
      </c>
      <c r="C1207">
        <v>20625</v>
      </c>
      <c r="D1207" s="4">
        <f>+VLOOKUP(A1207,Portfolio!$G$3:$I$6,3)</f>
        <v>5</v>
      </c>
      <c r="E1207">
        <f t="shared" si="18"/>
        <v>103125</v>
      </c>
    </row>
    <row r="1208" spans="1:5" x14ac:dyDescent="0.25">
      <c r="A1208" t="s">
        <v>0</v>
      </c>
      <c r="B1208">
        <v>1230524</v>
      </c>
      <c r="C1208">
        <v>20390.62</v>
      </c>
      <c r="D1208" s="4">
        <f>+VLOOKUP(A1208,Portfolio!$G$3:$I$6,3)</f>
        <v>5</v>
      </c>
      <c r="E1208">
        <f t="shared" si="18"/>
        <v>101953.09999999999</v>
      </c>
    </row>
    <row r="1209" spans="1:5" x14ac:dyDescent="0.25">
      <c r="A1209" t="s">
        <v>0</v>
      </c>
      <c r="B1209">
        <v>1230525</v>
      </c>
      <c r="C1209">
        <v>20312.5</v>
      </c>
      <c r="D1209" s="4">
        <f>+VLOOKUP(A1209,Portfolio!$G$3:$I$6,3)</f>
        <v>5</v>
      </c>
      <c r="E1209">
        <f t="shared" si="18"/>
        <v>101562.5</v>
      </c>
    </row>
    <row r="1210" spans="1:5" x14ac:dyDescent="0.25">
      <c r="A1210" t="s">
        <v>0</v>
      </c>
      <c r="B1210">
        <v>1230526</v>
      </c>
      <c r="C1210">
        <v>20828.12</v>
      </c>
      <c r="D1210" s="4">
        <f>+VLOOKUP(A1210,Portfolio!$G$3:$I$6,3)</f>
        <v>5</v>
      </c>
      <c r="E1210">
        <f t="shared" si="18"/>
        <v>104140.59999999999</v>
      </c>
    </row>
    <row r="1211" spans="1:5" x14ac:dyDescent="0.25">
      <c r="A1211" t="s">
        <v>0</v>
      </c>
      <c r="B1211">
        <v>1230528</v>
      </c>
      <c r="C1211">
        <v>20359.38</v>
      </c>
      <c r="D1211" s="4">
        <f>+VLOOKUP(A1211,Portfolio!$G$3:$I$6,3)</f>
        <v>5</v>
      </c>
      <c r="E1211">
        <f t="shared" si="18"/>
        <v>101796.90000000001</v>
      </c>
    </row>
    <row r="1212" spans="1:5" x14ac:dyDescent="0.25">
      <c r="A1212" t="s">
        <v>0</v>
      </c>
      <c r="B1212">
        <v>1230529</v>
      </c>
      <c r="C1212">
        <v>20406.25</v>
      </c>
      <c r="D1212" s="4">
        <f>+VLOOKUP(A1212,Portfolio!$G$3:$I$6,3)</f>
        <v>5</v>
      </c>
      <c r="E1212">
        <f t="shared" si="18"/>
        <v>102031.25</v>
      </c>
    </row>
    <row r="1213" spans="1:5" x14ac:dyDescent="0.25">
      <c r="A1213" t="s">
        <v>0</v>
      </c>
      <c r="B1213">
        <v>1230530</v>
      </c>
      <c r="C1213">
        <v>20109.38</v>
      </c>
      <c r="D1213" s="4">
        <f>+VLOOKUP(A1213,Portfolio!$G$3:$I$6,3)</f>
        <v>5</v>
      </c>
      <c r="E1213">
        <f t="shared" si="18"/>
        <v>100546.90000000001</v>
      </c>
    </row>
    <row r="1214" spans="1:5" x14ac:dyDescent="0.25">
      <c r="A1214" t="s">
        <v>0</v>
      </c>
      <c r="B1214">
        <v>1230531</v>
      </c>
      <c r="C1214">
        <v>20750</v>
      </c>
      <c r="D1214" s="4">
        <f>+VLOOKUP(A1214,Portfolio!$G$3:$I$6,3)</f>
        <v>5</v>
      </c>
      <c r="E1214">
        <f t="shared" si="18"/>
        <v>103750</v>
      </c>
    </row>
    <row r="1215" spans="1:5" x14ac:dyDescent="0.25">
      <c r="A1215" t="s">
        <v>0</v>
      </c>
      <c r="B1215">
        <v>1230601</v>
      </c>
      <c r="C1215">
        <v>20781.25</v>
      </c>
      <c r="D1215" s="4">
        <f>+VLOOKUP(A1215,Portfolio!$G$3:$I$6,3)</f>
        <v>5</v>
      </c>
      <c r="E1215">
        <f t="shared" si="18"/>
        <v>103906.25</v>
      </c>
    </row>
    <row r="1216" spans="1:5" x14ac:dyDescent="0.25">
      <c r="A1216" t="s">
        <v>0</v>
      </c>
      <c r="B1216">
        <v>1230602</v>
      </c>
      <c r="C1216">
        <v>21218.75</v>
      </c>
      <c r="D1216" s="4">
        <f>+VLOOKUP(A1216,Portfolio!$G$3:$I$6,3)</f>
        <v>5</v>
      </c>
      <c r="E1216">
        <f t="shared" si="18"/>
        <v>106093.75</v>
      </c>
    </row>
    <row r="1217" spans="1:5" x14ac:dyDescent="0.25">
      <c r="A1217" t="s">
        <v>0</v>
      </c>
      <c r="B1217">
        <v>1230604</v>
      </c>
      <c r="C1217">
        <v>22062.5</v>
      </c>
      <c r="D1217" s="4">
        <f>+VLOOKUP(A1217,Portfolio!$G$3:$I$6,3)</f>
        <v>5</v>
      </c>
      <c r="E1217">
        <f t="shared" si="18"/>
        <v>110312.5</v>
      </c>
    </row>
    <row r="1218" spans="1:5" x14ac:dyDescent="0.25">
      <c r="A1218" t="s">
        <v>0</v>
      </c>
      <c r="B1218">
        <v>1230605</v>
      </c>
      <c r="C1218">
        <v>22203.119999999999</v>
      </c>
      <c r="D1218" s="4">
        <f>+VLOOKUP(A1218,Portfolio!$G$3:$I$6,3)</f>
        <v>5</v>
      </c>
      <c r="E1218">
        <f t="shared" si="18"/>
        <v>111015.59999999999</v>
      </c>
    </row>
    <row r="1219" spans="1:5" x14ac:dyDescent="0.25">
      <c r="A1219" t="s">
        <v>0</v>
      </c>
      <c r="B1219">
        <v>1230606</v>
      </c>
      <c r="C1219">
        <v>22109.38</v>
      </c>
      <c r="D1219" s="4">
        <f>+VLOOKUP(A1219,Portfolio!$G$3:$I$6,3)</f>
        <v>5</v>
      </c>
      <c r="E1219">
        <f t="shared" ref="E1219:E1282" si="19">+C1219*D1219</f>
        <v>110546.90000000001</v>
      </c>
    </row>
    <row r="1220" spans="1:5" x14ac:dyDescent="0.25">
      <c r="A1220" t="s">
        <v>0</v>
      </c>
      <c r="B1220">
        <v>1230607</v>
      </c>
      <c r="C1220">
        <v>21750</v>
      </c>
      <c r="D1220" s="4">
        <f>+VLOOKUP(A1220,Portfolio!$G$3:$I$6,3)</f>
        <v>5</v>
      </c>
      <c r="E1220">
        <f t="shared" si="19"/>
        <v>108750</v>
      </c>
    </row>
    <row r="1221" spans="1:5" x14ac:dyDescent="0.25">
      <c r="A1221" t="s">
        <v>0</v>
      </c>
      <c r="B1221">
        <v>1230608</v>
      </c>
      <c r="C1221">
        <v>22593.75</v>
      </c>
      <c r="D1221" s="4">
        <f>+VLOOKUP(A1221,Portfolio!$G$3:$I$6,3)</f>
        <v>5</v>
      </c>
      <c r="E1221">
        <f t="shared" si="19"/>
        <v>112968.75</v>
      </c>
    </row>
    <row r="1222" spans="1:5" x14ac:dyDescent="0.25">
      <c r="A1222" t="s">
        <v>0</v>
      </c>
      <c r="B1222">
        <v>1230609</v>
      </c>
      <c r="C1222">
        <v>22937.5</v>
      </c>
      <c r="D1222" s="4">
        <f>+VLOOKUP(A1222,Portfolio!$G$3:$I$6,3)</f>
        <v>5</v>
      </c>
      <c r="E1222">
        <f t="shared" si="19"/>
        <v>114687.5</v>
      </c>
    </row>
    <row r="1223" spans="1:5" x14ac:dyDescent="0.25">
      <c r="A1223" t="s">
        <v>0</v>
      </c>
      <c r="B1223">
        <v>1230611</v>
      </c>
      <c r="C1223">
        <v>22093.75</v>
      </c>
      <c r="D1223" s="4">
        <f>+VLOOKUP(A1223,Portfolio!$G$3:$I$6,3)</f>
        <v>5</v>
      </c>
      <c r="E1223">
        <f t="shared" si="19"/>
        <v>110468.75</v>
      </c>
    </row>
    <row r="1224" spans="1:5" x14ac:dyDescent="0.25">
      <c r="A1224" t="s">
        <v>0</v>
      </c>
      <c r="B1224">
        <v>1230612</v>
      </c>
      <c r="C1224">
        <v>22078.12</v>
      </c>
      <c r="D1224" s="4">
        <f>+VLOOKUP(A1224,Portfolio!$G$3:$I$6,3)</f>
        <v>5</v>
      </c>
      <c r="E1224">
        <f t="shared" si="19"/>
        <v>110390.59999999999</v>
      </c>
    </row>
    <row r="1225" spans="1:5" x14ac:dyDescent="0.25">
      <c r="A1225" t="s">
        <v>0</v>
      </c>
      <c r="B1225">
        <v>1230613</v>
      </c>
      <c r="C1225">
        <v>21343.75</v>
      </c>
      <c r="D1225" s="4">
        <f>+VLOOKUP(A1225,Portfolio!$G$3:$I$6,3)</f>
        <v>5</v>
      </c>
      <c r="E1225">
        <f t="shared" si="19"/>
        <v>106718.75</v>
      </c>
    </row>
    <row r="1226" spans="1:5" x14ac:dyDescent="0.25">
      <c r="A1226" t="s">
        <v>0</v>
      </c>
      <c r="B1226">
        <v>1230614</v>
      </c>
      <c r="C1226">
        <v>21578.12</v>
      </c>
      <c r="D1226" s="4">
        <f>+VLOOKUP(A1226,Portfolio!$G$3:$I$6,3)</f>
        <v>5</v>
      </c>
      <c r="E1226">
        <f t="shared" si="19"/>
        <v>107890.59999999999</v>
      </c>
    </row>
    <row r="1227" spans="1:5" x14ac:dyDescent="0.25">
      <c r="A1227" t="s">
        <v>0</v>
      </c>
      <c r="B1227">
        <v>1230615</v>
      </c>
      <c r="C1227">
        <v>21140.62</v>
      </c>
      <c r="D1227" s="4">
        <f>+VLOOKUP(A1227,Portfolio!$G$3:$I$6,3)</f>
        <v>5</v>
      </c>
      <c r="E1227">
        <f t="shared" si="19"/>
        <v>105703.09999999999</v>
      </c>
    </row>
    <row r="1228" spans="1:5" x14ac:dyDescent="0.25">
      <c r="A1228" t="s">
        <v>0</v>
      </c>
      <c r="B1228">
        <v>1230616</v>
      </c>
      <c r="C1228">
        <v>20937.5</v>
      </c>
      <c r="D1228" s="4">
        <f>+VLOOKUP(A1228,Portfolio!$G$3:$I$6,3)</f>
        <v>5</v>
      </c>
      <c r="E1228">
        <f t="shared" si="19"/>
        <v>104687.5</v>
      </c>
    </row>
    <row r="1229" spans="1:5" x14ac:dyDescent="0.25">
      <c r="A1229" t="s">
        <v>0</v>
      </c>
      <c r="B1229">
        <v>1230618</v>
      </c>
      <c r="C1229">
        <v>20750</v>
      </c>
      <c r="D1229" s="4">
        <f>+VLOOKUP(A1229,Portfolio!$G$3:$I$6,3)</f>
        <v>5</v>
      </c>
      <c r="E1229">
        <f t="shared" si="19"/>
        <v>103750</v>
      </c>
    </row>
    <row r="1230" spans="1:5" x14ac:dyDescent="0.25">
      <c r="A1230" t="s">
        <v>0</v>
      </c>
      <c r="B1230">
        <v>1230619</v>
      </c>
      <c r="C1230">
        <v>20718.75</v>
      </c>
      <c r="D1230" s="4">
        <f>+VLOOKUP(A1230,Portfolio!$G$3:$I$6,3)</f>
        <v>5</v>
      </c>
      <c r="E1230">
        <f t="shared" si="19"/>
        <v>103593.75</v>
      </c>
    </row>
    <row r="1231" spans="1:5" x14ac:dyDescent="0.25">
      <c r="A1231" t="s">
        <v>0</v>
      </c>
      <c r="B1231">
        <v>1230620</v>
      </c>
      <c r="C1231">
        <v>20953.12</v>
      </c>
      <c r="D1231" s="4">
        <f>+VLOOKUP(A1231,Portfolio!$G$3:$I$6,3)</f>
        <v>5</v>
      </c>
      <c r="E1231">
        <f t="shared" si="19"/>
        <v>104765.59999999999</v>
      </c>
    </row>
    <row r="1232" spans="1:5" x14ac:dyDescent="0.25">
      <c r="A1232" t="s">
        <v>0</v>
      </c>
      <c r="B1232">
        <v>1230621</v>
      </c>
      <c r="C1232">
        <v>20968.75</v>
      </c>
      <c r="D1232" s="4">
        <f>+VLOOKUP(A1232,Portfolio!$G$3:$I$6,3)</f>
        <v>5</v>
      </c>
      <c r="E1232">
        <f t="shared" si="19"/>
        <v>104843.75</v>
      </c>
    </row>
    <row r="1233" spans="1:5" x14ac:dyDescent="0.25">
      <c r="A1233" t="s">
        <v>0</v>
      </c>
      <c r="B1233">
        <v>1230622</v>
      </c>
      <c r="C1233">
        <v>20484.38</v>
      </c>
      <c r="D1233" s="4">
        <f>+VLOOKUP(A1233,Portfolio!$G$3:$I$6,3)</f>
        <v>5</v>
      </c>
      <c r="E1233">
        <f t="shared" si="19"/>
        <v>102421.90000000001</v>
      </c>
    </row>
    <row r="1234" spans="1:5" x14ac:dyDescent="0.25">
      <c r="A1234" t="s">
        <v>0</v>
      </c>
      <c r="B1234">
        <v>1230623</v>
      </c>
      <c r="C1234">
        <v>20234.38</v>
      </c>
      <c r="D1234" s="4">
        <f>+VLOOKUP(A1234,Portfolio!$G$3:$I$6,3)</f>
        <v>5</v>
      </c>
      <c r="E1234">
        <f t="shared" si="19"/>
        <v>101171.90000000001</v>
      </c>
    </row>
    <row r="1235" spans="1:5" x14ac:dyDescent="0.25">
      <c r="A1235" t="s">
        <v>0</v>
      </c>
      <c r="B1235">
        <v>1230625</v>
      </c>
      <c r="C1235">
        <v>19843.75</v>
      </c>
      <c r="D1235" s="4">
        <f>+VLOOKUP(A1235,Portfolio!$G$3:$I$6,3)</f>
        <v>5</v>
      </c>
      <c r="E1235">
        <f t="shared" si="19"/>
        <v>99218.75</v>
      </c>
    </row>
    <row r="1236" spans="1:5" x14ac:dyDescent="0.25">
      <c r="A1236" t="s">
        <v>0</v>
      </c>
      <c r="B1236">
        <v>1230626</v>
      </c>
      <c r="C1236">
        <v>19875</v>
      </c>
      <c r="D1236" s="4">
        <f>+VLOOKUP(A1236,Portfolio!$G$3:$I$6,3)</f>
        <v>5</v>
      </c>
      <c r="E1236">
        <f t="shared" si="19"/>
        <v>99375</v>
      </c>
    </row>
    <row r="1237" spans="1:5" x14ac:dyDescent="0.25">
      <c r="A1237" t="s">
        <v>0</v>
      </c>
      <c r="B1237">
        <v>1230627</v>
      </c>
      <c r="C1237">
        <v>19765.62</v>
      </c>
      <c r="D1237" s="4">
        <f>+VLOOKUP(A1237,Portfolio!$G$3:$I$6,3)</f>
        <v>5</v>
      </c>
      <c r="E1237">
        <f t="shared" si="19"/>
        <v>98828.099999999991</v>
      </c>
    </row>
    <row r="1238" spans="1:5" x14ac:dyDescent="0.25">
      <c r="A1238" t="s">
        <v>0</v>
      </c>
      <c r="B1238">
        <v>1230628</v>
      </c>
      <c r="C1238">
        <v>19546.88</v>
      </c>
      <c r="D1238" s="4">
        <f>+VLOOKUP(A1238,Portfolio!$G$3:$I$6,3)</f>
        <v>5</v>
      </c>
      <c r="E1238">
        <f t="shared" si="19"/>
        <v>97734.400000000009</v>
      </c>
    </row>
    <row r="1239" spans="1:5" x14ac:dyDescent="0.25">
      <c r="A1239" t="s">
        <v>0</v>
      </c>
      <c r="B1239">
        <v>1230629</v>
      </c>
      <c r="C1239">
        <v>18890.62</v>
      </c>
      <c r="D1239" s="4">
        <f>+VLOOKUP(A1239,Portfolio!$G$3:$I$6,3)</f>
        <v>5</v>
      </c>
      <c r="E1239">
        <f t="shared" si="19"/>
        <v>94453.099999999991</v>
      </c>
    </row>
    <row r="1240" spans="1:5" x14ac:dyDescent="0.25">
      <c r="A1240" t="s">
        <v>0</v>
      </c>
      <c r="B1240">
        <v>1230630</v>
      </c>
      <c r="C1240">
        <v>19312.5</v>
      </c>
      <c r="D1240" s="4">
        <f>+VLOOKUP(A1240,Portfolio!$G$3:$I$6,3)</f>
        <v>5</v>
      </c>
      <c r="E1240">
        <f t="shared" si="19"/>
        <v>96562.5</v>
      </c>
    </row>
    <row r="1241" spans="1:5" x14ac:dyDescent="0.25">
      <c r="A1241" t="s">
        <v>0</v>
      </c>
      <c r="B1241">
        <v>1230702</v>
      </c>
      <c r="C1241">
        <v>19093.75</v>
      </c>
      <c r="D1241" s="4">
        <f>+VLOOKUP(A1241,Portfolio!$G$3:$I$6,3)</f>
        <v>5</v>
      </c>
      <c r="E1241">
        <f t="shared" si="19"/>
        <v>95468.75</v>
      </c>
    </row>
    <row r="1242" spans="1:5" x14ac:dyDescent="0.25">
      <c r="A1242" t="s">
        <v>0</v>
      </c>
      <c r="B1242">
        <v>1230703</v>
      </c>
      <c r="C1242">
        <v>19062.5</v>
      </c>
      <c r="D1242" s="4">
        <f>+VLOOKUP(A1242,Portfolio!$G$3:$I$6,3)</f>
        <v>5</v>
      </c>
      <c r="E1242">
        <f t="shared" si="19"/>
        <v>95312.5</v>
      </c>
    </row>
    <row r="1243" spans="1:5" x14ac:dyDescent="0.25">
      <c r="A1243" t="s">
        <v>0</v>
      </c>
      <c r="B1243">
        <v>1230704</v>
      </c>
      <c r="C1243">
        <v>18328.12</v>
      </c>
      <c r="D1243" s="4">
        <f>+VLOOKUP(A1243,Portfolio!$G$3:$I$6,3)</f>
        <v>5</v>
      </c>
      <c r="E1243">
        <f t="shared" si="19"/>
        <v>91640.599999999991</v>
      </c>
    </row>
    <row r="1244" spans="1:5" x14ac:dyDescent="0.25">
      <c r="A1244" t="s">
        <v>0</v>
      </c>
      <c r="B1244">
        <v>1230705</v>
      </c>
      <c r="C1244">
        <v>18359.38</v>
      </c>
      <c r="D1244" s="4">
        <f>+VLOOKUP(A1244,Portfolio!$G$3:$I$6,3)</f>
        <v>5</v>
      </c>
      <c r="E1244">
        <f t="shared" si="19"/>
        <v>91796.900000000009</v>
      </c>
    </row>
    <row r="1245" spans="1:5" x14ac:dyDescent="0.25">
      <c r="A1245" t="s">
        <v>0</v>
      </c>
      <c r="B1245">
        <v>1230706</v>
      </c>
      <c r="C1245">
        <v>18828.12</v>
      </c>
      <c r="D1245" s="4">
        <f>+VLOOKUP(A1245,Portfolio!$G$3:$I$6,3)</f>
        <v>5</v>
      </c>
      <c r="E1245">
        <f t="shared" si="19"/>
        <v>94140.599999999991</v>
      </c>
    </row>
    <row r="1246" spans="1:5" x14ac:dyDescent="0.25">
      <c r="A1246" t="s">
        <v>0</v>
      </c>
      <c r="B1246">
        <v>1230707</v>
      </c>
      <c r="C1246">
        <v>19437.5</v>
      </c>
      <c r="D1246" s="4">
        <f>+VLOOKUP(A1246,Portfolio!$G$3:$I$6,3)</f>
        <v>5</v>
      </c>
      <c r="E1246">
        <f t="shared" si="19"/>
        <v>97187.5</v>
      </c>
    </row>
    <row r="1247" spans="1:5" x14ac:dyDescent="0.25">
      <c r="A1247" t="s">
        <v>0</v>
      </c>
      <c r="B1247">
        <v>1230709</v>
      </c>
      <c r="C1247">
        <v>18421.88</v>
      </c>
      <c r="D1247" s="4">
        <f>+VLOOKUP(A1247,Portfolio!$G$3:$I$6,3)</f>
        <v>5</v>
      </c>
      <c r="E1247">
        <f t="shared" si="19"/>
        <v>92109.400000000009</v>
      </c>
    </row>
    <row r="1248" spans="1:5" x14ac:dyDescent="0.25">
      <c r="A1248" t="s">
        <v>0</v>
      </c>
      <c r="B1248">
        <v>1230710</v>
      </c>
      <c r="C1248">
        <v>18343.75</v>
      </c>
      <c r="D1248" s="4">
        <f>+VLOOKUP(A1248,Portfolio!$G$3:$I$6,3)</f>
        <v>5</v>
      </c>
      <c r="E1248">
        <f t="shared" si="19"/>
        <v>91718.75</v>
      </c>
    </row>
    <row r="1249" spans="1:5" x14ac:dyDescent="0.25">
      <c r="A1249" t="s">
        <v>0</v>
      </c>
      <c r="B1249">
        <v>1230711</v>
      </c>
      <c r="C1249">
        <v>19109.38</v>
      </c>
      <c r="D1249" s="4">
        <f>+VLOOKUP(A1249,Portfolio!$G$3:$I$6,3)</f>
        <v>5</v>
      </c>
      <c r="E1249">
        <f t="shared" si="19"/>
        <v>95546.900000000009</v>
      </c>
    </row>
    <row r="1250" spans="1:5" x14ac:dyDescent="0.25">
      <c r="A1250" t="s">
        <v>0</v>
      </c>
      <c r="B1250">
        <v>1230712</v>
      </c>
      <c r="C1250">
        <v>18718.75</v>
      </c>
      <c r="D1250" s="4">
        <f>+VLOOKUP(A1250,Portfolio!$G$3:$I$6,3)</f>
        <v>5</v>
      </c>
      <c r="E1250">
        <f t="shared" si="19"/>
        <v>93593.75</v>
      </c>
    </row>
    <row r="1251" spans="1:5" x14ac:dyDescent="0.25">
      <c r="A1251" t="s">
        <v>0</v>
      </c>
      <c r="B1251">
        <v>1230713</v>
      </c>
      <c r="C1251">
        <v>19250</v>
      </c>
      <c r="D1251" s="4">
        <f>+VLOOKUP(A1251,Portfolio!$G$3:$I$6,3)</f>
        <v>5</v>
      </c>
      <c r="E1251">
        <f t="shared" si="19"/>
        <v>96250</v>
      </c>
    </row>
    <row r="1252" spans="1:5" x14ac:dyDescent="0.25">
      <c r="A1252" t="s">
        <v>0</v>
      </c>
      <c r="B1252">
        <v>1230714</v>
      </c>
      <c r="C1252">
        <v>19812.5</v>
      </c>
      <c r="D1252" s="4">
        <f>+VLOOKUP(A1252,Portfolio!$G$3:$I$6,3)</f>
        <v>5</v>
      </c>
      <c r="E1252">
        <f t="shared" si="19"/>
        <v>99062.5</v>
      </c>
    </row>
    <row r="1253" spans="1:5" x14ac:dyDescent="0.25">
      <c r="A1253" t="s">
        <v>0</v>
      </c>
      <c r="B1253">
        <v>1230716</v>
      </c>
      <c r="C1253">
        <v>19750</v>
      </c>
      <c r="D1253" s="4">
        <f>+VLOOKUP(A1253,Portfolio!$G$3:$I$6,3)</f>
        <v>5</v>
      </c>
      <c r="E1253">
        <f t="shared" si="19"/>
        <v>98750</v>
      </c>
    </row>
    <row r="1254" spans="1:5" x14ac:dyDescent="0.25">
      <c r="A1254" t="s">
        <v>0</v>
      </c>
      <c r="B1254">
        <v>1230717</v>
      </c>
      <c r="C1254">
        <v>19671.88</v>
      </c>
      <c r="D1254" s="4">
        <f>+VLOOKUP(A1254,Portfolio!$G$3:$I$6,3)</f>
        <v>5</v>
      </c>
      <c r="E1254">
        <f t="shared" si="19"/>
        <v>98359.400000000009</v>
      </c>
    </row>
    <row r="1255" spans="1:5" x14ac:dyDescent="0.25">
      <c r="A1255" t="s">
        <v>0</v>
      </c>
      <c r="B1255">
        <v>1230718</v>
      </c>
      <c r="C1255">
        <v>19484.38</v>
      </c>
      <c r="D1255" s="4">
        <f>+VLOOKUP(A1255,Portfolio!$G$3:$I$6,3)</f>
        <v>5</v>
      </c>
      <c r="E1255">
        <f t="shared" si="19"/>
        <v>97421.900000000009</v>
      </c>
    </row>
    <row r="1256" spans="1:5" x14ac:dyDescent="0.25">
      <c r="A1256" t="s">
        <v>0</v>
      </c>
      <c r="B1256">
        <v>1230719</v>
      </c>
      <c r="C1256">
        <v>18937.5</v>
      </c>
      <c r="D1256" s="4">
        <f>+VLOOKUP(A1256,Portfolio!$G$3:$I$6,3)</f>
        <v>5</v>
      </c>
      <c r="E1256">
        <f t="shared" si="19"/>
        <v>94687.5</v>
      </c>
    </row>
    <row r="1257" spans="1:5" x14ac:dyDescent="0.25">
      <c r="A1257" t="s">
        <v>0</v>
      </c>
      <c r="B1257">
        <v>1230720</v>
      </c>
      <c r="C1257">
        <v>18640.62</v>
      </c>
      <c r="D1257" s="4">
        <f>+VLOOKUP(A1257,Portfolio!$G$3:$I$6,3)</f>
        <v>5</v>
      </c>
      <c r="E1257">
        <f t="shared" si="19"/>
        <v>93203.099999999991</v>
      </c>
    </row>
    <row r="1258" spans="1:5" x14ac:dyDescent="0.25">
      <c r="A1258" t="s">
        <v>0</v>
      </c>
      <c r="B1258">
        <v>1230721</v>
      </c>
      <c r="C1258">
        <v>19359.38</v>
      </c>
      <c r="D1258" s="4">
        <f>+VLOOKUP(A1258,Portfolio!$G$3:$I$6,3)</f>
        <v>5</v>
      </c>
      <c r="E1258">
        <f t="shared" si="19"/>
        <v>96796.900000000009</v>
      </c>
    </row>
    <row r="1259" spans="1:5" x14ac:dyDescent="0.25">
      <c r="A1259" t="s">
        <v>0</v>
      </c>
      <c r="B1259">
        <v>1230723</v>
      </c>
      <c r="C1259">
        <v>19171.88</v>
      </c>
      <c r="D1259" s="4">
        <f>+VLOOKUP(A1259,Portfolio!$G$3:$I$6,3)</f>
        <v>5</v>
      </c>
      <c r="E1259">
        <f t="shared" si="19"/>
        <v>95859.400000000009</v>
      </c>
    </row>
    <row r="1260" spans="1:5" x14ac:dyDescent="0.25">
      <c r="A1260" t="s">
        <v>0</v>
      </c>
      <c r="B1260">
        <v>1230724</v>
      </c>
      <c r="C1260">
        <v>19109.38</v>
      </c>
      <c r="D1260" s="4">
        <f>+VLOOKUP(A1260,Portfolio!$G$3:$I$6,3)</f>
        <v>5</v>
      </c>
      <c r="E1260">
        <f t="shared" si="19"/>
        <v>95546.900000000009</v>
      </c>
    </row>
    <row r="1261" spans="1:5" x14ac:dyDescent="0.25">
      <c r="A1261" t="s">
        <v>0</v>
      </c>
      <c r="B1261">
        <v>1230725</v>
      </c>
      <c r="C1261">
        <v>18921.88</v>
      </c>
      <c r="D1261" s="4">
        <f>+VLOOKUP(A1261,Portfolio!$G$3:$I$6,3)</f>
        <v>5</v>
      </c>
      <c r="E1261">
        <f t="shared" si="19"/>
        <v>94609.400000000009</v>
      </c>
    </row>
    <row r="1262" spans="1:5" x14ac:dyDescent="0.25">
      <c r="A1262" t="s">
        <v>0</v>
      </c>
      <c r="B1262">
        <v>1230726</v>
      </c>
      <c r="C1262">
        <v>18656.25</v>
      </c>
      <c r="D1262" s="4">
        <f>+VLOOKUP(A1262,Portfolio!$G$3:$I$6,3)</f>
        <v>5</v>
      </c>
      <c r="E1262">
        <f t="shared" si="19"/>
        <v>93281.25</v>
      </c>
    </row>
    <row r="1263" spans="1:5" x14ac:dyDescent="0.25">
      <c r="A1263" t="s">
        <v>0</v>
      </c>
      <c r="B1263">
        <v>1230727</v>
      </c>
      <c r="C1263">
        <v>18671.88</v>
      </c>
      <c r="D1263" s="4">
        <f>+VLOOKUP(A1263,Portfolio!$G$3:$I$6,3)</f>
        <v>5</v>
      </c>
      <c r="E1263">
        <f t="shared" si="19"/>
        <v>93359.400000000009</v>
      </c>
    </row>
    <row r="1264" spans="1:5" x14ac:dyDescent="0.25">
      <c r="A1264" t="s">
        <v>0</v>
      </c>
      <c r="B1264">
        <v>1230728</v>
      </c>
      <c r="C1264">
        <v>19218.75</v>
      </c>
      <c r="D1264" s="4">
        <f>+VLOOKUP(A1264,Portfolio!$G$3:$I$6,3)</f>
        <v>5</v>
      </c>
      <c r="E1264">
        <f t="shared" si="19"/>
        <v>96093.75</v>
      </c>
    </row>
    <row r="1265" spans="1:5" x14ac:dyDescent="0.25">
      <c r="A1265" t="s">
        <v>0</v>
      </c>
      <c r="B1265">
        <v>1230730</v>
      </c>
      <c r="C1265">
        <v>18921.88</v>
      </c>
      <c r="D1265" s="4">
        <f>+VLOOKUP(A1265,Portfolio!$G$3:$I$6,3)</f>
        <v>5</v>
      </c>
      <c r="E1265">
        <f t="shared" si="19"/>
        <v>94609.400000000009</v>
      </c>
    </row>
    <row r="1266" spans="1:5" x14ac:dyDescent="0.25">
      <c r="A1266" t="s">
        <v>0</v>
      </c>
      <c r="B1266">
        <v>1230731</v>
      </c>
      <c r="C1266">
        <v>18656.25</v>
      </c>
      <c r="D1266" s="4">
        <f>+VLOOKUP(A1266,Portfolio!$G$3:$I$6,3)</f>
        <v>5</v>
      </c>
      <c r="E1266">
        <f t="shared" si="19"/>
        <v>93281.25</v>
      </c>
    </row>
    <row r="1267" spans="1:5" x14ac:dyDescent="0.25">
      <c r="A1267" t="s">
        <v>0</v>
      </c>
      <c r="B1267">
        <v>1230801</v>
      </c>
      <c r="C1267">
        <v>18921.88</v>
      </c>
      <c r="D1267" s="4">
        <f>+VLOOKUP(A1267,Portfolio!$G$3:$I$6,3)</f>
        <v>5</v>
      </c>
      <c r="E1267">
        <f t="shared" si="19"/>
        <v>94609.400000000009</v>
      </c>
    </row>
    <row r="1268" spans="1:5" x14ac:dyDescent="0.25">
      <c r="A1268" t="s">
        <v>0</v>
      </c>
      <c r="B1268">
        <v>1230802</v>
      </c>
      <c r="C1268">
        <v>19000</v>
      </c>
      <c r="D1268" s="4">
        <f>+VLOOKUP(A1268,Portfolio!$G$3:$I$6,3)</f>
        <v>5</v>
      </c>
      <c r="E1268">
        <f t="shared" si="19"/>
        <v>95000</v>
      </c>
    </row>
    <row r="1269" spans="1:5" x14ac:dyDescent="0.25">
      <c r="A1269" t="s">
        <v>0</v>
      </c>
      <c r="B1269">
        <v>1230803</v>
      </c>
      <c r="C1269">
        <v>19000</v>
      </c>
      <c r="D1269" s="4">
        <f>+VLOOKUP(A1269,Portfolio!$G$3:$I$6,3)</f>
        <v>5</v>
      </c>
      <c r="E1269">
        <f t="shared" si="19"/>
        <v>95000</v>
      </c>
    </row>
    <row r="1270" spans="1:5" x14ac:dyDescent="0.25">
      <c r="A1270" t="s">
        <v>0</v>
      </c>
      <c r="B1270">
        <v>1230804</v>
      </c>
      <c r="C1270">
        <v>19312.5</v>
      </c>
      <c r="D1270" s="4">
        <f>+VLOOKUP(A1270,Portfolio!$G$3:$I$6,3)</f>
        <v>5</v>
      </c>
      <c r="E1270">
        <f t="shared" si="19"/>
        <v>96562.5</v>
      </c>
    </row>
    <row r="1271" spans="1:5" x14ac:dyDescent="0.25">
      <c r="A1271" t="s">
        <v>0</v>
      </c>
      <c r="B1271">
        <v>1230806</v>
      </c>
      <c r="C1271">
        <v>19296.88</v>
      </c>
      <c r="D1271" s="4">
        <f>+VLOOKUP(A1271,Portfolio!$G$3:$I$6,3)</f>
        <v>5</v>
      </c>
      <c r="E1271">
        <f t="shared" si="19"/>
        <v>96484.400000000009</v>
      </c>
    </row>
    <row r="1272" spans="1:5" x14ac:dyDescent="0.25">
      <c r="A1272" t="s">
        <v>0</v>
      </c>
      <c r="B1272">
        <v>1230807</v>
      </c>
      <c r="C1272">
        <v>19265.62</v>
      </c>
      <c r="D1272" s="4">
        <f>+VLOOKUP(A1272,Portfolio!$G$3:$I$6,3)</f>
        <v>5</v>
      </c>
      <c r="E1272">
        <f t="shared" si="19"/>
        <v>96328.099999999991</v>
      </c>
    </row>
    <row r="1273" spans="1:5" x14ac:dyDescent="0.25">
      <c r="A1273" t="s">
        <v>0</v>
      </c>
      <c r="B1273">
        <v>1230808</v>
      </c>
      <c r="C1273">
        <v>19437.5</v>
      </c>
      <c r="D1273" s="4">
        <f>+VLOOKUP(A1273,Portfolio!$G$3:$I$6,3)</f>
        <v>5</v>
      </c>
      <c r="E1273">
        <f t="shared" si="19"/>
        <v>97187.5</v>
      </c>
    </row>
    <row r="1274" spans="1:5" x14ac:dyDescent="0.25">
      <c r="A1274" t="s">
        <v>0</v>
      </c>
      <c r="B1274">
        <v>1230809</v>
      </c>
      <c r="C1274">
        <v>19640.62</v>
      </c>
      <c r="D1274" s="4">
        <f>+VLOOKUP(A1274,Portfolio!$G$3:$I$6,3)</f>
        <v>5</v>
      </c>
      <c r="E1274">
        <f t="shared" si="19"/>
        <v>98203.099999999991</v>
      </c>
    </row>
    <row r="1275" spans="1:5" x14ac:dyDescent="0.25">
      <c r="A1275" t="s">
        <v>0</v>
      </c>
      <c r="B1275">
        <v>1230810</v>
      </c>
      <c r="C1275">
        <v>19515.62</v>
      </c>
      <c r="D1275" s="4">
        <f>+VLOOKUP(A1275,Portfolio!$G$3:$I$6,3)</f>
        <v>5</v>
      </c>
      <c r="E1275">
        <f t="shared" si="19"/>
        <v>97578.099999999991</v>
      </c>
    </row>
    <row r="1276" spans="1:5" x14ac:dyDescent="0.25">
      <c r="A1276" t="s">
        <v>0</v>
      </c>
      <c r="B1276">
        <v>1230811</v>
      </c>
      <c r="C1276">
        <v>19640.62</v>
      </c>
      <c r="D1276" s="4">
        <f>+VLOOKUP(A1276,Portfolio!$G$3:$I$6,3)</f>
        <v>5</v>
      </c>
      <c r="E1276">
        <f t="shared" si="19"/>
        <v>98203.099999999991</v>
      </c>
    </row>
    <row r="1277" spans="1:5" x14ac:dyDescent="0.25">
      <c r="A1277" t="s">
        <v>0</v>
      </c>
      <c r="B1277">
        <v>1230813</v>
      </c>
      <c r="C1277">
        <v>19781.25</v>
      </c>
      <c r="D1277" s="4">
        <f>+VLOOKUP(A1277,Portfolio!$G$3:$I$6,3)</f>
        <v>5</v>
      </c>
      <c r="E1277">
        <f t="shared" si="19"/>
        <v>98906.25</v>
      </c>
    </row>
    <row r="1278" spans="1:5" x14ac:dyDescent="0.25">
      <c r="A1278" t="s">
        <v>0</v>
      </c>
      <c r="B1278">
        <v>1230814</v>
      </c>
      <c r="C1278">
        <v>19750</v>
      </c>
      <c r="D1278" s="4">
        <f>+VLOOKUP(A1278,Portfolio!$G$3:$I$6,3)</f>
        <v>5</v>
      </c>
      <c r="E1278">
        <f t="shared" si="19"/>
        <v>98750</v>
      </c>
    </row>
    <row r="1279" spans="1:5" x14ac:dyDescent="0.25">
      <c r="A1279" t="s">
        <v>0</v>
      </c>
      <c r="B1279">
        <v>1230815</v>
      </c>
      <c r="C1279">
        <v>19484.38</v>
      </c>
      <c r="D1279" s="4">
        <f>+VLOOKUP(A1279,Portfolio!$G$3:$I$6,3)</f>
        <v>5</v>
      </c>
      <c r="E1279">
        <f t="shared" si="19"/>
        <v>97421.900000000009</v>
      </c>
    </row>
    <row r="1280" spans="1:5" x14ac:dyDescent="0.25">
      <c r="A1280" t="s">
        <v>0</v>
      </c>
      <c r="B1280">
        <v>1230816</v>
      </c>
      <c r="C1280">
        <v>19328.12</v>
      </c>
      <c r="D1280" s="4">
        <f>+VLOOKUP(A1280,Portfolio!$G$3:$I$6,3)</f>
        <v>5</v>
      </c>
      <c r="E1280">
        <f t="shared" si="19"/>
        <v>96640.599999999991</v>
      </c>
    </row>
    <row r="1281" spans="1:5" x14ac:dyDescent="0.25">
      <c r="A1281" t="s">
        <v>0</v>
      </c>
      <c r="B1281">
        <v>1230817</v>
      </c>
      <c r="C1281">
        <v>19640.62</v>
      </c>
      <c r="D1281" s="4">
        <f>+VLOOKUP(A1281,Portfolio!$G$3:$I$6,3)</f>
        <v>5</v>
      </c>
      <c r="E1281">
        <f t="shared" si="19"/>
        <v>98203.099999999991</v>
      </c>
    </row>
    <row r="1282" spans="1:5" x14ac:dyDescent="0.25">
      <c r="A1282" t="s">
        <v>0</v>
      </c>
      <c r="B1282">
        <v>1230818</v>
      </c>
      <c r="C1282">
        <v>19296.88</v>
      </c>
      <c r="D1282" s="4">
        <f>+VLOOKUP(A1282,Portfolio!$G$3:$I$6,3)</f>
        <v>5</v>
      </c>
      <c r="E1282">
        <f t="shared" si="19"/>
        <v>96484.400000000009</v>
      </c>
    </row>
    <row r="1283" spans="1:5" x14ac:dyDescent="0.25">
      <c r="A1283" t="s">
        <v>0</v>
      </c>
      <c r="B1283">
        <v>1230820</v>
      </c>
      <c r="C1283">
        <v>19343.75</v>
      </c>
      <c r="D1283" s="4">
        <f>+VLOOKUP(A1283,Portfolio!$G$3:$I$6,3)</f>
        <v>5</v>
      </c>
      <c r="E1283">
        <f t="shared" ref="E1283:E1346" si="20">+C1283*D1283</f>
        <v>96718.75</v>
      </c>
    </row>
    <row r="1284" spans="1:5" x14ac:dyDescent="0.25">
      <c r="A1284" t="s">
        <v>0</v>
      </c>
      <c r="B1284">
        <v>1230821</v>
      </c>
      <c r="C1284">
        <v>19484.38</v>
      </c>
      <c r="D1284" s="4">
        <f>+VLOOKUP(A1284,Portfolio!$G$3:$I$6,3)</f>
        <v>5</v>
      </c>
      <c r="E1284">
        <f t="shared" si="20"/>
        <v>97421.900000000009</v>
      </c>
    </row>
    <row r="1285" spans="1:5" x14ac:dyDescent="0.25">
      <c r="A1285" t="s">
        <v>0</v>
      </c>
      <c r="B1285">
        <v>1230822</v>
      </c>
      <c r="C1285">
        <v>19890.62</v>
      </c>
      <c r="D1285" s="4">
        <f>+VLOOKUP(A1285,Portfolio!$G$3:$I$6,3)</f>
        <v>5</v>
      </c>
      <c r="E1285">
        <f t="shared" si="20"/>
        <v>99453.099999999991</v>
      </c>
    </row>
    <row r="1286" spans="1:5" x14ac:dyDescent="0.25">
      <c r="A1286" t="s">
        <v>0</v>
      </c>
      <c r="B1286">
        <v>1230823</v>
      </c>
      <c r="C1286">
        <v>19765.62</v>
      </c>
      <c r="D1286" s="4">
        <f>+VLOOKUP(A1286,Portfolio!$G$3:$I$6,3)</f>
        <v>5</v>
      </c>
      <c r="E1286">
        <f t="shared" si="20"/>
        <v>98828.099999999991</v>
      </c>
    </row>
    <row r="1287" spans="1:5" x14ac:dyDescent="0.25">
      <c r="A1287" t="s">
        <v>0</v>
      </c>
      <c r="B1287">
        <v>1230824</v>
      </c>
      <c r="C1287">
        <v>19640.62</v>
      </c>
      <c r="D1287" s="4">
        <f>+VLOOKUP(A1287,Portfolio!$G$3:$I$6,3)</f>
        <v>5</v>
      </c>
      <c r="E1287">
        <f t="shared" si="20"/>
        <v>98203.099999999991</v>
      </c>
    </row>
    <row r="1288" spans="1:5" x14ac:dyDescent="0.25">
      <c r="A1288" t="s">
        <v>0</v>
      </c>
      <c r="B1288">
        <v>1230825</v>
      </c>
      <c r="C1288">
        <v>19921.88</v>
      </c>
      <c r="D1288" s="4">
        <f>+VLOOKUP(A1288,Portfolio!$G$3:$I$6,3)</f>
        <v>5</v>
      </c>
      <c r="E1288">
        <f t="shared" si="20"/>
        <v>99609.400000000009</v>
      </c>
    </row>
    <row r="1289" spans="1:5" x14ac:dyDescent="0.25">
      <c r="A1289" t="s">
        <v>0</v>
      </c>
      <c r="B1289">
        <v>1230827</v>
      </c>
      <c r="C1289">
        <v>19500</v>
      </c>
      <c r="D1289" s="4">
        <f>+VLOOKUP(A1289,Portfolio!$G$3:$I$6,3)</f>
        <v>5</v>
      </c>
      <c r="E1289">
        <f t="shared" si="20"/>
        <v>97500</v>
      </c>
    </row>
    <row r="1290" spans="1:5" x14ac:dyDescent="0.25">
      <c r="A1290" t="s">
        <v>0</v>
      </c>
      <c r="B1290">
        <v>1230828</v>
      </c>
      <c r="C1290">
        <v>19421.88</v>
      </c>
      <c r="D1290" s="4">
        <f>+VLOOKUP(A1290,Portfolio!$G$3:$I$6,3)</f>
        <v>5</v>
      </c>
      <c r="E1290">
        <f t="shared" si="20"/>
        <v>97109.400000000009</v>
      </c>
    </row>
    <row r="1291" spans="1:5" x14ac:dyDescent="0.25">
      <c r="A1291" t="s">
        <v>0</v>
      </c>
      <c r="B1291">
        <v>1230829</v>
      </c>
      <c r="C1291">
        <v>19484.38</v>
      </c>
      <c r="D1291" s="4">
        <f>+VLOOKUP(A1291,Portfolio!$G$3:$I$6,3)</f>
        <v>5</v>
      </c>
      <c r="E1291">
        <f t="shared" si="20"/>
        <v>97421.900000000009</v>
      </c>
    </row>
    <row r="1292" spans="1:5" x14ac:dyDescent="0.25">
      <c r="A1292" t="s">
        <v>0</v>
      </c>
      <c r="B1292">
        <v>1230830</v>
      </c>
      <c r="C1292">
        <v>19390.62</v>
      </c>
      <c r="D1292" s="4">
        <f>+VLOOKUP(A1292,Portfolio!$G$3:$I$6,3)</f>
        <v>5</v>
      </c>
      <c r="E1292">
        <f t="shared" si="20"/>
        <v>96953.099999999991</v>
      </c>
    </row>
    <row r="1293" spans="1:5" x14ac:dyDescent="0.25">
      <c r="A1293" t="s">
        <v>0</v>
      </c>
      <c r="B1293">
        <v>1230831</v>
      </c>
      <c r="C1293">
        <v>18968.75</v>
      </c>
      <c r="D1293" s="4">
        <f>+VLOOKUP(A1293,Portfolio!$G$3:$I$6,3)</f>
        <v>5</v>
      </c>
      <c r="E1293">
        <f t="shared" si="20"/>
        <v>94843.75</v>
      </c>
    </row>
    <row r="1294" spans="1:5" x14ac:dyDescent="0.25">
      <c r="A1294" t="s">
        <v>0</v>
      </c>
      <c r="B1294">
        <v>1230901</v>
      </c>
      <c r="C1294">
        <v>19031.25</v>
      </c>
      <c r="D1294" s="4">
        <f>+VLOOKUP(A1294,Portfolio!$G$3:$I$6,3)</f>
        <v>5</v>
      </c>
      <c r="E1294">
        <f t="shared" si="20"/>
        <v>95156.25</v>
      </c>
    </row>
    <row r="1295" spans="1:5" x14ac:dyDescent="0.25">
      <c r="A1295" t="s">
        <v>0</v>
      </c>
      <c r="B1295">
        <v>1230903</v>
      </c>
      <c r="C1295">
        <v>19031.25</v>
      </c>
      <c r="D1295" s="4">
        <f>+VLOOKUP(A1295,Portfolio!$G$3:$I$6,3)</f>
        <v>5</v>
      </c>
      <c r="E1295">
        <f t="shared" si="20"/>
        <v>95156.25</v>
      </c>
    </row>
    <row r="1296" spans="1:5" x14ac:dyDescent="0.25">
      <c r="A1296" t="s">
        <v>0</v>
      </c>
      <c r="B1296">
        <v>1230904</v>
      </c>
      <c r="C1296">
        <v>19062.5</v>
      </c>
      <c r="D1296" s="4">
        <f>+VLOOKUP(A1296,Portfolio!$G$3:$I$6,3)</f>
        <v>5</v>
      </c>
      <c r="E1296">
        <f t="shared" si="20"/>
        <v>95312.5</v>
      </c>
    </row>
    <row r="1297" spans="1:5" x14ac:dyDescent="0.25">
      <c r="A1297" t="s">
        <v>0</v>
      </c>
      <c r="B1297">
        <v>1230905</v>
      </c>
      <c r="C1297">
        <v>19156.25</v>
      </c>
      <c r="D1297" s="4">
        <f>+VLOOKUP(A1297,Portfolio!$G$3:$I$6,3)</f>
        <v>5</v>
      </c>
      <c r="E1297">
        <f t="shared" si="20"/>
        <v>95781.25</v>
      </c>
    </row>
    <row r="1298" spans="1:5" x14ac:dyDescent="0.25">
      <c r="A1298" t="s">
        <v>0</v>
      </c>
      <c r="B1298">
        <v>1230906</v>
      </c>
      <c r="C1298">
        <v>19390.62</v>
      </c>
      <c r="D1298" s="4">
        <f>+VLOOKUP(A1298,Portfolio!$G$3:$I$6,3)</f>
        <v>5</v>
      </c>
      <c r="E1298">
        <f t="shared" si="20"/>
        <v>96953.099999999991</v>
      </c>
    </row>
    <row r="1299" spans="1:5" x14ac:dyDescent="0.25">
      <c r="A1299" t="s">
        <v>0</v>
      </c>
      <c r="B1299">
        <v>1230907</v>
      </c>
      <c r="C1299">
        <v>19765.62</v>
      </c>
      <c r="D1299" s="4">
        <f>+VLOOKUP(A1299,Portfolio!$G$3:$I$6,3)</f>
        <v>5</v>
      </c>
      <c r="E1299">
        <f t="shared" si="20"/>
        <v>98828.099999999991</v>
      </c>
    </row>
    <row r="1300" spans="1:5" x14ac:dyDescent="0.25">
      <c r="A1300" t="s">
        <v>0</v>
      </c>
      <c r="B1300">
        <v>1230908</v>
      </c>
      <c r="C1300">
        <v>19890.62</v>
      </c>
      <c r="D1300" s="4">
        <f>+VLOOKUP(A1300,Portfolio!$G$3:$I$6,3)</f>
        <v>5</v>
      </c>
      <c r="E1300">
        <f t="shared" si="20"/>
        <v>99453.099999999991</v>
      </c>
    </row>
    <row r="1301" spans="1:5" x14ac:dyDescent="0.25">
      <c r="A1301" t="s">
        <v>0</v>
      </c>
      <c r="B1301">
        <v>1230910</v>
      </c>
      <c r="C1301">
        <v>19796.88</v>
      </c>
      <c r="D1301" s="4">
        <f>+VLOOKUP(A1301,Portfolio!$G$3:$I$6,3)</f>
        <v>5</v>
      </c>
      <c r="E1301">
        <f t="shared" si="20"/>
        <v>98984.400000000009</v>
      </c>
    </row>
    <row r="1302" spans="1:5" x14ac:dyDescent="0.25">
      <c r="A1302" t="s">
        <v>0</v>
      </c>
      <c r="B1302">
        <v>1230911</v>
      </c>
      <c r="C1302">
        <v>20000</v>
      </c>
      <c r="D1302" s="4">
        <f>+VLOOKUP(A1302,Portfolio!$G$3:$I$6,3)</f>
        <v>5</v>
      </c>
      <c r="E1302">
        <f t="shared" si="20"/>
        <v>100000</v>
      </c>
    </row>
    <row r="1303" spans="1:5" x14ac:dyDescent="0.25">
      <c r="A1303" t="s">
        <v>0</v>
      </c>
      <c r="B1303">
        <v>1230912</v>
      </c>
      <c r="C1303">
        <v>19718.75</v>
      </c>
      <c r="D1303" s="4">
        <f>+VLOOKUP(A1303,Portfolio!$G$3:$I$6,3)</f>
        <v>5</v>
      </c>
      <c r="E1303">
        <f t="shared" si="20"/>
        <v>98593.75</v>
      </c>
    </row>
    <row r="1304" spans="1:5" x14ac:dyDescent="0.25">
      <c r="A1304" t="s">
        <v>0</v>
      </c>
      <c r="B1304">
        <v>1230913</v>
      </c>
      <c r="C1304">
        <v>19328.12</v>
      </c>
      <c r="D1304" s="4">
        <f>+VLOOKUP(A1304,Portfolio!$G$3:$I$6,3)</f>
        <v>5</v>
      </c>
      <c r="E1304">
        <f t="shared" si="20"/>
        <v>96640.599999999991</v>
      </c>
    </row>
    <row r="1305" spans="1:5" x14ac:dyDescent="0.25">
      <c r="A1305" t="s">
        <v>0</v>
      </c>
      <c r="B1305">
        <v>1230914</v>
      </c>
      <c r="C1305">
        <v>19328.12</v>
      </c>
      <c r="D1305" s="4">
        <f>+VLOOKUP(A1305,Portfolio!$G$3:$I$6,3)</f>
        <v>5</v>
      </c>
      <c r="E1305">
        <f t="shared" si="20"/>
        <v>96640.599999999991</v>
      </c>
    </row>
    <row r="1306" spans="1:5" x14ac:dyDescent="0.25">
      <c r="A1306" t="s">
        <v>0</v>
      </c>
      <c r="B1306">
        <v>1230915</v>
      </c>
      <c r="C1306">
        <v>18015.62</v>
      </c>
      <c r="D1306" s="4">
        <f>+VLOOKUP(A1306,Portfolio!$G$3:$I$6,3)</f>
        <v>5</v>
      </c>
      <c r="E1306">
        <f t="shared" si="20"/>
        <v>90078.099999999991</v>
      </c>
    </row>
    <row r="1307" spans="1:5" x14ac:dyDescent="0.25">
      <c r="A1307" t="s">
        <v>0</v>
      </c>
      <c r="B1307">
        <v>1230917</v>
      </c>
      <c r="C1307">
        <v>18359.38</v>
      </c>
      <c r="D1307" s="4">
        <f>+VLOOKUP(A1307,Portfolio!$G$3:$I$6,3)</f>
        <v>5</v>
      </c>
      <c r="E1307">
        <f t="shared" si="20"/>
        <v>91796.900000000009</v>
      </c>
    </row>
    <row r="1308" spans="1:5" x14ac:dyDescent="0.25">
      <c r="A1308" t="s">
        <v>0</v>
      </c>
      <c r="B1308">
        <v>1230918</v>
      </c>
      <c r="C1308">
        <v>18500</v>
      </c>
      <c r="D1308" s="4">
        <f>+VLOOKUP(A1308,Portfolio!$G$3:$I$6,3)</f>
        <v>5</v>
      </c>
      <c r="E1308">
        <f t="shared" si="20"/>
        <v>92500</v>
      </c>
    </row>
    <row r="1309" spans="1:5" x14ac:dyDescent="0.25">
      <c r="A1309" t="s">
        <v>0</v>
      </c>
      <c r="B1309">
        <v>1230919</v>
      </c>
      <c r="C1309">
        <v>18390.62</v>
      </c>
      <c r="D1309" s="4">
        <f>+VLOOKUP(A1309,Portfolio!$G$3:$I$6,3)</f>
        <v>5</v>
      </c>
      <c r="E1309">
        <f t="shared" si="20"/>
        <v>91953.099999999991</v>
      </c>
    </row>
    <row r="1310" spans="1:5" x14ac:dyDescent="0.25">
      <c r="A1310" t="s">
        <v>0</v>
      </c>
      <c r="B1310">
        <v>1230920</v>
      </c>
      <c r="C1310">
        <v>18562.5</v>
      </c>
      <c r="D1310" s="4">
        <f>+VLOOKUP(A1310,Portfolio!$G$3:$I$6,3)</f>
        <v>5</v>
      </c>
      <c r="E1310">
        <f t="shared" si="20"/>
        <v>92812.5</v>
      </c>
    </row>
    <row r="1311" spans="1:5" x14ac:dyDescent="0.25">
      <c r="A1311" t="s">
        <v>0</v>
      </c>
      <c r="B1311">
        <v>1230921</v>
      </c>
      <c r="C1311">
        <v>17640.62</v>
      </c>
      <c r="D1311" s="4">
        <f>+VLOOKUP(A1311,Portfolio!$G$3:$I$6,3)</f>
        <v>5</v>
      </c>
      <c r="E1311">
        <f t="shared" si="20"/>
        <v>88203.099999999991</v>
      </c>
    </row>
    <row r="1312" spans="1:5" x14ac:dyDescent="0.25">
      <c r="A1312" t="s">
        <v>0</v>
      </c>
      <c r="B1312">
        <v>1230922</v>
      </c>
      <c r="C1312">
        <v>17671.88</v>
      </c>
      <c r="D1312" s="4">
        <f>+VLOOKUP(A1312,Portfolio!$G$3:$I$6,3)</f>
        <v>5</v>
      </c>
      <c r="E1312">
        <f t="shared" si="20"/>
        <v>88359.400000000009</v>
      </c>
    </row>
    <row r="1313" spans="1:5" x14ac:dyDescent="0.25">
      <c r="A1313" t="s">
        <v>0</v>
      </c>
      <c r="B1313">
        <v>1230924</v>
      </c>
      <c r="C1313">
        <v>17562.5</v>
      </c>
      <c r="D1313" s="4">
        <f>+VLOOKUP(A1313,Portfolio!$G$3:$I$6,3)</f>
        <v>5</v>
      </c>
      <c r="E1313">
        <f t="shared" si="20"/>
        <v>87812.5</v>
      </c>
    </row>
    <row r="1314" spans="1:5" x14ac:dyDescent="0.25">
      <c r="A1314" t="s">
        <v>0</v>
      </c>
      <c r="B1314">
        <v>1230925</v>
      </c>
      <c r="C1314">
        <v>17406.25</v>
      </c>
      <c r="D1314" s="4">
        <f>+VLOOKUP(A1314,Portfolio!$G$3:$I$6,3)</f>
        <v>5</v>
      </c>
      <c r="E1314">
        <f t="shared" si="20"/>
        <v>87031.25</v>
      </c>
    </row>
    <row r="1315" spans="1:5" x14ac:dyDescent="0.25">
      <c r="A1315" t="s">
        <v>0</v>
      </c>
      <c r="B1315">
        <v>1230926</v>
      </c>
      <c r="C1315">
        <v>17343.75</v>
      </c>
      <c r="D1315" s="4">
        <f>+VLOOKUP(A1315,Portfolio!$G$3:$I$6,3)</f>
        <v>5</v>
      </c>
      <c r="E1315">
        <f t="shared" si="20"/>
        <v>86718.75</v>
      </c>
    </row>
    <row r="1316" spans="1:5" x14ac:dyDescent="0.25">
      <c r="A1316" t="s">
        <v>0</v>
      </c>
      <c r="B1316">
        <v>1230927</v>
      </c>
      <c r="C1316">
        <v>16953.12</v>
      </c>
      <c r="D1316" s="4">
        <f>+VLOOKUP(A1316,Portfolio!$G$3:$I$6,3)</f>
        <v>5</v>
      </c>
      <c r="E1316">
        <f t="shared" si="20"/>
        <v>84765.599999999991</v>
      </c>
    </row>
    <row r="1317" spans="1:5" x14ac:dyDescent="0.25">
      <c r="A1317" t="s">
        <v>0</v>
      </c>
      <c r="B1317">
        <v>1230928</v>
      </c>
      <c r="C1317">
        <v>17328.12</v>
      </c>
      <c r="D1317" s="4">
        <f>+VLOOKUP(A1317,Portfolio!$G$3:$I$6,3)</f>
        <v>5</v>
      </c>
      <c r="E1317">
        <f t="shared" si="20"/>
        <v>86640.599999999991</v>
      </c>
    </row>
    <row r="1318" spans="1:5" x14ac:dyDescent="0.25">
      <c r="A1318" t="s">
        <v>0</v>
      </c>
      <c r="B1318">
        <v>1230929</v>
      </c>
      <c r="C1318">
        <v>17203.12</v>
      </c>
      <c r="D1318" s="4">
        <f>+VLOOKUP(A1318,Portfolio!$G$3:$I$6,3)</f>
        <v>5</v>
      </c>
      <c r="E1318">
        <f t="shared" si="20"/>
        <v>86015.599999999991</v>
      </c>
    </row>
    <row r="1319" spans="1:5" x14ac:dyDescent="0.25">
      <c r="A1319" t="s">
        <v>0</v>
      </c>
      <c r="B1319">
        <v>1231001</v>
      </c>
      <c r="C1319">
        <v>16296.88</v>
      </c>
      <c r="D1319" s="4">
        <f>+VLOOKUP(A1319,Portfolio!$G$3:$I$6,3)</f>
        <v>5</v>
      </c>
      <c r="E1319">
        <f t="shared" si="20"/>
        <v>81484.399999999994</v>
      </c>
    </row>
    <row r="1320" spans="1:5" x14ac:dyDescent="0.25">
      <c r="A1320" t="s">
        <v>0</v>
      </c>
      <c r="B1320">
        <v>1231002</v>
      </c>
      <c r="C1320">
        <v>16343.75</v>
      </c>
      <c r="D1320" s="4">
        <f>+VLOOKUP(A1320,Portfolio!$G$3:$I$6,3)</f>
        <v>5</v>
      </c>
      <c r="E1320">
        <f t="shared" si="20"/>
        <v>81718.75</v>
      </c>
    </row>
    <row r="1321" spans="1:5" x14ac:dyDescent="0.25">
      <c r="A1321" t="s">
        <v>0</v>
      </c>
      <c r="B1321">
        <v>1231003</v>
      </c>
      <c r="C1321">
        <v>16421.88</v>
      </c>
      <c r="D1321" s="4">
        <f>+VLOOKUP(A1321,Portfolio!$G$3:$I$6,3)</f>
        <v>5</v>
      </c>
      <c r="E1321">
        <f t="shared" si="20"/>
        <v>82109.400000000009</v>
      </c>
    </row>
    <row r="1322" spans="1:5" x14ac:dyDescent="0.25">
      <c r="A1322" t="s">
        <v>0</v>
      </c>
      <c r="B1322">
        <v>1231004</v>
      </c>
      <c r="C1322">
        <v>17296.88</v>
      </c>
      <c r="D1322" s="4">
        <f>+VLOOKUP(A1322,Portfolio!$G$3:$I$6,3)</f>
        <v>5</v>
      </c>
      <c r="E1322">
        <f t="shared" si="20"/>
        <v>86484.400000000009</v>
      </c>
    </row>
    <row r="1323" spans="1:5" x14ac:dyDescent="0.25">
      <c r="A1323" t="s">
        <v>0</v>
      </c>
      <c r="B1323">
        <v>1231005</v>
      </c>
      <c r="C1323">
        <v>17562.5</v>
      </c>
      <c r="D1323" s="4">
        <f>+VLOOKUP(A1323,Portfolio!$G$3:$I$6,3)</f>
        <v>5</v>
      </c>
      <c r="E1323">
        <f t="shared" si="20"/>
        <v>87812.5</v>
      </c>
    </row>
    <row r="1324" spans="1:5" x14ac:dyDescent="0.25">
      <c r="A1324" t="s">
        <v>0</v>
      </c>
      <c r="B1324">
        <v>1231006</v>
      </c>
      <c r="C1324">
        <v>17015.62</v>
      </c>
      <c r="D1324" s="4">
        <f>+VLOOKUP(A1324,Portfolio!$G$3:$I$6,3)</f>
        <v>5</v>
      </c>
      <c r="E1324">
        <f t="shared" si="20"/>
        <v>85078.099999999991</v>
      </c>
    </row>
    <row r="1325" spans="1:5" x14ac:dyDescent="0.25">
      <c r="A1325" t="s">
        <v>0</v>
      </c>
      <c r="B1325">
        <v>1231008</v>
      </c>
      <c r="C1325">
        <v>16453.12</v>
      </c>
      <c r="D1325" s="4">
        <f>+VLOOKUP(A1325,Portfolio!$G$3:$I$6,3)</f>
        <v>5</v>
      </c>
      <c r="E1325">
        <f t="shared" si="20"/>
        <v>82265.599999999991</v>
      </c>
    </row>
    <row r="1326" spans="1:5" x14ac:dyDescent="0.25">
      <c r="A1326" t="s">
        <v>0</v>
      </c>
      <c r="B1326">
        <v>1231009</v>
      </c>
      <c r="C1326">
        <v>16718.75</v>
      </c>
      <c r="D1326" s="4">
        <f>+VLOOKUP(A1326,Portfolio!$G$3:$I$6,3)</f>
        <v>5</v>
      </c>
      <c r="E1326">
        <f t="shared" si="20"/>
        <v>83593.75</v>
      </c>
    </row>
    <row r="1327" spans="1:5" x14ac:dyDescent="0.25">
      <c r="A1327" t="s">
        <v>0</v>
      </c>
      <c r="B1327">
        <v>1231010</v>
      </c>
      <c r="C1327">
        <v>16765.62</v>
      </c>
      <c r="D1327" s="4">
        <f>+VLOOKUP(A1327,Portfolio!$G$3:$I$6,3)</f>
        <v>5</v>
      </c>
      <c r="E1327">
        <f t="shared" si="20"/>
        <v>83828.099999999991</v>
      </c>
    </row>
    <row r="1328" spans="1:5" x14ac:dyDescent="0.25">
      <c r="A1328" t="s">
        <v>0</v>
      </c>
      <c r="B1328">
        <v>1231011</v>
      </c>
      <c r="C1328">
        <v>15843.75</v>
      </c>
      <c r="D1328" s="4">
        <f>+VLOOKUP(A1328,Portfolio!$G$3:$I$6,3)</f>
        <v>5</v>
      </c>
      <c r="E1328">
        <f t="shared" si="20"/>
        <v>79218.75</v>
      </c>
    </row>
    <row r="1329" spans="1:5" x14ac:dyDescent="0.25">
      <c r="A1329" t="s">
        <v>0</v>
      </c>
      <c r="B1329">
        <v>1231012</v>
      </c>
      <c r="C1329">
        <v>16171.88</v>
      </c>
      <c r="D1329" s="4">
        <f>+VLOOKUP(A1329,Portfolio!$G$3:$I$6,3)</f>
        <v>5</v>
      </c>
      <c r="E1329">
        <f t="shared" si="20"/>
        <v>80859.399999999994</v>
      </c>
    </row>
    <row r="1330" spans="1:5" x14ac:dyDescent="0.25">
      <c r="A1330" t="s">
        <v>0</v>
      </c>
      <c r="B1330">
        <v>1231013</v>
      </c>
      <c r="C1330">
        <v>16593.75</v>
      </c>
      <c r="D1330" s="4">
        <f>+VLOOKUP(A1330,Portfolio!$G$3:$I$6,3)</f>
        <v>5</v>
      </c>
      <c r="E1330">
        <f t="shared" si="20"/>
        <v>82968.75</v>
      </c>
    </row>
    <row r="1331" spans="1:5" x14ac:dyDescent="0.25">
      <c r="A1331" t="s">
        <v>0</v>
      </c>
      <c r="B1331">
        <v>1231015</v>
      </c>
      <c r="C1331">
        <v>15953.12</v>
      </c>
      <c r="D1331" s="4">
        <f>+VLOOKUP(A1331,Portfolio!$G$3:$I$6,3)</f>
        <v>5</v>
      </c>
      <c r="E1331">
        <f t="shared" si="20"/>
        <v>79765.600000000006</v>
      </c>
    </row>
    <row r="1332" spans="1:5" x14ac:dyDescent="0.25">
      <c r="A1332" t="s">
        <v>0</v>
      </c>
      <c r="B1332">
        <v>1231016</v>
      </c>
      <c r="C1332">
        <v>15968.75</v>
      </c>
      <c r="D1332" s="4">
        <f>+VLOOKUP(A1332,Portfolio!$G$3:$I$6,3)</f>
        <v>5</v>
      </c>
      <c r="E1332">
        <f t="shared" si="20"/>
        <v>79843.75</v>
      </c>
    </row>
    <row r="1333" spans="1:5" x14ac:dyDescent="0.25">
      <c r="A1333" t="s">
        <v>0</v>
      </c>
      <c r="B1333">
        <v>1231017</v>
      </c>
      <c r="C1333">
        <v>16000</v>
      </c>
      <c r="D1333" s="4">
        <f>+VLOOKUP(A1333,Portfolio!$G$3:$I$6,3)</f>
        <v>5</v>
      </c>
      <c r="E1333">
        <f t="shared" si="20"/>
        <v>80000</v>
      </c>
    </row>
    <row r="1334" spans="1:5" x14ac:dyDescent="0.25">
      <c r="A1334" t="s">
        <v>0</v>
      </c>
      <c r="B1334">
        <v>1231018</v>
      </c>
      <c r="C1334">
        <v>16687.5</v>
      </c>
      <c r="D1334" s="4">
        <f>+VLOOKUP(A1334,Portfolio!$G$3:$I$6,3)</f>
        <v>5</v>
      </c>
      <c r="E1334">
        <f t="shared" si="20"/>
        <v>83437.5</v>
      </c>
    </row>
    <row r="1335" spans="1:5" x14ac:dyDescent="0.25">
      <c r="A1335" t="s">
        <v>0</v>
      </c>
      <c r="B1335">
        <v>1231019</v>
      </c>
      <c r="C1335">
        <v>16843.75</v>
      </c>
      <c r="D1335" s="4">
        <f>+VLOOKUP(A1335,Portfolio!$G$3:$I$6,3)</f>
        <v>5</v>
      </c>
      <c r="E1335">
        <f t="shared" si="20"/>
        <v>84218.75</v>
      </c>
    </row>
    <row r="1336" spans="1:5" x14ac:dyDescent="0.25">
      <c r="A1336" t="s">
        <v>0</v>
      </c>
      <c r="B1336">
        <v>1231020</v>
      </c>
      <c r="C1336">
        <v>16500</v>
      </c>
      <c r="D1336" s="4">
        <f>+VLOOKUP(A1336,Portfolio!$G$3:$I$6,3)</f>
        <v>5</v>
      </c>
      <c r="E1336">
        <f t="shared" si="20"/>
        <v>82500</v>
      </c>
    </row>
    <row r="1337" spans="1:5" x14ac:dyDescent="0.25">
      <c r="A1337" t="s">
        <v>0</v>
      </c>
      <c r="B1337">
        <v>1231022</v>
      </c>
      <c r="C1337">
        <v>16578.12</v>
      </c>
      <c r="D1337" s="4">
        <f>+VLOOKUP(A1337,Portfolio!$G$3:$I$6,3)</f>
        <v>5</v>
      </c>
      <c r="E1337">
        <f t="shared" si="20"/>
        <v>82890.599999999991</v>
      </c>
    </row>
    <row r="1338" spans="1:5" x14ac:dyDescent="0.25">
      <c r="A1338" t="s">
        <v>0</v>
      </c>
      <c r="B1338">
        <v>1231023</v>
      </c>
      <c r="C1338">
        <v>16390.62</v>
      </c>
      <c r="D1338" s="4">
        <f>+VLOOKUP(A1338,Portfolio!$G$3:$I$6,3)</f>
        <v>5</v>
      </c>
      <c r="E1338">
        <f t="shared" si="20"/>
        <v>81953.099999999991</v>
      </c>
    </row>
    <row r="1339" spans="1:5" x14ac:dyDescent="0.25">
      <c r="A1339" t="s">
        <v>0</v>
      </c>
      <c r="B1339">
        <v>1231024</v>
      </c>
      <c r="C1339">
        <v>17203.12</v>
      </c>
      <c r="D1339" s="4">
        <f>+VLOOKUP(A1339,Portfolio!$G$3:$I$6,3)</f>
        <v>5</v>
      </c>
      <c r="E1339">
        <f t="shared" si="20"/>
        <v>86015.599999999991</v>
      </c>
    </row>
    <row r="1340" spans="1:5" x14ac:dyDescent="0.25">
      <c r="A1340" t="s">
        <v>0</v>
      </c>
      <c r="B1340">
        <v>1231025</v>
      </c>
      <c r="C1340">
        <v>16937.5</v>
      </c>
      <c r="D1340" s="4">
        <f>+VLOOKUP(A1340,Portfolio!$G$3:$I$6,3)</f>
        <v>5</v>
      </c>
      <c r="E1340">
        <f t="shared" si="20"/>
        <v>84687.5</v>
      </c>
    </row>
    <row r="1341" spans="1:5" x14ac:dyDescent="0.25">
      <c r="A1341" t="s">
        <v>0</v>
      </c>
      <c r="B1341">
        <v>1231026</v>
      </c>
      <c r="C1341">
        <v>17718.75</v>
      </c>
      <c r="D1341" s="4">
        <f>+VLOOKUP(A1341,Portfolio!$G$3:$I$6,3)</f>
        <v>5</v>
      </c>
      <c r="E1341">
        <f t="shared" si="20"/>
        <v>88593.75</v>
      </c>
    </row>
    <row r="1342" spans="1:5" x14ac:dyDescent="0.25">
      <c r="A1342" t="s">
        <v>0</v>
      </c>
      <c r="B1342">
        <v>1231027</v>
      </c>
      <c r="C1342">
        <v>18062.5</v>
      </c>
      <c r="D1342" s="4">
        <f>+VLOOKUP(A1342,Portfolio!$G$3:$I$6,3)</f>
        <v>5</v>
      </c>
      <c r="E1342">
        <f t="shared" si="20"/>
        <v>90312.5</v>
      </c>
    </row>
    <row r="1343" spans="1:5" x14ac:dyDescent="0.25">
      <c r="A1343" t="s">
        <v>0</v>
      </c>
      <c r="B1343">
        <v>1231029</v>
      </c>
      <c r="C1343">
        <v>17531.25</v>
      </c>
      <c r="D1343" s="4">
        <f>+VLOOKUP(A1343,Portfolio!$G$3:$I$6,3)</f>
        <v>5</v>
      </c>
      <c r="E1343">
        <f t="shared" si="20"/>
        <v>87656.25</v>
      </c>
    </row>
    <row r="1344" spans="1:5" x14ac:dyDescent="0.25">
      <c r="A1344" t="s">
        <v>0</v>
      </c>
      <c r="B1344">
        <v>1231030</v>
      </c>
      <c r="C1344">
        <v>17500</v>
      </c>
      <c r="D1344" s="4">
        <f>+VLOOKUP(A1344,Portfolio!$G$3:$I$6,3)</f>
        <v>5</v>
      </c>
      <c r="E1344">
        <f t="shared" si="20"/>
        <v>87500</v>
      </c>
    </row>
    <row r="1345" spans="1:5" x14ac:dyDescent="0.25">
      <c r="A1345" t="s">
        <v>0</v>
      </c>
      <c r="B1345">
        <v>1231031</v>
      </c>
      <c r="C1345">
        <v>17265.62</v>
      </c>
      <c r="D1345" s="4">
        <f>+VLOOKUP(A1345,Portfolio!$G$3:$I$6,3)</f>
        <v>5</v>
      </c>
      <c r="E1345">
        <f t="shared" si="20"/>
        <v>86328.099999999991</v>
      </c>
    </row>
    <row r="1346" spans="1:5" x14ac:dyDescent="0.25">
      <c r="A1346" t="s">
        <v>0</v>
      </c>
      <c r="B1346">
        <v>1231101</v>
      </c>
      <c r="C1346">
        <v>16234.38</v>
      </c>
      <c r="D1346" s="4">
        <f>+VLOOKUP(A1346,Portfolio!$G$3:$I$6,3)</f>
        <v>5</v>
      </c>
      <c r="E1346">
        <f t="shared" si="20"/>
        <v>81171.899999999994</v>
      </c>
    </row>
    <row r="1347" spans="1:5" x14ac:dyDescent="0.25">
      <c r="A1347" t="s">
        <v>0</v>
      </c>
      <c r="B1347">
        <v>1231102</v>
      </c>
      <c r="C1347">
        <v>17531.25</v>
      </c>
      <c r="D1347" s="4">
        <f>+VLOOKUP(A1347,Portfolio!$G$3:$I$6,3)</f>
        <v>5</v>
      </c>
      <c r="E1347">
        <f t="shared" ref="E1347:E1410" si="21">+C1347*D1347</f>
        <v>87656.25</v>
      </c>
    </row>
    <row r="1348" spans="1:5" x14ac:dyDescent="0.25">
      <c r="A1348" t="s">
        <v>0</v>
      </c>
      <c r="B1348">
        <v>1231103</v>
      </c>
      <c r="C1348">
        <v>17765.62</v>
      </c>
      <c r="D1348" s="4">
        <f>+VLOOKUP(A1348,Portfolio!$G$3:$I$6,3)</f>
        <v>5</v>
      </c>
      <c r="E1348">
        <f t="shared" si="21"/>
        <v>88828.099999999991</v>
      </c>
    </row>
    <row r="1349" spans="1:5" x14ac:dyDescent="0.25">
      <c r="A1349" t="s">
        <v>0</v>
      </c>
      <c r="B1349">
        <v>1231105</v>
      </c>
      <c r="C1349">
        <v>18421.88</v>
      </c>
      <c r="D1349" s="4">
        <f>+VLOOKUP(A1349,Portfolio!$G$3:$I$6,3)</f>
        <v>5</v>
      </c>
      <c r="E1349">
        <f t="shared" si="21"/>
        <v>92109.400000000009</v>
      </c>
    </row>
    <row r="1350" spans="1:5" x14ac:dyDescent="0.25">
      <c r="A1350" t="s">
        <v>0</v>
      </c>
      <c r="B1350">
        <v>1231106</v>
      </c>
      <c r="C1350">
        <v>18437.5</v>
      </c>
      <c r="D1350" s="4">
        <f>+VLOOKUP(A1350,Portfolio!$G$3:$I$6,3)</f>
        <v>5</v>
      </c>
      <c r="E1350">
        <f t="shared" si="21"/>
        <v>92187.5</v>
      </c>
    </row>
    <row r="1351" spans="1:5" x14ac:dyDescent="0.25">
      <c r="A1351" t="s">
        <v>0</v>
      </c>
      <c r="B1351">
        <v>1231107</v>
      </c>
      <c r="C1351">
        <v>18609.38</v>
      </c>
      <c r="D1351" s="4">
        <f>+VLOOKUP(A1351,Portfolio!$G$3:$I$6,3)</f>
        <v>5</v>
      </c>
      <c r="E1351">
        <f t="shared" si="21"/>
        <v>93046.900000000009</v>
      </c>
    </row>
    <row r="1352" spans="1:5" x14ac:dyDescent="0.25">
      <c r="A1352" t="s">
        <v>0</v>
      </c>
      <c r="B1352">
        <v>1231108</v>
      </c>
      <c r="C1352">
        <v>18437.5</v>
      </c>
      <c r="D1352" s="4">
        <f>+VLOOKUP(A1352,Portfolio!$G$3:$I$6,3)</f>
        <v>5</v>
      </c>
      <c r="E1352">
        <f t="shared" si="21"/>
        <v>92187.5</v>
      </c>
    </row>
    <row r="1353" spans="1:5" x14ac:dyDescent="0.25">
      <c r="A1353" t="s">
        <v>0</v>
      </c>
      <c r="B1353">
        <v>1231109</v>
      </c>
      <c r="C1353">
        <v>18328.12</v>
      </c>
      <c r="D1353" s="4">
        <f>+VLOOKUP(A1353,Portfolio!$G$3:$I$6,3)</f>
        <v>5</v>
      </c>
      <c r="E1353">
        <f t="shared" si="21"/>
        <v>91640.599999999991</v>
      </c>
    </row>
    <row r="1354" spans="1:5" x14ac:dyDescent="0.25">
      <c r="A1354" t="s">
        <v>0</v>
      </c>
      <c r="B1354">
        <v>1231110</v>
      </c>
      <c r="C1354">
        <v>18640.62</v>
      </c>
      <c r="D1354" s="4">
        <f>+VLOOKUP(A1354,Portfolio!$G$3:$I$6,3)</f>
        <v>5</v>
      </c>
      <c r="E1354">
        <f t="shared" si="21"/>
        <v>93203.099999999991</v>
      </c>
    </row>
    <row r="1355" spans="1:5" x14ac:dyDescent="0.25">
      <c r="A1355" t="s">
        <v>0</v>
      </c>
      <c r="B1355">
        <v>1231112</v>
      </c>
      <c r="C1355">
        <v>18109.38</v>
      </c>
      <c r="D1355" s="4">
        <f>+VLOOKUP(A1355,Portfolio!$G$3:$I$6,3)</f>
        <v>5</v>
      </c>
      <c r="E1355">
        <f t="shared" si="21"/>
        <v>90546.900000000009</v>
      </c>
    </row>
    <row r="1356" spans="1:5" x14ac:dyDescent="0.25">
      <c r="A1356" t="s">
        <v>0</v>
      </c>
      <c r="B1356">
        <v>1231113</v>
      </c>
      <c r="C1356">
        <v>18125</v>
      </c>
      <c r="D1356" s="4">
        <f>+VLOOKUP(A1356,Portfolio!$G$3:$I$6,3)</f>
        <v>5</v>
      </c>
      <c r="E1356">
        <f t="shared" si="21"/>
        <v>90625</v>
      </c>
    </row>
    <row r="1357" spans="1:5" x14ac:dyDescent="0.25">
      <c r="A1357" t="s">
        <v>0</v>
      </c>
      <c r="B1357">
        <v>1231114</v>
      </c>
      <c r="C1357">
        <v>17859.38</v>
      </c>
      <c r="D1357" s="4">
        <f>+VLOOKUP(A1357,Portfolio!$G$3:$I$6,3)</f>
        <v>5</v>
      </c>
      <c r="E1357">
        <f t="shared" si="21"/>
        <v>89296.900000000009</v>
      </c>
    </row>
    <row r="1358" spans="1:5" x14ac:dyDescent="0.25">
      <c r="A1358" t="s">
        <v>0</v>
      </c>
      <c r="B1358">
        <v>1231115</v>
      </c>
      <c r="C1358">
        <v>18984.38</v>
      </c>
      <c r="D1358" s="4">
        <f>+VLOOKUP(A1358,Portfolio!$G$3:$I$6,3)</f>
        <v>5</v>
      </c>
      <c r="E1358">
        <f t="shared" si="21"/>
        <v>94921.900000000009</v>
      </c>
    </row>
    <row r="1359" spans="1:5" x14ac:dyDescent="0.25">
      <c r="A1359" t="s">
        <v>0</v>
      </c>
      <c r="B1359">
        <v>1231116</v>
      </c>
      <c r="C1359">
        <v>18296.88</v>
      </c>
      <c r="D1359" s="4">
        <f>+VLOOKUP(A1359,Portfolio!$G$3:$I$6,3)</f>
        <v>5</v>
      </c>
      <c r="E1359">
        <f t="shared" si="21"/>
        <v>91484.400000000009</v>
      </c>
    </row>
    <row r="1360" spans="1:5" x14ac:dyDescent="0.25">
      <c r="A1360" t="s">
        <v>0</v>
      </c>
      <c r="B1360">
        <v>1231117</v>
      </c>
      <c r="C1360">
        <v>18359.38</v>
      </c>
      <c r="D1360" s="4">
        <f>+VLOOKUP(A1360,Portfolio!$G$3:$I$6,3)</f>
        <v>5</v>
      </c>
      <c r="E1360">
        <f t="shared" si="21"/>
        <v>91796.900000000009</v>
      </c>
    </row>
    <row r="1361" spans="1:5" x14ac:dyDescent="0.25">
      <c r="A1361" t="s">
        <v>0</v>
      </c>
      <c r="B1361">
        <v>1231119</v>
      </c>
      <c r="C1361">
        <v>18312.5</v>
      </c>
      <c r="D1361" s="4">
        <f>+VLOOKUP(A1361,Portfolio!$G$3:$I$6,3)</f>
        <v>5</v>
      </c>
      <c r="E1361">
        <f t="shared" si="21"/>
        <v>91562.5</v>
      </c>
    </row>
    <row r="1362" spans="1:5" x14ac:dyDescent="0.25">
      <c r="A1362" t="s">
        <v>0</v>
      </c>
      <c r="B1362">
        <v>1231120</v>
      </c>
      <c r="C1362">
        <v>18265.62</v>
      </c>
      <c r="D1362" s="4">
        <f>+VLOOKUP(A1362,Portfolio!$G$3:$I$6,3)</f>
        <v>5</v>
      </c>
      <c r="E1362">
        <f t="shared" si="21"/>
        <v>91328.099999999991</v>
      </c>
    </row>
    <row r="1363" spans="1:5" x14ac:dyDescent="0.25">
      <c r="A1363" t="s">
        <v>0</v>
      </c>
      <c r="B1363">
        <v>1231121</v>
      </c>
      <c r="C1363">
        <v>17968.75</v>
      </c>
      <c r="D1363" s="4">
        <f>+VLOOKUP(A1363,Portfolio!$G$3:$I$6,3)</f>
        <v>5</v>
      </c>
      <c r="E1363">
        <f t="shared" si="21"/>
        <v>89843.75</v>
      </c>
    </row>
    <row r="1364" spans="1:5" x14ac:dyDescent="0.25">
      <c r="A1364" t="s">
        <v>0</v>
      </c>
      <c r="B1364">
        <v>1231122</v>
      </c>
      <c r="C1364">
        <v>17750</v>
      </c>
      <c r="D1364" s="4">
        <f>+VLOOKUP(A1364,Portfolio!$G$3:$I$6,3)</f>
        <v>5</v>
      </c>
      <c r="E1364">
        <f t="shared" si="21"/>
        <v>88750</v>
      </c>
    </row>
    <row r="1365" spans="1:5" x14ac:dyDescent="0.25">
      <c r="A1365" t="s">
        <v>0</v>
      </c>
      <c r="B1365">
        <v>1231123</v>
      </c>
      <c r="C1365">
        <v>17609.38</v>
      </c>
      <c r="D1365" s="4">
        <f>+VLOOKUP(A1365,Portfolio!$G$3:$I$6,3)</f>
        <v>5</v>
      </c>
      <c r="E1365">
        <f t="shared" si="21"/>
        <v>88046.900000000009</v>
      </c>
    </row>
    <row r="1366" spans="1:5" x14ac:dyDescent="0.25">
      <c r="A1366" t="s">
        <v>0</v>
      </c>
      <c r="B1366">
        <v>1231124</v>
      </c>
      <c r="C1366">
        <v>18046.88</v>
      </c>
      <c r="D1366" s="4">
        <f>+VLOOKUP(A1366,Portfolio!$G$3:$I$6,3)</f>
        <v>5</v>
      </c>
      <c r="E1366">
        <f t="shared" si="21"/>
        <v>90234.400000000009</v>
      </c>
    </row>
    <row r="1367" spans="1:5" x14ac:dyDescent="0.25">
      <c r="A1367" t="s">
        <v>0</v>
      </c>
      <c r="B1367">
        <v>1231126</v>
      </c>
      <c r="C1367">
        <v>18234.38</v>
      </c>
      <c r="D1367" s="4">
        <f>+VLOOKUP(A1367,Portfolio!$G$3:$I$6,3)</f>
        <v>5</v>
      </c>
      <c r="E1367">
        <f t="shared" si="21"/>
        <v>91171.900000000009</v>
      </c>
    </row>
    <row r="1368" spans="1:5" x14ac:dyDescent="0.25">
      <c r="A1368" t="s">
        <v>0</v>
      </c>
      <c r="B1368">
        <v>1231127</v>
      </c>
      <c r="C1368">
        <v>18265.62</v>
      </c>
      <c r="D1368" s="4">
        <f>+VLOOKUP(A1368,Portfolio!$G$3:$I$6,3)</f>
        <v>5</v>
      </c>
      <c r="E1368">
        <f t="shared" si="21"/>
        <v>91328.099999999991</v>
      </c>
    </row>
    <row r="1369" spans="1:5" x14ac:dyDescent="0.25">
      <c r="A1369" t="s">
        <v>0</v>
      </c>
      <c r="B1369">
        <v>1231128</v>
      </c>
      <c r="C1369">
        <v>18453.12</v>
      </c>
      <c r="D1369" s="4">
        <f>+VLOOKUP(A1369,Portfolio!$G$3:$I$6,3)</f>
        <v>5</v>
      </c>
      <c r="E1369">
        <f t="shared" si="21"/>
        <v>92265.599999999991</v>
      </c>
    </row>
    <row r="1370" spans="1:5" x14ac:dyDescent="0.25">
      <c r="A1370" t="s">
        <v>0</v>
      </c>
      <c r="B1370">
        <v>1231129</v>
      </c>
      <c r="C1370">
        <v>18906.25</v>
      </c>
      <c r="D1370" s="4">
        <f>+VLOOKUP(A1370,Portfolio!$G$3:$I$6,3)</f>
        <v>5</v>
      </c>
      <c r="E1370">
        <f t="shared" si="21"/>
        <v>94531.25</v>
      </c>
    </row>
    <row r="1371" spans="1:5" x14ac:dyDescent="0.25">
      <c r="A1371" t="s">
        <v>0</v>
      </c>
      <c r="B1371">
        <v>1231130</v>
      </c>
      <c r="C1371">
        <v>18812.5</v>
      </c>
      <c r="D1371" s="4">
        <f>+VLOOKUP(A1371,Portfolio!$G$3:$I$6,3)</f>
        <v>5</v>
      </c>
      <c r="E1371">
        <f t="shared" si="21"/>
        <v>94062.5</v>
      </c>
    </row>
    <row r="1372" spans="1:5" x14ac:dyDescent="0.25">
      <c r="A1372" t="s">
        <v>0</v>
      </c>
      <c r="B1372">
        <v>1231201</v>
      </c>
      <c r="C1372">
        <v>18265.62</v>
      </c>
      <c r="D1372" s="4">
        <f>+VLOOKUP(A1372,Portfolio!$G$3:$I$6,3)</f>
        <v>5</v>
      </c>
      <c r="E1372">
        <f t="shared" si="21"/>
        <v>91328.099999999991</v>
      </c>
    </row>
    <row r="1373" spans="1:5" x14ac:dyDescent="0.25">
      <c r="A1373" t="s">
        <v>0</v>
      </c>
      <c r="B1373">
        <v>1231203</v>
      </c>
      <c r="C1373">
        <v>18609.38</v>
      </c>
      <c r="D1373" s="4">
        <f>+VLOOKUP(A1373,Portfolio!$G$3:$I$6,3)</f>
        <v>5</v>
      </c>
      <c r="E1373">
        <f t="shared" si="21"/>
        <v>93046.900000000009</v>
      </c>
    </row>
    <row r="1374" spans="1:5" x14ac:dyDescent="0.25">
      <c r="A1374" t="s">
        <v>0</v>
      </c>
      <c r="B1374">
        <v>1231204</v>
      </c>
      <c r="C1374">
        <v>18375</v>
      </c>
      <c r="D1374" s="4">
        <f>+VLOOKUP(A1374,Portfolio!$G$3:$I$6,3)</f>
        <v>5</v>
      </c>
      <c r="E1374">
        <f t="shared" si="21"/>
        <v>91875</v>
      </c>
    </row>
    <row r="1375" spans="1:5" x14ac:dyDescent="0.25">
      <c r="A1375" t="s">
        <v>0</v>
      </c>
      <c r="B1375">
        <v>1231205</v>
      </c>
      <c r="C1375">
        <v>18234.38</v>
      </c>
      <c r="D1375" s="4">
        <f>+VLOOKUP(A1375,Portfolio!$G$3:$I$6,3)</f>
        <v>5</v>
      </c>
      <c r="E1375">
        <f t="shared" si="21"/>
        <v>91171.900000000009</v>
      </c>
    </row>
    <row r="1376" spans="1:5" x14ac:dyDescent="0.25">
      <c r="A1376" t="s">
        <v>0</v>
      </c>
      <c r="B1376">
        <v>1231206</v>
      </c>
      <c r="C1376">
        <v>18281.25</v>
      </c>
      <c r="D1376" s="4">
        <f>+VLOOKUP(A1376,Portfolio!$G$3:$I$6,3)</f>
        <v>5</v>
      </c>
      <c r="E1376">
        <f t="shared" si="21"/>
        <v>91406.25</v>
      </c>
    </row>
    <row r="1377" spans="1:5" x14ac:dyDescent="0.25">
      <c r="A1377" t="s">
        <v>0</v>
      </c>
      <c r="B1377">
        <v>1231207</v>
      </c>
      <c r="C1377">
        <v>18359.38</v>
      </c>
      <c r="D1377" s="4">
        <f>+VLOOKUP(A1377,Portfolio!$G$3:$I$6,3)</f>
        <v>5</v>
      </c>
      <c r="E1377">
        <f t="shared" si="21"/>
        <v>91796.900000000009</v>
      </c>
    </row>
    <row r="1378" spans="1:5" x14ac:dyDescent="0.25">
      <c r="A1378" t="s">
        <v>0</v>
      </c>
      <c r="B1378">
        <v>1231208</v>
      </c>
      <c r="C1378">
        <v>18062.5</v>
      </c>
      <c r="D1378" s="4">
        <f>+VLOOKUP(A1378,Portfolio!$G$3:$I$6,3)</f>
        <v>5</v>
      </c>
      <c r="E1378">
        <f t="shared" si="21"/>
        <v>90312.5</v>
      </c>
    </row>
    <row r="1379" spans="1:5" x14ac:dyDescent="0.25">
      <c r="A1379" t="s">
        <v>0</v>
      </c>
      <c r="B1379">
        <v>1231210</v>
      </c>
      <c r="C1379">
        <v>18703.12</v>
      </c>
      <c r="D1379" s="4">
        <f>+VLOOKUP(A1379,Portfolio!$G$3:$I$6,3)</f>
        <v>5</v>
      </c>
      <c r="E1379">
        <f t="shared" si="21"/>
        <v>93515.599999999991</v>
      </c>
    </row>
    <row r="1380" spans="1:5" x14ac:dyDescent="0.25">
      <c r="A1380" t="s">
        <v>0</v>
      </c>
      <c r="B1380">
        <v>1231211</v>
      </c>
      <c r="C1380">
        <v>18781.25</v>
      </c>
      <c r="D1380" s="4">
        <f>+VLOOKUP(A1380,Portfolio!$G$3:$I$6,3)</f>
        <v>5</v>
      </c>
      <c r="E1380">
        <f t="shared" si="21"/>
        <v>93906.25</v>
      </c>
    </row>
    <row r="1381" spans="1:5" x14ac:dyDescent="0.25">
      <c r="A1381" t="s">
        <v>0</v>
      </c>
      <c r="B1381">
        <v>1231212</v>
      </c>
      <c r="C1381">
        <v>18468.75</v>
      </c>
      <c r="D1381" s="4">
        <f>+VLOOKUP(A1381,Portfolio!$G$3:$I$6,3)</f>
        <v>5</v>
      </c>
      <c r="E1381">
        <f t="shared" si="21"/>
        <v>92343.75</v>
      </c>
    </row>
    <row r="1382" spans="1:5" x14ac:dyDescent="0.25">
      <c r="A1382" t="s">
        <v>0</v>
      </c>
      <c r="B1382">
        <v>1231213</v>
      </c>
      <c r="C1382">
        <v>17609.38</v>
      </c>
      <c r="D1382" s="4">
        <f>+VLOOKUP(A1382,Portfolio!$G$3:$I$6,3)</f>
        <v>5</v>
      </c>
      <c r="E1382">
        <f t="shared" si="21"/>
        <v>88046.900000000009</v>
      </c>
    </row>
    <row r="1383" spans="1:5" x14ac:dyDescent="0.25">
      <c r="A1383" t="s">
        <v>0</v>
      </c>
      <c r="B1383">
        <v>1231214</v>
      </c>
      <c r="C1383">
        <v>19156.25</v>
      </c>
      <c r="D1383" s="4">
        <f>+VLOOKUP(A1383,Portfolio!$G$3:$I$6,3)</f>
        <v>5</v>
      </c>
      <c r="E1383">
        <f t="shared" si="21"/>
        <v>95781.25</v>
      </c>
    </row>
    <row r="1384" spans="1:5" x14ac:dyDescent="0.25">
      <c r="A1384" t="s">
        <v>0</v>
      </c>
      <c r="B1384">
        <v>1231215</v>
      </c>
      <c r="C1384">
        <v>19125</v>
      </c>
      <c r="D1384" s="4">
        <f>+VLOOKUP(A1384,Portfolio!$G$3:$I$6,3)</f>
        <v>5</v>
      </c>
      <c r="E1384">
        <f t="shared" si="21"/>
        <v>95625</v>
      </c>
    </row>
    <row r="1385" spans="1:5" x14ac:dyDescent="0.25">
      <c r="A1385" t="s">
        <v>0</v>
      </c>
      <c r="B1385">
        <v>1231217</v>
      </c>
      <c r="C1385">
        <v>18843.75</v>
      </c>
      <c r="D1385" s="4">
        <f>+VLOOKUP(A1385,Portfolio!$G$3:$I$6,3)</f>
        <v>5</v>
      </c>
      <c r="E1385">
        <f t="shared" si="21"/>
        <v>94218.75</v>
      </c>
    </row>
    <row r="1386" spans="1:5" x14ac:dyDescent="0.25">
      <c r="A1386" t="s">
        <v>0</v>
      </c>
      <c r="B1386">
        <v>1231218</v>
      </c>
      <c r="C1386">
        <v>18687.5</v>
      </c>
      <c r="D1386" s="4">
        <f>+VLOOKUP(A1386,Portfolio!$G$3:$I$6,3)</f>
        <v>5</v>
      </c>
      <c r="E1386">
        <f t="shared" si="21"/>
        <v>93437.5</v>
      </c>
    </row>
    <row r="1387" spans="1:5" x14ac:dyDescent="0.25">
      <c r="A1387" t="s">
        <v>0</v>
      </c>
      <c r="B1387">
        <v>1231219</v>
      </c>
      <c r="C1387">
        <v>18968.75</v>
      </c>
      <c r="D1387" s="4">
        <f>+VLOOKUP(A1387,Portfolio!$G$3:$I$6,3)</f>
        <v>5</v>
      </c>
      <c r="E1387">
        <f t="shared" si="21"/>
        <v>94843.75</v>
      </c>
    </row>
    <row r="1388" spans="1:5" x14ac:dyDescent="0.25">
      <c r="A1388" t="s">
        <v>0</v>
      </c>
      <c r="B1388">
        <v>1231220</v>
      </c>
      <c r="C1388">
        <v>18656.25</v>
      </c>
      <c r="D1388" s="4">
        <f>+VLOOKUP(A1388,Portfolio!$G$3:$I$6,3)</f>
        <v>5</v>
      </c>
      <c r="E1388">
        <f t="shared" si="21"/>
        <v>93281.25</v>
      </c>
    </row>
    <row r="1389" spans="1:5" x14ac:dyDescent="0.25">
      <c r="A1389" t="s">
        <v>0</v>
      </c>
      <c r="B1389">
        <v>1231221</v>
      </c>
      <c r="C1389">
        <v>18906.25</v>
      </c>
      <c r="D1389" s="4">
        <f>+VLOOKUP(A1389,Portfolio!$G$3:$I$6,3)</f>
        <v>5</v>
      </c>
      <c r="E1389">
        <f t="shared" si="21"/>
        <v>94531.25</v>
      </c>
    </row>
    <row r="1390" spans="1:5" x14ac:dyDescent="0.25">
      <c r="A1390" t="s">
        <v>0</v>
      </c>
      <c r="B1390">
        <v>1231222</v>
      </c>
      <c r="C1390">
        <v>18812.5</v>
      </c>
      <c r="D1390" s="4">
        <f>+VLOOKUP(A1390,Portfolio!$G$3:$I$6,3)</f>
        <v>5</v>
      </c>
      <c r="E1390">
        <f t="shared" si="21"/>
        <v>94062.5</v>
      </c>
    </row>
    <row r="1391" spans="1:5" x14ac:dyDescent="0.25">
      <c r="A1391" t="s">
        <v>0</v>
      </c>
      <c r="B1391">
        <v>1231225</v>
      </c>
      <c r="C1391">
        <v>18625</v>
      </c>
      <c r="D1391" s="4">
        <f>+VLOOKUP(A1391,Portfolio!$G$3:$I$6,3)</f>
        <v>5</v>
      </c>
      <c r="E1391">
        <f t="shared" si="21"/>
        <v>93125</v>
      </c>
    </row>
    <row r="1392" spans="1:5" x14ac:dyDescent="0.25">
      <c r="A1392" t="s">
        <v>0</v>
      </c>
      <c r="B1392">
        <v>1231226</v>
      </c>
      <c r="C1392">
        <v>18531.25</v>
      </c>
      <c r="D1392" s="4">
        <f>+VLOOKUP(A1392,Portfolio!$G$3:$I$6,3)</f>
        <v>5</v>
      </c>
      <c r="E1392">
        <f t="shared" si="21"/>
        <v>92656.25</v>
      </c>
    </row>
    <row r="1393" spans="1:5" x14ac:dyDescent="0.25">
      <c r="A1393" t="s">
        <v>0</v>
      </c>
      <c r="B1393">
        <v>1231227</v>
      </c>
      <c r="C1393">
        <v>18531.25</v>
      </c>
      <c r="D1393" s="4">
        <f>+VLOOKUP(A1393,Portfolio!$G$3:$I$6,3)</f>
        <v>5</v>
      </c>
      <c r="E1393">
        <f t="shared" si="21"/>
        <v>92656.25</v>
      </c>
    </row>
    <row r="1394" spans="1:5" x14ac:dyDescent="0.25">
      <c r="A1394" t="s">
        <v>0</v>
      </c>
      <c r="B1394">
        <v>1231228</v>
      </c>
      <c r="C1394">
        <v>18843.75</v>
      </c>
      <c r="D1394" s="4">
        <f>+VLOOKUP(A1394,Portfolio!$G$3:$I$6,3)</f>
        <v>5</v>
      </c>
      <c r="E1394">
        <f t="shared" si="21"/>
        <v>94218.75</v>
      </c>
    </row>
    <row r="1395" spans="1:5" x14ac:dyDescent="0.25">
      <c r="A1395" t="s">
        <v>0</v>
      </c>
      <c r="B1395">
        <v>1231229</v>
      </c>
      <c r="C1395">
        <v>18875</v>
      </c>
      <c r="D1395" s="4">
        <f>+VLOOKUP(A1395,Portfolio!$G$3:$I$6,3)</f>
        <v>5</v>
      </c>
      <c r="E1395">
        <f t="shared" si="21"/>
        <v>94375</v>
      </c>
    </row>
    <row r="1396" spans="1:5" x14ac:dyDescent="0.25">
      <c r="A1396" t="s">
        <v>0</v>
      </c>
      <c r="B1396">
        <v>1240101</v>
      </c>
      <c r="C1396">
        <v>19156.25</v>
      </c>
      <c r="D1396" s="4">
        <f>+VLOOKUP(A1396,Portfolio!$G$3:$I$6,3)</f>
        <v>5</v>
      </c>
      <c r="E1396">
        <f t="shared" si="21"/>
        <v>95781.25</v>
      </c>
    </row>
    <row r="1397" spans="1:5" x14ac:dyDescent="0.25">
      <c r="A1397" t="s">
        <v>0</v>
      </c>
      <c r="B1397">
        <v>1240102</v>
      </c>
      <c r="C1397">
        <v>19328.12</v>
      </c>
      <c r="D1397" s="4">
        <f>+VLOOKUP(A1397,Portfolio!$G$3:$I$6,3)</f>
        <v>5</v>
      </c>
      <c r="E1397">
        <f t="shared" si="21"/>
        <v>96640.599999999991</v>
      </c>
    </row>
    <row r="1398" spans="1:5" x14ac:dyDescent="0.25">
      <c r="A1398" t="s">
        <v>0</v>
      </c>
      <c r="B1398">
        <v>1240103</v>
      </c>
      <c r="C1398">
        <v>19593.75</v>
      </c>
      <c r="D1398" s="4">
        <f>+VLOOKUP(A1398,Portfolio!$G$3:$I$6,3)</f>
        <v>5</v>
      </c>
      <c r="E1398">
        <f t="shared" si="21"/>
        <v>97968.75</v>
      </c>
    </row>
    <row r="1399" spans="1:5" x14ac:dyDescent="0.25">
      <c r="A1399" t="s">
        <v>0</v>
      </c>
      <c r="B1399">
        <v>1240104</v>
      </c>
      <c r="C1399">
        <v>19390.62</v>
      </c>
      <c r="D1399" s="4">
        <f>+VLOOKUP(A1399,Portfolio!$G$3:$I$6,3)</f>
        <v>5</v>
      </c>
      <c r="E1399">
        <f t="shared" si="21"/>
        <v>96953.099999999991</v>
      </c>
    </row>
    <row r="1400" spans="1:5" x14ac:dyDescent="0.25">
      <c r="A1400" t="s">
        <v>0</v>
      </c>
      <c r="B1400">
        <v>1240105</v>
      </c>
      <c r="C1400">
        <v>19890.62</v>
      </c>
      <c r="D1400" s="4">
        <f>+VLOOKUP(A1400,Portfolio!$G$3:$I$6,3)</f>
        <v>5</v>
      </c>
      <c r="E1400">
        <f t="shared" si="21"/>
        <v>99453.099999999991</v>
      </c>
    </row>
    <row r="1401" spans="1:5" x14ac:dyDescent="0.25">
      <c r="A1401" t="s">
        <v>0</v>
      </c>
      <c r="B1401">
        <v>1240107</v>
      </c>
      <c r="C1401">
        <v>19296.88</v>
      </c>
      <c r="D1401" s="4">
        <f>+VLOOKUP(A1401,Portfolio!$G$3:$I$6,3)</f>
        <v>5</v>
      </c>
      <c r="E1401">
        <f t="shared" si="21"/>
        <v>96484.400000000009</v>
      </c>
    </row>
    <row r="1402" spans="1:5" x14ac:dyDescent="0.25">
      <c r="A1402" t="s">
        <v>0</v>
      </c>
      <c r="B1402">
        <v>1240108</v>
      </c>
      <c r="C1402">
        <v>19359.38</v>
      </c>
      <c r="D1402" s="4">
        <f>+VLOOKUP(A1402,Portfolio!$G$3:$I$6,3)</f>
        <v>5</v>
      </c>
      <c r="E1402">
        <f t="shared" si="21"/>
        <v>96796.900000000009</v>
      </c>
    </row>
    <row r="1403" spans="1:5" x14ac:dyDescent="0.25">
      <c r="A1403" t="s">
        <v>0</v>
      </c>
      <c r="B1403">
        <v>1240109</v>
      </c>
      <c r="C1403">
        <v>19671.88</v>
      </c>
      <c r="D1403" s="4">
        <f>+VLOOKUP(A1403,Portfolio!$G$3:$I$6,3)</f>
        <v>5</v>
      </c>
      <c r="E1403">
        <f t="shared" si="21"/>
        <v>98359.400000000009</v>
      </c>
    </row>
    <row r="1404" spans="1:5" x14ac:dyDescent="0.25">
      <c r="A1404" t="s">
        <v>0</v>
      </c>
      <c r="B1404">
        <v>1240110</v>
      </c>
      <c r="C1404">
        <v>19125</v>
      </c>
      <c r="D1404" s="4">
        <f>+VLOOKUP(A1404,Portfolio!$G$3:$I$6,3)</f>
        <v>5</v>
      </c>
      <c r="E1404">
        <f t="shared" si="21"/>
        <v>95625</v>
      </c>
    </row>
    <row r="1405" spans="1:5" x14ac:dyDescent="0.25">
      <c r="A1405" t="s">
        <v>0</v>
      </c>
      <c r="B1405">
        <v>1240111</v>
      </c>
      <c r="C1405">
        <v>19156.25</v>
      </c>
      <c r="D1405" s="4">
        <f>+VLOOKUP(A1405,Portfolio!$G$3:$I$6,3)</f>
        <v>5</v>
      </c>
      <c r="E1405">
        <f t="shared" si="21"/>
        <v>95781.25</v>
      </c>
    </row>
    <row r="1406" spans="1:5" x14ac:dyDescent="0.25">
      <c r="A1406" t="s">
        <v>0</v>
      </c>
      <c r="B1406">
        <v>1240112</v>
      </c>
      <c r="C1406">
        <v>18734.38</v>
      </c>
      <c r="D1406" s="4">
        <f>+VLOOKUP(A1406,Portfolio!$G$3:$I$6,3)</f>
        <v>5</v>
      </c>
      <c r="E1406">
        <f t="shared" si="21"/>
        <v>93671.900000000009</v>
      </c>
    </row>
    <row r="1407" spans="1:5" x14ac:dyDescent="0.25">
      <c r="A1407" t="s">
        <v>0</v>
      </c>
      <c r="B1407">
        <v>1240114</v>
      </c>
      <c r="C1407">
        <v>18515.62</v>
      </c>
      <c r="D1407" s="4">
        <f>+VLOOKUP(A1407,Portfolio!$G$3:$I$6,3)</f>
        <v>5</v>
      </c>
      <c r="E1407">
        <f t="shared" si="21"/>
        <v>92578.099999999991</v>
      </c>
    </row>
    <row r="1408" spans="1:5" x14ac:dyDescent="0.25">
      <c r="A1408" t="s">
        <v>0</v>
      </c>
      <c r="B1408">
        <v>1240115</v>
      </c>
      <c r="C1408">
        <v>18625</v>
      </c>
      <c r="D1408" s="4">
        <f>+VLOOKUP(A1408,Portfolio!$G$3:$I$6,3)</f>
        <v>5</v>
      </c>
      <c r="E1408">
        <f t="shared" si="21"/>
        <v>93125</v>
      </c>
    </row>
    <row r="1409" spans="1:5" x14ac:dyDescent="0.25">
      <c r="A1409" t="s">
        <v>0</v>
      </c>
      <c r="B1409">
        <v>1240116</v>
      </c>
      <c r="C1409">
        <v>18453.12</v>
      </c>
      <c r="D1409" s="4">
        <f>+VLOOKUP(A1409,Portfolio!$G$3:$I$6,3)</f>
        <v>5</v>
      </c>
      <c r="E1409">
        <f t="shared" si="21"/>
        <v>92265.599999999991</v>
      </c>
    </row>
    <row r="1410" spans="1:5" x14ac:dyDescent="0.25">
      <c r="A1410" t="s">
        <v>0</v>
      </c>
      <c r="B1410">
        <v>1240117</v>
      </c>
      <c r="C1410">
        <v>18765.62</v>
      </c>
      <c r="D1410" s="4">
        <f>+VLOOKUP(A1410,Portfolio!$G$3:$I$6,3)</f>
        <v>5</v>
      </c>
      <c r="E1410">
        <f t="shared" si="21"/>
        <v>93828.099999999991</v>
      </c>
    </row>
    <row r="1411" spans="1:5" x14ac:dyDescent="0.25">
      <c r="A1411" t="s">
        <v>0</v>
      </c>
      <c r="B1411">
        <v>1240118</v>
      </c>
      <c r="C1411">
        <v>19140.62</v>
      </c>
      <c r="D1411" s="4">
        <f>+VLOOKUP(A1411,Portfolio!$G$3:$I$6,3)</f>
        <v>5</v>
      </c>
      <c r="E1411">
        <f t="shared" ref="E1411:E1474" si="22">+C1411*D1411</f>
        <v>95703.099999999991</v>
      </c>
    </row>
    <row r="1412" spans="1:5" x14ac:dyDescent="0.25">
      <c r="A1412" t="s">
        <v>0</v>
      </c>
      <c r="B1412">
        <v>1240119</v>
      </c>
      <c r="C1412">
        <v>19593.75</v>
      </c>
      <c r="D1412" s="4">
        <f>+VLOOKUP(A1412,Portfolio!$G$3:$I$6,3)</f>
        <v>5</v>
      </c>
      <c r="E1412">
        <f t="shared" si="22"/>
        <v>97968.75</v>
      </c>
    </row>
    <row r="1413" spans="1:5" x14ac:dyDescent="0.25">
      <c r="A1413" t="s">
        <v>0</v>
      </c>
      <c r="B1413">
        <v>1240121</v>
      </c>
      <c r="C1413">
        <v>18875</v>
      </c>
      <c r="D1413" s="4">
        <f>+VLOOKUP(A1413,Portfolio!$G$3:$I$6,3)</f>
        <v>5</v>
      </c>
      <c r="E1413">
        <f t="shared" si="22"/>
        <v>94375</v>
      </c>
    </row>
    <row r="1414" spans="1:5" x14ac:dyDescent="0.25">
      <c r="A1414" t="s">
        <v>0</v>
      </c>
      <c r="B1414">
        <v>1240122</v>
      </c>
      <c r="C1414">
        <v>18765.62</v>
      </c>
      <c r="D1414" s="4">
        <f>+VLOOKUP(A1414,Portfolio!$G$3:$I$6,3)</f>
        <v>5</v>
      </c>
      <c r="E1414">
        <f t="shared" si="22"/>
        <v>93828.099999999991</v>
      </c>
    </row>
    <row r="1415" spans="1:5" x14ac:dyDescent="0.25">
      <c r="A1415" t="s">
        <v>0</v>
      </c>
      <c r="B1415">
        <v>1240123</v>
      </c>
      <c r="C1415">
        <v>18625</v>
      </c>
      <c r="D1415" s="4">
        <f>+VLOOKUP(A1415,Portfolio!$G$3:$I$6,3)</f>
        <v>5</v>
      </c>
      <c r="E1415">
        <f t="shared" si="22"/>
        <v>93125</v>
      </c>
    </row>
    <row r="1416" spans="1:5" x14ac:dyDescent="0.25">
      <c r="A1416" t="s">
        <v>0</v>
      </c>
      <c r="B1416">
        <v>1240124</v>
      </c>
      <c r="C1416">
        <v>18265.62</v>
      </c>
      <c r="D1416" s="4">
        <f>+VLOOKUP(A1416,Portfolio!$G$3:$I$6,3)</f>
        <v>5</v>
      </c>
      <c r="E1416">
        <f t="shared" si="22"/>
        <v>91328.099999999991</v>
      </c>
    </row>
    <row r="1417" spans="1:5" x14ac:dyDescent="0.25">
      <c r="A1417" t="s">
        <v>0</v>
      </c>
      <c r="B1417">
        <v>1240125</v>
      </c>
      <c r="C1417">
        <v>17843.75</v>
      </c>
      <c r="D1417" s="4">
        <f>+VLOOKUP(A1417,Portfolio!$G$3:$I$6,3)</f>
        <v>5</v>
      </c>
      <c r="E1417">
        <f t="shared" si="22"/>
        <v>89218.75</v>
      </c>
    </row>
    <row r="1418" spans="1:5" x14ac:dyDescent="0.25">
      <c r="A1418" t="s">
        <v>0</v>
      </c>
      <c r="B1418">
        <v>1240126</v>
      </c>
      <c r="C1418">
        <v>18156.25</v>
      </c>
      <c r="D1418" s="4">
        <f>+VLOOKUP(A1418,Portfolio!$G$3:$I$6,3)</f>
        <v>5</v>
      </c>
      <c r="E1418">
        <f t="shared" si="22"/>
        <v>90781.25</v>
      </c>
    </row>
    <row r="1419" spans="1:5" x14ac:dyDescent="0.25">
      <c r="A1419" t="s">
        <v>0</v>
      </c>
      <c r="B1419">
        <v>1240128</v>
      </c>
      <c r="C1419">
        <v>18156.25</v>
      </c>
      <c r="D1419" s="4">
        <f>+VLOOKUP(A1419,Portfolio!$G$3:$I$6,3)</f>
        <v>5</v>
      </c>
      <c r="E1419">
        <f t="shared" si="22"/>
        <v>90781.25</v>
      </c>
    </row>
    <row r="1420" spans="1:5" x14ac:dyDescent="0.25">
      <c r="A1420" t="s">
        <v>0</v>
      </c>
      <c r="B1420">
        <v>1240129</v>
      </c>
      <c r="C1420">
        <v>18093.75</v>
      </c>
      <c r="D1420" s="4">
        <f>+VLOOKUP(A1420,Portfolio!$G$3:$I$6,3)</f>
        <v>5</v>
      </c>
      <c r="E1420">
        <f t="shared" si="22"/>
        <v>90468.75</v>
      </c>
    </row>
    <row r="1421" spans="1:5" x14ac:dyDescent="0.25">
      <c r="A1421" t="s">
        <v>0</v>
      </c>
      <c r="B1421">
        <v>1240130</v>
      </c>
      <c r="C1421">
        <v>18109.38</v>
      </c>
      <c r="D1421" s="4">
        <f>+VLOOKUP(A1421,Portfolio!$G$3:$I$6,3)</f>
        <v>5</v>
      </c>
      <c r="E1421">
        <f t="shared" si="22"/>
        <v>90546.900000000009</v>
      </c>
    </row>
    <row r="1422" spans="1:5" x14ac:dyDescent="0.25">
      <c r="A1422" t="s">
        <v>0</v>
      </c>
      <c r="B1422">
        <v>1240131</v>
      </c>
      <c r="C1422">
        <v>17562.5</v>
      </c>
      <c r="D1422" s="4">
        <f>+VLOOKUP(A1422,Portfolio!$G$3:$I$6,3)</f>
        <v>5</v>
      </c>
      <c r="E1422">
        <f t="shared" si="22"/>
        <v>87812.5</v>
      </c>
    </row>
    <row r="1423" spans="1:5" x14ac:dyDescent="0.25">
      <c r="A1423" t="s">
        <v>0</v>
      </c>
      <c r="B1423">
        <v>1240201</v>
      </c>
      <c r="C1423">
        <v>17718.75</v>
      </c>
      <c r="D1423" s="4">
        <f>+VLOOKUP(A1423,Portfolio!$G$3:$I$6,3)</f>
        <v>5</v>
      </c>
      <c r="E1423">
        <f t="shared" si="22"/>
        <v>88593.75</v>
      </c>
    </row>
    <row r="1424" spans="1:5" x14ac:dyDescent="0.25">
      <c r="A1424" t="s">
        <v>0</v>
      </c>
      <c r="B1424">
        <v>1240202</v>
      </c>
      <c r="C1424">
        <v>18109.38</v>
      </c>
      <c r="D1424" s="4">
        <f>+VLOOKUP(A1424,Portfolio!$G$3:$I$6,3)</f>
        <v>5</v>
      </c>
      <c r="E1424">
        <f t="shared" si="22"/>
        <v>90546.900000000009</v>
      </c>
    </row>
    <row r="1425" spans="1:5" x14ac:dyDescent="0.25">
      <c r="A1425" t="s">
        <v>0</v>
      </c>
      <c r="B1425">
        <v>1240204</v>
      </c>
      <c r="C1425">
        <v>19015.62</v>
      </c>
      <c r="D1425" s="4">
        <f>+VLOOKUP(A1425,Portfolio!$G$3:$I$6,3)</f>
        <v>5</v>
      </c>
      <c r="E1425">
        <f t="shared" si="22"/>
        <v>95078.099999999991</v>
      </c>
    </row>
    <row r="1426" spans="1:5" x14ac:dyDescent="0.25">
      <c r="A1426" t="s">
        <v>0</v>
      </c>
      <c r="B1426">
        <v>1240205</v>
      </c>
      <c r="C1426">
        <v>19156.25</v>
      </c>
      <c r="D1426" s="4">
        <f>+VLOOKUP(A1426,Portfolio!$G$3:$I$6,3)</f>
        <v>5</v>
      </c>
      <c r="E1426">
        <f t="shared" si="22"/>
        <v>95781.25</v>
      </c>
    </row>
    <row r="1427" spans="1:5" x14ac:dyDescent="0.25">
      <c r="A1427" t="s">
        <v>0</v>
      </c>
      <c r="B1427">
        <v>1240206</v>
      </c>
      <c r="C1427">
        <v>19484.38</v>
      </c>
      <c r="D1427" s="4">
        <f>+VLOOKUP(A1427,Portfolio!$G$3:$I$6,3)</f>
        <v>5</v>
      </c>
      <c r="E1427">
        <f t="shared" si="22"/>
        <v>97421.900000000009</v>
      </c>
    </row>
    <row r="1428" spans="1:5" x14ac:dyDescent="0.25">
      <c r="A1428" t="s">
        <v>0</v>
      </c>
      <c r="B1428">
        <v>1240207</v>
      </c>
      <c r="C1428">
        <v>19625</v>
      </c>
      <c r="D1428" s="4">
        <f>+VLOOKUP(A1428,Portfolio!$G$3:$I$6,3)</f>
        <v>5</v>
      </c>
      <c r="E1428">
        <f t="shared" si="22"/>
        <v>98125</v>
      </c>
    </row>
    <row r="1429" spans="1:5" x14ac:dyDescent="0.25">
      <c r="A1429" t="s">
        <v>0</v>
      </c>
      <c r="B1429">
        <v>1240208</v>
      </c>
      <c r="C1429">
        <v>18937.5</v>
      </c>
      <c r="D1429" s="4">
        <f>+VLOOKUP(A1429,Portfolio!$G$3:$I$6,3)</f>
        <v>5</v>
      </c>
      <c r="E1429">
        <f t="shared" si="22"/>
        <v>94687.5</v>
      </c>
    </row>
    <row r="1430" spans="1:5" x14ac:dyDescent="0.25">
      <c r="A1430" t="s">
        <v>0</v>
      </c>
      <c r="B1430">
        <v>1240209</v>
      </c>
      <c r="C1430">
        <v>18765.62</v>
      </c>
      <c r="D1430" s="4">
        <f>+VLOOKUP(A1430,Portfolio!$G$3:$I$6,3)</f>
        <v>5</v>
      </c>
      <c r="E1430">
        <f t="shared" si="22"/>
        <v>93828.099999999991</v>
      </c>
    </row>
    <row r="1431" spans="1:5" x14ac:dyDescent="0.25">
      <c r="A1431" t="s">
        <v>0</v>
      </c>
      <c r="B1431">
        <v>1240211</v>
      </c>
      <c r="C1431">
        <v>18406.25</v>
      </c>
      <c r="D1431" s="4">
        <f>+VLOOKUP(A1431,Portfolio!$G$3:$I$6,3)</f>
        <v>5</v>
      </c>
      <c r="E1431">
        <f t="shared" si="22"/>
        <v>92031.25</v>
      </c>
    </row>
    <row r="1432" spans="1:5" x14ac:dyDescent="0.25">
      <c r="A1432" t="s">
        <v>0</v>
      </c>
      <c r="B1432">
        <v>1240212</v>
      </c>
      <c r="C1432">
        <v>18468.75</v>
      </c>
      <c r="D1432" s="4">
        <f>+VLOOKUP(A1432,Portfolio!$G$3:$I$6,3)</f>
        <v>5</v>
      </c>
      <c r="E1432">
        <f t="shared" si="22"/>
        <v>92343.75</v>
      </c>
    </row>
    <row r="1433" spans="1:5" x14ac:dyDescent="0.25">
      <c r="A1433" t="s">
        <v>0</v>
      </c>
      <c r="B1433">
        <v>1240213</v>
      </c>
      <c r="C1433">
        <v>17984.38</v>
      </c>
      <c r="D1433" s="4">
        <f>+VLOOKUP(A1433,Portfolio!$G$3:$I$6,3)</f>
        <v>5</v>
      </c>
      <c r="E1433">
        <f t="shared" si="22"/>
        <v>89921.900000000009</v>
      </c>
    </row>
    <row r="1434" spans="1:5" x14ac:dyDescent="0.25">
      <c r="A1434" t="s">
        <v>0</v>
      </c>
      <c r="B1434">
        <v>1240214</v>
      </c>
      <c r="C1434">
        <v>18500</v>
      </c>
      <c r="D1434" s="4">
        <f>+VLOOKUP(A1434,Portfolio!$G$3:$I$6,3)</f>
        <v>5</v>
      </c>
      <c r="E1434">
        <f t="shared" si="22"/>
        <v>92500</v>
      </c>
    </row>
    <row r="1435" spans="1:5" x14ac:dyDescent="0.25">
      <c r="A1435" t="s">
        <v>0</v>
      </c>
      <c r="B1435">
        <v>1240215</v>
      </c>
      <c r="C1435">
        <v>18640.62</v>
      </c>
      <c r="D1435" s="4">
        <f>+VLOOKUP(A1435,Portfolio!$G$3:$I$6,3)</f>
        <v>5</v>
      </c>
      <c r="E1435">
        <f t="shared" si="22"/>
        <v>93203.099999999991</v>
      </c>
    </row>
    <row r="1436" spans="1:5" x14ac:dyDescent="0.25">
      <c r="A1436" t="s">
        <v>0</v>
      </c>
      <c r="B1436">
        <v>1240216</v>
      </c>
      <c r="C1436">
        <v>18578.12</v>
      </c>
      <c r="D1436" s="4">
        <f>+VLOOKUP(A1436,Portfolio!$G$3:$I$6,3)</f>
        <v>5</v>
      </c>
      <c r="E1436">
        <f t="shared" si="22"/>
        <v>92890.599999999991</v>
      </c>
    </row>
    <row r="1437" spans="1:5" x14ac:dyDescent="0.25">
      <c r="A1437" t="s">
        <v>0</v>
      </c>
      <c r="B1437">
        <v>1240218</v>
      </c>
      <c r="C1437">
        <v>18828.12</v>
      </c>
      <c r="D1437" s="4">
        <f>+VLOOKUP(A1437,Portfolio!$G$3:$I$6,3)</f>
        <v>5</v>
      </c>
      <c r="E1437">
        <f t="shared" si="22"/>
        <v>94140.599999999991</v>
      </c>
    </row>
    <row r="1438" spans="1:5" x14ac:dyDescent="0.25">
      <c r="A1438" t="s">
        <v>0</v>
      </c>
      <c r="B1438">
        <v>1240219</v>
      </c>
      <c r="C1438">
        <v>18812.5</v>
      </c>
      <c r="D1438" s="4">
        <f>+VLOOKUP(A1438,Portfolio!$G$3:$I$6,3)</f>
        <v>5</v>
      </c>
      <c r="E1438">
        <f t="shared" si="22"/>
        <v>94062.5</v>
      </c>
    </row>
    <row r="1439" spans="1:5" x14ac:dyDescent="0.25">
      <c r="A1439" t="s">
        <v>0</v>
      </c>
      <c r="B1439">
        <v>1240220</v>
      </c>
      <c r="C1439">
        <v>18890.62</v>
      </c>
      <c r="D1439" s="4">
        <f>+VLOOKUP(A1439,Portfolio!$G$3:$I$6,3)</f>
        <v>5</v>
      </c>
      <c r="E1439">
        <f t="shared" si="22"/>
        <v>94453.099999999991</v>
      </c>
    </row>
    <row r="1440" spans="1:5" x14ac:dyDescent="0.25">
      <c r="A1440" t="s">
        <v>0</v>
      </c>
      <c r="B1440">
        <v>1240221</v>
      </c>
      <c r="C1440">
        <v>18671.88</v>
      </c>
      <c r="D1440" s="4">
        <f>+VLOOKUP(A1440,Portfolio!$G$3:$I$6,3)</f>
        <v>5</v>
      </c>
      <c r="E1440">
        <f t="shared" si="22"/>
        <v>93359.400000000009</v>
      </c>
    </row>
    <row r="1441" spans="1:5" x14ac:dyDescent="0.25">
      <c r="A1441" t="s">
        <v>0</v>
      </c>
      <c r="B1441">
        <v>1240222</v>
      </c>
      <c r="C1441">
        <v>18656.25</v>
      </c>
      <c r="D1441" s="4">
        <f>+VLOOKUP(A1441,Portfolio!$G$3:$I$6,3)</f>
        <v>5</v>
      </c>
      <c r="E1441">
        <f t="shared" si="22"/>
        <v>93281.25</v>
      </c>
    </row>
    <row r="1442" spans="1:5" x14ac:dyDescent="0.25">
      <c r="A1442" t="s">
        <v>0</v>
      </c>
      <c r="B1442">
        <v>1240223</v>
      </c>
      <c r="C1442">
        <v>18703.12</v>
      </c>
      <c r="D1442" s="4">
        <f>+VLOOKUP(A1442,Portfolio!$G$3:$I$6,3)</f>
        <v>5</v>
      </c>
      <c r="E1442">
        <f t="shared" si="22"/>
        <v>93515.599999999991</v>
      </c>
    </row>
    <row r="1443" spans="1:5" x14ac:dyDescent="0.25">
      <c r="A1443" t="s">
        <v>0</v>
      </c>
      <c r="B1443">
        <v>1240225</v>
      </c>
      <c r="C1443">
        <v>18703.12</v>
      </c>
      <c r="D1443" s="4">
        <f>+VLOOKUP(A1443,Portfolio!$G$3:$I$6,3)</f>
        <v>5</v>
      </c>
      <c r="E1443">
        <f t="shared" si="22"/>
        <v>93515.599999999991</v>
      </c>
    </row>
    <row r="1444" spans="1:5" x14ac:dyDescent="0.25">
      <c r="A1444" t="s">
        <v>0</v>
      </c>
      <c r="B1444">
        <v>1240226</v>
      </c>
      <c r="C1444">
        <v>18875</v>
      </c>
      <c r="D1444" s="4">
        <f>+VLOOKUP(A1444,Portfolio!$G$3:$I$6,3)</f>
        <v>5</v>
      </c>
      <c r="E1444">
        <f t="shared" si="22"/>
        <v>94375</v>
      </c>
    </row>
    <row r="1445" spans="1:5" x14ac:dyDescent="0.25">
      <c r="A1445" t="s">
        <v>0</v>
      </c>
      <c r="B1445">
        <v>1240227</v>
      </c>
      <c r="C1445">
        <v>18828.12</v>
      </c>
      <c r="D1445" s="4">
        <f>+VLOOKUP(A1445,Portfolio!$G$3:$I$6,3)</f>
        <v>5</v>
      </c>
      <c r="E1445">
        <f t="shared" si="22"/>
        <v>94140.599999999991</v>
      </c>
    </row>
    <row r="1446" spans="1:5" x14ac:dyDescent="0.25">
      <c r="A1446" t="s">
        <v>0</v>
      </c>
      <c r="B1446">
        <v>1240228</v>
      </c>
      <c r="C1446">
        <v>18843.75</v>
      </c>
      <c r="D1446" s="4">
        <f>+VLOOKUP(A1446,Portfolio!$G$3:$I$6,3)</f>
        <v>5</v>
      </c>
      <c r="E1446">
        <f t="shared" si="22"/>
        <v>94218.75</v>
      </c>
    </row>
    <row r="1447" spans="1:5" x14ac:dyDescent="0.25">
      <c r="A1447" t="s">
        <v>0</v>
      </c>
      <c r="B1447">
        <v>1240229</v>
      </c>
      <c r="C1447">
        <v>18375</v>
      </c>
      <c r="D1447" s="4">
        <f>+VLOOKUP(A1447,Portfolio!$G$3:$I$6,3)</f>
        <v>5</v>
      </c>
      <c r="E1447">
        <f t="shared" si="22"/>
        <v>91875</v>
      </c>
    </row>
    <row r="1448" spans="1:5" x14ac:dyDescent="0.25">
      <c r="A1448" t="s">
        <v>0</v>
      </c>
      <c r="B1448">
        <v>1240301</v>
      </c>
      <c r="C1448">
        <v>18281.25</v>
      </c>
      <c r="D1448" s="4">
        <f>+VLOOKUP(A1448,Portfolio!$G$3:$I$6,3)</f>
        <v>5</v>
      </c>
      <c r="E1448">
        <f t="shared" si="22"/>
        <v>91406.25</v>
      </c>
    </row>
    <row r="1449" spans="1:5" x14ac:dyDescent="0.25">
      <c r="A1449" t="s">
        <v>0</v>
      </c>
      <c r="B1449">
        <v>1240303</v>
      </c>
      <c r="C1449">
        <v>17812.5</v>
      </c>
      <c r="D1449" s="4">
        <f>+VLOOKUP(A1449,Portfolio!$G$3:$I$6,3)</f>
        <v>5</v>
      </c>
      <c r="E1449">
        <f t="shared" si="22"/>
        <v>89062.5</v>
      </c>
    </row>
    <row r="1450" spans="1:5" x14ac:dyDescent="0.25">
      <c r="A1450" t="s">
        <v>0</v>
      </c>
      <c r="B1450">
        <v>1240304</v>
      </c>
      <c r="C1450">
        <v>17765.62</v>
      </c>
      <c r="D1450" s="4">
        <f>+VLOOKUP(A1450,Portfolio!$G$3:$I$6,3)</f>
        <v>5</v>
      </c>
      <c r="E1450">
        <f t="shared" si="22"/>
        <v>88828.099999999991</v>
      </c>
    </row>
    <row r="1451" spans="1:5" x14ac:dyDescent="0.25">
      <c r="A1451" t="s">
        <v>0</v>
      </c>
      <c r="B1451">
        <v>1240305</v>
      </c>
      <c r="C1451">
        <v>17593.75</v>
      </c>
      <c r="D1451" s="4">
        <f>+VLOOKUP(A1451,Portfolio!$G$3:$I$6,3)</f>
        <v>5</v>
      </c>
      <c r="E1451">
        <f t="shared" si="22"/>
        <v>87968.75</v>
      </c>
    </row>
    <row r="1452" spans="1:5" x14ac:dyDescent="0.25">
      <c r="A1452" t="s">
        <v>0</v>
      </c>
      <c r="B1452">
        <v>1240306</v>
      </c>
      <c r="C1452">
        <v>17578.12</v>
      </c>
      <c r="D1452" s="4">
        <f>+VLOOKUP(A1452,Portfolio!$G$3:$I$6,3)</f>
        <v>5</v>
      </c>
      <c r="E1452">
        <f t="shared" si="22"/>
        <v>87890.599999999991</v>
      </c>
    </row>
    <row r="1453" spans="1:5" x14ac:dyDescent="0.25">
      <c r="A1453" t="s">
        <v>0</v>
      </c>
      <c r="B1453">
        <v>1240307</v>
      </c>
      <c r="C1453">
        <v>17781.25</v>
      </c>
      <c r="D1453" s="4">
        <f>+VLOOKUP(A1453,Portfolio!$G$3:$I$6,3)</f>
        <v>5</v>
      </c>
      <c r="E1453">
        <f t="shared" si="22"/>
        <v>88906.25</v>
      </c>
    </row>
    <row r="1454" spans="1:5" x14ac:dyDescent="0.25">
      <c r="A1454" t="s">
        <v>0</v>
      </c>
      <c r="B1454">
        <v>1240308</v>
      </c>
      <c r="C1454">
        <v>18125</v>
      </c>
      <c r="D1454" s="4">
        <f>+VLOOKUP(A1454,Portfolio!$G$3:$I$6,3)</f>
        <v>5</v>
      </c>
      <c r="E1454">
        <f t="shared" si="22"/>
        <v>90625</v>
      </c>
    </row>
    <row r="1455" spans="1:5" x14ac:dyDescent="0.25">
      <c r="A1455" t="s">
        <v>0</v>
      </c>
      <c r="B1455">
        <v>1240310</v>
      </c>
      <c r="C1455">
        <v>17703.12</v>
      </c>
      <c r="D1455" s="4">
        <f>+VLOOKUP(A1455,Portfolio!$G$3:$I$6,3)</f>
        <v>5</v>
      </c>
      <c r="E1455">
        <f t="shared" si="22"/>
        <v>88515.599999999991</v>
      </c>
    </row>
    <row r="1456" spans="1:5" x14ac:dyDescent="0.25">
      <c r="A1456" t="s">
        <v>0</v>
      </c>
      <c r="B1456">
        <v>1240311</v>
      </c>
      <c r="C1456">
        <v>17781.25</v>
      </c>
      <c r="D1456" s="4">
        <f>+VLOOKUP(A1456,Portfolio!$G$3:$I$6,3)</f>
        <v>5</v>
      </c>
      <c r="E1456">
        <f t="shared" si="22"/>
        <v>88906.25</v>
      </c>
    </row>
    <row r="1457" spans="1:5" x14ac:dyDescent="0.25">
      <c r="A1457" t="s">
        <v>0</v>
      </c>
      <c r="B1457">
        <v>1240312</v>
      </c>
      <c r="C1457">
        <v>17828.12</v>
      </c>
      <c r="D1457" s="4">
        <f>+VLOOKUP(A1457,Portfolio!$G$3:$I$6,3)</f>
        <v>5</v>
      </c>
      <c r="E1457">
        <f t="shared" si="22"/>
        <v>89140.599999999991</v>
      </c>
    </row>
    <row r="1458" spans="1:5" x14ac:dyDescent="0.25">
      <c r="A1458" t="s">
        <v>0</v>
      </c>
      <c r="B1458">
        <v>1240313</v>
      </c>
      <c r="C1458">
        <v>17953.12</v>
      </c>
      <c r="D1458" s="4">
        <f>+VLOOKUP(A1458,Portfolio!$G$3:$I$6,3)</f>
        <v>5</v>
      </c>
      <c r="E1458">
        <f t="shared" si="22"/>
        <v>89765.599999999991</v>
      </c>
    </row>
    <row r="1459" spans="1:5" x14ac:dyDescent="0.25">
      <c r="A1459" t="s">
        <v>0</v>
      </c>
      <c r="B1459">
        <v>1240314</v>
      </c>
      <c r="C1459">
        <v>18343.75</v>
      </c>
      <c r="D1459" s="4">
        <f>+VLOOKUP(A1459,Portfolio!$G$3:$I$6,3)</f>
        <v>5</v>
      </c>
      <c r="E1459">
        <f t="shared" si="22"/>
        <v>91718.75</v>
      </c>
    </row>
    <row r="1460" spans="1:5" x14ac:dyDescent="0.25">
      <c r="A1460" t="s">
        <v>0</v>
      </c>
      <c r="B1460">
        <v>1240315</v>
      </c>
      <c r="C1460">
        <v>18546.88</v>
      </c>
      <c r="D1460" s="4">
        <f>+VLOOKUP(A1460,Portfolio!$G$3:$I$6,3)</f>
        <v>5</v>
      </c>
      <c r="E1460">
        <f t="shared" si="22"/>
        <v>92734.400000000009</v>
      </c>
    </row>
    <row r="1461" spans="1:5" x14ac:dyDescent="0.25">
      <c r="A1461" t="s">
        <v>0</v>
      </c>
      <c r="B1461">
        <v>1240317</v>
      </c>
      <c r="C1461">
        <v>18515.62</v>
      </c>
      <c r="D1461" s="4">
        <f>+VLOOKUP(A1461,Portfolio!$G$3:$I$6,3)</f>
        <v>5</v>
      </c>
      <c r="E1461">
        <f t="shared" si="22"/>
        <v>92578.099999999991</v>
      </c>
    </row>
    <row r="1462" spans="1:5" x14ac:dyDescent="0.25">
      <c r="A1462" t="s">
        <v>0</v>
      </c>
      <c r="B1462">
        <v>1240318</v>
      </c>
      <c r="C1462">
        <v>18484.38</v>
      </c>
      <c r="D1462" s="4">
        <f>+VLOOKUP(A1462,Portfolio!$G$3:$I$6,3)</f>
        <v>5</v>
      </c>
      <c r="E1462">
        <f t="shared" si="22"/>
        <v>92421.900000000009</v>
      </c>
    </row>
    <row r="1463" spans="1:5" x14ac:dyDescent="0.25">
      <c r="A1463" t="s">
        <v>0</v>
      </c>
      <c r="B1463">
        <v>1240319</v>
      </c>
      <c r="C1463">
        <v>18578.12</v>
      </c>
      <c r="D1463" s="4">
        <f>+VLOOKUP(A1463,Portfolio!$G$3:$I$6,3)</f>
        <v>5</v>
      </c>
      <c r="E1463">
        <f t="shared" si="22"/>
        <v>92890.599999999991</v>
      </c>
    </row>
    <row r="1464" spans="1:5" x14ac:dyDescent="0.25">
      <c r="A1464" t="s">
        <v>0</v>
      </c>
      <c r="B1464">
        <v>1240320</v>
      </c>
      <c r="C1464">
        <v>18250</v>
      </c>
      <c r="D1464" s="4">
        <f>+VLOOKUP(A1464,Portfolio!$G$3:$I$6,3)</f>
        <v>5</v>
      </c>
      <c r="E1464">
        <f t="shared" si="22"/>
        <v>91250</v>
      </c>
    </row>
    <row r="1465" spans="1:5" x14ac:dyDescent="0.25">
      <c r="A1465" t="s">
        <v>0</v>
      </c>
      <c r="B1465">
        <v>1240321</v>
      </c>
      <c r="C1465">
        <v>18515.62</v>
      </c>
      <c r="D1465" s="4">
        <f>+VLOOKUP(A1465,Portfolio!$G$3:$I$6,3)</f>
        <v>5</v>
      </c>
      <c r="E1465">
        <f t="shared" si="22"/>
        <v>92578.099999999991</v>
      </c>
    </row>
    <row r="1466" spans="1:5" x14ac:dyDescent="0.25">
      <c r="A1466" t="s">
        <v>0</v>
      </c>
      <c r="B1466">
        <v>1240322</v>
      </c>
      <c r="C1466">
        <v>18265.62</v>
      </c>
      <c r="D1466" s="4">
        <f>+VLOOKUP(A1466,Portfolio!$G$3:$I$6,3)</f>
        <v>5</v>
      </c>
      <c r="E1466">
        <f t="shared" si="22"/>
        <v>91328.099999999991</v>
      </c>
    </row>
    <row r="1467" spans="1:5" x14ac:dyDescent="0.25">
      <c r="A1467" t="s">
        <v>0</v>
      </c>
      <c r="B1467">
        <v>1240324</v>
      </c>
      <c r="C1467">
        <v>18468.75</v>
      </c>
      <c r="D1467" s="4">
        <f>+VLOOKUP(A1467,Portfolio!$G$3:$I$6,3)</f>
        <v>5</v>
      </c>
      <c r="E1467">
        <f t="shared" si="22"/>
        <v>92343.75</v>
      </c>
    </row>
    <row r="1468" spans="1:5" x14ac:dyDescent="0.25">
      <c r="A1468" t="s">
        <v>0</v>
      </c>
      <c r="B1468">
        <v>1240325</v>
      </c>
      <c r="C1468">
        <v>18375</v>
      </c>
      <c r="D1468" s="4">
        <f>+VLOOKUP(A1468,Portfolio!$G$3:$I$6,3)</f>
        <v>5</v>
      </c>
      <c r="E1468">
        <f t="shared" si="22"/>
        <v>91875</v>
      </c>
    </row>
    <row r="1469" spans="1:5" x14ac:dyDescent="0.25">
      <c r="A1469" t="s">
        <v>0</v>
      </c>
      <c r="B1469">
        <v>1240326</v>
      </c>
      <c r="C1469">
        <v>18250</v>
      </c>
      <c r="D1469" s="4">
        <f>+VLOOKUP(A1469,Portfolio!$G$3:$I$6,3)</f>
        <v>5</v>
      </c>
      <c r="E1469">
        <f t="shared" si="22"/>
        <v>91250</v>
      </c>
    </row>
    <row r="1470" spans="1:5" x14ac:dyDescent="0.25">
      <c r="A1470" t="s">
        <v>0</v>
      </c>
      <c r="B1470">
        <v>1240327</v>
      </c>
      <c r="C1470">
        <v>18218.75</v>
      </c>
      <c r="D1470" s="4">
        <f>+VLOOKUP(A1470,Portfolio!$G$3:$I$6,3)</f>
        <v>5</v>
      </c>
      <c r="E1470">
        <f t="shared" si="22"/>
        <v>91093.75</v>
      </c>
    </row>
    <row r="1471" spans="1:5" x14ac:dyDescent="0.25">
      <c r="A1471" t="s">
        <v>0</v>
      </c>
      <c r="B1471">
        <v>1240328</v>
      </c>
      <c r="C1471">
        <v>18203.12</v>
      </c>
      <c r="D1471" s="4">
        <f>+VLOOKUP(A1471,Portfolio!$G$3:$I$6,3)</f>
        <v>5</v>
      </c>
      <c r="E1471">
        <f t="shared" si="22"/>
        <v>91015.599999999991</v>
      </c>
    </row>
    <row r="1472" spans="1:5" x14ac:dyDescent="0.25">
      <c r="A1472" t="s">
        <v>0</v>
      </c>
      <c r="B1472">
        <v>1240331</v>
      </c>
      <c r="C1472">
        <v>17796.88</v>
      </c>
      <c r="D1472" s="4">
        <f>+VLOOKUP(A1472,Portfolio!$G$3:$I$6,3)</f>
        <v>5</v>
      </c>
      <c r="E1472">
        <f t="shared" si="22"/>
        <v>88984.400000000009</v>
      </c>
    </row>
    <row r="1473" spans="1:5" x14ac:dyDescent="0.25">
      <c r="A1473" t="s">
        <v>0</v>
      </c>
      <c r="B1473">
        <v>1240401</v>
      </c>
      <c r="C1473">
        <v>17812.5</v>
      </c>
      <c r="D1473" s="4">
        <f>+VLOOKUP(A1473,Portfolio!$G$3:$I$6,3)</f>
        <v>5</v>
      </c>
      <c r="E1473">
        <f t="shared" si="22"/>
        <v>89062.5</v>
      </c>
    </row>
    <row r="1474" spans="1:5" x14ac:dyDescent="0.25">
      <c r="A1474" t="s">
        <v>0</v>
      </c>
      <c r="B1474">
        <v>1240402</v>
      </c>
      <c r="C1474">
        <v>18390.62</v>
      </c>
      <c r="D1474" s="4">
        <f>+VLOOKUP(A1474,Portfolio!$G$3:$I$6,3)</f>
        <v>5</v>
      </c>
      <c r="E1474">
        <f t="shared" si="22"/>
        <v>91953.099999999991</v>
      </c>
    </row>
    <row r="1475" spans="1:5" x14ac:dyDescent="0.25">
      <c r="A1475" t="s">
        <v>0</v>
      </c>
      <c r="B1475">
        <v>1240403</v>
      </c>
      <c r="C1475">
        <v>18687.5</v>
      </c>
      <c r="D1475" s="4">
        <f>+VLOOKUP(A1475,Portfolio!$G$3:$I$6,3)</f>
        <v>5</v>
      </c>
      <c r="E1475">
        <f t="shared" ref="E1475:E1538" si="23">+C1475*D1475</f>
        <v>93437.5</v>
      </c>
    </row>
    <row r="1476" spans="1:5" x14ac:dyDescent="0.25">
      <c r="A1476" t="s">
        <v>0</v>
      </c>
      <c r="B1476">
        <v>1240404</v>
      </c>
      <c r="C1476">
        <v>18703.12</v>
      </c>
      <c r="D1476" s="4">
        <f>+VLOOKUP(A1476,Portfolio!$G$3:$I$6,3)</f>
        <v>5</v>
      </c>
      <c r="E1476">
        <f t="shared" si="23"/>
        <v>93515.599999999991</v>
      </c>
    </row>
    <row r="1477" spans="1:5" x14ac:dyDescent="0.25">
      <c r="A1477" t="s">
        <v>0</v>
      </c>
      <c r="B1477">
        <v>1240405</v>
      </c>
      <c r="C1477">
        <v>18734.38</v>
      </c>
      <c r="D1477" s="4">
        <f>+VLOOKUP(A1477,Portfolio!$G$3:$I$6,3)</f>
        <v>5</v>
      </c>
      <c r="E1477">
        <f t="shared" si="23"/>
        <v>93671.900000000009</v>
      </c>
    </row>
    <row r="1478" spans="1:5" x14ac:dyDescent="0.25">
      <c r="A1478" t="s">
        <v>0</v>
      </c>
      <c r="B1478">
        <v>1240407</v>
      </c>
      <c r="C1478">
        <v>18984.38</v>
      </c>
      <c r="D1478" s="4">
        <f>+VLOOKUP(A1478,Portfolio!$G$3:$I$6,3)</f>
        <v>5</v>
      </c>
      <c r="E1478">
        <f t="shared" si="23"/>
        <v>94921.900000000009</v>
      </c>
    </row>
    <row r="1479" spans="1:5" x14ac:dyDescent="0.25">
      <c r="A1479" t="s">
        <v>0</v>
      </c>
      <c r="B1479">
        <v>1240408</v>
      </c>
      <c r="C1479">
        <v>19093.75</v>
      </c>
      <c r="D1479" s="4">
        <f>+VLOOKUP(A1479,Portfolio!$G$3:$I$6,3)</f>
        <v>5</v>
      </c>
      <c r="E1479">
        <f t="shared" si="23"/>
        <v>95468.75</v>
      </c>
    </row>
    <row r="1480" spans="1:5" x14ac:dyDescent="0.25">
      <c r="A1480" t="s">
        <v>0</v>
      </c>
      <c r="B1480">
        <v>1240409</v>
      </c>
      <c r="C1480">
        <v>19046.88</v>
      </c>
      <c r="D1480" s="4">
        <f>+VLOOKUP(A1480,Portfolio!$G$3:$I$6,3)</f>
        <v>5</v>
      </c>
      <c r="E1480">
        <f t="shared" si="23"/>
        <v>95234.400000000009</v>
      </c>
    </row>
    <row r="1481" spans="1:5" x14ac:dyDescent="0.25">
      <c r="A1481" t="s">
        <v>0</v>
      </c>
      <c r="B1481">
        <v>1240410</v>
      </c>
      <c r="C1481">
        <v>19015.62</v>
      </c>
      <c r="D1481" s="4">
        <f>+VLOOKUP(A1481,Portfolio!$G$3:$I$6,3)</f>
        <v>5</v>
      </c>
      <c r="E1481">
        <f t="shared" si="23"/>
        <v>95078.099999999991</v>
      </c>
    </row>
    <row r="1482" spans="1:5" x14ac:dyDescent="0.25">
      <c r="A1482" t="s">
        <v>0</v>
      </c>
      <c r="B1482">
        <v>1240411</v>
      </c>
      <c r="C1482">
        <v>18015.62</v>
      </c>
      <c r="D1482" s="4">
        <f>+VLOOKUP(A1482,Portfolio!$G$3:$I$6,3)</f>
        <v>5</v>
      </c>
      <c r="E1482">
        <f t="shared" si="23"/>
        <v>90078.099999999991</v>
      </c>
    </row>
    <row r="1483" spans="1:5" x14ac:dyDescent="0.25">
      <c r="A1483" t="s">
        <v>0</v>
      </c>
      <c r="B1483">
        <v>1240412</v>
      </c>
      <c r="C1483">
        <v>17718.75</v>
      </c>
      <c r="D1483" s="4">
        <f>+VLOOKUP(A1483,Portfolio!$G$3:$I$6,3)</f>
        <v>5</v>
      </c>
      <c r="E1483">
        <f t="shared" si="23"/>
        <v>88593.75</v>
      </c>
    </row>
    <row r="1484" spans="1:5" x14ac:dyDescent="0.25">
      <c r="A1484" t="s">
        <v>0</v>
      </c>
      <c r="B1484">
        <v>1240414</v>
      </c>
      <c r="C1484">
        <v>17406.25</v>
      </c>
      <c r="D1484" s="4">
        <f>+VLOOKUP(A1484,Portfolio!$G$3:$I$6,3)</f>
        <v>5</v>
      </c>
      <c r="E1484">
        <f t="shared" si="23"/>
        <v>87031.25</v>
      </c>
    </row>
    <row r="1485" spans="1:5" x14ac:dyDescent="0.25">
      <c r="A1485" t="s">
        <v>0</v>
      </c>
      <c r="B1485">
        <v>1240415</v>
      </c>
      <c r="C1485">
        <v>17312.5</v>
      </c>
      <c r="D1485" s="4">
        <f>+VLOOKUP(A1485,Portfolio!$G$3:$I$6,3)</f>
        <v>5</v>
      </c>
      <c r="E1485">
        <f t="shared" si="23"/>
        <v>86562.5</v>
      </c>
    </row>
    <row r="1486" spans="1:5" x14ac:dyDescent="0.25">
      <c r="A1486" t="s">
        <v>0</v>
      </c>
      <c r="B1486">
        <v>1240416</v>
      </c>
      <c r="C1486">
        <v>17359.38</v>
      </c>
      <c r="D1486" s="4">
        <f>+VLOOKUP(A1486,Portfolio!$G$3:$I$6,3)</f>
        <v>5</v>
      </c>
      <c r="E1486">
        <f t="shared" si="23"/>
        <v>86796.900000000009</v>
      </c>
    </row>
    <row r="1487" spans="1:5" x14ac:dyDescent="0.25">
      <c r="A1487" t="s">
        <v>0</v>
      </c>
      <c r="B1487">
        <v>1240417</v>
      </c>
      <c r="C1487">
        <v>17718.75</v>
      </c>
      <c r="D1487" s="4">
        <f>+VLOOKUP(A1487,Portfolio!$G$3:$I$6,3)</f>
        <v>5</v>
      </c>
      <c r="E1487">
        <f t="shared" si="23"/>
        <v>88593.75</v>
      </c>
    </row>
    <row r="1488" spans="1:5" x14ac:dyDescent="0.25">
      <c r="A1488" t="s">
        <v>0</v>
      </c>
      <c r="B1488">
        <v>1240418</v>
      </c>
      <c r="C1488">
        <v>17890.62</v>
      </c>
      <c r="D1488" s="4">
        <f>+VLOOKUP(A1488,Portfolio!$G$3:$I$6,3)</f>
        <v>5</v>
      </c>
      <c r="E1488">
        <f t="shared" si="23"/>
        <v>89453.099999999991</v>
      </c>
    </row>
    <row r="1489" spans="1:5" x14ac:dyDescent="0.25">
      <c r="A1489" t="s">
        <v>0</v>
      </c>
      <c r="B1489">
        <v>1240419</v>
      </c>
      <c r="C1489">
        <v>17406.25</v>
      </c>
      <c r="D1489" s="4">
        <f>+VLOOKUP(A1489,Portfolio!$G$3:$I$6,3)</f>
        <v>5</v>
      </c>
      <c r="E1489">
        <f t="shared" si="23"/>
        <v>87031.25</v>
      </c>
    </row>
    <row r="1490" spans="1:5" x14ac:dyDescent="0.25">
      <c r="A1490" t="s">
        <v>0</v>
      </c>
      <c r="B1490">
        <v>1240421</v>
      </c>
      <c r="C1490">
        <v>18031.25</v>
      </c>
      <c r="D1490" s="4">
        <f>+VLOOKUP(A1490,Portfolio!$G$3:$I$6,3)</f>
        <v>5</v>
      </c>
      <c r="E1490">
        <f t="shared" si="23"/>
        <v>90156.25</v>
      </c>
    </row>
    <row r="1491" spans="1:5" x14ac:dyDescent="0.25">
      <c r="A1491" t="s">
        <v>0</v>
      </c>
      <c r="B1491">
        <v>1240422</v>
      </c>
      <c r="C1491">
        <v>18156.25</v>
      </c>
      <c r="D1491" s="4">
        <f>+VLOOKUP(A1491,Portfolio!$G$3:$I$6,3)</f>
        <v>5</v>
      </c>
      <c r="E1491">
        <f t="shared" si="23"/>
        <v>90781.25</v>
      </c>
    </row>
    <row r="1492" spans="1:5" x14ac:dyDescent="0.25">
      <c r="A1492" t="s">
        <v>0</v>
      </c>
      <c r="B1492">
        <v>1240423</v>
      </c>
      <c r="C1492">
        <v>18031.25</v>
      </c>
      <c r="D1492" s="4">
        <f>+VLOOKUP(A1492,Portfolio!$G$3:$I$6,3)</f>
        <v>5</v>
      </c>
      <c r="E1492">
        <f t="shared" si="23"/>
        <v>90156.25</v>
      </c>
    </row>
    <row r="1493" spans="1:5" x14ac:dyDescent="0.25">
      <c r="A1493" t="s">
        <v>0</v>
      </c>
      <c r="B1493">
        <v>1240424</v>
      </c>
      <c r="C1493">
        <v>17671.88</v>
      </c>
      <c r="D1493" s="4">
        <f>+VLOOKUP(A1493,Portfolio!$G$3:$I$6,3)</f>
        <v>5</v>
      </c>
      <c r="E1493">
        <f t="shared" si="23"/>
        <v>88359.400000000009</v>
      </c>
    </row>
    <row r="1494" spans="1:5" x14ac:dyDescent="0.25">
      <c r="A1494" t="s">
        <v>0</v>
      </c>
      <c r="B1494">
        <v>1240425</v>
      </c>
      <c r="C1494">
        <v>17546.88</v>
      </c>
      <c r="D1494" s="4">
        <f>+VLOOKUP(A1494,Portfolio!$G$3:$I$6,3)</f>
        <v>5</v>
      </c>
      <c r="E1494">
        <f t="shared" si="23"/>
        <v>87734.400000000009</v>
      </c>
    </row>
    <row r="1495" spans="1:5" x14ac:dyDescent="0.25">
      <c r="A1495" t="s">
        <v>0</v>
      </c>
      <c r="B1495">
        <v>1240426</v>
      </c>
      <c r="C1495">
        <v>17671.88</v>
      </c>
      <c r="D1495" s="4">
        <f>+VLOOKUP(A1495,Portfolio!$G$3:$I$6,3)</f>
        <v>5</v>
      </c>
      <c r="E1495">
        <f t="shared" si="23"/>
        <v>88359.400000000009</v>
      </c>
    </row>
    <row r="1496" spans="1:5" x14ac:dyDescent="0.25">
      <c r="A1496" t="s">
        <v>0</v>
      </c>
      <c r="B1496">
        <v>1240428</v>
      </c>
      <c r="C1496">
        <v>17625</v>
      </c>
      <c r="D1496" s="4">
        <f>+VLOOKUP(A1496,Portfolio!$G$3:$I$6,3)</f>
        <v>5</v>
      </c>
      <c r="E1496">
        <f t="shared" si="23"/>
        <v>88125</v>
      </c>
    </row>
    <row r="1497" spans="1:5" x14ac:dyDescent="0.25">
      <c r="A1497" t="s">
        <v>0</v>
      </c>
      <c r="B1497">
        <v>1240429</v>
      </c>
      <c r="C1497">
        <v>17625</v>
      </c>
      <c r="D1497" s="4">
        <f>+VLOOKUP(A1497,Portfolio!$G$3:$I$6,3)</f>
        <v>5</v>
      </c>
      <c r="E1497">
        <f t="shared" si="23"/>
        <v>88125</v>
      </c>
    </row>
    <row r="1498" spans="1:5" x14ac:dyDescent="0.25">
      <c r="A1498" t="s">
        <v>0</v>
      </c>
      <c r="B1498">
        <v>1240430</v>
      </c>
      <c r="C1498">
        <v>17906.25</v>
      </c>
      <c r="D1498" s="4">
        <f>+VLOOKUP(A1498,Portfolio!$G$3:$I$6,3)</f>
        <v>5</v>
      </c>
      <c r="E1498">
        <f t="shared" si="23"/>
        <v>89531.25</v>
      </c>
    </row>
    <row r="1499" spans="1:5" x14ac:dyDescent="0.25">
      <c r="A1499" t="s">
        <v>0</v>
      </c>
      <c r="B1499">
        <v>1240501</v>
      </c>
      <c r="C1499">
        <v>18031.25</v>
      </c>
      <c r="D1499" s="4">
        <f>+VLOOKUP(A1499,Portfolio!$G$3:$I$6,3)</f>
        <v>5</v>
      </c>
      <c r="E1499">
        <f t="shared" si="23"/>
        <v>90156.25</v>
      </c>
    </row>
    <row r="1500" spans="1:5" x14ac:dyDescent="0.25">
      <c r="A1500" t="s">
        <v>0</v>
      </c>
      <c r="B1500">
        <v>1240502</v>
      </c>
      <c r="C1500">
        <v>18296.88</v>
      </c>
      <c r="D1500" s="4">
        <f>+VLOOKUP(A1500,Portfolio!$G$3:$I$6,3)</f>
        <v>5</v>
      </c>
      <c r="E1500">
        <f t="shared" si="23"/>
        <v>91484.400000000009</v>
      </c>
    </row>
    <row r="1501" spans="1:5" x14ac:dyDescent="0.25">
      <c r="A1501" t="s">
        <v>0</v>
      </c>
      <c r="B1501">
        <v>1240503</v>
      </c>
      <c r="C1501">
        <v>17968.75</v>
      </c>
      <c r="D1501" s="4">
        <f>+VLOOKUP(A1501,Portfolio!$G$3:$I$6,3)</f>
        <v>5</v>
      </c>
      <c r="E1501">
        <f t="shared" si="23"/>
        <v>89843.75</v>
      </c>
    </row>
    <row r="1502" spans="1:5" x14ac:dyDescent="0.25">
      <c r="A1502" t="s">
        <v>0</v>
      </c>
      <c r="B1502">
        <v>1240505</v>
      </c>
      <c r="C1502">
        <v>18453.12</v>
      </c>
      <c r="D1502" s="4">
        <f>+VLOOKUP(A1502,Portfolio!$G$3:$I$6,3)</f>
        <v>5</v>
      </c>
      <c r="E1502">
        <f t="shared" si="23"/>
        <v>92265.599999999991</v>
      </c>
    </row>
    <row r="1503" spans="1:5" x14ac:dyDescent="0.25">
      <c r="A1503" t="s">
        <v>0</v>
      </c>
      <c r="B1503">
        <v>1240506</v>
      </c>
      <c r="C1503">
        <v>18468.75</v>
      </c>
      <c r="D1503" s="4">
        <f>+VLOOKUP(A1503,Portfolio!$G$3:$I$6,3)</f>
        <v>5</v>
      </c>
      <c r="E1503">
        <f t="shared" si="23"/>
        <v>92343.75</v>
      </c>
    </row>
    <row r="1504" spans="1:5" x14ac:dyDescent="0.25">
      <c r="A1504" t="s">
        <v>0</v>
      </c>
      <c r="B1504">
        <v>1240507</v>
      </c>
      <c r="C1504">
        <v>18609.38</v>
      </c>
      <c r="D1504" s="4">
        <f>+VLOOKUP(A1504,Portfolio!$G$3:$I$6,3)</f>
        <v>5</v>
      </c>
      <c r="E1504">
        <f t="shared" si="23"/>
        <v>93046.900000000009</v>
      </c>
    </row>
    <row r="1505" spans="1:5" x14ac:dyDescent="0.25">
      <c r="A1505" t="s">
        <v>0</v>
      </c>
      <c r="B1505">
        <v>1240508</v>
      </c>
      <c r="C1505">
        <v>18593.75</v>
      </c>
      <c r="D1505" s="4">
        <f>+VLOOKUP(A1505,Portfolio!$G$3:$I$6,3)</f>
        <v>5</v>
      </c>
      <c r="E1505">
        <f t="shared" si="23"/>
        <v>92968.75</v>
      </c>
    </row>
    <row r="1506" spans="1:5" x14ac:dyDescent="0.25">
      <c r="A1506" t="s">
        <v>0</v>
      </c>
      <c r="B1506">
        <v>1240509</v>
      </c>
      <c r="C1506">
        <v>18671.88</v>
      </c>
      <c r="D1506" s="4">
        <f>+VLOOKUP(A1506,Portfolio!$G$3:$I$6,3)</f>
        <v>5</v>
      </c>
      <c r="E1506">
        <f t="shared" si="23"/>
        <v>93359.400000000009</v>
      </c>
    </row>
    <row r="1507" spans="1:5" x14ac:dyDescent="0.25">
      <c r="A1507" t="s">
        <v>0</v>
      </c>
      <c r="B1507">
        <v>1240510</v>
      </c>
      <c r="C1507">
        <v>18765.62</v>
      </c>
      <c r="D1507" s="4">
        <f>+VLOOKUP(A1507,Portfolio!$G$3:$I$6,3)</f>
        <v>5</v>
      </c>
      <c r="E1507">
        <f t="shared" si="23"/>
        <v>93828.099999999991</v>
      </c>
    </row>
    <row r="1508" spans="1:5" x14ac:dyDescent="0.25">
      <c r="A1508" t="s">
        <v>0</v>
      </c>
      <c r="B1508">
        <v>1240512</v>
      </c>
      <c r="C1508">
        <v>18968.75</v>
      </c>
      <c r="D1508" s="4">
        <f>+VLOOKUP(A1508,Portfolio!$G$3:$I$6,3)</f>
        <v>5</v>
      </c>
      <c r="E1508">
        <f t="shared" si="23"/>
        <v>94843.75</v>
      </c>
    </row>
    <row r="1509" spans="1:5" x14ac:dyDescent="0.25">
      <c r="A1509" t="s">
        <v>0</v>
      </c>
      <c r="B1509">
        <v>1240513</v>
      </c>
      <c r="C1509">
        <v>18968.75</v>
      </c>
      <c r="D1509" s="4">
        <f>+VLOOKUP(A1509,Portfolio!$G$3:$I$6,3)</f>
        <v>5</v>
      </c>
      <c r="E1509">
        <f t="shared" si="23"/>
        <v>94843.75</v>
      </c>
    </row>
    <row r="1510" spans="1:5" x14ac:dyDescent="0.25">
      <c r="A1510" t="s">
        <v>0</v>
      </c>
      <c r="B1510">
        <v>1240514</v>
      </c>
      <c r="C1510">
        <v>18781.25</v>
      </c>
      <c r="D1510" s="4">
        <f>+VLOOKUP(A1510,Portfolio!$G$3:$I$6,3)</f>
        <v>5</v>
      </c>
      <c r="E1510">
        <f t="shared" si="23"/>
        <v>93906.25</v>
      </c>
    </row>
    <row r="1511" spans="1:5" x14ac:dyDescent="0.25">
      <c r="A1511" t="s">
        <v>0</v>
      </c>
      <c r="B1511">
        <v>1240515</v>
      </c>
      <c r="C1511">
        <v>18781.25</v>
      </c>
      <c r="D1511" s="4">
        <f>+VLOOKUP(A1511,Portfolio!$G$3:$I$6,3)</f>
        <v>5</v>
      </c>
      <c r="E1511">
        <f t="shared" si="23"/>
        <v>93906.25</v>
      </c>
    </row>
    <row r="1512" spans="1:5" x14ac:dyDescent="0.25">
      <c r="A1512" t="s">
        <v>0</v>
      </c>
      <c r="B1512">
        <v>1240516</v>
      </c>
      <c r="C1512">
        <v>19578.12</v>
      </c>
      <c r="D1512" s="4">
        <f>+VLOOKUP(A1512,Portfolio!$G$3:$I$6,3)</f>
        <v>5</v>
      </c>
      <c r="E1512">
        <f t="shared" si="23"/>
        <v>97890.599999999991</v>
      </c>
    </row>
    <row r="1513" spans="1:5" x14ac:dyDescent="0.25">
      <c r="A1513" t="s">
        <v>0</v>
      </c>
      <c r="B1513">
        <v>1240517</v>
      </c>
      <c r="C1513">
        <v>19656.25</v>
      </c>
      <c r="D1513" s="4">
        <f>+VLOOKUP(A1513,Portfolio!$G$3:$I$6,3)</f>
        <v>5</v>
      </c>
      <c r="E1513">
        <f t="shared" si="23"/>
        <v>98281.25</v>
      </c>
    </row>
    <row r="1514" spans="1:5" x14ac:dyDescent="0.25">
      <c r="A1514" t="s">
        <v>0</v>
      </c>
      <c r="B1514">
        <v>1240519</v>
      </c>
      <c r="C1514">
        <v>19968.75</v>
      </c>
      <c r="D1514" s="4">
        <f>+VLOOKUP(A1514,Portfolio!$G$3:$I$6,3)</f>
        <v>5</v>
      </c>
      <c r="E1514">
        <f t="shared" si="23"/>
        <v>99843.75</v>
      </c>
    </row>
    <row r="1515" spans="1:5" x14ac:dyDescent="0.25">
      <c r="A1515" t="s">
        <v>0</v>
      </c>
      <c r="B1515">
        <v>1240520</v>
      </c>
      <c r="C1515">
        <v>19984.38</v>
      </c>
      <c r="D1515" s="4">
        <f>+VLOOKUP(A1515,Portfolio!$G$3:$I$6,3)</f>
        <v>5</v>
      </c>
      <c r="E1515">
        <f t="shared" si="23"/>
        <v>99921.900000000009</v>
      </c>
    </row>
    <row r="1516" spans="1:5" x14ac:dyDescent="0.25">
      <c r="A1516" t="s">
        <v>0</v>
      </c>
      <c r="B1516">
        <v>1240521</v>
      </c>
      <c r="C1516">
        <v>20156.25</v>
      </c>
      <c r="D1516" s="4">
        <f>+VLOOKUP(A1516,Portfolio!$G$3:$I$6,3)</f>
        <v>5</v>
      </c>
      <c r="E1516">
        <f t="shared" si="23"/>
        <v>100781.25</v>
      </c>
    </row>
    <row r="1517" spans="1:5" x14ac:dyDescent="0.25">
      <c r="A1517" t="s">
        <v>0</v>
      </c>
      <c r="B1517">
        <v>1240522</v>
      </c>
      <c r="C1517">
        <v>20000</v>
      </c>
      <c r="D1517" s="4">
        <f>+VLOOKUP(A1517,Portfolio!$G$3:$I$6,3)</f>
        <v>5</v>
      </c>
      <c r="E1517">
        <f t="shared" si="23"/>
        <v>100000</v>
      </c>
    </row>
    <row r="1518" spans="1:5" x14ac:dyDescent="0.25">
      <c r="A1518" t="s">
        <v>0</v>
      </c>
      <c r="B1518">
        <v>1240523</v>
      </c>
      <c r="C1518">
        <v>19718.75</v>
      </c>
      <c r="D1518" s="4">
        <f>+VLOOKUP(A1518,Portfolio!$G$3:$I$6,3)</f>
        <v>5</v>
      </c>
      <c r="E1518">
        <f t="shared" si="23"/>
        <v>98593.75</v>
      </c>
    </row>
    <row r="1519" spans="1:5" x14ac:dyDescent="0.25">
      <c r="A1519" t="s">
        <v>0</v>
      </c>
      <c r="B1519">
        <v>1240524</v>
      </c>
      <c r="C1519">
        <v>19500</v>
      </c>
      <c r="D1519" s="4">
        <f>+VLOOKUP(A1519,Portfolio!$G$3:$I$6,3)</f>
        <v>5</v>
      </c>
      <c r="E1519">
        <f t="shared" si="23"/>
        <v>97500</v>
      </c>
    </row>
    <row r="1520" spans="1:5" x14ac:dyDescent="0.25">
      <c r="A1520" t="s">
        <v>0</v>
      </c>
      <c r="B1520">
        <v>1240526</v>
      </c>
      <c r="C1520">
        <v>19468.75</v>
      </c>
      <c r="D1520" s="4">
        <f>+VLOOKUP(A1520,Portfolio!$G$3:$I$6,3)</f>
        <v>5</v>
      </c>
      <c r="E1520">
        <f t="shared" si="23"/>
        <v>97343.75</v>
      </c>
    </row>
    <row r="1521" spans="1:5" x14ac:dyDescent="0.25">
      <c r="A1521" t="s">
        <v>0</v>
      </c>
      <c r="B1521">
        <v>1240527</v>
      </c>
      <c r="C1521">
        <v>19453.12</v>
      </c>
      <c r="D1521" s="4">
        <f>+VLOOKUP(A1521,Portfolio!$G$3:$I$6,3)</f>
        <v>5</v>
      </c>
      <c r="E1521">
        <f t="shared" si="23"/>
        <v>97265.599999999991</v>
      </c>
    </row>
    <row r="1522" spans="1:5" x14ac:dyDescent="0.25">
      <c r="A1522" t="s">
        <v>0</v>
      </c>
      <c r="B1522">
        <v>1240528</v>
      </c>
      <c r="C1522">
        <v>19328.12</v>
      </c>
      <c r="D1522" s="4">
        <f>+VLOOKUP(A1522,Portfolio!$G$3:$I$6,3)</f>
        <v>5</v>
      </c>
      <c r="E1522">
        <f t="shared" si="23"/>
        <v>96640.599999999991</v>
      </c>
    </row>
    <row r="1523" spans="1:5" x14ac:dyDescent="0.25">
      <c r="A1523" t="s">
        <v>0</v>
      </c>
      <c r="B1523">
        <v>1240529</v>
      </c>
      <c r="C1523">
        <v>19640.62</v>
      </c>
      <c r="D1523" s="4">
        <f>+VLOOKUP(A1523,Portfolio!$G$3:$I$6,3)</f>
        <v>5</v>
      </c>
      <c r="E1523">
        <f t="shared" si="23"/>
        <v>98203.099999999991</v>
      </c>
    </row>
    <row r="1524" spans="1:5" x14ac:dyDescent="0.25">
      <c r="A1524" t="s">
        <v>0</v>
      </c>
      <c r="B1524">
        <v>1240530</v>
      </c>
      <c r="C1524">
        <v>19921.88</v>
      </c>
      <c r="D1524" s="4">
        <f>+VLOOKUP(A1524,Portfolio!$G$3:$I$6,3)</f>
        <v>5</v>
      </c>
      <c r="E1524">
        <f t="shared" si="23"/>
        <v>99609.400000000009</v>
      </c>
    </row>
    <row r="1525" spans="1:5" x14ac:dyDescent="0.25">
      <c r="A1525" t="s">
        <v>0</v>
      </c>
      <c r="B1525">
        <v>1240531</v>
      </c>
      <c r="C1525">
        <v>20031.25</v>
      </c>
      <c r="D1525" s="4">
        <f>+VLOOKUP(A1525,Portfolio!$G$3:$I$6,3)</f>
        <v>5</v>
      </c>
      <c r="E1525">
        <f t="shared" si="23"/>
        <v>100156.25</v>
      </c>
    </row>
    <row r="1526" spans="1:5" x14ac:dyDescent="0.25">
      <c r="A1526" t="s">
        <v>0</v>
      </c>
      <c r="B1526">
        <v>1240602</v>
      </c>
      <c r="C1526">
        <v>20359.38</v>
      </c>
      <c r="D1526" s="4">
        <f>+VLOOKUP(A1526,Portfolio!$G$3:$I$6,3)</f>
        <v>5</v>
      </c>
      <c r="E1526">
        <f t="shared" si="23"/>
        <v>101796.90000000001</v>
      </c>
    </row>
    <row r="1527" spans="1:5" x14ac:dyDescent="0.25">
      <c r="A1527" t="s">
        <v>0</v>
      </c>
      <c r="B1527">
        <v>1240603</v>
      </c>
      <c r="C1527">
        <v>20421.88</v>
      </c>
      <c r="D1527" s="4">
        <f>+VLOOKUP(A1527,Portfolio!$G$3:$I$6,3)</f>
        <v>5</v>
      </c>
      <c r="E1527">
        <f t="shared" si="23"/>
        <v>102109.40000000001</v>
      </c>
    </row>
    <row r="1528" spans="1:5" x14ac:dyDescent="0.25">
      <c r="A1528" t="s">
        <v>0</v>
      </c>
      <c r="B1528">
        <v>1240604</v>
      </c>
      <c r="C1528">
        <v>20953.12</v>
      </c>
      <c r="D1528" s="4">
        <f>+VLOOKUP(A1528,Portfolio!$G$3:$I$6,3)</f>
        <v>5</v>
      </c>
      <c r="E1528">
        <f t="shared" si="23"/>
        <v>104765.59999999999</v>
      </c>
    </row>
    <row r="1529" spans="1:5" x14ac:dyDescent="0.25">
      <c r="A1529" t="s">
        <v>0</v>
      </c>
      <c r="B1529">
        <v>1240605</v>
      </c>
      <c r="C1529">
        <v>21421.88</v>
      </c>
      <c r="D1529" s="4">
        <f>+VLOOKUP(A1529,Portfolio!$G$3:$I$6,3)</f>
        <v>5</v>
      </c>
      <c r="E1529">
        <f t="shared" si="23"/>
        <v>107109.40000000001</v>
      </c>
    </row>
    <row r="1530" spans="1:5" x14ac:dyDescent="0.25">
      <c r="A1530" t="s">
        <v>0</v>
      </c>
      <c r="B1530">
        <v>1240606</v>
      </c>
      <c r="C1530">
        <v>21734.38</v>
      </c>
      <c r="D1530" s="4">
        <f>+VLOOKUP(A1530,Portfolio!$G$3:$I$6,3)</f>
        <v>5</v>
      </c>
      <c r="E1530">
        <f t="shared" si="23"/>
        <v>108671.90000000001</v>
      </c>
    </row>
    <row r="1531" spans="1:5" x14ac:dyDescent="0.25">
      <c r="A1531" t="s">
        <v>0</v>
      </c>
      <c r="B1531">
        <v>1240607</v>
      </c>
      <c r="C1531">
        <v>20734.38</v>
      </c>
      <c r="D1531" s="4">
        <f>+VLOOKUP(A1531,Portfolio!$G$3:$I$6,3)</f>
        <v>5</v>
      </c>
      <c r="E1531">
        <f t="shared" si="23"/>
        <v>103671.90000000001</v>
      </c>
    </row>
    <row r="1532" spans="1:5" x14ac:dyDescent="0.25">
      <c r="A1532" t="s">
        <v>0</v>
      </c>
      <c r="B1532">
        <v>1240609</v>
      </c>
      <c r="C1532">
        <v>21562.5</v>
      </c>
      <c r="D1532" s="4">
        <f>+VLOOKUP(A1532,Portfolio!$G$3:$I$6,3)</f>
        <v>5</v>
      </c>
      <c r="E1532">
        <f t="shared" si="23"/>
        <v>107812.5</v>
      </c>
    </row>
    <row r="1533" spans="1:5" x14ac:dyDescent="0.25">
      <c r="A1533" t="s">
        <v>0</v>
      </c>
      <c r="B1533">
        <v>1240610</v>
      </c>
      <c r="C1533">
        <v>21562.5</v>
      </c>
      <c r="D1533" s="4">
        <f>+VLOOKUP(A1533,Portfolio!$G$3:$I$6,3)</f>
        <v>5</v>
      </c>
      <c r="E1533">
        <f t="shared" si="23"/>
        <v>107812.5</v>
      </c>
    </row>
    <row r="1534" spans="1:5" x14ac:dyDescent="0.25">
      <c r="A1534" t="s">
        <v>0</v>
      </c>
      <c r="B1534">
        <v>1240611</v>
      </c>
      <c r="C1534">
        <v>21500</v>
      </c>
      <c r="D1534" s="4">
        <f>+VLOOKUP(A1534,Portfolio!$G$3:$I$6,3)</f>
        <v>5</v>
      </c>
      <c r="E1534">
        <f t="shared" si="23"/>
        <v>107500</v>
      </c>
    </row>
    <row r="1535" spans="1:5" x14ac:dyDescent="0.25">
      <c r="A1535" t="s">
        <v>0</v>
      </c>
      <c r="B1535">
        <v>1240612</v>
      </c>
      <c r="C1535">
        <v>21781.25</v>
      </c>
      <c r="D1535" s="4">
        <f>+VLOOKUP(A1535,Portfolio!$G$3:$I$6,3)</f>
        <v>5</v>
      </c>
      <c r="E1535">
        <f t="shared" si="23"/>
        <v>108906.25</v>
      </c>
    </row>
    <row r="1536" spans="1:5" x14ac:dyDescent="0.25">
      <c r="A1536" t="s">
        <v>0</v>
      </c>
      <c r="B1536">
        <v>1240613</v>
      </c>
      <c r="C1536">
        <v>22437.5</v>
      </c>
      <c r="D1536" s="4">
        <f>+VLOOKUP(A1536,Portfolio!$G$3:$I$6,3)</f>
        <v>5</v>
      </c>
      <c r="E1536">
        <f t="shared" si="23"/>
        <v>112187.5</v>
      </c>
    </row>
    <row r="1537" spans="1:5" x14ac:dyDescent="0.25">
      <c r="A1537" t="s">
        <v>0</v>
      </c>
      <c r="B1537">
        <v>1240614</v>
      </c>
      <c r="C1537">
        <v>22765.62</v>
      </c>
      <c r="D1537" s="4">
        <f>+VLOOKUP(A1537,Portfolio!$G$3:$I$6,3)</f>
        <v>5</v>
      </c>
      <c r="E1537">
        <f t="shared" si="23"/>
        <v>113828.09999999999</v>
      </c>
    </row>
    <row r="1538" spans="1:5" x14ac:dyDescent="0.25">
      <c r="A1538" t="s">
        <v>0</v>
      </c>
      <c r="B1538">
        <v>1240616</v>
      </c>
      <c r="C1538">
        <v>22875</v>
      </c>
      <c r="D1538" s="4">
        <f>+VLOOKUP(A1538,Portfolio!$G$3:$I$6,3)</f>
        <v>5</v>
      </c>
      <c r="E1538">
        <f t="shared" si="23"/>
        <v>114375</v>
      </c>
    </row>
    <row r="1539" spans="1:5" x14ac:dyDescent="0.25">
      <c r="A1539" t="s">
        <v>0</v>
      </c>
      <c r="B1539">
        <v>1240617</v>
      </c>
      <c r="C1539">
        <v>22921.88</v>
      </c>
      <c r="D1539" s="4">
        <f>+VLOOKUP(A1539,Portfolio!$G$3:$I$6,3)</f>
        <v>5</v>
      </c>
      <c r="E1539">
        <f t="shared" ref="E1539:E1602" si="24">+C1539*D1539</f>
        <v>114609.40000000001</v>
      </c>
    </row>
    <row r="1540" spans="1:5" x14ac:dyDescent="0.25">
      <c r="A1540" t="s">
        <v>0</v>
      </c>
      <c r="B1540">
        <v>1240618</v>
      </c>
      <c r="C1540">
        <v>23015.62</v>
      </c>
      <c r="D1540" s="4">
        <f>+VLOOKUP(A1540,Portfolio!$G$3:$I$6,3)</f>
        <v>5</v>
      </c>
      <c r="E1540">
        <f t="shared" si="24"/>
        <v>115078.09999999999</v>
      </c>
    </row>
    <row r="1541" spans="1:5" x14ac:dyDescent="0.25">
      <c r="A1541" t="s">
        <v>0</v>
      </c>
      <c r="B1541">
        <v>1240619</v>
      </c>
      <c r="C1541">
        <v>23125</v>
      </c>
      <c r="D1541" s="4">
        <f>+VLOOKUP(A1541,Portfolio!$G$3:$I$6,3)</f>
        <v>5</v>
      </c>
      <c r="E1541">
        <f t="shared" si="24"/>
        <v>115625</v>
      </c>
    </row>
    <row r="1542" spans="1:5" x14ac:dyDescent="0.25">
      <c r="A1542" t="s">
        <v>0</v>
      </c>
      <c r="B1542">
        <v>1240620</v>
      </c>
      <c r="C1542">
        <v>23234.38</v>
      </c>
      <c r="D1542" s="4">
        <f>+VLOOKUP(A1542,Portfolio!$G$3:$I$6,3)</f>
        <v>5</v>
      </c>
      <c r="E1542">
        <f t="shared" si="24"/>
        <v>116171.90000000001</v>
      </c>
    </row>
    <row r="1543" spans="1:5" x14ac:dyDescent="0.25">
      <c r="A1543" t="s">
        <v>0</v>
      </c>
      <c r="B1543">
        <v>1240621</v>
      </c>
      <c r="C1543">
        <v>22984.38</v>
      </c>
      <c r="D1543" s="4">
        <f>+VLOOKUP(A1543,Portfolio!$G$3:$I$6,3)</f>
        <v>5</v>
      </c>
      <c r="E1543">
        <f t="shared" si="24"/>
        <v>114921.90000000001</v>
      </c>
    </row>
    <row r="1544" spans="1:5" x14ac:dyDescent="0.25">
      <c r="A1544" t="s">
        <v>1</v>
      </c>
      <c r="B1544">
        <v>1190709</v>
      </c>
      <c r="C1544">
        <v>68.75</v>
      </c>
      <c r="D1544" s="4">
        <f>+VLOOKUP(A1544,Portfolio!$G$3:$I$6,3)</f>
        <v>1</v>
      </c>
      <c r="E1544">
        <f t="shared" si="24"/>
        <v>68.75</v>
      </c>
    </row>
    <row r="1545" spans="1:5" x14ac:dyDescent="0.25">
      <c r="A1545" t="s">
        <v>1</v>
      </c>
      <c r="B1545">
        <v>1190710</v>
      </c>
      <c r="C1545">
        <v>-281.25</v>
      </c>
      <c r="D1545" s="4">
        <f>+VLOOKUP(A1545,Portfolio!$G$3:$I$6,3)</f>
        <v>1</v>
      </c>
      <c r="E1545">
        <f t="shared" si="24"/>
        <v>-281.25</v>
      </c>
    </row>
    <row r="1546" spans="1:5" x14ac:dyDescent="0.25">
      <c r="A1546" t="s">
        <v>1</v>
      </c>
      <c r="B1546">
        <v>1190711</v>
      </c>
      <c r="C1546">
        <v>668.75</v>
      </c>
      <c r="D1546" s="4">
        <f>+VLOOKUP(A1546,Portfolio!$G$3:$I$6,3)</f>
        <v>1</v>
      </c>
      <c r="E1546">
        <f t="shared" si="24"/>
        <v>668.75</v>
      </c>
    </row>
    <row r="1547" spans="1:5" x14ac:dyDescent="0.25">
      <c r="A1547" t="s">
        <v>1</v>
      </c>
      <c r="B1547">
        <v>1190712</v>
      </c>
      <c r="C1547">
        <v>518.75</v>
      </c>
      <c r="D1547" s="4">
        <f>+VLOOKUP(A1547,Portfolio!$G$3:$I$6,3)</f>
        <v>1</v>
      </c>
      <c r="E1547">
        <f t="shared" si="24"/>
        <v>518.75</v>
      </c>
    </row>
    <row r="1548" spans="1:5" x14ac:dyDescent="0.25">
      <c r="A1548" t="s">
        <v>1</v>
      </c>
      <c r="B1548">
        <v>1190714</v>
      </c>
      <c r="C1548">
        <v>843.75</v>
      </c>
      <c r="D1548" s="4">
        <f>+VLOOKUP(A1548,Portfolio!$G$3:$I$6,3)</f>
        <v>1</v>
      </c>
      <c r="E1548">
        <f t="shared" si="24"/>
        <v>843.75</v>
      </c>
    </row>
    <row r="1549" spans="1:5" x14ac:dyDescent="0.25">
      <c r="A1549" t="s">
        <v>1</v>
      </c>
      <c r="B1549">
        <v>1190715</v>
      </c>
      <c r="C1549">
        <v>668.75</v>
      </c>
      <c r="D1549" s="4">
        <f>+VLOOKUP(A1549,Portfolio!$G$3:$I$6,3)</f>
        <v>1</v>
      </c>
      <c r="E1549">
        <f t="shared" si="24"/>
        <v>668.75</v>
      </c>
    </row>
    <row r="1550" spans="1:5" x14ac:dyDescent="0.25">
      <c r="A1550" t="s">
        <v>1</v>
      </c>
      <c r="B1550">
        <v>1190716</v>
      </c>
      <c r="C1550">
        <v>662.5</v>
      </c>
      <c r="D1550" s="4">
        <f>+VLOOKUP(A1550,Portfolio!$G$3:$I$6,3)</f>
        <v>1</v>
      </c>
      <c r="E1550">
        <f t="shared" si="24"/>
        <v>662.5</v>
      </c>
    </row>
    <row r="1551" spans="1:5" x14ac:dyDescent="0.25">
      <c r="A1551" t="s">
        <v>1</v>
      </c>
      <c r="B1551">
        <v>1190717</v>
      </c>
      <c r="C1551">
        <v>906.25</v>
      </c>
      <c r="D1551" s="4">
        <f>+VLOOKUP(A1551,Portfolio!$G$3:$I$6,3)</f>
        <v>1</v>
      </c>
      <c r="E1551">
        <f t="shared" si="24"/>
        <v>906.25</v>
      </c>
    </row>
    <row r="1552" spans="1:5" x14ac:dyDescent="0.25">
      <c r="A1552" t="s">
        <v>1</v>
      </c>
      <c r="B1552">
        <v>1190718</v>
      </c>
      <c r="C1552">
        <v>1356.25</v>
      </c>
      <c r="D1552" s="4">
        <f>+VLOOKUP(A1552,Portfolio!$G$3:$I$6,3)</f>
        <v>1</v>
      </c>
      <c r="E1552">
        <f t="shared" si="24"/>
        <v>1356.25</v>
      </c>
    </row>
    <row r="1553" spans="1:5" x14ac:dyDescent="0.25">
      <c r="A1553" t="s">
        <v>1</v>
      </c>
      <c r="B1553">
        <v>1190719</v>
      </c>
      <c r="C1553">
        <v>956.25</v>
      </c>
      <c r="D1553" s="4">
        <f>+VLOOKUP(A1553,Portfolio!$G$3:$I$6,3)</f>
        <v>1</v>
      </c>
      <c r="E1553">
        <f t="shared" si="24"/>
        <v>956.25</v>
      </c>
    </row>
    <row r="1554" spans="1:5" x14ac:dyDescent="0.25">
      <c r="A1554" t="s">
        <v>1</v>
      </c>
      <c r="B1554">
        <v>1190721</v>
      </c>
      <c r="C1554">
        <v>950</v>
      </c>
      <c r="D1554" s="4">
        <f>+VLOOKUP(A1554,Portfolio!$G$3:$I$6,3)</f>
        <v>1</v>
      </c>
      <c r="E1554">
        <f t="shared" si="24"/>
        <v>950</v>
      </c>
    </row>
    <row r="1555" spans="1:5" x14ac:dyDescent="0.25">
      <c r="A1555" t="s">
        <v>1</v>
      </c>
      <c r="B1555">
        <v>1190722</v>
      </c>
      <c r="C1555">
        <v>1118.75</v>
      </c>
      <c r="D1555" s="4">
        <f>+VLOOKUP(A1555,Portfolio!$G$3:$I$6,3)</f>
        <v>1</v>
      </c>
      <c r="E1555">
        <f t="shared" si="24"/>
        <v>1118.75</v>
      </c>
    </row>
    <row r="1556" spans="1:5" x14ac:dyDescent="0.25">
      <c r="A1556" t="s">
        <v>1</v>
      </c>
      <c r="B1556">
        <v>1190723</v>
      </c>
      <c r="C1556">
        <v>1031.25</v>
      </c>
      <c r="D1556" s="4">
        <f>+VLOOKUP(A1556,Portfolio!$G$3:$I$6,3)</f>
        <v>1</v>
      </c>
      <c r="E1556">
        <f t="shared" si="24"/>
        <v>1031.25</v>
      </c>
    </row>
    <row r="1557" spans="1:5" x14ac:dyDescent="0.25">
      <c r="A1557" t="s">
        <v>1</v>
      </c>
      <c r="B1557">
        <v>1190724</v>
      </c>
      <c r="C1557">
        <v>543.75</v>
      </c>
      <c r="D1557" s="4">
        <f>+VLOOKUP(A1557,Portfolio!$G$3:$I$6,3)</f>
        <v>1</v>
      </c>
      <c r="E1557">
        <f t="shared" si="24"/>
        <v>543.75</v>
      </c>
    </row>
    <row r="1558" spans="1:5" x14ac:dyDescent="0.25">
      <c r="A1558" t="s">
        <v>1</v>
      </c>
      <c r="B1558">
        <v>1190725</v>
      </c>
      <c r="C1558">
        <v>131.25</v>
      </c>
      <c r="D1558" s="4">
        <f>+VLOOKUP(A1558,Portfolio!$G$3:$I$6,3)</f>
        <v>1</v>
      </c>
      <c r="E1558">
        <f t="shared" si="24"/>
        <v>131.25</v>
      </c>
    </row>
    <row r="1559" spans="1:5" x14ac:dyDescent="0.25">
      <c r="A1559" t="s">
        <v>1</v>
      </c>
      <c r="B1559">
        <v>1190726</v>
      </c>
      <c r="C1559">
        <v>493.75</v>
      </c>
      <c r="D1559" s="4">
        <f>+VLOOKUP(A1559,Portfolio!$G$3:$I$6,3)</f>
        <v>1</v>
      </c>
      <c r="E1559">
        <f t="shared" si="24"/>
        <v>493.75</v>
      </c>
    </row>
    <row r="1560" spans="1:5" x14ac:dyDescent="0.25">
      <c r="A1560" t="s">
        <v>1</v>
      </c>
      <c r="B1560">
        <v>1190728</v>
      </c>
      <c r="C1560">
        <v>362.5</v>
      </c>
      <c r="D1560" s="4">
        <f>+VLOOKUP(A1560,Portfolio!$G$3:$I$6,3)</f>
        <v>1</v>
      </c>
      <c r="E1560">
        <f t="shared" si="24"/>
        <v>362.5</v>
      </c>
    </row>
    <row r="1561" spans="1:5" x14ac:dyDescent="0.25">
      <c r="A1561" t="s">
        <v>1</v>
      </c>
      <c r="B1561">
        <v>1190729</v>
      </c>
      <c r="C1561">
        <v>337.5</v>
      </c>
      <c r="D1561" s="4">
        <f>+VLOOKUP(A1561,Portfolio!$G$3:$I$6,3)</f>
        <v>1</v>
      </c>
      <c r="E1561">
        <f t="shared" si="24"/>
        <v>337.5</v>
      </c>
    </row>
    <row r="1562" spans="1:5" x14ac:dyDescent="0.25">
      <c r="A1562" t="s">
        <v>1</v>
      </c>
      <c r="B1562">
        <v>1190730</v>
      </c>
      <c r="C1562">
        <v>156.25</v>
      </c>
      <c r="D1562" s="4">
        <f>+VLOOKUP(A1562,Portfolio!$G$3:$I$6,3)</f>
        <v>1</v>
      </c>
      <c r="E1562">
        <f t="shared" si="24"/>
        <v>156.25</v>
      </c>
    </row>
    <row r="1563" spans="1:5" x14ac:dyDescent="0.25">
      <c r="A1563" t="s">
        <v>1</v>
      </c>
      <c r="B1563">
        <v>1190731</v>
      </c>
      <c r="C1563">
        <v>-175</v>
      </c>
      <c r="D1563" s="4">
        <f>+VLOOKUP(A1563,Portfolio!$G$3:$I$6,3)</f>
        <v>1</v>
      </c>
      <c r="E1563">
        <f t="shared" si="24"/>
        <v>-175</v>
      </c>
    </row>
    <row r="1564" spans="1:5" x14ac:dyDescent="0.25">
      <c r="A1564" t="s">
        <v>1</v>
      </c>
      <c r="B1564">
        <v>1190801</v>
      </c>
      <c r="C1564">
        <v>312.5</v>
      </c>
      <c r="D1564" s="4">
        <f>+VLOOKUP(A1564,Portfolio!$G$3:$I$6,3)</f>
        <v>1</v>
      </c>
      <c r="E1564">
        <f t="shared" si="24"/>
        <v>312.5</v>
      </c>
    </row>
    <row r="1565" spans="1:5" x14ac:dyDescent="0.25">
      <c r="A1565" t="s">
        <v>1</v>
      </c>
      <c r="B1565">
        <v>1190802</v>
      </c>
      <c r="C1565">
        <v>2031.25</v>
      </c>
      <c r="D1565" s="4">
        <f>+VLOOKUP(A1565,Portfolio!$G$3:$I$6,3)</f>
        <v>1</v>
      </c>
      <c r="E1565">
        <f t="shared" si="24"/>
        <v>2031.25</v>
      </c>
    </row>
    <row r="1566" spans="1:5" x14ac:dyDescent="0.25">
      <c r="A1566" t="s">
        <v>1</v>
      </c>
      <c r="B1566">
        <v>1190804</v>
      </c>
      <c r="C1566">
        <v>1543.75</v>
      </c>
      <c r="D1566" s="4">
        <f>+VLOOKUP(A1566,Portfolio!$G$3:$I$6,3)</f>
        <v>1</v>
      </c>
      <c r="E1566">
        <f t="shared" si="24"/>
        <v>1543.75</v>
      </c>
    </row>
    <row r="1567" spans="1:5" x14ac:dyDescent="0.25">
      <c r="A1567" t="s">
        <v>1</v>
      </c>
      <c r="B1567">
        <v>1190805</v>
      </c>
      <c r="C1567">
        <v>2206.25</v>
      </c>
      <c r="D1567" s="4">
        <f>+VLOOKUP(A1567,Portfolio!$G$3:$I$6,3)</f>
        <v>1</v>
      </c>
      <c r="E1567">
        <f t="shared" si="24"/>
        <v>2206.25</v>
      </c>
    </row>
    <row r="1568" spans="1:5" x14ac:dyDescent="0.25">
      <c r="A1568" t="s">
        <v>1</v>
      </c>
      <c r="B1568">
        <v>1190806</v>
      </c>
      <c r="C1568">
        <v>2231.25</v>
      </c>
      <c r="D1568" s="4">
        <f>+VLOOKUP(A1568,Portfolio!$G$3:$I$6,3)</f>
        <v>1</v>
      </c>
      <c r="E1568">
        <f t="shared" si="24"/>
        <v>2231.25</v>
      </c>
    </row>
    <row r="1569" spans="1:5" x14ac:dyDescent="0.25">
      <c r="A1569" t="s">
        <v>1</v>
      </c>
      <c r="B1569">
        <v>1190807</v>
      </c>
      <c r="C1569">
        <v>2062.5</v>
      </c>
      <c r="D1569" s="4">
        <f>+VLOOKUP(A1569,Portfolio!$G$3:$I$6,3)</f>
        <v>1</v>
      </c>
      <c r="E1569">
        <f t="shared" si="24"/>
        <v>2062.5</v>
      </c>
    </row>
    <row r="1570" spans="1:5" x14ac:dyDescent="0.25">
      <c r="A1570" t="s">
        <v>1</v>
      </c>
      <c r="B1570">
        <v>1190808</v>
      </c>
      <c r="C1570">
        <v>1681.25</v>
      </c>
      <c r="D1570" s="4">
        <f>+VLOOKUP(A1570,Portfolio!$G$3:$I$6,3)</f>
        <v>1</v>
      </c>
      <c r="E1570">
        <f t="shared" si="24"/>
        <v>1681.25</v>
      </c>
    </row>
    <row r="1571" spans="1:5" x14ac:dyDescent="0.25">
      <c r="A1571" t="s">
        <v>1</v>
      </c>
      <c r="B1571">
        <v>1190809</v>
      </c>
      <c r="C1571">
        <v>700</v>
      </c>
      <c r="D1571" s="4">
        <f>+VLOOKUP(A1571,Portfolio!$G$3:$I$6,3)</f>
        <v>1</v>
      </c>
      <c r="E1571">
        <f t="shared" si="24"/>
        <v>700</v>
      </c>
    </row>
    <row r="1572" spans="1:5" x14ac:dyDescent="0.25">
      <c r="A1572" t="s">
        <v>1</v>
      </c>
      <c r="B1572">
        <v>1190811</v>
      </c>
      <c r="C1572">
        <v>1106.25</v>
      </c>
      <c r="D1572" s="4">
        <f>+VLOOKUP(A1572,Portfolio!$G$3:$I$6,3)</f>
        <v>1</v>
      </c>
      <c r="E1572">
        <f t="shared" si="24"/>
        <v>1106.25</v>
      </c>
    </row>
    <row r="1573" spans="1:5" x14ac:dyDescent="0.25">
      <c r="A1573" t="s">
        <v>1</v>
      </c>
      <c r="B1573">
        <v>1190812</v>
      </c>
      <c r="C1573">
        <v>1362.5</v>
      </c>
      <c r="D1573" s="4">
        <f>+VLOOKUP(A1573,Portfolio!$G$3:$I$6,3)</f>
        <v>1</v>
      </c>
      <c r="E1573">
        <f t="shared" si="24"/>
        <v>1362.5</v>
      </c>
    </row>
    <row r="1574" spans="1:5" x14ac:dyDescent="0.25">
      <c r="A1574" t="s">
        <v>1</v>
      </c>
      <c r="B1574">
        <v>1190813</v>
      </c>
      <c r="C1574">
        <v>993.75</v>
      </c>
      <c r="D1574" s="4">
        <f>+VLOOKUP(A1574,Portfolio!$G$3:$I$6,3)</f>
        <v>1</v>
      </c>
      <c r="E1574">
        <f t="shared" si="24"/>
        <v>993.75</v>
      </c>
    </row>
    <row r="1575" spans="1:5" x14ac:dyDescent="0.25">
      <c r="A1575" t="s">
        <v>1</v>
      </c>
      <c r="B1575">
        <v>1190814</v>
      </c>
      <c r="C1575">
        <v>2262.5</v>
      </c>
      <c r="D1575" s="4">
        <f>+VLOOKUP(A1575,Portfolio!$G$3:$I$6,3)</f>
        <v>1</v>
      </c>
      <c r="E1575">
        <f t="shared" si="24"/>
        <v>2262.5</v>
      </c>
    </row>
    <row r="1576" spans="1:5" x14ac:dyDescent="0.25">
      <c r="A1576" t="s">
        <v>1</v>
      </c>
      <c r="B1576">
        <v>1190815</v>
      </c>
      <c r="C1576">
        <v>1975</v>
      </c>
      <c r="D1576" s="4">
        <f>+VLOOKUP(A1576,Portfolio!$G$3:$I$6,3)</f>
        <v>1</v>
      </c>
      <c r="E1576">
        <f t="shared" si="24"/>
        <v>1975</v>
      </c>
    </row>
    <row r="1577" spans="1:5" x14ac:dyDescent="0.25">
      <c r="A1577" t="s">
        <v>1</v>
      </c>
      <c r="B1577">
        <v>1190816</v>
      </c>
      <c r="C1577">
        <v>1718.75</v>
      </c>
      <c r="D1577" s="4">
        <f>+VLOOKUP(A1577,Portfolio!$G$3:$I$6,3)</f>
        <v>1</v>
      </c>
      <c r="E1577">
        <f t="shared" si="24"/>
        <v>1718.75</v>
      </c>
    </row>
    <row r="1578" spans="1:5" x14ac:dyDescent="0.25">
      <c r="A1578" t="s">
        <v>1</v>
      </c>
      <c r="B1578">
        <v>1190818</v>
      </c>
      <c r="C1578">
        <v>1318.75</v>
      </c>
      <c r="D1578" s="4">
        <f>+VLOOKUP(A1578,Portfolio!$G$3:$I$6,3)</f>
        <v>1</v>
      </c>
      <c r="E1578">
        <f t="shared" si="24"/>
        <v>1318.75</v>
      </c>
    </row>
    <row r="1579" spans="1:5" x14ac:dyDescent="0.25">
      <c r="A1579" t="s">
        <v>1</v>
      </c>
      <c r="B1579">
        <v>1190819</v>
      </c>
      <c r="C1579">
        <v>1456.25</v>
      </c>
      <c r="D1579" s="4">
        <f>+VLOOKUP(A1579,Portfolio!$G$3:$I$6,3)</f>
        <v>1</v>
      </c>
      <c r="E1579">
        <f t="shared" si="24"/>
        <v>1456.25</v>
      </c>
    </row>
    <row r="1580" spans="1:5" x14ac:dyDescent="0.25">
      <c r="A1580" t="s">
        <v>1</v>
      </c>
      <c r="B1580">
        <v>1190820</v>
      </c>
      <c r="C1580">
        <v>1006.25</v>
      </c>
      <c r="D1580" s="4">
        <f>+VLOOKUP(A1580,Portfolio!$G$3:$I$6,3)</f>
        <v>1</v>
      </c>
      <c r="E1580">
        <f t="shared" si="24"/>
        <v>1006.25</v>
      </c>
    </row>
    <row r="1581" spans="1:5" x14ac:dyDescent="0.25">
      <c r="A1581" t="s">
        <v>1</v>
      </c>
      <c r="B1581">
        <v>1190821</v>
      </c>
      <c r="C1581">
        <v>487.5</v>
      </c>
      <c r="D1581" s="4">
        <f>+VLOOKUP(A1581,Portfolio!$G$3:$I$6,3)</f>
        <v>1</v>
      </c>
      <c r="E1581">
        <f t="shared" si="24"/>
        <v>487.5</v>
      </c>
    </row>
    <row r="1582" spans="1:5" x14ac:dyDescent="0.25">
      <c r="A1582" t="s">
        <v>1</v>
      </c>
      <c r="B1582">
        <v>1190822</v>
      </c>
      <c r="C1582">
        <v>-337.5</v>
      </c>
      <c r="D1582" s="4">
        <f>+VLOOKUP(A1582,Portfolio!$G$3:$I$6,3)</f>
        <v>1</v>
      </c>
      <c r="E1582">
        <f t="shared" si="24"/>
        <v>-337.5</v>
      </c>
    </row>
    <row r="1583" spans="1:5" x14ac:dyDescent="0.25">
      <c r="A1583" t="s">
        <v>1</v>
      </c>
      <c r="B1583">
        <v>1190823</v>
      </c>
      <c r="C1583">
        <v>-162.5</v>
      </c>
      <c r="D1583" s="4">
        <f>+VLOOKUP(A1583,Portfolio!$G$3:$I$6,3)</f>
        <v>1</v>
      </c>
      <c r="E1583">
        <f t="shared" si="24"/>
        <v>-162.5</v>
      </c>
    </row>
    <row r="1584" spans="1:5" x14ac:dyDescent="0.25">
      <c r="A1584" t="s">
        <v>1</v>
      </c>
      <c r="B1584">
        <v>1190825</v>
      </c>
      <c r="C1584">
        <v>1706.25</v>
      </c>
      <c r="D1584" s="4">
        <f>+VLOOKUP(A1584,Portfolio!$G$3:$I$6,3)</f>
        <v>1</v>
      </c>
      <c r="E1584">
        <f t="shared" si="24"/>
        <v>1706.25</v>
      </c>
    </row>
    <row r="1585" spans="1:5" x14ac:dyDescent="0.25">
      <c r="A1585" t="s">
        <v>1</v>
      </c>
      <c r="B1585">
        <v>1190826</v>
      </c>
      <c r="C1585">
        <v>1237.5</v>
      </c>
      <c r="D1585" s="4">
        <f>+VLOOKUP(A1585,Portfolio!$G$3:$I$6,3)</f>
        <v>1</v>
      </c>
      <c r="E1585">
        <f t="shared" si="24"/>
        <v>1237.5</v>
      </c>
    </row>
    <row r="1586" spans="1:5" x14ac:dyDescent="0.25">
      <c r="A1586" t="s">
        <v>1</v>
      </c>
      <c r="B1586">
        <v>1190827</v>
      </c>
      <c r="C1586">
        <v>168.75</v>
      </c>
      <c r="D1586" s="4">
        <f>+VLOOKUP(A1586,Portfolio!$G$3:$I$6,3)</f>
        <v>1</v>
      </c>
      <c r="E1586">
        <f t="shared" si="24"/>
        <v>168.75</v>
      </c>
    </row>
    <row r="1587" spans="1:5" x14ac:dyDescent="0.25">
      <c r="A1587" t="s">
        <v>1</v>
      </c>
      <c r="B1587">
        <v>1190828</v>
      </c>
      <c r="C1587">
        <v>293.75</v>
      </c>
      <c r="D1587" s="4">
        <f>+VLOOKUP(A1587,Portfolio!$G$3:$I$6,3)</f>
        <v>1</v>
      </c>
      <c r="E1587">
        <f t="shared" si="24"/>
        <v>293.75</v>
      </c>
    </row>
    <row r="1588" spans="1:5" x14ac:dyDescent="0.25">
      <c r="A1588" t="s">
        <v>1</v>
      </c>
      <c r="B1588">
        <v>1190829</v>
      </c>
      <c r="C1588">
        <v>400</v>
      </c>
      <c r="D1588" s="4">
        <f>+VLOOKUP(A1588,Portfolio!$G$3:$I$6,3)</f>
        <v>1</v>
      </c>
      <c r="E1588">
        <f t="shared" si="24"/>
        <v>400</v>
      </c>
    </row>
    <row r="1589" spans="1:5" x14ac:dyDescent="0.25">
      <c r="A1589" t="s">
        <v>1</v>
      </c>
      <c r="B1589">
        <v>1190830</v>
      </c>
      <c r="C1589">
        <v>943.75</v>
      </c>
      <c r="D1589" s="4">
        <f>+VLOOKUP(A1589,Portfolio!$G$3:$I$6,3)</f>
        <v>1</v>
      </c>
      <c r="E1589">
        <f t="shared" si="24"/>
        <v>943.75</v>
      </c>
    </row>
    <row r="1590" spans="1:5" x14ac:dyDescent="0.25">
      <c r="A1590" t="s">
        <v>1</v>
      </c>
      <c r="B1590">
        <v>1190901</v>
      </c>
      <c r="C1590">
        <v>1093.75</v>
      </c>
      <c r="D1590" s="4">
        <f>+VLOOKUP(A1590,Portfolio!$G$3:$I$6,3)</f>
        <v>1</v>
      </c>
      <c r="E1590">
        <f t="shared" si="24"/>
        <v>1093.75</v>
      </c>
    </row>
    <row r="1591" spans="1:5" x14ac:dyDescent="0.25">
      <c r="A1591" t="s">
        <v>1</v>
      </c>
      <c r="B1591">
        <v>1190902</v>
      </c>
      <c r="C1591">
        <v>1018.75</v>
      </c>
      <c r="D1591" s="4">
        <f>+VLOOKUP(A1591,Portfolio!$G$3:$I$6,3)</f>
        <v>1</v>
      </c>
      <c r="E1591">
        <f t="shared" si="24"/>
        <v>1018.75</v>
      </c>
    </row>
    <row r="1592" spans="1:5" x14ac:dyDescent="0.25">
      <c r="A1592" t="s">
        <v>1</v>
      </c>
      <c r="B1592">
        <v>1190903</v>
      </c>
      <c r="C1592">
        <v>887.5</v>
      </c>
      <c r="D1592" s="4">
        <f>+VLOOKUP(A1592,Portfolio!$G$3:$I$6,3)</f>
        <v>1</v>
      </c>
      <c r="E1592">
        <f t="shared" si="24"/>
        <v>887.5</v>
      </c>
    </row>
    <row r="1593" spans="1:5" x14ac:dyDescent="0.25">
      <c r="A1593" t="s">
        <v>1</v>
      </c>
      <c r="B1593">
        <v>1190904</v>
      </c>
      <c r="C1593">
        <v>506.25</v>
      </c>
      <c r="D1593" s="4">
        <f>+VLOOKUP(A1593,Portfolio!$G$3:$I$6,3)</f>
        <v>1</v>
      </c>
      <c r="E1593">
        <f t="shared" si="24"/>
        <v>506.25</v>
      </c>
    </row>
    <row r="1594" spans="1:5" x14ac:dyDescent="0.25">
      <c r="A1594" t="s">
        <v>1</v>
      </c>
      <c r="B1594">
        <v>1190905</v>
      </c>
      <c r="C1594">
        <v>106.25</v>
      </c>
      <c r="D1594" s="4">
        <f>+VLOOKUP(A1594,Portfolio!$G$3:$I$6,3)</f>
        <v>1</v>
      </c>
      <c r="E1594">
        <f t="shared" si="24"/>
        <v>106.25</v>
      </c>
    </row>
    <row r="1595" spans="1:5" x14ac:dyDescent="0.25">
      <c r="A1595" t="s">
        <v>1</v>
      </c>
      <c r="B1595">
        <v>1190906</v>
      </c>
      <c r="C1595">
        <v>581.25</v>
      </c>
      <c r="D1595" s="4">
        <f>+VLOOKUP(A1595,Portfolio!$G$3:$I$6,3)</f>
        <v>1</v>
      </c>
      <c r="E1595">
        <f t="shared" si="24"/>
        <v>581.25</v>
      </c>
    </row>
    <row r="1596" spans="1:5" x14ac:dyDescent="0.25">
      <c r="A1596" t="s">
        <v>1</v>
      </c>
      <c r="B1596">
        <v>1190908</v>
      </c>
      <c r="C1596">
        <v>568.75</v>
      </c>
      <c r="D1596" s="4">
        <f>+VLOOKUP(A1596,Portfolio!$G$3:$I$6,3)</f>
        <v>1</v>
      </c>
      <c r="E1596">
        <f t="shared" si="24"/>
        <v>568.75</v>
      </c>
    </row>
    <row r="1597" spans="1:5" x14ac:dyDescent="0.25">
      <c r="A1597" t="s">
        <v>1</v>
      </c>
      <c r="B1597">
        <v>1190909</v>
      </c>
      <c r="C1597">
        <v>568.75</v>
      </c>
      <c r="D1597" s="4">
        <f>+VLOOKUP(A1597,Portfolio!$G$3:$I$6,3)</f>
        <v>1</v>
      </c>
      <c r="E1597">
        <f t="shared" si="24"/>
        <v>568.75</v>
      </c>
    </row>
    <row r="1598" spans="1:5" x14ac:dyDescent="0.25">
      <c r="A1598" t="s">
        <v>1</v>
      </c>
      <c r="B1598">
        <v>1190910</v>
      </c>
      <c r="C1598">
        <v>750</v>
      </c>
      <c r="D1598" s="4">
        <f>+VLOOKUP(A1598,Portfolio!$G$3:$I$6,3)</f>
        <v>1</v>
      </c>
      <c r="E1598">
        <f t="shared" si="24"/>
        <v>750</v>
      </c>
    </row>
    <row r="1599" spans="1:5" x14ac:dyDescent="0.25">
      <c r="A1599" t="s">
        <v>1</v>
      </c>
      <c r="B1599">
        <v>1190911</v>
      </c>
      <c r="C1599">
        <v>787.5</v>
      </c>
      <c r="D1599" s="4">
        <f>+VLOOKUP(A1599,Portfolio!$G$3:$I$6,3)</f>
        <v>1</v>
      </c>
      <c r="E1599">
        <f t="shared" si="24"/>
        <v>787.5</v>
      </c>
    </row>
    <row r="1600" spans="1:5" x14ac:dyDescent="0.25">
      <c r="A1600" t="s">
        <v>1</v>
      </c>
      <c r="B1600">
        <v>1190912</v>
      </c>
      <c r="C1600">
        <v>831.25</v>
      </c>
      <c r="D1600" s="4">
        <f>+VLOOKUP(A1600,Portfolio!$G$3:$I$6,3)</f>
        <v>1</v>
      </c>
      <c r="E1600">
        <f t="shared" si="24"/>
        <v>831.25</v>
      </c>
    </row>
    <row r="1601" spans="1:5" x14ac:dyDescent="0.25">
      <c r="A1601" t="s">
        <v>1</v>
      </c>
      <c r="B1601">
        <v>1190913</v>
      </c>
      <c r="C1601">
        <v>475</v>
      </c>
      <c r="D1601" s="4">
        <f>+VLOOKUP(A1601,Portfolio!$G$3:$I$6,3)</f>
        <v>1</v>
      </c>
      <c r="E1601">
        <f t="shared" si="24"/>
        <v>475</v>
      </c>
    </row>
    <row r="1602" spans="1:5" x14ac:dyDescent="0.25">
      <c r="A1602" t="s">
        <v>1</v>
      </c>
      <c r="B1602">
        <v>1190915</v>
      </c>
      <c r="C1602">
        <v>18.75</v>
      </c>
      <c r="D1602" s="4">
        <f>+VLOOKUP(A1602,Portfolio!$G$3:$I$6,3)</f>
        <v>1</v>
      </c>
      <c r="E1602">
        <f t="shared" si="24"/>
        <v>18.75</v>
      </c>
    </row>
    <row r="1603" spans="1:5" x14ac:dyDescent="0.25">
      <c r="A1603" t="s">
        <v>1</v>
      </c>
      <c r="B1603">
        <v>1190916</v>
      </c>
      <c r="C1603">
        <v>25</v>
      </c>
      <c r="D1603" s="4">
        <f>+VLOOKUP(A1603,Portfolio!$G$3:$I$6,3)</f>
        <v>1</v>
      </c>
      <c r="E1603">
        <f t="shared" ref="E1603:E1666" si="25">+C1603*D1603</f>
        <v>25</v>
      </c>
    </row>
    <row r="1604" spans="1:5" x14ac:dyDescent="0.25">
      <c r="A1604" t="s">
        <v>1</v>
      </c>
      <c r="B1604">
        <v>1190917</v>
      </c>
      <c r="C1604">
        <v>193.75</v>
      </c>
      <c r="D1604" s="4">
        <f>+VLOOKUP(A1604,Portfolio!$G$3:$I$6,3)</f>
        <v>1</v>
      </c>
      <c r="E1604">
        <f t="shared" si="25"/>
        <v>193.75</v>
      </c>
    </row>
    <row r="1605" spans="1:5" x14ac:dyDescent="0.25">
      <c r="A1605" t="s">
        <v>1</v>
      </c>
      <c r="B1605">
        <v>1190918</v>
      </c>
      <c r="C1605">
        <v>-456.25</v>
      </c>
      <c r="D1605" s="4">
        <f>+VLOOKUP(A1605,Portfolio!$G$3:$I$6,3)</f>
        <v>1</v>
      </c>
      <c r="E1605">
        <f t="shared" si="25"/>
        <v>-456.25</v>
      </c>
    </row>
    <row r="1606" spans="1:5" x14ac:dyDescent="0.25">
      <c r="A1606" t="s">
        <v>1</v>
      </c>
      <c r="B1606">
        <v>1190919</v>
      </c>
      <c r="C1606">
        <v>-318.75</v>
      </c>
      <c r="D1606" s="4">
        <f>+VLOOKUP(A1606,Portfolio!$G$3:$I$6,3)</f>
        <v>1</v>
      </c>
      <c r="E1606">
        <f t="shared" si="25"/>
        <v>-318.75</v>
      </c>
    </row>
    <row r="1607" spans="1:5" x14ac:dyDescent="0.25">
      <c r="A1607" t="s">
        <v>1</v>
      </c>
      <c r="B1607">
        <v>1190920</v>
      </c>
      <c r="C1607">
        <v>-268.75</v>
      </c>
      <c r="D1607" s="4">
        <f>+VLOOKUP(A1607,Portfolio!$G$3:$I$6,3)</f>
        <v>1</v>
      </c>
      <c r="E1607">
        <f t="shared" si="25"/>
        <v>-268.75</v>
      </c>
    </row>
    <row r="1608" spans="1:5" x14ac:dyDescent="0.25">
      <c r="A1608" t="s">
        <v>1</v>
      </c>
      <c r="B1608">
        <v>1190922</v>
      </c>
      <c r="C1608">
        <v>-681.25</v>
      </c>
      <c r="D1608" s="4">
        <f>+VLOOKUP(A1608,Portfolio!$G$3:$I$6,3)</f>
        <v>1</v>
      </c>
      <c r="E1608">
        <f t="shared" si="25"/>
        <v>-681.25</v>
      </c>
    </row>
    <row r="1609" spans="1:5" x14ac:dyDescent="0.25">
      <c r="A1609" t="s">
        <v>1</v>
      </c>
      <c r="B1609">
        <v>1190923</v>
      </c>
      <c r="C1609">
        <v>-718.75</v>
      </c>
      <c r="D1609" s="4">
        <f>+VLOOKUP(A1609,Portfolio!$G$3:$I$6,3)</f>
        <v>1</v>
      </c>
      <c r="E1609">
        <f t="shared" si="25"/>
        <v>-718.75</v>
      </c>
    </row>
    <row r="1610" spans="1:5" x14ac:dyDescent="0.25">
      <c r="A1610" t="s">
        <v>1</v>
      </c>
      <c r="B1610">
        <v>1190924</v>
      </c>
      <c r="C1610">
        <v>-606.25</v>
      </c>
      <c r="D1610" s="4">
        <f>+VLOOKUP(A1610,Portfolio!$G$3:$I$6,3)</f>
        <v>1</v>
      </c>
      <c r="E1610">
        <f t="shared" si="25"/>
        <v>-606.25</v>
      </c>
    </row>
    <row r="1611" spans="1:5" x14ac:dyDescent="0.25">
      <c r="A1611" t="s">
        <v>1</v>
      </c>
      <c r="B1611">
        <v>1190925</v>
      </c>
      <c r="C1611">
        <v>-312.5</v>
      </c>
      <c r="D1611" s="4">
        <f>+VLOOKUP(A1611,Portfolio!$G$3:$I$6,3)</f>
        <v>1</v>
      </c>
      <c r="E1611">
        <f t="shared" si="25"/>
        <v>-312.5</v>
      </c>
    </row>
    <row r="1612" spans="1:5" x14ac:dyDescent="0.25">
      <c r="A1612" t="s">
        <v>1</v>
      </c>
      <c r="B1612">
        <v>1190926</v>
      </c>
      <c r="C1612">
        <v>-68.75</v>
      </c>
      <c r="D1612" s="4">
        <f>+VLOOKUP(A1612,Portfolio!$G$3:$I$6,3)</f>
        <v>1</v>
      </c>
      <c r="E1612">
        <f t="shared" si="25"/>
        <v>-68.75</v>
      </c>
    </row>
    <row r="1613" spans="1:5" x14ac:dyDescent="0.25">
      <c r="A1613" t="s">
        <v>1</v>
      </c>
      <c r="B1613">
        <v>1190927</v>
      </c>
      <c r="C1613">
        <v>-412.5</v>
      </c>
      <c r="D1613" s="4">
        <f>+VLOOKUP(A1613,Portfolio!$G$3:$I$6,3)</f>
        <v>1</v>
      </c>
      <c r="E1613">
        <f t="shared" si="25"/>
        <v>-412.5</v>
      </c>
    </row>
    <row r="1614" spans="1:5" x14ac:dyDescent="0.25">
      <c r="A1614" t="s">
        <v>1</v>
      </c>
      <c r="B1614">
        <v>1190929</v>
      </c>
      <c r="C1614">
        <v>-181.25</v>
      </c>
      <c r="D1614" s="4">
        <f>+VLOOKUP(A1614,Portfolio!$G$3:$I$6,3)</f>
        <v>1</v>
      </c>
      <c r="E1614">
        <f t="shared" si="25"/>
        <v>-181.25</v>
      </c>
    </row>
    <row r="1615" spans="1:5" x14ac:dyDescent="0.25">
      <c r="A1615" t="s">
        <v>1</v>
      </c>
      <c r="B1615">
        <v>1190930</v>
      </c>
      <c r="C1615">
        <v>-175</v>
      </c>
      <c r="D1615" s="4">
        <f>+VLOOKUP(A1615,Portfolio!$G$3:$I$6,3)</f>
        <v>1</v>
      </c>
      <c r="E1615">
        <f t="shared" si="25"/>
        <v>-175</v>
      </c>
    </row>
    <row r="1616" spans="1:5" x14ac:dyDescent="0.25">
      <c r="A1616" t="s">
        <v>1</v>
      </c>
      <c r="B1616">
        <v>1191001</v>
      </c>
      <c r="C1616">
        <v>206.25</v>
      </c>
      <c r="D1616" s="4">
        <f>+VLOOKUP(A1616,Portfolio!$G$3:$I$6,3)</f>
        <v>1</v>
      </c>
      <c r="E1616">
        <f t="shared" si="25"/>
        <v>206.25</v>
      </c>
    </row>
    <row r="1617" spans="1:5" x14ac:dyDescent="0.25">
      <c r="A1617" t="s">
        <v>1</v>
      </c>
      <c r="B1617">
        <v>1191002</v>
      </c>
      <c r="C1617">
        <v>587.5</v>
      </c>
      <c r="D1617" s="4">
        <f>+VLOOKUP(A1617,Portfolio!$G$3:$I$6,3)</f>
        <v>1</v>
      </c>
      <c r="E1617">
        <f t="shared" si="25"/>
        <v>587.5</v>
      </c>
    </row>
    <row r="1618" spans="1:5" x14ac:dyDescent="0.25">
      <c r="A1618" t="s">
        <v>1</v>
      </c>
      <c r="B1618">
        <v>1191003</v>
      </c>
      <c r="C1618">
        <v>1275</v>
      </c>
      <c r="D1618" s="4">
        <f>+VLOOKUP(A1618,Portfolio!$G$3:$I$6,3)</f>
        <v>1</v>
      </c>
      <c r="E1618">
        <f t="shared" si="25"/>
        <v>1275</v>
      </c>
    </row>
    <row r="1619" spans="1:5" x14ac:dyDescent="0.25">
      <c r="A1619" t="s">
        <v>1</v>
      </c>
      <c r="B1619">
        <v>1191004</v>
      </c>
      <c r="C1619">
        <v>1643.75</v>
      </c>
      <c r="D1619" s="4">
        <f>+VLOOKUP(A1619,Portfolio!$G$3:$I$6,3)</f>
        <v>1</v>
      </c>
      <c r="E1619">
        <f t="shared" si="25"/>
        <v>1643.75</v>
      </c>
    </row>
    <row r="1620" spans="1:5" x14ac:dyDescent="0.25">
      <c r="A1620" t="s">
        <v>1</v>
      </c>
      <c r="B1620">
        <v>1191006</v>
      </c>
      <c r="C1620">
        <v>1431.25</v>
      </c>
      <c r="D1620" s="4">
        <f>+VLOOKUP(A1620,Portfolio!$G$3:$I$6,3)</f>
        <v>1</v>
      </c>
      <c r="E1620">
        <f t="shared" si="25"/>
        <v>1431.25</v>
      </c>
    </row>
    <row r="1621" spans="1:5" x14ac:dyDescent="0.25">
      <c r="A1621" t="s">
        <v>1</v>
      </c>
      <c r="B1621">
        <v>1191007</v>
      </c>
      <c r="C1621">
        <v>1443.75</v>
      </c>
      <c r="D1621" s="4">
        <f>+VLOOKUP(A1621,Portfolio!$G$3:$I$6,3)</f>
        <v>1</v>
      </c>
      <c r="E1621">
        <f t="shared" si="25"/>
        <v>1443.75</v>
      </c>
    </row>
    <row r="1622" spans="1:5" x14ac:dyDescent="0.25">
      <c r="A1622" t="s">
        <v>1</v>
      </c>
      <c r="B1622">
        <v>1191008</v>
      </c>
      <c r="C1622">
        <v>2031.25</v>
      </c>
      <c r="D1622" s="4">
        <f>+VLOOKUP(A1622,Portfolio!$G$3:$I$6,3)</f>
        <v>1</v>
      </c>
      <c r="E1622">
        <f t="shared" si="25"/>
        <v>2031.25</v>
      </c>
    </row>
    <row r="1623" spans="1:5" x14ac:dyDescent="0.25">
      <c r="A1623" t="s">
        <v>1</v>
      </c>
      <c r="B1623">
        <v>1191009</v>
      </c>
      <c r="C1623">
        <v>1181.25</v>
      </c>
      <c r="D1623" s="4">
        <f>+VLOOKUP(A1623,Portfolio!$G$3:$I$6,3)</f>
        <v>1</v>
      </c>
      <c r="E1623">
        <f t="shared" si="25"/>
        <v>1181.25</v>
      </c>
    </row>
    <row r="1624" spans="1:5" x14ac:dyDescent="0.25">
      <c r="A1624" t="s">
        <v>1</v>
      </c>
      <c r="B1624">
        <v>1191010</v>
      </c>
      <c r="C1624">
        <v>356.25</v>
      </c>
      <c r="D1624" s="4">
        <f>+VLOOKUP(A1624,Portfolio!$G$3:$I$6,3)</f>
        <v>1</v>
      </c>
      <c r="E1624">
        <f t="shared" si="25"/>
        <v>356.25</v>
      </c>
    </row>
    <row r="1625" spans="1:5" x14ac:dyDescent="0.25">
      <c r="A1625" t="s">
        <v>1</v>
      </c>
      <c r="B1625">
        <v>1191011</v>
      </c>
      <c r="C1625">
        <v>450</v>
      </c>
      <c r="D1625" s="4">
        <f>+VLOOKUP(A1625,Portfolio!$G$3:$I$6,3)</f>
        <v>1</v>
      </c>
      <c r="E1625">
        <f t="shared" si="25"/>
        <v>450</v>
      </c>
    </row>
    <row r="1626" spans="1:5" x14ac:dyDescent="0.25">
      <c r="A1626" t="s">
        <v>1</v>
      </c>
      <c r="B1626">
        <v>1191013</v>
      </c>
      <c r="C1626">
        <v>1037.5</v>
      </c>
      <c r="D1626" s="4">
        <f>+VLOOKUP(A1626,Portfolio!$G$3:$I$6,3)</f>
        <v>1</v>
      </c>
      <c r="E1626">
        <f t="shared" si="25"/>
        <v>1037.5</v>
      </c>
    </row>
    <row r="1627" spans="1:5" x14ac:dyDescent="0.25">
      <c r="A1627" t="s">
        <v>1</v>
      </c>
      <c r="B1627">
        <v>1191014</v>
      </c>
      <c r="C1627">
        <v>825</v>
      </c>
      <c r="D1627" s="4">
        <f>+VLOOKUP(A1627,Portfolio!$G$3:$I$6,3)</f>
        <v>1</v>
      </c>
      <c r="E1627">
        <f t="shared" si="25"/>
        <v>825</v>
      </c>
    </row>
    <row r="1628" spans="1:5" x14ac:dyDescent="0.25">
      <c r="A1628" t="s">
        <v>1</v>
      </c>
      <c r="B1628">
        <v>1191015</v>
      </c>
      <c r="C1628">
        <v>868.75</v>
      </c>
      <c r="D1628" s="4">
        <f>+VLOOKUP(A1628,Portfolio!$G$3:$I$6,3)</f>
        <v>1</v>
      </c>
      <c r="E1628">
        <f t="shared" si="25"/>
        <v>868.75</v>
      </c>
    </row>
    <row r="1629" spans="1:5" x14ac:dyDescent="0.25">
      <c r="A1629" t="s">
        <v>1</v>
      </c>
      <c r="B1629">
        <v>1191016</v>
      </c>
      <c r="C1629">
        <v>1212.5</v>
      </c>
      <c r="D1629" s="4">
        <f>+VLOOKUP(A1629,Portfolio!$G$3:$I$6,3)</f>
        <v>1</v>
      </c>
      <c r="E1629">
        <f t="shared" si="25"/>
        <v>1212.5</v>
      </c>
    </row>
    <row r="1630" spans="1:5" x14ac:dyDescent="0.25">
      <c r="A1630" t="s">
        <v>1</v>
      </c>
      <c r="B1630">
        <v>1191017</v>
      </c>
      <c r="C1630">
        <v>968.75</v>
      </c>
      <c r="D1630" s="4">
        <f>+VLOOKUP(A1630,Portfolio!$G$3:$I$6,3)</f>
        <v>1</v>
      </c>
      <c r="E1630">
        <f t="shared" si="25"/>
        <v>968.75</v>
      </c>
    </row>
    <row r="1631" spans="1:5" x14ac:dyDescent="0.25">
      <c r="A1631" t="s">
        <v>1</v>
      </c>
      <c r="B1631">
        <v>1191018</v>
      </c>
      <c r="C1631">
        <v>1081.25</v>
      </c>
      <c r="D1631" s="4">
        <f>+VLOOKUP(A1631,Portfolio!$G$3:$I$6,3)</f>
        <v>1</v>
      </c>
      <c r="E1631">
        <f t="shared" si="25"/>
        <v>1081.25</v>
      </c>
    </row>
    <row r="1632" spans="1:5" x14ac:dyDescent="0.25">
      <c r="A1632" t="s">
        <v>1</v>
      </c>
      <c r="B1632">
        <v>1191020</v>
      </c>
      <c r="C1632">
        <v>1312.5</v>
      </c>
      <c r="D1632" s="4">
        <f>+VLOOKUP(A1632,Portfolio!$G$3:$I$6,3)</f>
        <v>1</v>
      </c>
      <c r="E1632">
        <f t="shared" si="25"/>
        <v>1312.5</v>
      </c>
    </row>
    <row r="1633" spans="1:5" x14ac:dyDescent="0.25">
      <c r="A1633" t="s">
        <v>1</v>
      </c>
      <c r="B1633">
        <v>1191021</v>
      </c>
      <c r="C1633">
        <v>1125</v>
      </c>
      <c r="D1633" s="4">
        <f>+VLOOKUP(A1633,Portfolio!$G$3:$I$6,3)</f>
        <v>1</v>
      </c>
      <c r="E1633">
        <f t="shared" si="25"/>
        <v>1125</v>
      </c>
    </row>
    <row r="1634" spans="1:5" x14ac:dyDescent="0.25">
      <c r="A1634" t="s">
        <v>1</v>
      </c>
      <c r="B1634">
        <v>1191022</v>
      </c>
      <c r="C1634">
        <v>950</v>
      </c>
      <c r="D1634" s="4">
        <f>+VLOOKUP(A1634,Portfolio!$G$3:$I$6,3)</f>
        <v>1</v>
      </c>
      <c r="E1634">
        <f t="shared" si="25"/>
        <v>950</v>
      </c>
    </row>
    <row r="1635" spans="1:5" x14ac:dyDescent="0.25">
      <c r="A1635" t="s">
        <v>1</v>
      </c>
      <c r="B1635">
        <v>1191023</v>
      </c>
      <c r="C1635">
        <v>712.5</v>
      </c>
      <c r="D1635" s="4">
        <f>+VLOOKUP(A1635,Portfolio!$G$3:$I$6,3)</f>
        <v>1</v>
      </c>
      <c r="E1635">
        <f t="shared" si="25"/>
        <v>712.5</v>
      </c>
    </row>
    <row r="1636" spans="1:5" x14ac:dyDescent="0.25">
      <c r="A1636" t="s">
        <v>1</v>
      </c>
      <c r="B1636">
        <v>1191024</v>
      </c>
      <c r="C1636">
        <v>712.5</v>
      </c>
      <c r="D1636" s="4">
        <f>+VLOOKUP(A1636,Portfolio!$G$3:$I$6,3)</f>
        <v>1</v>
      </c>
      <c r="E1636">
        <f t="shared" si="25"/>
        <v>712.5</v>
      </c>
    </row>
    <row r="1637" spans="1:5" x14ac:dyDescent="0.25">
      <c r="A1637" t="s">
        <v>1</v>
      </c>
      <c r="B1637">
        <v>1191025</v>
      </c>
      <c r="C1637">
        <v>681.25</v>
      </c>
      <c r="D1637" s="4">
        <f>+VLOOKUP(A1637,Portfolio!$G$3:$I$6,3)</f>
        <v>1</v>
      </c>
      <c r="E1637">
        <f t="shared" si="25"/>
        <v>681.25</v>
      </c>
    </row>
    <row r="1638" spans="1:5" x14ac:dyDescent="0.25">
      <c r="A1638" t="s">
        <v>1</v>
      </c>
      <c r="B1638">
        <v>1191027</v>
      </c>
      <c r="C1638">
        <v>656.25</v>
      </c>
      <c r="D1638" s="4">
        <f>+VLOOKUP(A1638,Portfolio!$G$3:$I$6,3)</f>
        <v>1</v>
      </c>
      <c r="E1638">
        <f t="shared" si="25"/>
        <v>656.25</v>
      </c>
    </row>
    <row r="1639" spans="1:5" x14ac:dyDescent="0.25">
      <c r="A1639" t="s">
        <v>1</v>
      </c>
      <c r="B1639">
        <v>1191028</v>
      </c>
      <c r="C1639">
        <v>731.25</v>
      </c>
      <c r="D1639" s="4">
        <f>+VLOOKUP(A1639,Portfolio!$G$3:$I$6,3)</f>
        <v>1</v>
      </c>
      <c r="E1639">
        <f t="shared" si="25"/>
        <v>731.25</v>
      </c>
    </row>
    <row r="1640" spans="1:5" x14ac:dyDescent="0.25">
      <c r="A1640" t="s">
        <v>1</v>
      </c>
      <c r="B1640">
        <v>1191029</v>
      </c>
      <c r="C1640">
        <v>981.25</v>
      </c>
      <c r="D1640" s="4">
        <f>+VLOOKUP(A1640,Portfolio!$G$3:$I$6,3)</f>
        <v>1</v>
      </c>
      <c r="E1640">
        <f t="shared" si="25"/>
        <v>981.25</v>
      </c>
    </row>
    <row r="1641" spans="1:5" x14ac:dyDescent="0.25">
      <c r="A1641" t="s">
        <v>1</v>
      </c>
      <c r="B1641">
        <v>1191030</v>
      </c>
      <c r="C1641">
        <v>775</v>
      </c>
      <c r="D1641" s="4">
        <f>+VLOOKUP(A1641,Portfolio!$G$3:$I$6,3)</f>
        <v>1</v>
      </c>
      <c r="E1641">
        <f t="shared" si="25"/>
        <v>775</v>
      </c>
    </row>
    <row r="1642" spans="1:5" x14ac:dyDescent="0.25">
      <c r="A1642" t="s">
        <v>1</v>
      </c>
      <c r="B1642">
        <v>1191031</v>
      </c>
      <c r="C1642">
        <v>337.5</v>
      </c>
      <c r="D1642" s="4">
        <f>+VLOOKUP(A1642,Portfolio!$G$3:$I$6,3)</f>
        <v>1</v>
      </c>
      <c r="E1642">
        <f t="shared" si="25"/>
        <v>337.5</v>
      </c>
    </row>
    <row r="1643" spans="1:5" x14ac:dyDescent="0.25">
      <c r="A1643" t="s">
        <v>1</v>
      </c>
      <c r="B1643">
        <v>1191101</v>
      </c>
      <c r="C1643">
        <v>1018.75</v>
      </c>
      <c r="D1643" s="4">
        <f>+VLOOKUP(A1643,Portfolio!$G$3:$I$6,3)</f>
        <v>1</v>
      </c>
      <c r="E1643">
        <f t="shared" si="25"/>
        <v>1018.75</v>
      </c>
    </row>
    <row r="1644" spans="1:5" x14ac:dyDescent="0.25">
      <c r="A1644" t="s">
        <v>1</v>
      </c>
      <c r="B1644">
        <v>1191103</v>
      </c>
      <c r="C1644">
        <v>843.75</v>
      </c>
      <c r="D1644" s="4">
        <f>+VLOOKUP(A1644,Portfolio!$G$3:$I$6,3)</f>
        <v>1</v>
      </c>
      <c r="E1644">
        <f t="shared" si="25"/>
        <v>843.75</v>
      </c>
    </row>
    <row r="1645" spans="1:5" x14ac:dyDescent="0.25">
      <c r="A1645" t="s">
        <v>1</v>
      </c>
      <c r="B1645">
        <v>1191104</v>
      </c>
      <c r="C1645">
        <v>868.75</v>
      </c>
      <c r="D1645" s="4">
        <f>+VLOOKUP(A1645,Portfolio!$G$3:$I$6,3)</f>
        <v>1</v>
      </c>
      <c r="E1645">
        <f t="shared" si="25"/>
        <v>868.75</v>
      </c>
    </row>
    <row r="1646" spans="1:5" x14ac:dyDescent="0.25">
      <c r="A1646" t="s">
        <v>1</v>
      </c>
      <c r="B1646">
        <v>1191105</v>
      </c>
      <c r="C1646">
        <v>1437.5</v>
      </c>
      <c r="D1646" s="4">
        <f>+VLOOKUP(A1646,Portfolio!$G$3:$I$6,3)</f>
        <v>1</v>
      </c>
      <c r="E1646">
        <f t="shared" si="25"/>
        <v>1437.5</v>
      </c>
    </row>
    <row r="1647" spans="1:5" x14ac:dyDescent="0.25">
      <c r="A1647" t="s">
        <v>1</v>
      </c>
      <c r="B1647">
        <v>1191106</v>
      </c>
      <c r="C1647">
        <v>1762.5</v>
      </c>
      <c r="D1647" s="4">
        <f>+VLOOKUP(A1647,Portfolio!$G$3:$I$6,3)</f>
        <v>1</v>
      </c>
      <c r="E1647">
        <f t="shared" si="25"/>
        <v>1762.5</v>
      </c>
    </row>
    <row r="1648" spans="1:5" x14ac:dyDescent="0.25">
      <c r="A1648" t="s">
        <v>1</v>
      </c>
      <c r="B1648">
        <v>1191107</v>
      </c>
      <c r="C1648">
        <v>1556.25</v>
      </c>
      <c r="D1648" s="4">
        <f>+VLOOKUP(A1648,Portfolio!$G$3:$I$6,3)</f>
        <v>1</v>
      </c>
      <c r="E1648">
        <f t="shared" si="25"/>
        <v>1556.25</v>
      </c>
    </row>
    <row r="1649" spans="1:5" x14ac:dyDescent="0.25">
      <c r="A1649" t="s">
        <v>1</v>
      </c>
      <c r="B1649">
        <v>1191108</v>
      </c>
      <c r="C1649">
        <v>1143.75</v>
      </c>
      <c r="D1649" s="4">
        <f>+VLOOKUP(A1649,Portfolio!$G$3:$I$6,3)</f>
        <v>1</v>
      </c>
      <c r="E1649">
        <f t="shared" si="25"/>
        <v>1143.75</v>
      </c>
    </row>
    <row r="1650" spans="1:5" x14ac:dyDescent="0.25">
      <c r="A1650" t="s">
        <v>1</v>
      </c>
      <c r="B1650">
        <v>1191110</v>
      </c>
      <c r="C1650">
        <v>1150</v>
      </c>
      <c r="D1650" s="4">
        <f>+VLOOKUP(A1650,Portfolio!$G$3:$I$6,3)</f>
        <v>1</v>
      </c>
      <c r="E1650">
        <f t="shared" si="25"/>
        <v>1150</v>
      </c>
    </row>
    <row r="1651" spans="1:5" x14ac:dyDescent="0.25">
      <c r="A1651" t="s">
        <v>1</v>
      </c>
      <c r="B1651">
        <v>1191111</v>
      </c>
      <c r="C1651">
        <v>1343.75</v>
      </c>
      <c r="D1651" s="4">
        <f>+VLOOKUP(A1651,Portfolio!$G$3:$I$6,3)</f>
        <v>1</v>
      </c>
      <c r="E1651">
        <f t="shared" si="25"/>
        <v>1343.75</v>
      </c>
    </row>
    <row r="1652" spans="1:5" x14ac:dyDescent="0.25">
      <c r="A1652" t="s">
        <v>1</v>
      </c>
      <c r="B1652">
        <v>1191112</v>
      </c>
      <c r="C1652">
        <v>1543.75</v>
      </c>
      <c r="D1652" s="4">
        <f>+VLOOKUP(A1652,Portfolio!$G$3:$I$6,3)</f>
        <v>1</v>
      </c>
      <c r="E1652">
        <f t="shared" si="25"/>
        <v>1543.75</v>
      </c>
    </row>
    <row r="1653" spans="1:5" x14ac:dyDescent="0.25">
      <c r="A1653" t="s">
        <v>1</v>
      </c>
      <c r="B1653">
        <v>1191113</v>
      </c>
      <c r="C1653">
        <v>1518.75</v>
      </c>
      <c r="D1653" s="4">
        <f>+VLOOKUP(A1653,Portfolio!$G$3:$I$6,3)</f>
        <v>1</v>
      </c>
      <c r="E1653">
        <f t="shared" si="25"/>
        <v>1518.75</v>
      </c>
    </row>
    <row r="1654" spans="1:5" x14ac:dyDescent="0.25">
      <c r="A1654" t="s">
        <v>1</v>
      </c>
      <c r="B1654">
        <v>1191114</v>
      </c>
      <c r="C1654">
        <v>1875</v>
      </c>
      <c r="D1654" s="4">
        <f>+VLOOKUP(A1654,Portfolio!$G$3:$I$6,3)</f>
        <v>1</v>
      </c>
      <c r="E1654">
        <f t="shared" si="25"/>
        <v>1875</v>
      </c>
    </row>
    <row r="1655" spans="1:5" x14ac:dyDescent="0.25">
      <c r="A1655" t="s">
        <v>1</v>
      </c>
      <c r="B1655">
        <v>1191115</v>
      </c>
      <c r="C1655">
        <v>2025</v>
      </c>
      <c r="D1655" s="4">
        <f>+VLOOKUP(A1655,Portfolio!$G$3:$I$6,3)</f>
        <v>1</v>
      </c>
      <c r="E1655">
        <f t="shared" si="25"/>
        <v>2025</v>
      </c>
    </row>
    <row r="1656" spans="1:5" x14ac:dyDescent="0.25">
      <c r="A1656" t="s">
        <v>1</v>
      </c>
      <c r="B1656">
        <v>1191117</v>
      </c>
      <c r="C1656">
        <v>1925</v>
      </c>
      <c r="D1656" s="4">
        <f>+VLOOKUP(A1656,Portfolio!$G$3:$I$6,3)</f>
        <v>1</v>
      </c>
      <c r="E1656">
        <f t="shared" si="25"/>
        <v>1925</v>
      </c>
    </row>
    <row r="1657" spans="1:5" x14ac:dyDescent="0.25">
      <c r="A1657" t="s">
        <v>1</v>
      </c>
      <c r="B1657">
        <v>1191118</v>
      </c>
      <c r="C1657">
        <v>2050</v>
      </c>
      <c r="D1657" s="4">
        <f>+VLOOKUP(A1657,Portfolio!$G$3:$I$6,3)</f>
        <v>1</v>
      </c>
      <c r="E1657">
        <f t="shared" si="25"/>
        <v>2050</v>
      </c>
    </row>
    <row r="1658" spans="1:5" x14ac:dyDescent="0.25">
      <c r="A1658" t="s">
        <v>1</v>
      </c>
      <c r="B1658">
        <v>1191119</v>
      </c>
      <c r="C1658">
        <v>2450</v>
      </c>
      <c r="D1658" s="4">
        <f>+VLOOKUP(A1658,Portfolio!$G$3:$I$6,3)</f>
        <v>1</v>
      </c>
      <c r="E1658">
        <f t="shared" si="25"/>
        <v>2450</v>
      </c>
    </row>
    <row r="1659" spans="1:5" x14ac:dyDescent="0.25">
      <c r="A1659" t="s">
        <v>1</v>
      </c>
      <c r="B1659">
        <v>1191120</v>
      </c>
      <c r="C1659">
        <v>2543.75</v>
      </c>
      <c r="D1659" s="4">
        <f>+VLOOKUP(A1659,Portfolio!$G$3:$I$6,3)</f>
        <v>1</v>
      </c>
      <c r="E1659">
        <f t="shared" si="25"/>
        <v>2543.75</v>
      </c>
    </row>
    <row r="1660" spans="1:5" x14ac:dyDescent="0.25">
      <c r="A1660" t="s">
        <v>1</v>
      </c>
      <c r="B1660">
        <v>1191121</v>
      </c>
      <c r="C1660">
        <v>2443.75</v>
      </c>
      <c r="D1660" s="4">
        <f>+VLOOKUP(A1660,Portfolio!$G$3:$I$6,3)</f>
        <v>1</v>
      </c>
      <c r="E1660">
        <f t="shared" si="25"/>
        <v>2443.75</v>
      </c>
    </row>
    <row r="1661" spans="1:5" x14ac:dyDescent="0.25">
      <c r="A1661" t="s">
        <v>1</v>
      </c>
      <c r="B1661">
        <v>1191122</v>
      </c>
      <c r="C1661">
        <v>2493.75</v>
      </c>
      <c r="D1661" s="4">
        <f>+VLOOKUP(A1661,Portfolio!$G$3:$I$6,3)</f>
        <v>1</v>
      </c>
      <c r="E1661">
        <f t="shared" si="25"/>
        <v>2493.75</v>
      </c>
    </row>
    <row r="1662" spans="1:5" x14ac:dyDescent="0.25">
      <c r="A1662" t="s">
        <v>1</v>
      </c>
      <c r="B1662">
        <v>1191124</v>
      </c>
      <c r="C1662">
        <v>2618.75</v>
      </c>
      <c r="D1662" s="4">
        <f>+VLOOKUP(A1662,Portfolio!$G$3:$I$6,3)</f>
        <v>1</v>
      </c>
      <c r="E1662">
        <f t="shared" si="25"/>
        <v>2618.75</v>
      </c>
    </row>
    <row r="1663" spans="1:5" x14ac:dyDescent="0.25">
      <c r="A1663" t="s">
        <v>1</v>
      </c>
      <c r="B1663">
        <v>1191125</v>
      </c>
      <c r="C1663">
        <v>2756.25</v>
      </c>
      <c r="D1663" s="4">
        <f>+VLOOKUP(A1663,Portfolio!$G$3:$I$6,3)</f>
        <v>1</v>
      </c>
      <c r="E1663">
        <f t="shared" si="25"/>
        <v>2756.25</v>
      </c>
    </row>
    <row r="1664" spans="1:5" x14ac:dyDescent="0.25">
      <c r="A1664" t="s">
        <v>1</v>
      </c>
      <c r="B1664">
        <v>1191126</v>
      </c>
      <c r="C1664">
        <v>2731.25</v>
      </c>
      <c r="D1664" s="4">
        <f>+VLOOKUP(A1664,Portfolio!$G$3:$I$6,3)</f>
        <v>1</v>
      </c>
      <c r="E1664">
        <f t="shared" si="25"/>
        <v>2731.25</v>
      </c>
    </row>
    <row r="1665" spans="1:5" x14ac:dyDescent="0.25">
      <c r="A1665" t="s">
        <v>1</v>
      </c>
      <c r="B1665">
        <v>1191127</v>
      </c>
      <c r="C1665">
        <v>2931.25</v>
      </c>
      <c r="D1665" s="4">
        <f>+VLOOKUP(A1665,Portfolio!$G$3:$I$6,3)</f>
        <v>1</v>
      </c>
      <c r="E1665">
        <f t="shared" si="25"/>
        <v>2931.25</v>
      </c>
    </row>
    <row r="1666" spans="1:5" x14ac:dyDescent="0.25">
      <c r="A1666" t="s">
        <v>1</v>
      </c>
      <c r="B1666">
        <v>1191128</v>
      </c>
      <c r="C1666">
        <v>3237.5</v>
      </c>
      <c r="D1666" s="4">
        <f>+VLOOKUP(A1666,Portfolio!$G$3:$I$6,3)</f>
        <v>1</v>
      </c>
      <c r="E1666">
        <f t="shared" si="25"/>
        <v>3237.5</v>
      </c>
    </row>
    <row r="1667" spans="1:5" x14ac:dyDescent="0.25">
      <c r="A1667" t="s">
        <v>1</v>
      </c>
      <c r="B1667">
        <v>1191129</v>
      </c>
      <c r="C1667">
        <v>3293.75</v>
      </c>
      <c r="D1667" s="4">
        <f>+VLOOKUP(A1667,Portfolio!$G$3:$I$6,3)</f>
        <v>1</v>
      </c>
      <c r="E1667">
        <f t="shared" ref="E1667:E1730" si="26">+C1667*D1667</f>
        <v>3293.75</v>
      </c>
    </row>
    <row r="1668" spans="1:5" x14ac:dyDescent="0.25">
      <c r="A1668" t="s">
        <v>1</v>
      </c>
      <c r="B1668">
        <v>1191201</v>
      </c>
      <c r="C1668">
        <v>3256.25</v>
      </c>
      <c r="D1668" s="4">
        <f>+VLOOKUP(A1668,Portfolio!$G$3:$I$6,3)</f>
        <v>1</v>
      </c>
      <c r="E1668">
        <f t="shared" si="26"/>
        <v>3256.25</v>
      </c>
    </row>
    <row r="1669" spans="1:5" x14ac:dyDescent="0.25">
      <c r="A1669" t="s">
        <v>1</v>
      </c>
      <c r="B1669">
        <v>1191202</v>
      </c>
      <c r="C1669">
        <v>3281.25</v>
      </c>
      <c r="D1669" s="4">
        <f>+VLOOKUP(A1669,Portfolio!$G$3:$I$6,3)</f>
        <v>1</v>
      </c>
      <c r="E1669">
        <f t="shared" si="26"/>
        <v>3281.25</v>
      </c>
    </row>
    <row r="1670" spans="1:5" x14ac:dyDescent="0.25">
      <c r="A1670" t="s">
        <v>1</v>
      </c>
      <c r="B1670">
        <v>1191203</v>
      </c>
      <c r="C1670">
        <v>3506.25</v>
      </c>
      <c r="D1670" s="4">
        <f>+VLOOKUP(A1670,Portfolio!$G$3:$I$6,3)</f>
        <v>1</v>
      </c>
      <c r="E1670">
        <f t="shared" si="26"/>
        <v>3506.25</v>
      </c>
    </row>
    <row r="1671" spans="1:5" x14ac:dyDescent="0.25">
      <c r="A1671" t="s">
        <v>1</v>
      </c>
      <c r="B1671">
        <v>1191204</v>
      </c>
      <c r="C1671">
        <v>4100</v>
      </c>
      <c r="D1671" s="4">
        <f>+VLOOKUP(A1671,Portfolio!$G$3:$I$6,3)</f>
        <v>1</v>
      </c>
      <c r="E1671">
        <f t="shared" si="26"/>
        <v>4100</v>
      </c>
    </row>
    <row r="1672" spans="1:5" x14ac:dyDescent="0.25">
      <c r="A1672" t="s">
        <v>1</v>
      </c>
      <c r="B1672">
        <v>1191205</v>
      </c>
      <c r="C1672">
        <v>3906.25</v>
      </c>
      <c r="D1672" s="4">
        <f>+VLOOKUP(A1672,Portfolio!$G$3:$I$6,3)</f>
        <v>1</v>
      </c>
      <c r="E1672">
        <f t="shared" si="26"/>
        <v>3906.25</v>
      </c>
    </row>
    <row r="1673" spans="1:5" x14ac:dyDescent="0.25">
      <c r="A1673" t="s">
        <v>1</v>
      </c>
      <c r="B1673">
        <v>1191206</v>
      </c>
      <c r="C1673">
        <v>4162.5</v>
      </c>
      <c r="D1673" s="4">
        <f>+VLOOKUP(A1673,Portfolio!$G$3:$I$6,3)</f>
        <v>1</v>
      </c>
      <c r="E1673">
        <f t="shared" si="26"/>
        <v>4162.5</v>
      </c>
    </row>
    <row r="1674" spans="1:5" x14ac:dyDescent="0.25">
      <c r="A1674" t="s">
        <v>1</v>
      </c>
      <c r="B1674">
        <v>1191208</v>
      </c>
      <c r="C1674">
        <v>3956.25</v>
      </c>
      <c r="D1674" s="4">
        <f>+VLOOKUP(A1674,Portfolio!$G$3:$I$6,3)</f>
        <v>1</v>
      </c>
      <c r="E1674">
        <f t="shared" si="26"/>
        <v>3956.25</v>
      </c>
    </row>
    <row r="1675" spans="1:5" x14ac:dyDescent="0.25">
      <c r="A1675" t="s">
        <v>1</v>
      </c>
      <c r="B1675">
        <v>1191209</v>
      </c>
      <c r="C1675">
        <v>4012.5</v>
      </c>
      <c r="D1675" s="4">
        <f>+VLOOKUP(A1675,Portfolio!$G$3:$I$6,3)</f>
        <v>1</v>
      </c>
      <c r="E1675">
        <f t="shared" si="26"/>
        <v>4012.5</v>
      </c>
    </row>
    <row r="1676" spans="1:5" x14ac:dyDescent="0.25">
      <c r="A1676" t="s">
        <v>1</v>
      </c>
      <c r="B1676">
        <v>1191210</v>
      </c>
      <c r="C1676">
        <v>4081.25</v>
      </c>
      <c r="D1676" s="4">
        <f>+VLOOKUP(A1676,Portfolio!$G$3:$I$6,3)</f>
        <v>1</v>
      </c>
      <c r="E1676">
        <f t="shared" si="26"/>
        <v>4081.25</v>
      </c>
    </row>
    <row r="1677" spans="1:5" x14ac:dyDescent="0.25">
      <c r="A1677" t="s">
        <v>1</v>
      </c>
      <c r="B1677">
        <v>1191211</v>
      </c>
      <c r="C1677">
        <v>4218.75</v>
      </c>
      <c r="D1677" s="4">
        <f>+VLOOKUP(A1677,Portfolio!$G$3:$I$6,3)</f>
        <v>1</v>
      </c>
      <c r="E1677">
        <f t="shared" si="26"/>
        <v>4218.75</v>
      </c>
    </row>
    <row r="1678" spans="1:5" x14ac:dyDescent="0.25">
      <c r="A1678" t="s">
        <v>1</v>
      </c>
      <c r="B1678">
        <v>1191212</v>
      </c>
      <c r="C1678">
        <v>4150</v>
      </c>
      <c r="D1678" s="4">
        <f>+VLOOKUP(A1678,Portfolio!$G$3:$I$6,3)</f>
        <v>1</v>
      </c>
      <c r="E1678">
        <f t="shared" si="26"/>
        <v>4150</v>
      </c>
    </row>
    <row r="1679" spans="1:5" x14ac:dyDescent="0.25">
      <c r="A1679" t="s">
        <v>1</v>
      </c>
      <c r="B1679">
        <v>1191213</v>
      </c>
      <c r="C1679">
        <v>4975</v>
      </c>
      <c r="D1679" s="4">
        <f>+VLOOKUP(A1679,Portfolio!$G$3:$I$6,3)</f>
        <v>1</v>
      </c>
      <c r="E1679">
        <f t="shared" si="26"/>
        <v>4975</v>
      </c>
    </row>
    <row r="1680" spans="1:5" x14ac:dyDescent="0.25">
      <c r="A1680" t="s">
        <v>1</v>
      </c>
      <c r="B1680">
        <v>1191215</v>
      </c>
      <c r="C1680">
        <v>5175</v>
      </c>
      <c r="D1680" s="4">
        <f>+VLOOKUP(A1680,Portfolio!$G$3:$I$6,3)</f>
        <v>1</v>
      </c>
      <c r="E1680">
        <f t="shared" si="26"/>
        <v>5175</v>
      </c>
    </row>
    <row r="1681" spans="1:5" x14ac:dyDescent="0.25">
      <c r="A1681" t="s">
        <v>1</v>
      </c>
      <c r="B1681">
        <v>1191216</v>
      </c>
      <c r="C1681">
        <v>5175</v>
      </c>
      <c r="D1681" s="4">
        <f>+VLOOKUP(A1681,Portfolio!$G$3:$I$6,3)</f>
        <v>1</v>
      </c>
      <c r="E1681">
        <f t="shared" si="26"/>
        <v>5175</v>
      </c>
    </row>
    <row r="1682" spans="1:5" x14ac:dyDescent="0.25">
      <c r="A1682" t="s">
        <v>1</v>
      </c>
      <c r="B1682">
        <v>1191217</v>
      </c>
      <c r="C1682">
        <v>5143.75</v>
      </c>
      <c r="D1682" s="4">
        <f>+VLOOKUP(A1682,Portfolio!$G$3:$I$6,3)</f>
        <v>1</v>
      </c>
      <c r="E1682">
        <f t="shared" si="26"/>
        <v>5143.75</v>
      </c>
    </row>
    <row r="1683" spans="1:5" x14ac:dyDescent="0.25">
      <c r="A1683" t="s">
        <v>1</v>
      </c>
      <c r="B1683">
        <v>1191218</v>
      </c>
      <c r="C1683">
        <v>5156.25</v>
      </c>
      <c r="D1683" s="4">
        <f>+VLOOKUP(A1683,Portfolio!$G$3:$I$6,3)</f>
        <v>1</v>
      </c>
      <c r="E1683">
        <f t="shared" si="26"/>
        <v>5156.25</v>
      </c>
    </row>
    <row r="1684" spans="1:5" x14ac:dyDescent="0.25">
      <c r="A1684" t="s">
        <v>1</v>
      </c>
      <c r="B1684">
        <v>1191219</v>
      </c>
      <c r="C1684">
        <v>5193.75</v>
      </c>
      <c r="D1684" s="4">
        <f>+VLOOKUP(A1684,Portfolio!$G$3:$I$6,3)</f>
        <v>1</v>
      </c>
      <c r="E1684">
        <f t="shared" si="26"/>
        <v>5193.75</v>
      </c>
    </row>
    <row r="1685" spans="1:5" x14ac:dyDescent="0.25">
      <c r="A1685" t="s">
        <v>1</v>
      </c>
      <c r="B1685">
        <v>1191220</v>
      </c>
      <c r="C1685">
        <v>5193.75</v>
      </c>
      <c r="D1685" s="4">
        <f>+VLOOKUP(A1685,Portfolio!$G$3:$I$6,3)</f>
        <v>1</v>
      </c>
      <c r="E1685">
        <f t="shared" si="26"/>
        <v>5193.75</v>
      </c>
    </row>
    <row r="1686" spans="1:5" x14ac:dyDescent="0.25">
      <c r="A1686" t="s">
        <v>1</v>
      </c>
      <c r="B1686">
        <v>1191222</v>
      </c>
      <c r="C1686">
        <v>5212.5</v>
      </c>
      <c r="D1686" s="4">
        <f>+VLOOKUP(A1686,Portfolio!$G$3:$I$6,3)</f>
        <v>1</v>
      </c>
      <c r="E1686">
        <f t="shared" si="26"/>
        <v>5212.5</v>
      </c>
    </row>
    <row r="1687" spans="1:5" x14ac:dyDescent="0.25">
      <c r="A1687" t="s">
        <v>1</v>
      </c>
      <c r="B1687">
        <v>1191223</v>
      </c>
      <c r="C1687">
        <v>5131.25</v>
      </c>
      <c r="D1687" s="4">
        <f>+VLOOKUP(A1687,Portfolio!$G$3:$I$6,3)</f>
        <v>1</v>
      </c>
      <c r="E1687">
        <f t="shared" si="26"/>
        <v>5131.25</v>
      </c>
    </row>
    <row r="1688" spans="1:5" x14ac:dyDescent="0.25">
      <c r="A1688" t="s">
        <v>1</v>
      </c>
      <c r="B1688">
        <v>1191224</v>
      </c>
      <c r="C1688">
        <v>4962.5</v>
      </c>
      <c r="D1688" s="4">
        <f>+VLOOKUP(A1688,Portfolio!$G$3:$I$6,3)</f>
        <v>1</v>
      </c>
      <c r="E1688">
        <f t="shared" si="26"/>
        <v>4962.5</v>
      </c>
    </row>
    <row r="1689" spans="1:5" x14ac:dyDescent="0.25">
      <c r="A1689" t="s">
        <v>1</v>
      </c>
      <c r="B1689">
        <v>1191225</v>
      </c>
      <c r="C1689">
        <v>4837.5</v>
      </c>
      <c r="D1689" s="4">
        <f>+VLOOKUP(A1689,Portfolio!$G$3:$I$6,3)</f>
        <v>1</v>
      </c>
      <c r="E1689">
        <f t="shared" si="26"/>
        <v>4837.5</v>
      </c>
    </row>
    <row r="1690" spans="1:5" x14ac:dyDescent="0.25">
      <c r="A1690" t="s">
        <v>1</v>
      </c>
      <c r="B1690">
        <v>1191226</v>
      </c>
      <c r="C1690">
        <v>4931.25</v>
      </c>
      <c r="D1690" s="4">
        <f>+VLOOKUP(A1690,Portfolio!$G$3:$I$6,3)</f>
        <v>1</v>
      </c>
      <c r="E1690">
        <f t="shared" si="26"/>
        <v>4931.25</v>
      </c>
    </row>
    <row r="1691" spans="1:5" x14ac:dyDescent="0.25">
      <c r="A1691" t="s">
        <v>1</v>
      </c>
      <c r="B1691">
        <v>1191227</v>
      </c>
      <c r="C1691">
        <v>4993.75</v>
      </c>
      <c r="D1691" s="4">
        <f>+VLOOKUP(A1691,Portfolio!$G$3:$I$6,3)</f>
        <v>1</v>
      </c>
      <c r="E1691">
        <f t="shared" si="26"/>
        <v>4993.75</v>
      </c>
    </row>
    <row r="1692" spans="1:5" x14ac:dyDescent="0.25">
      <c r="A1692" t="s">
        <v>1</v>
      </c>
      <c r="B1692">
        <v>1191229</v>
      </c>
      <c r="C1692">
        <v>4812.5</v>
      </c>
      <c r="D1692" s="4">
        <f>+VLOOKUP(A1692,Portfolio!$G$3:$I$6,3)</f>
        <v>1</v>
      </c>
      <c r="E1692">
        <f t="shared" si="26"/>
        <v>4812.5</v>
      </c>
    </row>
    <row r="1693" spans="1:5" x14ac:dyDescent="0.25">
      <c r="A1693" t="s">
        <v>1</v>
      </c>
      <c r="B1693">
        <v>1191230</v>
      </c>
      <c r="C1693">
        <v>5106.25</v>
      </c>
      <c r="D1693" s="4">
        <f>+VLOOKUP(A1693,Portfolio!$G$3:$I$6,3)</f>
        <v>1</v>
      </c>
      <c r="E1693">
        <f t="shared" si="26"/>
        <v>5106.25</v>
      </c>
    </row>
    <row r="1694" spans="1:5" x14ac:dyDescent="0.25">
      <c r="A1694" t="s">
        <v>1</v>
      </c>
      <c r="B1694">
        <v>1191231</v>
      </c>
      <c r="C1694">
        <v>5425</v>
      </c>
      <c r="D1694" s="4">
        <f>+VLOOKUP(A1694,Portfolio!$G$3:$I$6,3)</f>
        <v>1</v>
      </c>
      <c r="E1694">
        <f t="shared" si="26"/>
        <v>5425</v>
      </c>
    </row>
    <row r="1695" spans="1:5" x14ac:dyDescent="0.25">
      <c r="A1695" t="s">
        <v>1</v>
      </c>
      <c r="B1695">
        <v>1200101</v>
      </c>
      <c r="C1695">
        <v>5500</v>
      </c>
      <c r="D1695" s="4">
        <f>+VLOOKUP(A1695,Portfolio!$G$3:$I$6,3)</f>
        <v>1</v>
      </c>
      <c r="E1695">
        <f t="shared" si="26"/>
        <v>5500</v>
      </c>
    </row>
    <row r="1696" spans="1:5" x14ac:dyDescent="0.25">
      <c r="A1696" t="s">
        <v>1</v>
      </c>
      <c r="B1696">
        <v>1200102</v>
      </c>
      <c r="C1696">
        <v>5512.5</v>
      </c>
      <c r="D1696" s="4">
        <f>+VLOOKUP(A1696,Portfolio!$G$3:$I$6,3)</f>
        <v>1</v>
      </c>
      <c r="E1696">
        <f t="shared" si="26"/>
        <v>5512.5</v>
      </c>
    </row>
    <row r="1697" spans="1:5" x14ac:dyDescent="0.25">
      <c r="A1697" t="s">
        <v>1</v>
      </c>
      <c r="B1697">
        <v>1200103</v>
      </c>
      <c r="C1697">
        <v>6218.75</v>
      </c>
      <c r="D1697" s="4">
        <f>+VLOOKUP(A1697,Portfolio!$G$3:$I$6,3)</f>
        <v>1</v>
      </c>
      <c r="E1697">
        <f t="shared" si="26"/>
        <v>6218.75</v>
      </c>
    </row>
    <row r="1698" spans="1:5" x14ac:dyDescent="0.25">
      <c r="A1698" t="s">
        <v>1</v>
      </c>
      <c r="B1698">
        <v>1200105</v>
      </c>
      <c r="C1698">
        <v>5943.75</v>
      </c>
      <c r="D1698" s="4">
        <f>+VLOOKUP(A1698,Portfolio!$G$3:$I$6,3)</f>
        <v>1</v>
      </c>
      <c r="E1698">
        <f t="shared" si="26"/>
        <v>5943.75</v>
      </c>
    </row>
    <row r="1699" spans="1:5" x14ac:dyDescent="0.25">
      <c r="A1699" t="s">
        <v>1</v>
      </c>
      <c r="B1699">
        <v>1200106</v>
      </c>
      <c r="C1699">
        <v>5843.75</v>
      </c>
      <c r="D1699" s="4">
        <f>+VLOOKUP(A1699,Portfolio!$G$3:$I$6,3)</f>
        <v>1</v>
      </c>
      <c r="E1699">
        <f t="shared" si="26"/>
        <v>5843.75</v>
      </c>
    </row>
    <row r="1700" spans="1:5" x14ac:dyDescent="0.25">
      <c r="A1700" t="s">
        <v>1</v>
      </c>
      <c r="B1700">
        <v>1200107</v>
      </c>
      <c r="C1700">
        <v>6100</v>
      </c>
      <c r="D1700" s="4">
        <f>+VLOOKUP(A1700,Portfolio!$G$3:$I$6,3)</f>
        <v>1</v>
      </c>
      <c r="E1700">
        <f t="shared" si="26"/>
        <v>6100</v>
      </c>
    </row>
    <row r="1701" spans="1:5" x14ac:dyDescent="0.25">
      <c r="A1701" t="s">
        <v>1</v>
      </c>
      <c r="B1701">
        <v>1200108</v>
      </c>
      <c r="C1701">
        <v>5962.5</v>
      </c>
      <c r="D1701" s="4">
        <f>+VLOOKUP(A1701,Portfolio!$G$3:$I$6,3)</f>
        <v>1</v>
      </c>
      <c r="E1701">
        <f t="shared" si="26"/>
        <v>5962.5</v>
      </c>
    </row>
    <row r="1702" spans="1:5" x14ac:dyDescent="0.25">
      <c r="A1702" t="s">
        <v>1</v>
      </c>
      <c r="B1702">
        <v>1200109</v>
      </c>
      <c r="C1702">
        <v>6018.75</v>
      </c>
      <c r="D1702" s="4">
        <f>+VLOOKUP(A1702,Portfolio!$G$3:$I$6,3)</f>
        <v>1</v>
      </c>
      <c r="E1702">
        <f t="shared" si="26"/>
        <v>6018.75</v>
      </c>
    </row>
    <row r="1703" spans="1:5" x14ac:dyDescent="0.25">
      <c r="A1703" t="s">
        <v>1</v>
      </c>
      <c r="B1703">
        <v>1200110</v>
      </c>
      <c r="C1703">
        <v>6325</v>
      </c>
      <c r="D1703" s="4">
        <f>+VLOOKUP(A1703,Portfolio!$G$3:$I$6,3)</f>
        <v>1</v>
      </c>
      <c r="E1703">
        <f t="shared" si="26"/>
        <v>6325</v>
      </c>
    </row>
    <row r="1704" spans="1:5" x14ac:dyDescent="0.25">
      <c r="A1704" t="s">
        <v>1</v>
      </c>
      <c r="B1704">
        <v>1200112</v>
      </c>
      <c r="C1704">
        <v>6131.25</v>
      </c>
      <c r="D1704" s="4">
        <f>+VLOOKUP(A1704,Portfolio!$G$3:$I$6,3)</f>
        <v>1</v>
      </c>
      <c r="E1704">
        <f t="shared" si="26"/>
        <v>6131.25</v>
      </c>
    </row>
    <row r="1705" spans="1:5" x14ac:dyDescent="0.25">
      <c r="A1705" t="s">
        <v>1</v>
      </c>
      <c r="B1705">
        <v>1200113</v>
      </c>
      <c r="C1705">
        <v>6012.5</v>
      </c>
      <c r="D1705" s="4">
        <f>+VLOOKUP(A1705,Portfolio!$G$3:$I$6,3)</f>
        <v>1</v>
      </c>
      <c r="E1705">
        <f t="shared" si="26"/>
        <v>6012.5</v>
      </c>
    </row>
    <row r="1706" spans="1:5" x14ac:dyDescent="0.25">
      <c r="A1706" t="s">
        <v>1</v>
      </c>
      <c r="B1706">
        <v>1200114</v>
      </c>
      <c r="C1706">
        <v>6462.5</v>
      </c>
      <c r="D1706" s="4">
        <f>+VLOOKUP(A1706,Portfolio!$G$3:$I$6,3)</f>
        <v>1</v>
      </c>
      <c r="E1706">
        <f t="shared" si="26"/>
        <v>6462.5</v>
      </c>
    </row>
    <row r="1707" spans="1:5" x14ac:dyDescent="0.25">
      <c r="A1707" t="s">
        <v>1</v>
      </c>
      <c r="B1707">
        <v>1200115</v>
      </c>
      <c r="C1707">
        <v>6231.25</v>
      </c>
      <c r="D1707" s="4">
        <f>+VLOOKUP(A1707,Portfolio!$G$3:$I$6,3)</f>
        <v>1</v>
      </c>
      <c r="E1707">
        <f t="shared" si="26"/>
        <v>6231.25</v>
      </c>
    </row>
    <row r="1708" spans="1:5" x14ac:dyDescent="0.25">
      <c r="A1708" t="s">
        <v>1</v>
      </c>
      <c r="B1708">
        <v>1200116</v>
      </c>
      <c r="C1708">
        <v>6212.5</v>
      </c>
      <c r="D1708" s="4">
        <f>+VLOOKUP(A1708,Portfolio!$G$3:$I$6,3)</f>
        <v>1</v>
      </c>
      <c r="E1708">
        <f t="shared" si="26"/>
        <v>6212.5</v>
      </c>
    </row>
    <row r="1709" spans="1:5" x14ac:dyDescent="0.25">
      <c r="A1709" t="s">
        <v>1</v>
      </c>
      <c r="B1709">
        <v>1200117</v>
      </c>
      <c r="C1709">
        <v>6206.25</v>
      </c>
      <c r="D1709" s="4">
        <f>+VLOOKUP(A1709,Portfolio!$G$3:$I$6,3)</f>
        <v>1</v>
      </c>
      <c r="E1709">
        <f t="shared" si="26"/>
        <v>6206.25</v>
      </c>
    </row>
    <row r="1710" spans="1:5" x14ac:dyDescent="0.25">
      <c r="A1710" t="s">
        <v>1</v>
      </c>
      <c r="B1710">
        <v>1200119</v>
      </c>
      <c r="C1710">
        <v>5981.25</v>
      </c>
      <c r="D1710" s="4">
        <f>+VLOOKUP(A1710,Portfolio!$G$3:$I$6,3)</f>
        <v>1</v>
      </c>
      <c r="E1710">
        <f t="shared" si="26"/>
        <v>5981.25</v>
      </c>
    </row>
    <row r="1711" spans="1:5" x14ac:dyDescent="0.25">
      <c r="A1711" t="s">
        <v>1</v>
      </c>
      <c r="B1711">
        <v>1200120</v>
      </c>
      <c r="C1711">
        <v>5993.75</v>
      </c>
      <c r="D1711" s="4">
        <f>+VLOOKUP(A1711,Portfolio!$G$3:$I$6,3)</f>
        <v>1</v>
      </c>
      <c r="E1711">
        <f t="shared" si="26"/>
        <v>5993.75</v>
      </c>
    </row>
    <row r="1712" spans="1:5" x14ac:dyDescent="0.25">
      <c r="A1712" t="s">
        <v>1</v>
      </c>
      <c r="B1712">
        <v>1200121</v>
      </c>
      <c r="C1712">
        <v>6068.75</v>
      </c>
      <c r="D1712" s="4">
        <f>+VLOOKUP(A1712,Portfolio!$G$3:$I$6,3)</f>
        <v>1</v>
      </c>
      <c r="E1712">
        <f t="shared" si="26"/>
        <v>6068.75</v>
      </c>
    </row>
    <row r="1713" spans="1:5" x14ac:dyDescent="0.25">
      <c r="A1713" t="s">
        <v>1</v>
      </c>
      <c r="B1713">
        <v>1200122</v>
      </c>
      <c r="C1713">
        <v>5568.75</v>
      </c>
      <c r="D1713" s="4">
        <f>+VLOOKUP(A1713,Portfolio!$G$3:$I$6,3)</f>
        <v>1</v>
      </c>
      <c r="E1713">
        <f t="shared" si="26"/>
        <v>5568.75</v>
      </c>
    </row>
    <row r="1714" spans="1:5" x14ac:dyDescent="0.25">
      <c r="A1714" t="s">
        <v>1</v>
      </c>
      <c r="B1714">
        <v>1200123</v>
      </c>
      <c r="C1714">
        <v>5812.5</v>
      </c>
      <c r="D1714" s="4">
        <f>+VLOOKUP(A1714,Portfolio!$G$3:$I$6,3)</f>
        <v>1</v>
      </c>
      <c r="E1714">
        <f t="shared" si="26"/>
        <v>5812.5</v>
      </c>
    </row>
    <row r="1715" spans="1:5" x14ac:dyDescent="0.25">
      <c r="A1715" t="s">
        <v>1</v>
      </c>
      <c r="B1715">
        <v>1200124</v>
      </c>
      <c r="C1715">
        <v>5531.25</v>
      </c>
      <c r="D1715" s="4">
        <f>+VLOOKUP(A1715,Portfolio!$G$3:$I$6,3)</f>
        <v>1</v>
      </c>
      <c r="E1715">
        <f t="shared" si="26"/>
        <v>5531.25</v>
      </c>
    </row>
    <row r="1716" spans="1:5" x14ac:dyDescent="0.25">
      <c r="A1716" t="s">
        <v>1</v>
      </c>
      <c r="B1716">
        <v>1200126</v>
      </c>
      <c r="C1716">
        <v>6312.5</v>
      </c>
      <c r="D1716" s="4">
        <f>+VLOOKUP(A1716,Portfolio!$G$3:$I$6,3)</f>
        <v>1</v>
      </c>
      <c r="E1716">
        <f t="shared" si="26"/>
        <v>6312.5</v>
      </c>
    </row>
    <row r="1717" spans="1:5" x14ac:dyDescent="0.25">
      <c r="A1717" t="s">
        <v>1</v>
      </c>
      <c r="B1717">
        <v>1200127</v>
      </c>
      <c r="C1717">
        <v>6056.25</v>
      </c>
      <c r="D1717" s="4">
        <f>+VLOOKUP(A1717,Portfolio!$G$3:$I$6,3)</f>
        <v>1</v>
      </c>
      <c r="E1717">
        <f t="shared" si="26"/>
        <v>6056.25</v>
      </c>
    </row>
    <row r="1718" spans="1:5" x14ac:dyDescent="0.25">
      <c r="A1718" t="s">
        <v>1</v>
      </c>
      <c r="B1718">
        <v>1200128</v>
      </c>
      <c r="C1718">
        <v>6068.75</v>
      </c>
      <c r="D1718" s="4">
        <f>+VLOOKUP(A1718,Portfolio!$G$3:$I$6,3)</f>
        <v>1</v>
      </c>
      <c r="E1718">
        <f t="shared" si="26"/>
        <v>6068.75</v>
      </c>
    </row>
    <row r="1719" spans="1:5" x14ac:dyDescent="0.25">
      <c r="A1719" t="s">
        <v>1</v>
      </c>
      <c r="B1719">
        <v>1200129</v>
      </c>
      <c r="C1719">
        <v>6075</v>
      </c>
      <c r="D1719" s="4">
        <f>+VLOOKUP(A1719,Portfolio!$G$3:$I$6,3)</f>
        <v>1</v>
      </c>
      <c r="E1719">
        <f t="shared" si="26"/>
        <v>6075</v>
      </c>
    </row>
    <row r="1720" spans="1:5" x14ac:dyDescent="0.25">
      <c r="A1720" t="s">
        <v>1</v>
      </c>
      <c r="B1720">
        <v>1200130</v>
      </c>
      <c r="C1720">
        <v>5731.25</v>
      </c>
      <c r="D1720" s="4">
        <f>+VLOOKUP(A1720,Portfolio!$G$3:$I$6,3)</f>
        <v>1</v>
      </c>
      <c r="E1720">
        <f t="shared" si="26"/>
        <v>5731.25</v>
      </c>
    </row>
    <row r="1721" spans="1:5" x14ac:dyDescent="0.25">
      <c r="A1721" t="s">
        <v>1</v>
      </c>
      <c r="B1721">
        <v>1200131</v>
      </c>
      <c r="C1721">
        <v>5418.75</v>
      </c>
      <c r="D1721" s="4">
        <f>+VLOOKUP(A1721,Portfolio!$G$3:$I$6,3)</f>
        <v>1</v>
      </c>
      <c r="E1721">
        <f t="shared" si="26"/>
        <v>5418.75</v>
      </c>
    </row>
    <row r="1722" spans="1:5" x14ac:dyDescent="0.25">
      <c r="A1722" t="s">
        <v>1</v>
      </c>
      <c r="B1722">
        <v>1200202</v>
      </c>
      <c r="C1722">
        <v>5743.75</v>
      </c>
      <c r="D1722" s="4">
        <f>+VLOOKUP(A1722,Portfolio!$G$3:$I$6,3)</f>
        <v>1</v>
      </c>
      <c r="E1722">
        <f t="shared" si="26"/>
        <v>5743.75</v>
      </c>
    </row>
    <row r="1723" spans="1:5" x14ac:dyDescent="0.25">
      <c r="A1723" t="s">
        <v>1</v>
      </c>
      <c r="B1723">
        <v>1200203</v>
      </c>
      <c r="C1723">
        <v>5587.5</v>
      </c>
      <c r="D1723" s="4">
        <f>+VLOOKUP(A1723,Portfolio!$G$3:$I$6,3)</f>
        <v>1</v>
      </c>
      <c r="E1723">
        <f t="shared" si="26"/>
        <v>5587.5</v>
      </c>
    </row>
    <row r="1724" spans="1:5" x14ac:dyDescent="0.25">
      <c r="A1724" t="s">
        <v>1</v>
      </c>
      <c r="B1724">
        <v>1200204</v>
      </c>
      <c r="C1724">
        <v>5650</v>
      </c>
      <c r="D1724" s="4">
        <f>+VLOOKUP(A1724,Portfolio!$G$3:$I$6,3)</f>
        <v>1</v>
      </c>
      <c r="E1724">
        <f t="shared" si="26"/>
        <v>5650</v>
      </c>
    </row>
    <row r="1725" spans="1:5" x14ac:dyDescent="0.25">
      <c r="A1725" t="s">
        <v>1</v>
      </c>
      <c r="B1725">
        <v>1200205</v>
      </c>
      <c r="C1725">
        <v>6300</v>
      </c>
      <c r="D1725" s="4">
        <f>+VLOOKUP(A1725,Portfolio!$G$3:$I$6,3)</f>
        <v>1</v>
      </c>
      <c r="E1725">
        <f t="shared" si="26"/>
        <v>6300</v>
      </c>
    </row>
    <row r="1726" spans="1:5" x14ac:dyDescent="0.25">
      <c r="A1726" t="s">
        <v>1</v>
      </c>
      <c r="B1726">
        <v>1200206</v>
      </c>
      <c r="C1726">
        <v>6825</v>
      </c>
      <c r="D1726" s="4">
        <f>+VLOOKUP(A1726,Portfolio!$G$3:$I$6,3)</f>
        <v>1</v>
      </c>
      <c r="E1726">
        <f t="shared" si="26"/>
        <v>6825</v>
      </c>
    </row>
    <row r="1727" spans="1:5" x14ac:dyDescent="0.25">
      <c r="A1727" t="s">
        <v>1</v>
      </c>
      <c r="B1727">
        <v>1200207</v>
      </c>
      <c r="C1727">
        <v>6806.25</v>
      </c>
      <c r="D1727" s="4">
        <f>+VLOOKUP(A1727,Portfolio!$G$3:$I$6,3)</f>
        <v>1</v>
      </c>
      <c r="E1727">
        <f t="shared" si="26"/>
        <v>6806.25</v>
      </c>
    </row>
    <row r="1728" spans="1:5" x14ac:dyDescent="0.25">
      <c r="A1728" t="s">
        <v>1</v>
      </c>
      <c r="B1728">
        <v>1200209</v>
      </c>
      <c r="C1728">
        <v>6643.75</v>
      </c>
      <c r="D1728" s="4">
        <f>+VLOOKUP(A1728,Portfolio!$G$3:$I$6,3)</f>
        <v>1</v>
      </c>
      <c r="E1728">
        <f t="shared" si="26"/>
        <v>6643.75</v>
      </c>
    </row>
    <row r="1729" spans="1:5" x14ac:dyDescent="0.25">
      <c r="A1729" t="s">
        <v>1</v>
      </c>
      <c r="B1729">
        <v>1200210</v>
      </c>
      <c r="C1729">
        <v>6475</v>
      </c>
      <c r="D1729" s="4">
        <f>+VLOOKUP(A1729,Portfolio!$G$3:$I$6,3)</f>
        <v>1</v>
      </c>
      <c r="E1729">
        <f t="shared" si="26"/>
        <v>6475</v>
      </c>
    </row>
    <row r="1730" spans="1:5" x14ac:dyDescent="0.25">
      <c r="A1730" t="s">
        <v>1</v>
      </c>
      <c r="B1730">
        <v>1200211</v>
      </c>
      <c r="C1730">
        <v>6450</v>
      </c>
      <c r="D1730" s="4">
        <f>+VLOOKUP(A1730,Portfolio!$G$3:$I$6,3)</f>
        <v>1</v>
      </c>
      <c r="E1730">
        <f t="shared" si="26"/>
        <v>6450</v>
      </c>
    </row>
    <row r="1731" spans="1:5" x14ac:dyDescent="0.25">
      <c r="A1731" t="s">
        <v>1</v>
      </c>
      <c r="B1731">
        <v>1200212</v>
      </c>
      <c r="C1731">
        <v>6106.25</v>
      </c>
      <c r="D1731" s="4">
        <f>+VLOOKUP(A1731,Portfolio!$G$3:$I$6,3)</f>
        <v>1</v>
      </c>
      <c r="E1731">
        <f t="shared" ref="E1731:E1794" si="27">+C1731*D1731</f>
        <v>6106.25</v>
      </c>
    </row>
    <row r="1732" spans="1:5" x14ac:dyDescent="0.25">
      <c r="A1732" t="s">
        <v>1</v>
      </c>
      <c r="B1732">
        <v>1200213</v>
      </c>
      <c r="C1732">
        <v>6118.75</v>
      </c>
      <c r="D1732" s="4">
        <f>+VLOOKUP(A1732,Portfolio!$G$3:$I$6,3)</f>
        <v>1</v>
      </c>
      <c r="E1732">
        <f t="shared" si="27"/>
        <v>6118.75</v>
      </c>
    </row>
    <row r="1733" spans="1:5" x14ac:dyDescent="0.25">
      <c r="A1733" t="s">
        <v>1</v>
      </c>
      <c r="B1733">
        <v>1200214</v>
      </c>
      <c r="C1733">
        <v>6125</v>
      </c>
      <c r="D1733" s="4">
        <f>+VLOOKUP(A1733,Portfolio!$G$3:$I$6,3)</f>
        <v>1</v>
      </c>
      <c r="E1733">
        <f t="shared" si="27"/>
        <v>6125</v>
      </c>
    </row>
    <row r="1734" spans="1:5" x14ac:dyDescent="0.25">
      <c r="A1734" t="s">
        <v>1</v>
      </c>
      <c r="B1734">
        <v>1200216</v>
      </c>
      <c r="C1734">
        <v>5962.5</v>
      </c>
      <c r="D1734" s="4">
        <f>+VLOOKUP(A1734,Portfolio!$G$3:$I$6,3)</f>
        <v>1</v>
      </c>
      <c r="E1734">
        <f t="shared" si="27"/>
        <v>5962.5</v>
      </c>
    </row>
    <row r="1735" spans="1:5" x14ac:dyDescent="0.25">
      <c r="A1735" t="s">
        <v>1</v>
      </c>
      <c r="B1735">
        <v>1200217</v>
      </c>
      <c r="C1735">
        <v>5850</v>
      </c>
      <c r="D1735" s="4">
        <f>+VLOOKUP(A1735,Portfolio!$G$3:$I$6,3)</f>
        <v>1</v>
      </c>
      <c r="E1735">
        <f t="shared" si="27"/>
        <v>5850</v>
      </c>
    </row>
    <row r="1736" spans="1:5" x14ac:dyDescent="0.25">
      <c r="A1736" t="s">
        <v>1</v>
      </c>
      <c r="B1736">
        <v>1200218</v>
      </c>
      <c r="C1736">
        <v>5887.5</v>
      </c>
      <c r="D1736" s="4">
        <f>+VLOOKUP(A1736,Portfolio!$G$3:$I$6,3)</f>
        <v>1</v>
      </c>
      <c r="E1736">
        <f t="shared" si="27"/>
        <v>5887.5</v>
      </c>
    </row>
    <row r="1737" spans="1:5" x14ac:dyDescent="0.25">
      <c r="A1737" t="s">
        <v>1</v>
      </c>
      <c r="B1737">
        <v>1200219</v>
      </c>
      <c r="C1737">
        <v>6162.5</v>
      </c>
      <c r="D1737" s="4">
        <f>+VLOOKUP(A1737,Portfolio!$G$3:$I$6,3)</f>
        <v>1</v>
      </c>
      <c r="E1737">
        <f t="shared" si="27"/>
        <v>6162.5</v>
      </c>
    </row>
    <row r="1738" spans="1:5" x14ac:dyDescent="0.25">
      <c r="A1738" t="s">
        <v>1</v>
      </c>
      <c r="B1738">
        <v>1200220</v>
      </c>
      <c r="C1738">
        <v>7550</v>
      </c>
      <c r="D1738" s="4">
        <f>+VLOOKUP(A1738,Portfolio!$G$3:$I$6,3)</f>
        <v>1</v>
      </c>
      <c r="E1738">
        <f t="shared" si="27"/>
        <v>7550</v>
      </c>
    </row>
    <row r="1739" spans="1:5" x14ac:dyDescent="0.25">
      <c r="A1739" t="s">
        <v>1</v>
      </c>
      <c r="B1739">
        <v>1200221</v>
      </c>
      <c r="C1739">
        <v>8118.75</v>
      </c>
      <c r="D1739" s="4">
        <f>+VLOOKUP(A1739,Portfolio!$G$3:$I$6,3)</f>
        <v>1</v>
      </c>
      <c r="E1739">
        <f t="shared" si="27"/>
        <v>8118.75</v>
      </c>
    </row>
    <row r="1740" spans="1:5" x14ac:dyDescent="0.25">
      <c r="A1740" t="s">
        <v>1</v>
      </c>
      <c r="B1740">
        <v>1200223</v>
      </c>
      <c r="C1740">
        <v>7600</v>
      </c>
      <c r="D1740" s="4">
        <f>+VLOOKUP(A1740,Portfolio!$G$3:$I$6,3)</f>
        <v>1</v>
      </c>
      <c r="E1740">
        <f t="shared" si="27"/>
        <v>7600</v>
      </c>
    </row>
    <row r="1741" spans="1:5" x14ac:dyDescent="0.25">
      <c r="A1741" t="s">
        <v>1</v>
      </c>
      <c r="B1741">
        <v>1200224</v>
      </c>
      <c r="C1741">
        <v>7575</v>
      </c>
      <c r="D1741" s="4">
        <f>+VLOOKUP(A1741,Portfolio!$G$3:$I$6,3)</f>
        <v>1</v>
      </c>
      <c r="E1741">
        <f t="shared" si="27"/>
        <v>7575</v>
      </c>
    </row>
    <row r="1742" spans="1:5" x14ac:dyDescent="0.25">
      <c r="A1742" t="s">
        <v>1</v>
      </c>
      <c r="B1742">
        <v>1200225</v>
      </c>
      <c r="C1742">
        <v>8343.75</v>
      </c>
      <c r="D1742" s="4">
        <f>+VLOOKUP(A1742,Portfolio!$G$3:$I$6,3)</f>
        <v>1</v>
      </c>
      <c r="E1742">
        <f t="shared" si="27"/>
        <v>8343.75</v>
      </c>
    </row>
    <row r="1743" spans="1:5" x14ac:dyDescent="0.25">
      <c r="A1743" t="s">
        <v>1</v>
      </c>
      <c r="B1743">
        <v>1200226</v>
      </c>
      <c r="C1743">
        <v>8787.5</v>
      </c>
      <c r="D1743" s="4">
        <f>+VLOOKUP(A1743,Portfolio!$G$3:$I$6,3)</f>
        <v>1</v>
      </c>
      <c r="E1743">
        <f t="shared" si="27"/>
        <v>8787.5</v>
      </c>
    </row>
    <row r="1744" spans="1:5" x14ac:dyDescent="0.25">
      <c r="A1744" t="s">
        <v>1</v>
      </c>
      <c r="B1744">
        <v>1200227</v>
      </c>
      <c r="C1744">
        <v>8125</v>
      </c>
      <c r="D1744" s="4">
        <f>+VLOOKUP(A1744,Portfolio!$G$3:$I$6,3)</f>
        <v>1</v>
      </c>
      <c r="E1744">
        <f t="shared" si="27"/>
        <v>8125</v>
      </c>
    </row>
    <row r="1745" spans="1:5" x14ac:dyDescent="0.25">
      <c r="A1745" t="s">
        <v>1</v>
      </c>
      <c r="B1745">
        <v>1200228</v>
      </c>
      <c r="C1745">
        <v>8518.75</v>
      </c>
      <c r="D1745" s="4">
        <f>+VLOOKUP(A1745,Portfolio!$G$3:$I$6,3)</f>
        <v>1</v>
      </c>
      <c r="E1745">
        <f t="shared" si="27"/>
        <v>8518.75</v>
      </c>
    </row>
    <row r="1746" spans="1:5" x14ac:dyDescent="0.25">
      <c r="A1746" t="s">
        <v>1</v>
      </c>
      <c r="B1746">
        <v>1200301</v>
      </c>
      <c r="C1746">
        <v>9812.5</v>
      </c>
      <c r="D1746" s="4">
        <f>+VLOOKUP(A1746,Portfolio!$G$3:$I$6,3)</f>
        <v>1</v>
      </c>
      <c r="E1746">
        <f t="shared" si="27"/>
        <v>9812.5</v>
      </c>
    </row>
    <row r="1747" spans="1:5" x14ac:dyDescent="0.25">
      <c r="A1747" t="s">
        <v>1</v>
      </c>
      <c r="B1747">
        <v>1200302</v>
      </c>
      <c r="C1747">
        <v>9181.25</v>
      </c>
      <c r="D1747" s="4">
        <f>+VLOOKUP(A1747,Portfolio!$G$3:$I$6,3)</f>
        <v>1</v>
      </c>
      <c r="E1747">
        <f t="shared" si="27"/>
        <v>9181.25</v>
      </c>
    </row>
    <row r="1748" spans="1:5" x14ac:dyDescent="0.25">
      <c r="A1748" t="s">
        <v>1</v>
      </c>
      <c r="B1748">
        <v>1200303</v>
      </c>
      <c r="C1748">
        <v>8225</v>
      </c>
      <c r="D1748" s="4">
        <f>+VLOOKUP(A1748,Portfolio!$G$3:$I$6,3)</f>
        <v>1</v>
      </c>
      <c r="E1748">
        <f t="shared" si="27"/>
        <v>8225</v>
      </c>
    </row>
    <row r="1749" spans="1:5" x14ac:dyDescent="0.25">
      <c r="A1749" t="s">
        <v>1</v>
      </c>
      <c r="B1749">
        <v>1200304</v>
      </c>
      <c r="C1749">
        <v>8793.75</v>
      </c>
      <c r="D1749" s="4">
        <f>+VLOOKUP(A1749,Portfolio!$G$3:$I$6,3)</f>
        <v>1</v>
      </c>
      <c r="E1749">
        <f t="shared" si="27"/>
        <v>8793.75</v>
      </c>
    </row>
    <row r="1750" spans="1:5" x14ac:dyDescent="0.25">
      <c r="A1750" t="s">
        <v>1</v>
      </c>
      <c r="B1750">
        <v>1200305</v>
      </c>
      <c r="C1750">
        <v>7800</v>
      </c>
      <c r="D1750" s="4">
        <f>+VLOOKUP(A1750,Portfolio!$G$3:$I$6,3)</f>
        <v>1</v>
      </c>
      <c r="E1750">
        <f t="shared" si="27"/>
        <v>7800</v>
      </c>
    </row>
    <row r="1751" spans="1:5" x14ac:dyDescent="0.25">
      <c r="A1751" t="s">
        <v>1</v>
      </c>
      <c r="B1751">
        <v>1200306</v>
      </c>
      <c r="C1751">
        <v>9518.75</v>
      </c>
      <c r="D1751" s="4">
        <f>+VLOOKUP(A1751,Portfolio!$G$3:$I$6,3)</f>
        <v>1</v>
      </c>
      <c r="E1751">
        <f t="shared" si="27"/>
        <v>9518.75</v>
      </c>
    </row>
    <row r="1752" spans="1:5" x14ac:dyDescent="0.25">
      <c r="A1752" t="s">
        <v>1</v>
      </c>
      <c r="B1752">
        <v>1200308</v>
      </c>
      <c r="C1752">
        <v>11850</v>
      </c>
      <c r="D1752" s="4">
        <f>+VLOOKUP(A1752,Portfolio!$G$3:$I$6,3)</f>
        <v>1</v>
      </c>
      <c r="E1752">
        <f t="shared" si="27"/>
        <v>11850</v>
      </c>
    </row>
    <row r="1753" spans="1:5" x14ac:dyDescent="0.25">
      <c r="A1753" t="s">
        <v>1</v>
      </c>
      <c r="B1753">
        <v>1200309</v>
      </c>
      <c r="C1753">
        <v>12975</v>
      </c>
      <c r="D1753" s="4">
        <f>+VLOOKUP(A1753,Portfolio!$G$3:$I$6,3)</f>
        <v>1</v>
      </c>
      <c r="E1753">
        <f t="shared" si="27"/>
        <v>12975</v>
      </c>
    </row>
    <row r="1754" spans="1:5" x14ac:dyDescent="0.25">
      <c r="A1754" t="s">
        <v>1</v>
      </c>
      <c r="B1754">
        <v>1200310</v>
      </c>
      <c r="C1754">
        <v>14675</v>
      </c>
      <c r="D1754" s="4">
        <f>+VLOOKUP(A1754,Portfolio!$G$3:$I$6,3)</f>
        <v>1</v>
      </c>
      <c r="E1754">
        <f t="shared" si="27"/>
        <v>14675</v>
      </c>
    </row>
    <row r="1755" spans="1:5" x14ac:dyDescent="0.25">
      <c r="A1755" t="s">
        <v>1</v>
      </c>
      <c r="B1755">
        <v>1200311</v>
      </c>
      <c r="C1755">
        <v>11512.5</v>
      </c>
      <c r="D1755" s="4">
        <f>+VLOOKUP(A1755,Portfolio!$G$3:$I$6,3)</f>
        <v>1</v>
      </c>
      <c r="E1755">
        <f t="shared" si="27"/>
        <v>11512.5</v>
      </c>
    </row>
    <row r="1756" spans="1:5" x14ac:dyDescent="0.25">
      <c r="A1756" t="s">
        <v>1</v>
      </c>
      <c r="B1756">
        <v>1200312</v>
      </c>
      <c r="C1756">
        <v>11762.5</v>
      </c>
      <c r="D1756" s="4">
        <f>+VLOOKUP(A1756,Portfolio!$G$3:$I$6,3)</f>
        <v>1</v>
      </c>
      <c r="E1756">
        <f t="shared" si="27"/>
        <v>11762.5</v>
      </c>
    </row>
    <row r="1757" spans="1:5" x14ac:dyDescent="0.25">
      <c r="A1757" t="s">
        <v>1</v>
      </c>
      <c r="B1757">
        <v>1200313</v>
      </c>
      <c r="C1757">
        <v>13475</v>
      </c>
      <c r="D1757" s="4">
        <f>+VLOOKUP(A1757,Portfolio!$G$3:$I$6,3)</f>
        <v>1</v>
      </c>
      <c r="E1757">
        <f t="shared" si="27"/>
        <v>13475</v>
      </c>
    </row>
    <row r="1758" spans="1:5" x14ac:dyDescent="0.25">
      <c r="A1758" t="s">
        <v>1</v>
      </c>
      <c r="B1758">
        <v>1200315</v>
      </c>
      <c r="C1758">
        <v>14306.25</v>
      </c>
      <c r="D1758" s="4">
        <f>+VLOOKUP(A1758,Portfolio!$G$3:$I$6,3)</f>
        <v>1</v>
      </c>
      <c r="E1758">
        <f t="shared" si="27"/>
        <v>14306.25</v>
      </c>
    </row>
    <row r="1759" spans="1:5" x14ac:dyDescent="0.25">
      <c r="A1759" t="s">
        <v>1</v>
      </c>
      <c r="B1759">
        <v>1200316</v>
      </c>
      <c r="C1759">
        <v>14725</v>
      </c>
      <c r="D1759" s="4">
        <f>+VLOOKUP(A1759,Portfolio!$G$3:$I$6,3)</f>
        <v>1</v>
      </c>
      <c r="E1759">
        <f t="shared" si="27"/>
        <v>14725</v>
      </c>
    </row>
    <row r="1760" spans="1:5" x14ac:dyDescent="0.25">
      <c r="A1760" t="s">
        <v>1</v>
      </c>
      <c r="B1760">
        <v>1200317</v>
      </c>
      <c r="C1760">
        <v>12462.5</v>
      </c>
      <c r="D1760" s="4">
        <f>+VLOOKUP(A1760,Portfolio!$G$3:$I$6,3)</f>
        <v>1</v>
      </c>
      <c r="E1760">
        <f t="shared" si="27"/>
        <v>12462.5</v>
      </c>
    </row>
    <row r="1761" spans="1:5" x14ac:dyDescent="0.25">
      <c r="A1761" t="s">
        <v>1</v>
      </c>
      <c r="B1761">
        <v>1200318</v>
      </c>
      <c r="C1761">
        <v>13193.75</v>
      </c>
      <c r="D1761" s="4">
        <f>+VLOOKUP(A1761,Portfolio!$G$3:$I$6,3)</f>
        <v>1</v>
      </c>
      <c r="E1761">
        <f t="shared" si="27"/>
        <v>13193.75</v>
      </c>
    </row>
    <row r="1762" spans="1:5" x14ac:dyDescent="0.25">
      <c r="A1762" t="s">
        <v>1</v>
      </c>
      <c r="B1762">
        <v>1200319</v>
      </c>
      <c r="C1762">
        <v>15087.5</v>
      </c>
      <c r="D1762" s="4">
        <f>+VLOOKUP(A1762,Portfolio!$G$3:$I$6,3)</f>
        <v>1</v>
      </c>
      <c r="E1762">
        <f t="shared" si="27"/>
        <v>15087.5</v>
      </c>
    </row>
    <row r="1763" spans="1:5" x14ac:dyDescent="0.25">
      <c r="A1763" t="s">
        <v>1</v>
      </c>
      <c r="B1763">
        <v>1200320</v>
      </c>
      <c r="C1763">
        <v>15950</v>
      </c>
      <c r="D1763" s="4">
        <f>+VLOOKUP(A1763,Portfolio!$G$3:$I$6,3)</f>
        <v>1</v>
      </c>
      <c r="E1763">
        <f t="shared" si="27"/>
        <v>15950</v>
      </c>
    </row>
    <row r="1764" spans="1:5" x14ac:dyDescent="0.25">
      <c r="A1764" t="s">
        <v>1</v>
      </c>
      <c r="B1764">
        <v>1200322</v>
      </c>
      <c r="C1764">
        <v>17187.5</v>
      </c>
      <c r="D1764" s="4">
        <f>+VLOOKUP(A1764,Portfolio!$G$3:$I$6,3)</f>
        <v>1</v>
      </c>
      <c r="E1764">
        <f t="shared" si="27"/>
        <v>17187.5</v>
      </c>
    </row>
    <row r="1765" spans="1:5" x14ac:dyDescent="0.25">
      <c r="A1765" t="s">
        <v>1</v>
      </c>
      <c r="B1765">
        <v>1200323</v>
      </c>
      <c r="C1765">
        <v>16181.25</v>
      </c>
      <c r="D1765" s="4">
        <f>+VLOOKUP(A1765,Portfolio!$G$3:$I$6,3)</f>
        <v>1</v>
      </c>
      <c r="E1765">
        <f t="shared" si="27"/>
        <v>16181.25</v>
      </c>
    </row>
    <row r="1766" spans="1:5" x14ac:dyDescent="0.25">
      <c r="A1766" t="s">
        <v>1</v>
      </c>
      <c r="B1766">
        <v>1200324</v>
      </c>
      <c r="C1766">
        <v>14875</v>
      </c>
      <c r="D1766" s="4">
        <f>+VLOOKUP(A1766,Portfolio!$G$3:$I$6,3)</f>
        <v>1</v>
      </c>
      <c r="E1766">
        <f t="shared" si="27"/>
        <v>14875</v>
      </c>
    </row>
    <row r="1767" spans="1:5" x14ac:dyDescent="0.25">
      <c r="A1767" t="s">
        <v>1</v>
      </c>
      <c r="B1767">
        <v>1200325</v>
      </c>
      <c r="C1767">
        <v>15881.25</v>
      </c>
      <c r="D1767" s="4">
        <f>+VLOOKUP(A1767,Portfolio!$G$3:$I$6,3)</f>
        <v>1</v>
      </c>
      <c r="E1767">
        <f t="shared" si="27"/>
        <v>15881.25</v>
      </c>
    </row>
    <row r="1768" spans="1:5" x14ac:dyDescent="0.25">
      <c r="A1768" t="s">
        <v>1</v>
      </c>
      <c r="B1768">
        <v>1200326</v>
      </c>
      <c r="C1768">
        <v>15312.5</v>
      </c>
      <c r="D1768" s="4">
        <f>+VLOOKUP(A1768,Portfolio!$G$3:$I$6,3)</f>
        <v>1</v>
      </c>
      <c r="E1768">
        <f t="shared" si="27"/>
        <v>15312.5</v>
      </c>
    </row>
    <row r="1769" spans="1:5" x14ac:dyDescent="0.25">
      <c r="A1769" t="s">
        <v>1</v>
      </c>
      <c r="B1769">
        <v>1200327</v>
      </c>
      <c r="C1769">
        <v>17762.5</v>
      </c>
      <c r="D1769" s="4">
        <f>+VLOOKUP(A1769,Portfolio!$G$3:$I$6,3)</f>
        <v>1</v>
      </c>
      <c r="E1769">
        <f t="shared" si="27"/>
        <v>17762.5</v>
      </c>
    </row>
    <row r="1770" spans="1:5" x14ac:dyDescent="0.25">
      <c r="A1770" t="s">
        <v>1</v>
      </c>
      <c r="B1770">
        <v>1200329</v>
      </c>
      <c r="C1770">
        <v>18518.75</v>
      </c>
      <c r="D1770" s="4">
        <f>+VLOOKUP(A1770,Portfolio!$G$3:$I$6,3)</f>
        <v>1</v>
      </c>
      <c r="E1770">
        <f t="shared" si="27"/>
        <v>18518.75</v>
      </c>
    </row>
    <row r="1771" spans="1:5" x14ac:dyDescent="0.25">
      <c r="A1771" t="s">
        <v>1</v>
      </c>
      <c r="B1771">
        <v>1200330</v>
      </c>
      <c r="C1771">
        <v>18550</v>
      </c>
      <c r="D1771" s="4">
        <f>+VLOOKUP(A1771,Portfolio!$G$3:$I$6,3)</f>
        <v>1</v>
      </c>
      <c r="E1771">
        <f t="shared" si="27"/>
        <v>18550</v>
      </c>
    </row>
    <row r="1772" spans="1:5" x14ac:dyDescent="0.25">
      <c r="A1772" t="s">
        <v>1</v>
      </c>
      <c r="B1772">
        <v>1200331</v>
      </c>
      <c r="C1772">
        <v>17962.5</v>
      </c>
      <c r="D1772" s="4">
        <f>+VLOOKUP(A1772,Portfolio!$G$3:$I$6,3)</f>
        <v>1</v>
      </c>
      <c r="E1772">
        <f t="shared" si="27"/>
        <v>17962.5</v>
      </c>
    </row>
    <row r="1773" spans="1:5" x14ac:dyDescent="0.25">
      <c r="A1773" t="s">
        <v>1</v>
      </c>
      <c r="B1773">
        <v>1200401</v>
      </c>
      <c r="C1773">
        <v>18437.5</v>
      </c>
      <c r="D1773" s="4">
        <f>+VLOOKUP(A1773,Portfolio!$G$3:$I$6,3)</f>
        <v>1</v>
      </c>
      <c r="E1773">
        <f t="shared" si="27"/>
        <v>18437.5</v>
      </c>
    </row>
    <row r="1774" spans="1:5" x14ac:dyDescent="0.25">
      <c r="A1774" t="s">
        <v>1</v>
      </c>
      <c r="B1774">
        <v>1200402</v>
      </c>
      <c r="C1774">
        <v>18681.25</v>
      </c>
      <c r="D1774" s="4">
        <f>+VLOOKUP(A1774,Portfolio!$G$3:$I$6,3)</f>
        <v>1</v>
      </c>
      <c r="E1774">
        <f t="shared" si="27"/>
        <v>18681.25</v>
      </c>
    </row>
    <row r="1775" spans="1:5" x14ac:dyDescent="0.25">
      <c r="A1775" t="s">
        <v>1</v>
      </c>
      <c r="B1775">
        <v>1200403</v>
      </c>
      <c r="C1775">
        <v>19293.75</v>
      </c>
      <c r="D1775" s="4">
        <f>+VLOOKUP(A1775,Portfolio!$G$3:$I$6,3)</f>
        <v>1</v>
      </c>
      <c r="E1775">
        <f t="shared" si="27"/>
        <v>19293.75</v>
      </c>
    </row>
    <row r="1776" spans="1:5" x14ac:dyDescent="0.25">
      <c r="A1776" t="s">
        <v>1</v>
      </c>
      <c r="B1776">
        <v>1200405</v>
      </c>
      <c r="C1776">
        <v>19850</v>
      </c>
      <c r="D1776" s="4">
        <f>+VLOOKUP(A1776,Portfolio!$G$3:$I$6,3)</f>
        <v>1</v>
      </c>
      <c r="E1776">
        <f t="shared" si="27"/>
        <v>19850</v>
      </c>
    </row>
    <row r="1777" spans="1:5" x14ac:dyDescent="0.25">
      <c r="A1777" t="s">
        <v>1</v>
      </c>
      <c r="B1777">
        <v>1200406</v>
      </c>
      <c r="C1777">
        <v>20375</v>
      </c>
      <c r="D1777" s="4">
        <f>+VLOOKUP(A1777,Portfolio!$G$3:$I$6,3)</f>
        <v>1</v>
      </c>
      <c r="E1777">
        <f t="shared" si="27"/>
        <v>20375</v>
      </c>
    </row>
    <row r="1778" spans="1:5" x14ac:dyDescent="0.25">
      <c r="A1778" t="s">
        <v>1</v>
      </c>
      <c r="B1778">
        <v>1200407</v>
      </c>
      <c r="C1778">
        <v>20868.75</v>
      </c>
      <c r="D1778" s="4">
        <f>+VLOOKUP(A1778,Portfolio!$G$3:$I$6,3)</f>
        <v>1</v>
      </c>
      <c r="E1778">
        <f t="shared" si="27"/>
        <v>20868.75</v>
      </c>
    </row>
    <row r="1779" spans="1:5" x14ac:dyDescent="0.25">
      <c r="A1779" t="s">
        <v>1</v>
      </c>
      <c r="B1779">
        <v>1200408</v>
      </c>
      <c r="C1779">
        <v>20756.25</v>
      </c>
      <c r="D1779" s="4">
        <f>+VLOOKUP(A1779,Portfolio!$G$3:$I$6,3)</f>
        <v>1</v>
      </c>
      <c r="E1779">
        <f t="shared" si="27"/>
        <v>20756.25</v>
      </c>
    </row>
    <row r="1780" spans="1:5" x14ac:dyDescent="0.25">
      <c r="A1780" t="s">
        <v>1</v>
      </c>
      <c r="B1780">
        <v>1200409</v>
      </c>
      <c r="C1780">
        <v>20493.75</v>
      </c>
      <c r="D1780" s="4">
        <f>+VLOOKUP(A1780,Portfolio!$G$3:$I$6,3)</f>
        <v>1</v>
      </c>
      <c r="E1780">
        <f t="shared" si="27"/>
        <v>20493.75</v>
      </c>
    </row>
    <row r="1781" spans="1:5" x14ac:dyDescent="0.25">
      <c r="A1781" t="s">
        <v>1</v>
      </c>
      <c r="B1781">
        <v>1200412</v>
      </c>
      <c r="C1781">
        <v>20606.25</v>
      </c>
      <c r="D1781" s="4">
        <f>+VLOOKUP(A1781,Portfolio!$G$3:$I$6,3)</f>
        <v>1</v>
      </c>
      <c r="E1781">
        <f t="shared" si="27"/>
        <v>20606.25</v>
      </c>
    </row>
    <row r="1782" spans="1:5" x14ac:dyDescent="0.25">
      <c r="A1782" t="s">
        <v>1</v>
      </c>
      <c r="B1782">
        <v>1200413</v>
      </c>
      <c r="C1782">
        <v>21075</v>
      </c>
      <c r="D1782" s="4">
        <f>+VLOOKUP(A1782,Portfolio!$G$3:$I$6,3)</f>
        <v>1</v>
      </c>
      <c r="E1782">
        <f t="shared" si="27"/>
        <v>21075</v>
      </c>
    </row>
    <row r="1783" spans="1:5" x14ac:dyDescent="0.25">
      <c r="A1783" t="s">
        <v>1</v>
      </c>
      <c r="B1783">
        <v>1200414</v>
      </c>
      <c r="C1783">
        <v>21287.5</v>
      </c>
      <c r="D1783" s="4">
        <f>+VLOOKUP(A1783,Portfolio!$G$3:$I$6,3)</f>
        <v>1</v>
      </c>
      <c r="E1783">
        <f t="shared" si="27"/>
        <v>21287.5</v>
      </c>
    </row>
    <row r="1784" spans="1:5" x14ac:dyDescent="0.25">
      <c r="A1784" t="s">
        <v>1</v>
      </c>
      <c r="B1784">
        <v>1200415</v>
      </c>
      <c r="C1784">
        <v>21931.25</v>
      </c>
      <c r="D1784" s="4">
        <f>+VLOOKUP(A1784,Portfolio!$G$3:$I$6,3)</f>
        <v>1</v>
      </c>
      <c r="E1784">
        <f t="shared" si="27"/>
        <v>21931.25</v>
      </c>
    </row>
    <row r="1785" spans="1:5" x14ac:dyDescent="0.25">
      <c r="A1785" t="s">
        <v>1</v>
      </c>
      <c r="B1785">
        <v>1200416</v>
      </c>
      <c r="C1785">
        <v>21893.75</v>
      </c>
      <c r="D1785" s="4">
        <f>+VLOOKUP(A1785,Portfolio!$G$3:$I$6,3)</f>
        <v>1</v>
      </c>
      <c r="E1785">
        <f t="shared" si="27"/>
        <v>21893.75</v>
      </c>
    </row>
    <row r="1786" spans="1:5" x14ac:dyDescent="0.25">
      <c r="A1786" t="s">
        <v>1</v>
      </c>
      <c r="B1786">
        <v>1200417</v>
      </c>
      <c r="C1786">
        <v>21162.5</v>
      </c>
      <c r="D1786" s="4">
        <f>+VLOOKUP(A1786,Portfolio!$G$3:$I$6,3)</f>
        <v>1</v>
      </c>
      <c r="E1786">
        <f t="shared" si="27"/>
        <v>21162.5</v>
      </c>
    </row>
    <row r="1787" spans="1:5" x14ac:dyDescent="0.25">
      <c r="A1787" t="s">
        <v>1</v>
      </c>
      <c r="B1787">
        <v>1200419</v>
      </c>
      <c r="C1787">
        <v>21031.25</v>
      </c>
      <c r="D1787" s="4">
        <f>+VLOOKUP(A1787,Portfolio!$G$3:$I$6,3)</f>
        <v>1</v>
      </c>
      <c r="E1787">
        <f t="shared" si="27"/>
        <v>21031.25</v>
      </c>
    </row>
    <row r="1788" spans="1:5" x14ac:dyDescent="0.25">
      <c r="A1788" t="s">
        <v>1</v>
      </c>
      <c r="B1788">
        <v>1200420</v>
      </c>
      <c r="C1788">
        <v>20818.75</v>
      </c>
      <c r="D1788" s="4">
        <f>+VLOOKUP(A1788,Portfolio!$G$3:$I$6,3)</f>
        <v>1</v>
      </c>
      <c r="E1788">
        <f t="shared" si="27"/>
        <v>20818.75</v>
      </c>
    </row>
    <row r="1789" spans="1:5" x14ac:dyDescent="0.25">
      <c r="A1789" t="s">
        <v>1</v>
      </c>
      <c r="B1789">
        <v>1200421</v>
      </c>
      <c r="C1789">
        <v>21143.75</v>
      </c>
      <c r="D1789" s="4">
        <f>+VLOOKUP(A1789,Portfolio!$G$3:$I$6,3)</f>
        <v>1</v>
      </c>
      <c r="E1789">
        <f t="shared" si="27"/>
        <v>21143.75</v>
      </c>
    </row>
    <row r="1790" spans="1:5" x14ac:dyDescent="0.25">
      <c r="A1790" t="s">
        <v>1</v>
      </c>
      <c r="B1790">
        <v>1200422</v>
      </c>
      <c r="C1790">
        <v>21287.5</v>
      </c>
      <c r="D1790" s="4">
        <f>+VLOOKUP(A1790,Portfolio!$G$3:$I$6,3)</f>
        <v>1</v>
      </c>
      <c r="E1790">
        <f t="shared" si="27"/>
        <v>21287.5</v>
      </c>
    </row>
    <row r="1791" spans="1:5" x14ac:dyDescent="0.25">
      <c r="A1791" t="s">
        <v>1</v>
      </c>
      <c r="B1791">
        <v>1200423</v>
      </c>
      <c r="C1791">
        <v>21481.25</v>
      </c>
      <c r="D1791" s="4">
        <f>+VLOOKUP(A1791,Portfolio!$G$3:$I$6,3)</f>
        <v>1</v>
      </c>
      <c r="E1791">
        <f t="shared" si="27"/>
        <v>21481.25</v>
      </c>
    </row>
    <row r="1792" spans="1:5" x14ac:dyDescent="0.25">
      <c r="A1792" t="s">
        <v>1</v>
      </c>
      <c r="B1792">
        <v>1200424</v>
      </c>
      <c r="C1792">
        <v>20456.25</v>
      </c>
      <c r="D1792" s="4">
        <f>+VLOOKUP(A1792,Portfolio!$G$3:$I$6,3)</f>
        <v>1</v>
      </c>
      <c r="E1792">
        <f t="shared" si="27"/>
        <v>20456.25</v>
      </c>
    </row>
    <row r="1793" spans="1:5" x14ac:dyDescent="0.25">
      <c r="A1793" t="s">
        <v>1</v>
      </c>
      <c r="B1793">
        <v>1200426</v>
      </c>
      <c r="C1793">
        <v>20650</v>
      </c>
      <c r="D1793" s="4">
        <f>+VLOOKUP(A1793,Portfolio!$G$3:$I$6,3)</f>
        <v>1</v>
      </c>
      <c r="E1793">
        <f t="shared" si="27"/>
        <v>20650</v>
      </c>
    </row>
    <row r="1794" spans="1:5" x14ac:dyDescent="0.25">
      <c r="A1794" t="s">
        <v>1</v>
      </c>
      <c r="B1794">
        <v>1200427</v>
      </c>
      <c r="C1794">
        <v>20843.75</v>
      </c>
      <c r="D1794" s="4">
        <f>+VLOOKUP(A1794,Portfolio!$G$3:$I$6,3)</f>
        <v>1</v>
      </c>
      <c r="E1794">
        <f t="shared" si="27"/>
        <v>20843.75</v>
      </c>
    </row>
    <row r="1795" spans="1:5" x14ac:dyDescent="0.25">
      <c r="A1795" t="s">
        <v>1</v>
      </c>
      <c r="B1795">
        <v>1200428</v>
      </c>
      <c r="C1795">
        <v>20862.5</v>
      </c>
      <c r="D1795" s="4">
        <f>+VLOOKUP(A1795,Portfolio!$G$3:$I$6,3)</f>
        <v>1</v>
      </c>
      <c r="E1795">
        <f t="shared" ref="E1795:E1858" si="28">+C1795*D1795</f>
        <v>20862.5</v>
      </c>
    </row>
    <row r="1796" spans="1:5" x14ac:dyDescent="0.25">
      <c r="A1796" t="s">
        <v>1</v>
      </c>
      <c r="B1796">
        <v>1200429</v>
      </c>
      <c r="C1796">
        <v>20175</v>
      </c>
      <c r="D1796" s="4">
        <f>+VLOOKUP(A1796,Portfolio!$G$3:$I$6,3)</f>
        <v>1</v>
      </c>
      <c r="E1796">
        <f t="shared" si="28"/>
        <v>20175</v>
      </c>
    </row>
    <row r="1797" spans="1:5" x14ac:dyDescent="0.25">
      <c r="A1797" t="s">
        <v>1</v>
      </c>
      <c r="B1797">
        <v>1200430</v>
      </c>
      <c r="C1797">
        <v>20100</v>
      </c>
      <c r="D1797" s="4">
        <f>+VLOOKUP(A1797,Portfolio!$G$3:$I$6,3)</f>
        <v>1</v>
      </c>
      <c r="E1797">
        <f t="shared" si="28"/>
        <v>20100</v>
      </c>
    </row>
    <row r="1798" spans="1:5" x14ac:dyDescent="0.25">
      <c r="A1798" t="s">
        <v>1</v>
      </c>
      <c r="B1798">
        <v>1200501</v>
      </c>
      <c r="C1798">
        <v>20331.25</v>
      </c>
      <c r="D1798" s="4">
        <f>+VLOOKUP(A1798,Portfolio!$G$3:$I$6,3)</f>
        <v>1</v>
      </c>
      <c r="E1798">
        <f t="shared" si="28"/>
        <v>20331.25</v>
      </c>
    </row>
    <row r="1799" spans="1:5" x14ac:dyDescent="0.25">
      <c r="A1799" t="s">
        <v>1</v>
      </c>
      <c r="B1799">
        <v>1200503</v>
      </c>
      <c r="C1799">
        <v>19818.75</v>
      </c>
      <c r="D1799" s="4">
        <f>+VLOOKUP(A1799,Portfolio!$G$3:$I$6,3)</f>
        <v>1</v>
      </c>
      <c r="E1799">
        <f t="shared" si="28"/>
        <v>19818.75</v>
      </c>
    </row>
    <row r="1800" spans="1:5" x14ac:dyDescent="0.25">
      <c r="A1800" t="s">
        <v>1</v>
      </c>
      <c r="B1800">
        <v>1200504</v>
      </c>
      <c r="C1800">
        <v>19950</v>
      </c>
      <c r="D1800" s="4">
        <f>+VLOOKUP(A1800,Portfolio!$G$3:$I$6,3)</f>
        <v>1</v>
      </c>
      <c r="E1800">
        <f t="shared" si="28"/>
        <v>19950</v>
      </c>
    </row>
    <row r="1801" spans="1:5" x14ac:dyDescent="0.25">
      <c r="A1801" t="s">
        <v>1</v>
      </c>
      <c r="B1801">
        <v>1200505</v>
      </c>
      <c r="C1801">
        <v>19731.25</v>
      </c>
      <c r="D1801" s="4">
        <f>+VLOOKUP(A1801,Portfolio!$G$3:$I$6,3)</f>
        <v>1</v>
      </c>
      <c r="E1801">
        <f t="shared" si="28"/>
        <v>19731.25</v>
      </c>
    </row>
    <row r="1802" spans="1:5" x14ac:dyDescent="0.25">
      <c r="A1802" t="s">
        <v>1</v>
      </c>
      <c r="B1802">
        <v>1200506</v>
      </c>
      <c r="C1802">
        <v>20031.25</v>
      </c>
      <c r="D1802" s="4">
        <f>+VLOOKUP(A1802,Portfolio!$G$3:$I$6,3)</f>
        <v>1</v>
      </c>
      <c r="E1802">
        <f t="shared" si="28"/>
        <v>20031.25</v>
      </c>
    </row>
    <row r="1803" spans="1:5" x14ac:dyDescent="0.25">
      <c r="A1803" t="s">
        <v>1</v>
      </c>
      <c r="B1803">
        <v>1200507</v>
      </c>
      <c r="C1803">
        <v>20156.25</v>
      </c>
      <c r="D1803" s="4">
        <f>+VLOOKUP(A1803,Portfolio!$G$3:$I$6,3)</f>
        <v>1</v>
      </c>
      <c r="E1803">
        <f t="shared" si="28"/>
        <v>20156.25</v>
      </c>
    </row>
    <row r="1804" spans="1:5" x14ac:dyDescent="0.25">
      <c r="A1804" t="s">
        <v>1</v>
      </c>
      <c r="B1804">
        <v>1200508</v>
      </c>
      <c r="C1804">
        <v>19543.75</v>
      </c>
      <c r="D1804" s="4">
        <f>+VLOOKUP(A1804,Portfolio!$G$3:$I$6,3)</f>
        <v>1</v>
      </c>
      <c r="E1804">
        <f t="shared" si="28"/>
        <v>19543.75</v>
      </c>
    </row>
    <row r="1805" spans="1:5" x14ac:dyDescent="0.25">
      <c r="A1805" t="s">
        <v>1</v>
      </c>
      <c r="B1805">
        <v>1200510</v>
      </c>
      <c r="C1805">
        <v>19768.75</v>
      </c>
      <c r="D1805" s="4">
        <f>+VLOOKUP(A1805,Portfolio!$G$3:$I$6,3)</f>
        <v>1</v>
      </c>
      <c r="E1805">
        <f t="shared" si="28"/>
        <v>19768.75</v>
      </c>
    </row>
    <row r="1806" spans="1:5" x14ac:dyDescent="0.25">
      <c r="A1806" t="s">
        <v>1</v>
      </c>
      <c r="B1806">
        <v>1200511</v>
      </c>
      <c r="C1806">
        <v>19843.75</v>
      </c>
      <c r="D1806" s="4">
        <f>+VLOOKUP(A1806,Portfolio!$G$3:$I$6,3)</f>
        <v>1</v>
      </c>
      <c r="E1806">
        <f t="shared" si="28"/>
        <v>19843.75</v>
      </c>
    </row>
    <row r="1807" spans="1:5" x14ac:dyDescent="0.25">
      <c r="A1807" t="s">
        <v>1</v>
      </c>
      <c r="B1807">
        <v>1200512</v>
      </c>
      <c r="C1807">
        <v>20350</v>
      </c>
      <c r="D1807" s="4">
        <f>+VLOOKUP(A1807,Portfolio!$G$3:$I$6,3)</f>
        <v>1</v>
      </c>
      <c r="E1807">
        <f t="shared" si="28"/>
        <v>20350</v>
      </c>
    </row>
    <row r="1808" spans="1:5" x14ac:dyDescent="0.25">
      <c r="A1808" t="s">
        <v>1</v>
      </c>
      <c r="B1808">
        <v>1200513</v>
      </c>
      <c r="C1808">
        <v>20618.75</v>
      </c>
      <c r="D1808" s="4">
        <f>+VLOOKUP(A1808,Portfolio!$G$3:$I$6,3)</f>
        <v>1</v>
      </c>
      <c r="E1808">
        <f t="shared" si="28"/>
        <v>20618.75</v>
      </c>
    </row>
    <row r="1809" spans="1:5" x14ac:dyDescent="0.25">
      <c r="A1809" t="s">
        <v>1</v>
      </c>
      <c r="B1809">
        <v>1200514</v>
      </c>
      <c r="C1809">
        <v>20912.5</v>
      </c>
      <c r="D1809" s="4">
        <f>+VLOOKUP(A1809,Portfolio!$G$3:$I$6,3)</f>
        <v>1</v>
      </c>
      <c r="E1809">
        <f t="shared" si="28"/>
        <v>20912.5</v>
      </c>
    </row>
    <row r="1810" spans="1:5" x14ac:dyDescent="0.25">
      <c r="A1810" t="s">
        <v>1</v>
      </c>
      <c r="B1810">
        <v>1200515</v>
      </c>
      <c r="C1810">
        <v>20881.25</v>
      </c>
      <c r="D1810" s="4">
        <f>+VLOOKUP(A1810,Portfolio!$G$3:$I$6,3)</f>
        <v>1</v>
      </c>
      <c r="E1810">
        <f t="shared" si="28"/>
        <v>20881.25</v>
      </c>
    </row>
    <row r="1811" spans="1:5" x14ac:dyDescent="0.25">
      <c r="A1811" t="s">
        <v>1</v>
      </c>
      <c r="B1811">
        <v>1200517</v>
      </c>
      <c r="C1811">
        <v>20406.25</v>
      </c>
      <c r="D1811" s="4">
        <f>+VLOOKUP(A1811,Portfolio!$G$3:$I$6,3)</f>
        <v>1</v>
      </c>
      <c r="E1811">
        <f t="shared" si="28"/>
        <v>20406.25</v>
      </c>
    </row>
    <row r="1812" spans="1:5" x14ac:dyDescent="0.25">
      <c r="A1812" t="s">
        <v>1</v>
      </c>
      <c r="B1812">
        <v>1200518</v>
      </c>
      <c r="C1812">
        <v>20256.25</v>
      </c>
      <c r="D1812" s="4">
        <f>+VLOOKUP(A1812,Portfolio!$G$3:$I$6,3)</f>
        <v>1</v>
      </c>
      <c r="E1812">
        <f t="shared" si="28"/>
        <v>20256.25</v>
      </c>
    </row>
    <row r="1813" spans="1:5" x14ac:dyDescent="0.25">
      <c r="A1813" t="s">
        <v>1</v>
      </c>
      <c r="B1813">
        <v>1200519</v>
      </c>
      <c r="C1813">
        <v>20600</v>
      </c>
      <c r="D1813" s="4">
        <f>+VLOOKUP(A1813,Portfolio!$G$3:$I$6,3)</f>
        <v>1</v>
      </c>
      <c r="E1813">
        <f t="shared" si="28"/>
        <v>20600</v>
      </c>
    </row>
    <row r="1814" spans="1:5" x14ac:dyDescent="0.25">
      <c r="A1814" t="s">
        <v>1</v>
      </c>
      <c r="B1814">
        <v>1200520</v>
      </c>
      <c r="C1814">
        <v>20937.5</v>
      </c>
      <c r="D1814" s="4">
        <f>+VLOOKUP(A1814,Portfolio!$G$3:$I$6,3)</f>
        <v>1</v>
      </c>
      <c r="E1814">
        <f t="shared" si="28"/>
        <v>20937.5</v>
      </c>
    </row>
    <row r="1815" spans="1:5" x14ac:dyDescent="0.25">
      <c r="A1815" t="s">
        <v>1</v>
      </c>
      <c r="B1815">
        <v>1200521</v>
      </c>
      <c r="C1815">
        <v>20718.75</v>
      </c>
      <c r="D1815" s="4">
        <f>+VLOOKUP(A1815,Portfolio!$G$3:$I$6,3)</f>
        <v>1</v>
      </c>
      <c r="E1815">
        <f t="shared" si="28"/>
        <v>20718.75</v>
      </c>
    </row>
    <row r="1816" spans="1:5" x14ac:dyDescent="0.25">
      <c r="A1816" t="s">
        <v>1</v>
      </c>
      <c r="B1816">
        <v>1200522</v>
      </c>
      <c r="C1816">
        <v>20931.25</v>
      </c>
      <c r="D1816" s="4">
        <f>+VLOOKUP(A1816,Portfolio!$G$3:$I$6,3)</f>
        <v>1</v>
      </c>
      <c r="E1816">
        <f t="shared" si="28"/>
        <v>20931.25</v>
      </c>
    </row>
    <row r="1817" spans="1:5" x14ac:dyDescent="0.25">
      <c r="A1817" t="s">
        <v>1</v>
      </c>
      <c r="B1817">
        <v>1200524</v>
      </c>
      <c r="C1817">
        <v>20981.25</v>
      </c>
      <c r="D1817" s="4">
        <f>+VLOOKUP(A1817,Portfolio!$G$3:$I$6,3)</f>
        <v>1</v>
      </c>
      <c r="E1817">
        <f t="shared" si="28"/>
        <v>20981.25</v>
      </c>
    </row>
    <row r="1818" spans="1:5" x14ac:dyDescent="0.25">
      <c r="A1818" t="s">
        <v>1</v>
      </c>
      <c r="B1818">
        <v>1200525</v>
      </c>
      <c r="C1818">
        <v>20950</v>
      </c>
      <c r="D1818" s="4">
        <f>+VLOOKUP(A1818,Portfolio!$G$3:$I$6,3)</f>
        <v>1</v>
      </c>
      <c r="E1818">
        <f t="shared" si="28"/>
        <v>20950</v>
      </c>
    </row>
    <row r="1819" spans="1:5" x14ac:dyDescent="0.25">
      <c r="A1819" t="s">
        <v>1</v>
      </c>
      <c r="B1819">
        <v>1200526</v>
      </c>
      <c r="C1819">
        <v>20943.75</v>
      </c>
      <c r="D1819" s="4">
        <f>+VLOOKUP(A1819,Portfolio!$G$3:$I$6,3)</f>
        <v>1</v>
      </c>
      <c r="E1819">
        <f t="shared" si="28"/>
        <v>20943.75</v>
      </c>
    </row>
    <row r="1820" spans="1:5" x14ac:dyDescent="0.25">
      <c r="A1820" t="s">
        <v>1</v>
      </c>
      <c r="B1820">
        <v>1200527</v>
      </c>
      <c r="C1820">
        <v>20925</v>
      </c>
      <c r="D1820" s="4">
        <f>+VLOOKUP(A1820,Portfolio!$G$3:$I$6,3)</f>
        <v>1</v>
      </c>
      <c r="E1820">
        <f t="shared" si="28"/>
        <v>20925</v>
      </c>
    </row>
    <row r="1821" spans="1:5" x14ac:dyDescent="0.25">
      <c r="A1821" t="s">
        <v>1</v>
      </c>
      <c r="B1821">
        <v>1200528</v>
      </c>
      <c r="C1821">
        <v>20725</v>
      </c>
      <c r="D1821" s="4">
        <f>+VLOOKUP(A1821,Portfolio!$G$3:$I$6,3)</f>
        <v>1</v>
      </c>
      <c r="E1821">
        <f t="shared" si="28"/>
        <v>20725</v>
      </c>
    </row>
    <row r="1822" spans="1:5" x14ac:dyDescent="0.25">
      <c r="A1822" t="s">
        <v>1</v>
      </c>
      <c r="B1822">
        <v>1200529</v>
      </c>
      <c r="C1822">
        <v>21193.75</v>
      </c>
      <c r="D1822" s="4">
        <f>+VLOOKUP(A1822,Portfolio!$G$3:$I$6,3)</f>
        <v>1</v>
      </c>
      <c r="E1822">
        <f t="shared" si="28"/>
        <v>21193.75</v>
      </c>
    </row>
    <row r="1823" spans="1:5" x14ac:dyDescent="0.25">
      <c r="A1823" t="s">
        <v>1</v>
      </c>
      <c r="B1823">
        <v>1200531</v>
      </c>
      <c r="C1823">
        <v>21475</v>
      </c>
      <c r="D1823" s="4">
        <f>+VLOOKUP(A1823,Portfolio!$G$3:$I$6,3)</f>
        <v>1</v>
      </c>
      <c r="E1823">
        <f t="shared" si="28"/>
        <v>21475</v>
      </c>
    </row>
    <row r="1824" spans="1:5" x14ac:dyDescent="0.25">
      <c r="A1824" t="s">
        <v>1</v>
      </c>
      <c r="B1824">
        <v>1200601</v>
      </c>
      <c r="C1824">
        <v>21237.5</v>
      </c>
      <c r="D1824" s="4">
        <f>+VLOOKUP(A1824,Portfolio!$G$3:$I$6,3)</f>
        <v>1</v>
      </c>
      <c r="E1824">
        <f t="shared" si="28"/>
        <v>21237.5</v>
      </c>
    </row>
    <row r="1825" spans="1:5" x14ac:dyDescent="0.25">
      <c r="A1825" t="s">
        <v>1</v>
      </c>
      <c r="B1825">
        <v>1200602</v>
      </c>
      <c r="C1825">
        <v>21425</v>
      </c>
      <c r="D1825" s="4">
        <f>+VLOOKUP(A1825,Portfolio!$G$3:$I$6,3)</f>
        <v>1</v>
      </c>
      <c r="E1825">
        <f t="shared" si="28"/>
        <v>21425</v>
      </c>
    </row>
    <row r="1826" spans="1:5" x14ac:dyDescent="0.25">
      <c r="A1826" t="s">
        <v>1</v>
      </c>
      <c r="B1826">
        <v>1200603</v>
      </c>
      <c r="C1826">
        <v>22300</v>
      </c>
      <c r="D1826" s="4">
        <f>+VLOOKUP(A1826,Portfolio!$G$3:$I$6,3)</f>
        <v>1</v>
      </c>
      <c r="E1826">
        <f t="shared" si="28"/>
        <v>22300</v>
      </c>
    </row>
    <row r="1827" spans="1:5" x14ac:dyDescent="0.25">
      <c r="A1827" t="s">
        <v>1</v>
      </c>
      <c r="B1827">
        <v>1200604</v>
      </c>
      <c r="C1827">
        <v>22381.25</v>
      </c>
      <c r="D1827" s="4">
        <f>+VLOOKUP(A1827,Portfolio!$G$3:$I$6,3)</f>
        <v>1</v>
      </c>
      <c r="E1827">
        <f t="shared" si="28"/>
        <v>22381.25</v>
      </c>
    </row>
    <row r="1828" spans="1:5" x14ac:dyDescent="0.25">
      <c r="A1828" t="s">
        <v>1</v>
      </c>
      <c r="B1828">
        <v>1200605</v>
      </c>
      <c r="C1828">
        <v>21881.25</v>
      </c>
      <c r="D1828" s="4">
        <f>+VLOOKUP(A1828,Portfolio!$G$3:$I$6,3)</f>
        <v>1</v>
      </c>
      <c r="E1828">
        <f t="shared" si="28"/>
        <v>21881.25</v>
      </c>
    </row>
    <row r="1829" spans="1:5" x14ac:dyDescent="0.25">
      <c r="A1829" t="s">
        <v>1</v>
      </c>
      <c r="B1829">
        <v>1200607</v>
      </c>
      <c r="C1829">
        <v>21868.75</v>
      </c>
      <c r="D1829" s="4">
        <f>+VLOOKUP(A1829,Portfolio!$G$3:$I$6,3)</f>
        <v>1</v>
      </c>
      <c r="E1829">
        <f t="shared" si="28"/>
        <v>21868.75</v>
      </c>
    </row>
    <row r="1830" spans="1:5" x14ac:dyDescent="0.25">
      <c r="A1830" t="s">
        <v>1</v>
      </c>
      <c r="B1830">
        <v>1200608</v>
      </c>
      <c r="C1830">
        <v>21675</v>
      </c>
      <c r="D1830" s="4">
        <f>+VLOOKUP(A1830,Portfolio!$G$3:$I$6,3)</f>
        <v>1</v>
      </c>
      <c r="E1830">
        <f t="shared" si="28"/>
        <v>21675</v>
      </c>
    </row>
    <row r="1831" spans="1:5" x14ac:dyDescent="0.25">
      <c r="A1831" t="s">
        <v>1</v>
      </c>
      <c r="B1831">
        <v>1200609</v>
      </c>
      <c r="C1831">
        <v>22875</v>
      </c>
      <c r="D1831" s="4">
        <f>+VLOOKUP(A1831,Portfolio!$G$3:$I$6,3)</f>
        <v>1</v>
      </c>
      <c r="E1831">
        <f t="shared" si="28"/>
        <v>22875</v>
      </c>
    </row>
    <row r="1832" spans="1:5" x14ac:dyDescent="0.25">
      <c r="A1832" t="s">
        <v>1</v>
      </c>
      <c r="B1832">
        <v>1200610</v>
      </c>
      <c r="C1832">
        <v>22568.75</v>
      </c>
      <c r="D1832" s="4">
        <f>+VLOOKUP(A1832,Portfolio!$G$3:$I$6,3)</f>
        <v>1</v>
      </c>
      <c r="E1832">
        <f t="shared" si="28"/>
        <v>22568.75</v>
      </c>
    </row>
    <row r="1833" spans="1:5" x14ac:dyDescent="0.25">
      <c r="A1833" t="s">
        <v>1</v>
      </c>
      <c r="B1833">
        <v>1200611</v>
      </c>
      <c r="C1833">
        <v>22700</v>
      </c>
      <c r="D1833" s="4">
        <f>+VLOOKUP(A1833,Portfolio!$G$3:$I$6,3)</f>
        <v>1</v>
      </c>
      <c r="E1833">
        <f t="shared" si="28"/>
        <v>22700</v>
      </c>
    </row>
    <row r="1834" spans="1:5" x14ac:dyDescent="0.25">
      <c r="A1834" t="s">
        <v>1</v>
      </c>
      <c r="B1834">
        <v>1200612</v>
      </c>
      <c r="C1834">
        <v>22318.75</v>
      </c>
      <c r="D1834" s="4">
        <f>+VLOOKUP(A1834,Portfolio!$G$3:$I$6,3)</f>
        <v>1</v>
      </c>
      <c r="E1834">
        <f t="shared" si="28"/>
        <v>22318.75</v>
      </c>
    </row>
    <row r="1835" spans="1:5" x14ac:dyDescent="0.25">
      <c r="A1835" t="s">
        <v>1</v>
      </c>
      <c r="B1835">
        <v>1200614</v>
      </c>
      <c r="C1835">
        <v>22675</v>
      </c>
      <c r="D1835" s="4">
        <f>+VLOOKUP(A1835,Portfolio!$G$3:$I$6,3)</f>
        <v>1</v>
      </c>
      <c r="E1835">
        <f t="shared" si="28"/>
        <v>22675</v>
      </c>
    </row>
    <row r="1836" spans="1:5" x14ac:dyDescent="0.25">
      <c r="A1836" t="s">
        <v>1</v>
      </c>
      <c r="B1836">
        <v>1200615</v>
      </c>
      <c r="C1836">
        <v>22200</v>
      </c>
      <c r="D1836" s="4">
        <f>+VLOOKUP(A1836,Portfolio!$G$3:$I$6,3)</f>
        <v>1</v>
      </c>
      <c r="E1836">
        <f t="shared" si="28"/>
        <v>22200</v>
      </c>
    </row>
    <row r="1837" spans="1:5" x14ac:dyDescent="0.25">
      <c r="A1837" t="s">
        <v>1</v>
      </c>
      <c r="B1837">
        <v>1200616</v>
      </c>
      <c r="C1837">
        <v>20550</v>
      </c>
      <c r="D1837" s="4">
        <f>+VLOOKUP(A1837,Portfolio!$G$3:$I$6,3)</f>
        <v>1</v>
      </c>
      <c r="E1837">
        <f t="shared" si="28"/>
        <v>20550</v>
      </c>
    </row>
    <row r="1838" spans="1:5" x14ac:dyDescent="0.25">
      <c r="A1838" t="s">
        <v>1</v>
      </c>
      <c r="B1838">
        <v>1200617</v>
      </c>
      <c r="C1838">
        <v>19975</v>
      </c>
      <c r="D1838" s="4">
        <f>+VLOOKUP(A1838,Portfolio!$G$3:$I$6,3)</f>
        <v>1</v>
      </c>
      <c r="E1838">
        <f t="shared" si="28"/>
        <v>19975</v>
      </c>
    </row>
    <row r="1839" spans="1:5" x14ac:dyDescent="0.25">
      <c r="A1839" t="s">
        <v>1</v>
      </c>
      <c r="B1839">
        <v>1200618</v>
      </c>
      <c r="C1839">
        <v>20393.75</v>
      </c>
      <c r="D1839" s="4">
        <f>+VLOOKUP(A1839,Portfolio!$G$3:$I$6,3)</f>
        <v>1</v>
      </c>
      <c r="E1839">
        <f t="shared" si="28"/>
        <v>20393.75</v>
      </c>
    </row>
    <row r="1840" spans="1:5" x14ac:dyDescent="0.25">
      <c r="A1840" t="s">
        <v>1</v>
      </c>
      <c r="B1840">
        <v>1200619</v>
      </c>
      <c r="C1840">
        <v>20356.25</v>
      </c>
      <c r="D1840" s="4">
        <f>+VLOOKUP(A1840,Portfolio!$G$3:$I$6,3)</f>
        <v>1</v>
      </c>
      <c r="E1840">
        <f t="shared" si="28"/>
        <v>20356.25</v>
      </c>
    </row>
    <row r="1841" spans="1:5" x14ac:dyDescent="0.25">
      <c r="A1841" t="s">
        <v>1</v>
      </c>
      <c r="B1841">
        <v>1200621</v>
      </c>
      <c r="C1841">
        <v>20118.75</v>
      </c>
      <c r="D1841" s="4">
        <f>+VLOOKUP(A1841,Portfolio!$G$3:$I$6,3)</f>
        <v>1</v>
      </c>
      <c r="E1841">
        <f t="shared" si="28"/>
        <v>20118.75</v>
      </c>
    </row>
    <row r="1842" spans="1:5" x14ac:dyDescent="0.25">
      <c r="A1842" t="s">
        <v>1</v>
      </c>
      <c r="B1842">
        <v>1200622</v>
      </c>
      <c r="C1842">
        <v>20043.75</v>
      </c>
      <c r="D1842" s="4">
        <f>+VLOOKUP(A1842,Portfolio!$G$3:$I$6,3)</f>
        <v>1</v>
      </c>
      <c r="E1842">
        <f t="shared" si="28"/>
        <v>20043.75</v>
      </c>
    </row>
    <row r="1843" spans="1:5" x14ac:dyDescent="0.25">
      <c r="A1843" t="s">
        <v>1</v>
      </c>
      <c r="B1843">
        <v>1200623</v>
      </c>
      <c r="C1843">
        <v>20068.75</v>
      </c>
      <c r="D1843" s="4">
        <f>+VLOOKUP(A1843,Portfolio!$G$3:$I$6,3)</f>
        <v>1</v>
      </c>
      <c r="E1843">
        <f t="shared" si="28"/>
        <v>20068.75</v>
      </c>
    </row>
    <row r="1844" spans="1:5" x14ac:dyDescent="0.25">
      <c r="A1844" t="s">
        <v>1</v>
      </c>
      <c r="B1844">
        <v>1200624</v>
      </c>
      <c r="C1844">
        <v>20418.75</v>
      </c>
      <c r="D1844" s="4">
        <f>+VLOOKUP(A1844,Portfolio!$G$3:$I$6,3)</f>
        <v>1</v>
      </c>
      <c r="E1844">
        <f t="shared" si="28"/>
        <v>20418.75</v>
      </c>
    </row>
    <row r="1845" spans="1:5" x14ac:dyDescent="0.25">
      <c r="A1845" t="s">
        <v>1</v>
      </c>
      <c r="B1845">
        <v>1200625</v>
      </c>
      <c r="C1845">
        <v>20887.5</v>
      </c>
      <c r="D1845" s="4">
        <f>+VLOOKUP(A1845,Portfolio!$G$3:$I$6,3)</f>
        <v>1</v>
      </c>
      <c r="E1845">
        <f t="shared" si="28"/>
        <v>20887.5</v>
      </c>
    </row>
    <row r="1846" spans="1:5" x14ac:dyDescent="0.25">
      <c r="A1846" t="s">
        <v>1</v>
      </c>
      <c r="B1846">
        <v>1200626</v>
      </c>
      <c r="C1846">
        <v>20825</v>
      </c>
      <c r="D1846" s="4">
        <f>+VLOOKUP(A1846,Portfolio!$G$3:$I$6,3)</f>
        <v>1</v>
      </c>
      <c r="E1846">
        <f t="shared" si="28"/>
        <v>20825</v>
      </c>
    </row>
    <row r="1847" spans="1:5" x14ac:dyDescent="0.25">
      <c r="A1847" t="s">
        <v>1</v>
      </c>
      <c r="B1847">
        <v>1200628</v>
      </c>
      <c r="C1847">
        <v>20287.5</v>
      </c>
      <c r="D1847" s="4">
        <f>+VLOOKUP(A1847,Portfolio!$G$3:$I$6,3)</f>
        <v>1</v>
      </c>
      <c r="E1847">
        <f t="shared" si="28"/>
        <v>20287.5</v>
      </c>
    </row>
    <row r="1848" spans="1:5" x14ac:dyDescent="0.25">
      <c r="A1848" t="s">
        <v>1</v>
      </c>
      <c r="B1848">
        <v>1200629</v>
      </c>
      <c r="C1848">
        <v>20200</v>
      </c>
      <c r="D1848" s="4">
        <f>+VLOOKUP(A1848,Portfolio!$G$3:$I$6,3)</f>
        <v>1</v>
      </c>
      <c r="E1848">
        <f t="shared" si="28"/>
        <v>20200</v>
      </c>
    </row>
    <row r="1849" spans="1:5" x14ac:dyDescent="0.25">
      <c r="A1849" t="s">
        <v>1</v>
      </c>
      <c r="B1849">
        <v>1200630</v>
      </c>
      <c r="C1849">
        <v>20893.75</v>
      </c>
      <c r="D1849" s="4">
        <f>+VLOOKUP(A1849,Portfolio!$G$3:$I$6,3)</f>
        <v>1</v>
      </c>
      <c r="E1849">
        <f t="shared" si="28"/>
        <v>20893.75</v>
      </c>
    </row>
    <row r="1850" spans="1:5" x14ac:dyDescent="0.25">
      <c r="A1850" t="s">
        <v>1</v>
      </c>
      <c r="B1850">
        <v>1200701</v>
      </c>
      <c r="C1850">
        <v>20450</v>
      </c>
      <c r="D1850" s="4">
        <f>+VLOOKUP(A1850,Portfolio!$G$3:$I$6,3)</f>
        <v>1</v>
      </c>
      <c r="E1850">
        <f t="shared" si="28"/>
        <v>20450</v>
      </c>
    </row>
    <row r="1851" spans="1:5" x14ac:dyDescent="0.25">
      <c r="A1851" t="s">
        <v>1</v>
      </c>
      <c r="B1851">
        <v>1200702</v>
      </c>
      <c r="C1851">
        <v>20687.5</v>
      </c>
      <c r="D1851" s="4">
        <f>+VLOOKUP(A1851,Portfolio!$G$3:$I$6,3)</f>
        <v>1</v>
      </c>
      <c r="E1851">
        <f t="shared" si="28"/>
        <v>20687.5</v>
      </c>
    </row>
    <row r="1852" spans="1:5" x14ac:dyDescent="0.25">
      <c r="A1852" t="s">
        <v>1</v>
      </c>
      <c r="B1852">
        <v>1200703</v>
      </c>
      <c r="C1852">
        <v>20506.25</v>
      </c>
      <c r="D1852" s="4">
        <f>+VLOOKUP(A1852,Portfolio!$G$3:$I$6,3)</f>
        <v>1</v>
      </c>
      <c r="E1852">
        <f t="shared" si="28"/>
        <v>20506.25</v>
      </c>
    </row>
    <row r="1853" spans="1:5" x14ac:dyDescent="0.25">
      <c r="A1853" t="s">
        <v>1</v>
      </c>
      <c r="B1853">
        <v>1200705</v>
      </c>
      <c r="C1853">
        <v>20537.5</v>
      </c>
      <c r="D1853" s="4">
        <f>+VLOOKUP(A1853,Portfolio!$G$3:$I$6,3)</f>
        <v>1</v>
      </c>
      <c r="E1853">
        <f t="shared" si="28"/>
        <v>20537.5</v>
      </c>
    </row>
    <row r="1854" spans="1:5" x14ac:dyDescent="0.25">
      <c r="A1854" t="s">
        <v>1</v>
      </c>
      <c r="B1854">
        <v>1200706</v>
      </c>
      <c r="C1854">
        <v>20656.25</v>
      </c>
      <c r="D1854" s="4">
        <f>+VLOOKUP(A1854,Portfolio!$G$3:$I$6,3)</f>
        <v>1</v>
      </c>
      <c r="E1854">
        <f t="shared" si="28"/>
        <v>20656.25</v>
      </c>
    </row>
    <row r="1855" spans="1:5" x14ac:dyDescent="0.25">
      <c r="A1855" t="s">
        <v>1</v>
      </c>
      <c r="B1855">
        <v>1200707</v>
      </c>
      <c r="C1855">
        <v>20693.75</v>
      </c>
      <c r="D1855" s="4">
        <f>+VLOOKUP(A1855,Portfolio!$G$3:$I$6,3)</f>
        <v>1</v>
      </c>
      <c r="E1855">
        <f t="shared" si="28"/>
        <v>20693.75</v>
      </c>
    </row>
    <row r="1856" spans="1:5" x14ac:dyDescent="0.25">
      <c r="A1856" t="s">
        <v>1</v>
      </c>
      <c r="B1856">
        <v>1200708</v>
      </c>
      <c r="C1856">
        <v>20531.25</v>
      </c>
      <c r="D1856" s="4">
        <f>+VLOOKUP(A1856,Portfolio!$G$3:$I$6,3)</f>
        <v>1</v>
      </c>
      <c r="E1856">
        <f t="shared" si="28"/>
        <v>20531.25</v>
      </c>
    </row>
    <row r="1857" spans="1:5" x14ac:dyDescent="0.25">
      <c r="A1857" t="s">
        <v>1</v>
      </c>
      <c r="B1857">
        <v>1200709</v>
      </c>
      <c r="C1857">
        <v>20400</v>
      </c>
      <c r="D1857" s="4">
        <f>+VLOOKUP(A1857,Portfolio!$G$3:$I$6,3)</f>
        <v>1</v>
      </c>
      <c r="E1857">
        <f t="shared" si="28"/>
        <v>20400</v>
      </c>
    </row>
    <row r="1858" spans="1:5" x14ac:dyDescent="0.25">
      <c r="A1858" t="s">
        <v>1</v>
      </c>
      <c r="B1858">
        <v>1200710</v>
      </c>
      <c r="C1858">
        <v>20756.25</v>
      </c>
      <c r="D1858" s="4">
        <f>+VLOOKUP(A1858,Portfolio!$G$3:$I$6,3)</f>
        <v>1</v>
      </c>
      <c r="E1858">
        <f t="shared" si="28"/>
        <v>20756.25</v>
      </c>
    </row>
    <row r="1859" spans="1:5" x14ac:dyDescent="0.25">
      <c r="A1859" t="s">
        <v>1</v>
      </c>
      <c r="B1859">
        <v>1200712</v>
      </c>
      <c r="C1859">
        <v>20800</v>
      </c>
      <c r="D1859" s="4">
        <f>+VLOOKUP(A1859,Portfolio!$G$3:$I$6,3)</f>
        <v>1</v>
      </c>
      <c r="E1859">
        <f t="shared" ref="E1859:E1922" si="29">+C1859*D1859</f>
        <v>20800</v>
      </c>
    </row>
    <row r="1860" spans="1:5" x14ac:dyDescent="0.25">
      <c r="A1860" t="s">
        <v>1</v>
      </c>
      <c r="B1860">
        <v>1200713</v>
      </c>
      <c r="C1860">
        <v>20775</v>
      </c>
      <c r="D1860" s="4">
        <f>+VLOOKUP(A1860,Portfolio!$G$3:$I$6,3)</f>
        <v>1</v>
      </c>
      <c r="E1860">
        <f t="shared" si="29"/>
        <v>20775</v>
      </c>
    </row>
    <row r="1861" spans="1:5" x14ac:dyDescent="0.25">
      <c r="A1861" t="s">
        <v>1</v>
      </c>
      <c r="B1861">
        <v>1200714</v>
      </c>
      <c r="C1861">
        <v>21168.75</v>
      </c>
      <c r="D1861" s="4">
        <f>+VLOOKUP(A1861,Portfolio!$G$3:$I$6,3)</f>
        <v>1</v>
      </c>
      <c r="E1861">
        <f t="shared" si="29"/>
        <v>21168.75</v>
      </c>
    </row>
    <row r="1862" spans="1:5" x14ac:dyDescent="0.25">
      <c r="A1862" t="s">
        <v>1</v>
      </c>
      <c r="B1862">
        <v>1200715</v>
      </c>
      <c r="C1862">
        <v>21156.25</v>
      </c>
      <c r="D1862" s="4">
        <f>+VLOOKUP(A1862,Portfolio!$G$3:$I$6,3)</f>
        <v>1</v>
      </c>
      <c r="E1862">
        <f t="shared" si="29"/>
        <v>21156.25</v>
      </c>
    </row>
    <row r="1863" spans="1:5" x14ac:dyDescent="0.25">
      <c r="A1863" t="s">
        <v>1</v>
      </c>
      <c r="B1863">
        <v>1200716</v>
      </c>
      <c r="C1863">
        <v>21562.5</v>
      </c>
      <c r="D1863" s="4">
        <f>+VLOOKUP(A1863,Portfolio!$G$3:$I$6,3)</f>
        <v>1</v>
      </c>
      <c r="E1863">
        <f t="shared" si="29"/>
        <v>21562.5</v>
      </c>
    </row>
    <row r="1864" spans="1:5" x14ac:dyDescent="0.25">
      <c r="A1864" t="s">
        <v>1</v>
      </c>
      <c r="B1864">
        <v>1200717</v>
      </c>
      <c r="C1864">
        <v>21225</v>
      </c>
      <c r="D1864" s="4">
        <f>+VLOOKUP(A1864,Portfolio!$G$3:$I$6,3)</f>
        <v>1</v>
      </c>
      <c r="E1864">
        <f t="shared" si="29"/>
        <v>21225</v>
      </c>
    </row>
    <row r="1865" spans="1:5" x14ac:dyDescent="0.25">
      <c r="A1865" t="s">
        <v>1</v>
      </c>
      <c r="B1865">
        <v>1200719</v>
      </c>
      <c r="C1865">
        <v>21200</v>
      </c>
      <c r="D1865" s="4">
        <f>+VLOOKUP(A1865,Portfolio!$G$3:$I$6,3)</f>
        <v>1</v>
      </c>
      <c r="E1865">
        <f t="shared" si="29"/>
        <v>21200</v>
      </c>
    </row>
    <row r="1866" spans="1:5" x14ac:dyDescent="0.25">
      <c r="A1866" t="s">
        <v>1</v>
      </c>
      <c r="B1866">
        <v>1200720</v>
      </c>
      <c r="C1866">
        <v>21081.25</v>
      </c>
      <c r="D1866" s="4">
        <f>+VLOOKUP(A1866,Portfolio!$G$3:$I$6,3)</f>
        <v>1</v>
      </c>
      <c r="E1866">
        <f t="shared" si="29"/>
        <v>21081.25</v>
      </c>
    </row>
    <row r="1867" spans="1:5" x14ac:dyDescent="0.25">
      <c r="A1867" t="s">
        <v>1</v>
      </c>
      <c r="B1867">
        <v>1200721</v>
      </c>
      <c r="C1867">
        <v>20493.75</v>
      </c>
      <c r="D1867" s="4">
        <f>+VLOOKUP(A1867,Portfolio!$G$3:$I$6,3)</f>
        <v>1</v>
      </c>
      <c r="E1867">
        <f t="shared" si="29"/>
        <v>20493.75</v>
      </c>
    </row>
    <row r="1868" spans="1:5" x14ac:dyDescent="0.25">
      <c r="A1868" t="s">
        <v>1</v>
      </c>
      <c r="B1868">
        <v>1200722</v>
      </c>
      <c r="C1868">
        <v>20725</v>
      </c>
      <c r="D1868" s="4">
        <f>+VLOOKUP(A1868,Portfolio!$G$3:$I$6,3)</f>
        <v>1</v>
      </c>
      <c r="E1868">
        <f t="shared" si="29"/>
        <v>20725</v>
      </c>
    </row>
    <row r="1869" spans="1:5" x14ac:dyDescent="0.25">
      <c r="A1869" t="s">
        <v>1</v>
      </c>
      <c r="B1869">
        <v>1200723</v>
      </c>
      <c r="C1869">
        <v>20600</v>
      </c>
      <c r="D1869" s="4">
        <f>+VLOOKUP(A1869,Portfolio!$G$3:$I$6,3)</f>
        <v>1</v>
      </c>
      <c r="E1869">
        <f t="shared" si="29"/>
        <v>20600</v>
      </c>
    </row>
    <row r="1870" spans="1:5" x14ac:dyDescent="0.25">
      <c r="A1870" t="s">
        <v>1</v>
      </c>
      <c r="B1870">
        <v>1200724</v>
      </c>
      <c r="C1870">
        <v>21231.25</v>
      </c>
      <c r="D1870" s="4">
        <f>+VLOOKUP(A1870,Portfolio!$G$3:$I$6,3)</f>
        <v>1</v>
      </c>
      <c r="E1870">
        <f t="shared" si="29"/>
        <v>21231.25</v>
      </c>
    </row>
    <row r="1871" spans="1:5" x14ac:dyDescent="0.25">
      <c r="A1871" t="s">
        <v>1</v>
      </c>
      <c r="B1871">
        <v>1200726</v>
      </c>
      <c r="C1871">
        <v>21712.5</v>
      </c>
      <c r="D1871" s="4">
        <f>+VLOOKUP(A1871,Portfolio!$G$3:$I$6,3)</f>
        <v>1</v>
      </c>
      <c r="E1871">
        <f t="shared" si="29"/>
        <v>21712.5</v>
      </c>
    </row>
    <row r="1872" spans="1:5" x14ac:dyDescent="0.25">
      <c r="A1872" t="s">
        <v>1</v>
      </c>
      <c r="B1872">
        <v>1200727</v>
      </c>
      <c r="C1872">
        <v>22131.25</v>
      </c>
      <c r="D1872" s="4">
        <f>+VLOOKUP(A1872,Portfolio!$G$3:$I$6,3)</f>
        <v>1</v>
      </c>
      <c r="E1872">
        <f t="shared" si="29"/>
        <v>22131.25</v>
      </c>
    </row>
    <row r="1873" spans="1:5" x14ac:dyDescent="0.25">
      <c r="A1873" t="s">
        <v>1</v>
      </c>
      <c r="B1873">
        <v>1200728</v>
      </c>
      <c r="C1873">
        <v>22050</v>
      </c>
      <c r="D1873" s="4">
        <f>+VLOOKUP(A1873,Portfolio!$G$3:$I$6,3)</f>
        <v>1</v>
      </c>
      <c r="E1873">
        <f t="shared" si="29"/>
        <v>22050</v>
      </c>
    </row>
    <row r="1874" spans="1:5" x14ac:dyDescent="0.25">
      <c r="A1874" t="s">
        <v>1</v>
      </c>
      <c r="B1874">
        <v>1200729</v>
      </c>
      <c r="C1874">
        <v>21637.5</v>
      </c>
      <c r="D1874" s="4">
        <f>+VLOOKUP(A1874,Portfolio!$G$3:$I$6,3)</f>
        <v>1</v>
      </c>
      <c r="E1874">
        <f t="shared" si="29"/>
        <v>21637.5</v>
      </c>
    </row>
    <row r="1875" spans="1:5" x14ac:dyDescent="0.25">
      <c r="A1875" t="s">
        <v>1</v>
      </c>
      <c r="B1875">
        <v>1200730</v>
      </c>
      <c r="C1875">
        <v>21250</v>
      </c>
      <c r="D1875" s="4">
        <f>+VLOOKUP(A1875,Portfolio!$G$3:$I$6,3)</f>
        <v>1</v>
      </c>
      <c r="E1875">
        <f t="shared" si="29"/>
        <v>21250</v>
      </c>
    </row>
    <row r="1876" spans="1:5" x14ac:dyDescent="0.25">
      <c r="A1876" t="s">
        <v>1</v>
      </c>
      <c r="B1876">
        <v>1200731</v>
      </c>
      <c r="C1876">
        <v>21925</v>
      </c>
      <c r="D1876" s="4">
        <f>+VLOOKUP(A1876,Portfolio!$G$3:$I$6,3)</f>
        <v>1</v>
      </c>
      <c r="E1876">
        <f t="shared" si="29"/>
        <v>21925</v>
      </c>
    </row>
    <row r="1877" spans="1:5" x14ac:dyDescent="0.25">
      <c r="A1877" t="s">
        <v>1</v>
      </c>
      <c r="B1877">
        <v>1200802</v>
      </c>
      <c r="C1877">
        <v>22343.75</v>
      </c>
      <c r="D1877" s="4">
        <f>+VLOOKUP(A1877,Portfolio!$G$3:$I$6,3)</f>
        <v>1</v>
      </c>
      <c r="E1877">
        <f t="shared" si="29"/>
        <v>22343.75</v>
      </c>
    </row>
    <row r="1878" spans="1:5" x14ac:dyDescent="0.25">
      <c r="A1878" t="s">
        <v>1</v>
      </c>
      <c r="B1878">
        <v>1200803</v>
      </c>
      <c r="C1878">
        <v>22387.5</v>
      </c>
      <c r="D1878" s="4">
        <f>+VLOOKUP(A1878,Portfolio!$G$3:$I$6,3)</f>
        <v>1</v>
      </c>
      <c r="E1878">
        <f t="shared" si="29"/>
        <v>22387.5</v>
      </c>
    </row>
    <row r="1879" spans="1:5" x14ac:dyDescent="0.25">
      <c r="A1879" t="s">
        <v>1</v>
      </c>
      <c r="B1879">
        <v>1200804</v>
      </c>
      <c r="C1879">
        <v>22637.5</v>
      </c>
      <c r="D1879" s="4">
        <f>+VLOOKUP(A1879,Portfolio!$G$3:$I$6,3)</f>
        <v>1</v>
      </c>
      <c r="E1879">
        <f t="shared" si="29"/>
        <v>22637.5</v>
      </c>
    </row>
    <row r="1880" spans="1:5" x14ac:dyDescent="0.25">
      <c r="A1880" t="s">
        <v>1</v>
      </c>
      <c r="B1880">
        <v>1200805</v>
      </c>
      <c r="C1880">
        <v>22700</v>
      </c>
      <c r="D1880" s="4">
        <f>+VLOOKUP(A1880,Portfolio!$G$3:$I$6,3)</f>
        <v>1</v>
      </c>
      <c r="E1880">
        <f t="shared" si="29"/>
        <v>22700</v>
      </c>
    </row>
    <row r="1881" spans="1:5" x14ac:dyDescent="0.25">
      <c r="A1881" t="s">
        <v>1</v>
      </c>
      <c r="B1881">
        <v>1200806</v>
      </c>
      <c r="C1881">
        <v>22300</v>
      </c>
      <c r="D1881" s="4">
        <f>+VLOOKUP(A1881,Portfolio!$G$3:$I$6,3)</f>
        <v>1</v>
      </c>
      <c r="E1881">
        <f t="shared" si="29"/>
        <v>22300</v>
      </c>
    </row>
    <row r="1882" spans="1:5" x14ac:dyDescent="0.25">
      <c r="A1882" t="s">
        <v>1</v>
      </c>
      <c r="B1882">
        <v>1200807</v>
      </c>
      <c r="C1882">
        <v>22250</v>
      </c>
      <c r="D1882" s="4">
        <f>+VLOOKUP(A1882,Portfolio!$G$3:$I$6,3)</f>
        <v>1</v>
      </c>
      <c r="E1882">
        <f t="shared" si="29"/>
        <v>22250</v>
      </c>
    </row>
    <row r="1883" spans="1:5" x14ac:dyDescent="0.25">
      <c r="A1883" t="s">
        <v>1</v>
      </c>
      <c r="B1883">
        <v>1200809</v>
      </c>
      <c r="C1883">
        <v>22250</v>
      </c>
      <c r="D1883" s="4">
        <f>+VLOOKUP(A1883,Portfolio!$G$3:$I$6,3)</f>
        <v>1</v>
      </c>
      <c r="E1883">
        <f t="shared" si="29"/>
        <v>22250</v>
      </c>
    </row>
    <row r="1884" spans="1:5" x14ac:dyDescent="0.25">
      <c r="A1884" t="s">
        <v>1</v>
      </c>
      <c r="B1884">
        <v>1200810</v>
      </c>
      <c r="C1884">
        <v>22087.5</v>
      </c>
      <c r="D1884" s="4">
        <f>+VLOOKUP(A1884,Portfolio!$G$3:$I$6,3)</f>
        <v>1</v>
      </c>
      <c r="E1884">
        <f t="shared" si="29"/>
        <v>22087.5</v>
      </c>
    </row>
    <row r="1885" spans="1:5" x14ac:dyDescent="0.25">
      <c r="A1885" t="s">
        <v>1</v>
      </c>
      <c r="B1885">
        <v>1200811</v>
      </c>
      <c r="C1885">
        <v>21812.5</v>
      </c>
      <c r="D1885" s="4">
        <f>+VLOOKUP(A1885,Portfolio!$G$3:$I$6,3)</f>
        <v>1</v>
      </c>
      <c r="E1885">
        <f t="shared" si="29"/>
        <v>21812.5</v>
      </c>
    </row>
    <row r="1886" spans="1:5" x14ac:dyDescent="0.25">
      <c r="A1886" t="s">
        <v>1</v>
      </c>
      <c r="B1886">
        <v>1200812</v>
      </c>
      <c r="C1886">
        <v>22093.75</v>
      </c>
      <c r="D1886" s="4">
        <f>+VLOOKUP(A1886,Portfolio!$G$3:$I$6,3)</f>
        <v>1</v>
      </c>
      <c r="E1886">
        <f t="shared" si="29"/>
        <v>22093.75</v>
      </c>
    </row>
    <row r="1887" spans="1:5" x14ac:dyDescent="0.25">
      <c r="A1887" t="s">
        <v>1</v>
      </c>
      <c r="B1887">
        <v>1200813</v>
      </c>
      <c r="C1887">
        <v>21668.75</v>
      </c>
      <c r="D1887" s="4">
        <f>+VLOOKUP(A1887,Portfolio!$G$3:$I$6,3)</f>
        <v>1</v>
      </c>
      <c r="E1887">
        <f t="shared" si="29"/>
        <v>21668.75</v>
      </c>
    </row>
    <row r="1888" spans="1:5" x14ac:dyDescent="0.25">
      <c r="A1888" t="s">
        <v>1</v>
      </c>
      <c r="B1888">
        <v>1200814</v>
      </c>
      <c r="C1888">
        <v>21593.75</v>
      </c>
      <c r="D1888" s="4">
        <f>+VLOOKUP(A1888,Portfolio!$G$3:$I$6,3)</f>
        <v>1</v>
      </c>
      <c r="E1888">
        <f t="shared" si="29"/>
        <v>21593.75</v>
      </c>
    </row>
    <row r="1889" spans="1:5" x14ac:dyDescent="0.25">
      <c r="A1889" t="s">
        <v>1</v>
      </c>
      <c r="B1889">
        <v>1200816</v>
      </c>
      <c r="C1889">
        <v>21437.5</v>
      </c>
      <c r="D1889" s="4">
        <f>+VLOOKUP(A1889,Portfolio!$G$3:$I$6,3)</f>
        <v>1</v>
      </c>
      <c r="E1889">
        <f t="shared" si="29"/>
        <v>21437.5</v>
      </c>
    </row>
    <row r="1890" spans="1:5" x14ac:dyDescent="0.25">
      <c r="A1890" t="s">
        <v>1</v>
      </c>
      <c r="B1890">
        <v>1200817</v>
      </c>
      <c r="C1890">
        <v>21437.5</v>
      </c>
      <c r="D1890" s="4">
        <f>+VLOOKUP(A1890,Portfolio!$G$3:$I$6,3)</f>
        <v>1</v>
      </c>
      <c r="E1890">
        <f t="shared" si="29"/>
        <v>21437.5</v>
      </c>
    </row>
    <row r="1891" spans="1:5" x14ac:dyDescent="0.25">
      <c r="A1891" t="s">
        <v>1</v>
      </c>
      <c r="B1891">
        <v>1200818</v>
      </c>
      <c r="C1891">
        <v>22500</v>
      </c>
      <c r="D1891" s="4">
        <f>+VLOOKUP(A1891,Portfolio!$G$3:$I$6,3)</f>
        <v>1</v>
      </c>
      <c r="E1891">
        <f t="shared" si="29"/>
        <v>22500</v>
      </c>
    </row>
    <row r="1892" spans="1:5" x14ac:dyDescent="0.25">
      <c r="A1892" t="s">
        <v>1</v>
      </c>
      <c r="B1892">
        <v>1200819</v>
      </c>
      <c r="C1892">
        <v>22587.5</v>
      </c>
      <c r="D1892" s="4">
        <f>+VLOOKUP(A1892,Portfolio!$G$3:$I$6,3)</f>
        <v>1</v>
      </c>
      <c r="E1892">
        <f t="shared" si="29"/>
        <v>22587.5</v>
      </c>
    </row>
    <row r="1893" spans="1:5" x14ac:dyDescent="0.25">
      <c r="A1893" t="s">
        <v>1</v>
      </c>
      <c r="B1893">
        <v>1200820</v>
      </c>
      <c r="C1893">
        <v>23081.25</v>
      </c>
      <c r="D1893" s="4">
        <f>+VLOOKUP(A1893,Portfolio!$G$3:$I$6,3)</f>
        <v>1</v>
      </c>
      <c r="E1893">
        <f t="shared" si="29"/>
        <v>23081.25</v>
      </c>
    </row>
    <row r="1894" spans="1:5" x14ac:dyDescent="0.25">
      <c r="A1894" t="s">
        <v>1</v>
      </c>
      <c r="B1894">
        <v>1200821</v>
      </c>
      <c r="C1894">
        <v>23200</v>
      </c>
      <c r="D1894" s="4">
        <f>+VLOOKUP(A1894,Portfolio!$G$3:$I$6,3)</f>
        <v>1</v>
      </c>
      <c r="E1894">
        <f t="shared" si="29"/>
        <v>23200</v>
      </c>
    </row>
    <row r="1895" spans="1:5" x14ac:dyDescent="0.25">
      <c r="A1895" t="s">
        <v>1</v>
      </c>
      <c r="B1895">
        <v>1200823</v>
      </c>
      <c r="C1895">
        <v>23225</v>
      </c>
      <c r="D1895" s="4">
        <f>+VLOOKUP(A1895,Portfolio!$G$3:$I$6,3)</f>
        <v>1</v>
      </c>
      <c r="E1895">
        <f t="shared" si="29"/>
        <v>23225</v>
      </c>
    </row>
    <row r="1896" spans="1:5" x14ac:dyDescent="0.25">
      <c r="A1896" t="s">
        <v>1</v>
      </c>
      <c r="B1896">
        <v>1200824</v>
      </c>
      <c r="C1896">
        <v>23200</v>
      </c>
      <c r="D1896" s="4">
        <f>+VLOOKUP(A1896,Portfolio!$G$3:$I$6,3)</f>
        <v>1</v>
      </c>
      <c r="E1896">
        <f t="shared" si="29"/>
        <v>23200</v>
      </c>
    </row>
    <row r="1897" spans="1:5" x14ac:dyDescent="0.25">
      <c r="A1897" t="s">
        <v>1</v>
      </c>
      <c r="B1897">
        <v>1200825</v>
      </c>
      <c r="C1897">
        <v>22962.5</v>
      </c>
      <c r="D1897" s="4">
        <f>+VLOOKUP(A1897,Portfolio!$G$3:$I$6,3)</f>
        <v>1</v>
      </c>
      <c r="E1897">
        <f t="shared" si="29"/>
        <v>22962.5</v>
      </c>
    </row>
    <row r="1898" spans="1:5" x14ac:dyDescent="0.25">
      <c r="A1898" t="s">
        <v>1</v>
      </c>
      <c r="B1898">
        <v>1200826</v>
      </c>
      <c r="C1898">
        <v>23406.25</v>
      </c>
      <c r="D1898" s="4">
        <f>+VLOOKUP(A1898,Portfolio!$G$3:$I$6,3)</f>
        <v>1</v>
      </c>
      <c r="E1898">
        <f t="shared" si="29"/>
        <v>23406.25</v>
      </c>
    </row>
    <row r="1899" spans="1:5" x14ac:dyDescent="0.25">
      <c r="A1899" t="s">
        <v>1</v>
      </c>
      <c r="B1899">
        <v>1200827</v>
      </c>
      <c r="C1899">
        <v>23387.5</v>
      </c>
      <c r="D1899" s="4">
        <f>+VLOOKUP(A1899,Portfolio!$G$3:$I$6,3)</f>
        <v>1</v>
      </c>
      <c r="E1899">
        <f t="shared" si="29"/>
        <v>23387.5</v>
      </c>
    </row>
    <row r="1900" spans="1:5" x14ac:dyDescent="0.25">
      <c r="A1900" t="s">
        <v>1</v>
      </c>
      <c r="B1900">
        <v>1200828</v>
      </c>
      <c r="C1900">
        <v>22950</v>
      </c>
      <c r="D1900" s="4">
        <f>+VLOOKUP(A1900,Portfolio!$G$3:$I$6,3)</f>
        <v>1</v>
      </c>
      <c r="E1900">
        <f t="shared" si="29"/>
        <v>22950</v>
      </c>
    </row>
    <row r="1901" spans="1:5" x14ac:dyDescent="0.25">
      <c r="A1901" t="s">
        <v>1</v>
      </c>
      <c r="B1901">
        <v>1200830</v>
      </c>
      <c r="C1901">
        <v>21031.25</v>
      </c>
      <c r="D1901" s="4">
        <f>+VLOOKUP(A1901,Portfolio!$G$3:$I$6,3)</f>
        <v>1</v>
      </c>
      <c r="E1901">
        <f t="shared" si="29"/>
        <v>21031.25</v>
      </c>
    </row>
    <row r="1902" spans="1:5" x14ac:dyDescent="0.25">
      <c r="A1902" t="s">
        <v>1</v>
      </c>
      <c r="B1902">
        <v>1200831</v>
      </c>
      <c r="C1902">
        <v>21006.25</v>
      </c>
      <c r="D1902" s="4">
        <f>+VLOOKUP(A1902,Portfolio!$G$3:$I$6,3)</f>
        <v>1</v>
      </c>
      <c r="E1902">
        <f t="shared" si="29"/>
        <v>21006.25</v>
      </c>
    </row>
    <row r="1903" spans="1:5" x14ac:dyDescent="0.25">
      <c r="A1903" t="s">
        <v>1</v>
      </c>
      <c r="B1903">
        <v>1200901</v>
      </c>
      <c r="C1903">
        <v>20181.25</v>
      </c>
      <c r="D1903" s="4">
        <f>+VLOOKUP(A1903,Portfolio!$G$3:$I$6,3)</f>
        <v>1</v>
      </c>
      <c r="E1903">
        <f t="shared" si="29"/>
        <v>20181.25</v>
      </c>
    </row>
    <row r="1904" spans="1:5" x14ac:dyDescent="0.25">
      <c r="A1904" t="s">
        <v>1</v>
      </c>
      <c r="B1904">
        <v>1200902</v>
      </c>
      <c r="C1904">
        <v>20162.5</v>
      </c>
      <c r="D1904" s="4">
        <f>+VLOOKUP(A1904,Portfolio!$G$3:$I$6,3)</f>
        <v>1</v>
      </c>
      <c r="E1904">
        <f t="shared" si="29"/>
        <v>20162.5</v>
      </c>
    </row>
    <row r="1905" spans="1:5" x14ac:dyDescent="0.25">
      <c r="A1905" t="s">
        <v>1</v>
      </c>
      <c r="B1905">
        <v>1200903</v>
      </c>
      <c r="C1905">
        <v>20450</v>
      </c>
      <c r="D1905" s="4">
        <f>+VLOOKUP(A1905,Portfolio!$G$3:$I$6,3)</f>
        <v>1</v>
      </c>
      <c r="E1905">
        <f t="shared" si="29"/>
        <v>20450</v>
      </c>
    </row>
    <row r="1906" spans="1:5" x14ac:dyDescent="0.25">
      <c r="A1906" t="s">
        <v>1</v>
      </c>
      <c r="B1906">
        <v>1200904</v>
      </c>
      <c r="C1906">
        <v>20356.25</v>
      </c>
      <c r="D1906" s="4">
        <f>+VLOOKUP(A1906,Portfolio!$G$3:$I$6,3)</f>
        <v>1</v>
      </c>
      <c r="E1906">
        <f t="shared" si="29"/>
        <v>20356.25</v>
      </c>
    </row>
    <row r="1907" spans="1:5" x14ac:dyDescent="0.25">
      <c r="A1907" t="s">
        <v>1</v>
      </c>
      <c r="B1907">
        <v>1200906</v>
      </c>
      <c r="C1907">
        <v>20262.5</v>
      </c>
      <c r="D1907" s="4">
        <f>+VLOOKUP(A1907,Portfolio!$G$3:$I$6,3)</f>
        <v>1</v>
      </c>
      <c r="E1907">
        <f t="shared" si="29"/>
        <v>20262.5</v>
      </c>
    </row>
    <row r="1908" spans="1:5" x14ac:dyDescent="0.25">
      <c r="A1908" t="s">
        <v>1</v>
      </c>
      <c r="B1908">
        <v>1200907</v>
      </c>
      <c r="C1908">
        <v>20243.75</v>
      </c>
      <c r="D1908" s="4">
        <f>+VLOOKUP(A1908,Portfolio!$G$3:$I$6,3)</f>
        <v>1</v>
      </c>
      <c r="E1908">
        <f t="shared" si="29"/>
        <v>20243.75</v>
      </c>
    </row>
    <row r="1909" spans="1:5" x14ac:dyDescent="0.25">
      <c r="A1909" t="s">
        <v>1</v>
      </c>
      <c r="B1909">
        <v>1200908</v>
      </c>
      <c r="C1909">
        <v>20268.75</v>
      </c>
      <c r="D1909" s="4">
        <f>+VLOOKUP(A1909,Portfolio!$G$3:$I$6,3)</f>
        <v>1</v>
      </c>
      <c r="E1909">
        <f t="shared" si="29"/>
        <v>20268.75</v>
      </c>
    </row>
    <row r="1910" spans="1:5" x14ac:dyDescent="0.25">
      <c r="A1910" t="s">
        <v>1</v>
      </c>
      <c r="B1910">
        <v>1200909</v>
      </c>
      <c r="C1910">
        <v>20531.25</v>
      </c>
      <c r="D1910" s="4">
        <f>+VLOOKUP(A1910,Portfolio!$G$3:$I$6,3)</f>
        <v>1</v>
      </c>
      <c r="E1910">
        <f t="shared" si="29"/>
        <v>20531.25</v>
      </c>
    </row>
    <row r="1911" spans="1:5" x14ac:dyDescent="0.25">
      <c r="A1911" t="s">
        <v>1</v>
      </c>
      <c r="B1911">
        <v>1200910</v>
      </c>
      <c r="C1911">
        <v>20162.5</v>
      </c>
      <c r="D1911" s="4">
        <f>+VLOOKUP(A1911,Portfolio!$G$3:$I$6,3)</f>
        <v>1</v>
      </c>
      <c r="E1911">
        <f t="shared" si="29"/>
        <v>20162.5</v>
      </c>
    </row>
    <row r="1912" spans="1:5" x14ac:dyDescent="0.25">
      <c r="A1912" t="s">
        <v>1</v>
      </c>
      <c r="B1912">
        <v>1200911</v>
      </c>
      <c r="C1912">
        <v>19956.25</v>
      </c>
      <c r="D1912" s="4">
        <f>+VLOOKUP(A1912,Portfolio!$G$3:$I$6,3)</f>
        <v>1</v>
      </c>
      <c r="E1912">
        <f t="shared" si="29"/>
        <v>19956.25</v>
      </c>
    </row>
    <row r="1913" spans="1:5" x14ac:dyDescent="0.25">
      <c r="A1913" t="s">
        <v>1</v>
      </c>
      <c r="B1913">
        <v>1200913</v>
      </c>
      <c r="C1913">
        <v>19987.5</v>
      </c>
      <c r="D1913" s="4">
        <f>+VLOOKUP(A1913,Portfolio!$G$3:$I$6,3)</f>
        <v>1</v>
      </c>
      <c r="E1913">
        <f t="shared" si="29"/>
        <v>19987.5</v>
      </c>
    </row>
    <row r="1914" spans="1:5" x14ac:dyDescent="0.25">
      <c r="A1914" t="s">
        <v>1</v>
      </c>
      <c r="B1914">
        <v>1200914</v>
      </c>
      <c r="C1914">
        <v>20062.5</v>
      </c>
      <c r="D1914" s="4">
        <f>+VLOOKUP(A1914,Portfolio!$G$3:$I$6,3)</f>
        <v>1</v>
      </c>
      <c r="E1914">
        <f t="shared" si="29"/>
        <v>20062.5</v>
      </c>
    </row>
    <row r="1915" spans="1:5" x14ac:dyDescent="0.25">
      <c r="A1915" t="s">
        <v>1</v>
      </c>
      <c r="B1915">
        <v>1200915</v>
      </c>
      <c r="C1915">
        <v>20468.75</v>
      </c>
      <c r="D1915" s="4">
        <f>+VLOOKUP(A1915,Portfolio!$G$3:$I$6,3)</f>
        <v>1</v>
      </c>
      <c r="E1915">
        <f t="shared" si="29"/>
        <v>20468.75</v>
      </c>
    </row>
    <row r="1916" spans="1:5" x14ac:dyDescent="0.25">
      <c r="A1916" t="s">
        <v>1</v>
      </c>
      <c r="B1916">
        <v>1200916</v>
      </c>
      <c r="C1916">
        <v>20887.5</v>
      </c>
      <c r="D1916" s="4">
        <f>+VLOOKUP(A1916,Portfolio!$G$3:$I$6,3)</f>
        <v>1</v>
      </c>
      <c r="E1916">
        <f t="shared" si="29"/>
        <v>20887.5</v>
      </c>
    </row>
    <row r="1917" spans="1:5" x14ac:dyDescent="0.25">
      <c r="A1917" t="s">
        <v>1</v>
      </c>
      <c r="B1917">
        <v>1200917</v>
      </c>
      <c r="C1917">
        <v>21137.5</v>
      </c>
      <c r="D1917" s="4">
        <f>+VLOOKUP(A1917,Portfolio!$G$3:$I$6,3)</f>
        <v>1</v>
      </c>
      <c r="E1917">
        <f t="shared" si="29"/>
        <v>21137.5</v>
      </c>
    </row>
    <row r="1918" spans="1:5" x14ac:dyDescent="0.25">
      <c r="A1918" t="s">
        <v>1</v>
      </c>
      <c r="B1918">
        <v>1200918</v>
      </c>
      <c r="C1918">
        <v>21300</v>
      </c>
      <c r="D1918" s="4">
        <f>+VLOOKUP(A1918,Portfolio!$G$3:$I$6,3)</f>
        <v>1</v>
      </c>
      <c r="E1918">
        <f t="shared" si="29"/>
        <v>21300</v>
      </c>
    </row>
    <row r="1919" spans="1:5" x14ac:dyDescent="0.25">
      <c r="A1919" t="s">
        <v>1</v>
      </c>
      <c r="B1919">
        <v>1200920</v>
      </c>
      <c r="C1919">
        <v>20962.5</v>
      </c>
      <c r="D1919" s="4">
        <f>+VLOOKUP(A1919,Portfolio!$G$3:$I$6,3)</f>
        <v>1</v>
      </c>
      <c r="E1919">
        <f t="shared" si="29"/>
        <v>20962.5</v>
      </c>
    </row>
    <row r="1920" spans="1:5" x14ac:dyDescent="0.25">
      <c r="A1920" t="s">
        <v>1</v>
      </c>
      <c r="B1920">
        <v>1200921</v>
      </c>
      <c r="C1920">
        <v>20681.25</v>
      </c>
      <c r="D1920" s="4">
        <f>+VLOOKUP(A1920,Portfolio!$G$3:$I$6,3)</f>
        <v>1</v>
      </c>
      <c r="E1920">
        <f t="shared" si="29"/>
        <v>20681.25</v>
      </c>
    </row>
    <row r="1921" spans="1:5" x14ac:dyDescent="0.25">
      <c r="A1921" t="s">
        <v>1</v>
      </c>
      <c r="B1921">
        <v>1200922</v>
      </c>
      <c r="C1921">
        <v>20856.25</v>
      </c>
      <c r="D1921" s="4">
        <f>+VLOOKUP(A1921,Portfolio!$G$3:$I$6,3)</f>
        <v>1</v>
      </c>
      <c r="E1921">
        <f t="shared" si="29"/>
        <v>20856.25</v>
      </c>
    </row>
    <row r="1922" spans="1:5" x14ac:dyDescent="0.25">
      <c r="A1922" t="s">
        <v>1</v>
      </c>
      <c r="B1922">
        <v>1200923</v>
      </c>
      <c r="C1922">
        <v>21468.75</v>
      </c>
      <c r="D1922" s="4">
        <f>+VLOOKUP(A1922,Portfolio!$G$3:$I$6,3)</f>
        <v>1</v>
      </c>
      <c r="E1922">
        <f t="shared" si="29"/>
        <v>21468.75</v>
      </c>
    </row>
    <row r="1923" spans="1:5" x14ac:dyDescent="0.25">
      <c r="A1923" t="s">
        <v>1</v>
      </c>
      <c r="B1923">
        <v>1200924</v>
      </c>
      <c r="C1923">
        <v>21912.5</v>
      </c>
      <c r="D1923" s="4">
        <f>+VLOOKUP(A1923,Portfolio!$G$3:$I$6,3)</f>
        <v>1</v>
      </c>
      <c r="E1923">
        <f t="shared" ref="E1923:E1986" si="30">+C1923*D1923</f>
        <v>21912.5</v>
      </c>
    </row>
    <row r="1924" spans="1:5" x14ac:dyDescent="0.25">
      <c r="A1924" t="s">
        <v>1</v>
      </c>
      <c r="B1924">
        <v>1200925</v>
      </c>
      <c r="C1924">
        <v>21850</v>
      </c>
      <c r="D1924" s="4">
        <f>+VLOOKUP(A1924,Portfolio!$G$3:$I$6,3)</f>
        <v>1</v>
      </c>
      <c r="E1924">
        <f t="shared" si="30"/>
        <v>21850</v>
      </c>
    </row>
    <row r="1925" spans="1:5" x14ac:dyDescent="0.25">
      <c r="A1925" t="s">
        <v>1</v>
      </c>
      <c r="B1925">
        <v>1200927</v>
      </c>
      <c r="C1925">
        <v>22043.75</v>
      </c>
      <c r="D1925" s="4">
        <f>+VLOOKUP(A1925,Portfolio!$G$3:$I$6,3)</f>
        <v>1</v>
      </c>
      <c r="E1925">
        <f t="shared" si="30"/>
        <v>22043.75</v>
      </c>
    </row>
    <row r="1926" spans="1:5" x14ac:dyDescent="0.25">
      <c r="A1926" t="s">
        <v>1</v>
      </c>
      <c r="B1926">
        <v>1200928</v>
      </c>
      <c r="C1926">
        <v>21743.75</v>
      </c>
      <c r="D1926" s="4">
        <f>+VLOOKUP(A1926,Portfolio!$G$3:$I$6,3)</f>
        <v>1</v>
      </c>
      <c r="E1926">
        <f t="shared" si="30"/>
        <v>21743.75</v>
      </c>
    </row>
    <row r="1927" spans="1:5" x14ac:dyDescent="0.25">
      <c r="A1927" t="s">
        <v>1</v>
      </c>
      <c r="B1927">
        <v>1200929</v>
      </c>
      <c r="C1927">
        <v>22043.75</v>
      </c>
      <c r="D1927" s="4">
        <f>+VLOOKUP(A1927,Portfolio!$G$3:$I$6,3)</f>
        <v>1</v>
      </c>
      <c r="E1927">
        <f t="shared" si="30"/>
        <v>22043.75</v>
      </c>
    </row>
    <row r="1928" spans="1:5" x14ac:dyDescent="0.25">
      <c r="A1928" t="s">
        <v>1</v>
      </c>
      <c r="B1928">
        <v>1200930</v>
      </c>
      <c r="C1928">
        <v>21625</v>
      </c>
      <c r="D1928" s="4">
        <f>+VLOOKUP(A1928,Portfolio!$G$3:$I$6,3)</f>
        <v>1</v>
      </c>
      <c r="E1928">
        <f t="shared" si="30"/>
        <v>21625</v>
      </c>
    </row>
    <row r="1929" spans="1:5" x14ac:dyDescent="0.25">
      <c r="A1929" t="s">
        <v>1</v>
      </c>
      <c r="B1929">
        <v>1201001</v>
      </c>
      <c r="C1929">
        <v>21350</v>
      </c>
      <c r="D1929" s="4">
        <f>+VLOOKUP(A1929,Portfolio!$G$3:$I$6,3)</f>
        <v>1</v>
      </c>
      <c r="E1929">
        <f t="shared" si="30"/>
        <v>21350</v>
      </c>
    </row>
    <row r="1930" spans="1:5" x14ac:dyDescent="0.25">
      <c r="A1930" t="s">
        <v>1</v>
      </c>
      <c r="B1930">
        <v>1201002</v>
      </c>
      <c r="C1930">
        <v>21062.5</v>
      </c>
      <c r="D1930" s="4">
        <f>+VLOOKUP(A1930,Portfolio!$G$3:$I$6,3)</f>
        <v>1</v>
      </c>
      <c r="E1930">
        <f t="shared" si="30"/>
        <v>21062.5</v>
      </c>
    </row>
    <row r="1931" spans="1:5" x14ac:dyDescent="0.25">
      <c r="A1931" t="s">
        <v>1</v>
      </c>
      <c r="B1931">
        <v>1201004</v>
      </c>
      <c r="C1931">
        <v>21018.75</v>
      </c>
      <c r="D1931" s="4">
        <f>+VLOOKUP(A1931,Portfolio!$G$3:$I$6,3)</f>
        <v>1</v>
      </c>
      <c r="E1931">
        <f t="shared" si="30"/>
        <v>21018.75</v>
      </c>
    </row>
    <row r="1932" spans="1:5" x14ac:dyDescent="0.25">
      <c r="A1932" t="s">
        <v>1</v>
      </c>
      <c r="B1932">
        <v>1201005</v>
      </c>
      <c r="C1932">
        <v>21081.25</v>
      </c>
      <c r="D1932" s="4">
        <f>+VLOOKUP(A1932,Portfolio!$G$3:$I$6,3)</f>
        <v>1</v>
      </c>
      <c r="E1932">
        <f t="shared" si="30"/>
        <v>21081.25</v>
      </c>
    </row>
    <row r="1933" spans="1:5" x14ac:dyDescent="0.25">
      <c r="A1933" t="s">
        <v>1</v>
      </c>
      <c r="B1933">
        <v>1201006</v>
      </c>
      <c r="C1933">
        <v>20881.25</v>
      </c>
      <c r="D1933" s="4">
        <f>+VLOOKUP(A1933,Portfolio!$G$3:$I$6,3)</f>
        <v>1</v>
      </c>
      <c r="E1933">
        <f t="shared" si="30"/>
        <v>20881.25</v>
      </c>
    </row>
    <row r="1934" spans="1:5" x14ac:dyDescent="0.25">
      <c r="A1934" t="s">
        <v>1</v>
      </c>
      <c r="B1934">
        <v>1201007</v>
      </c>
      <c r="C1934">
        <v>20593.75</v>
      </c>
      <c r="D1934" s="4">
        <f>+VLOOKUP(A1934,Portfolio!$G$3:$I$6,3)</f>
        <v>1</v>
      </c>
      <c r="E1934">
        <f t="shared" si="30"/>
        <v>20593.75</v>
      </c>
    </row>
    <row r="1935" spans="1:5" x14ac:dyDescent="0.25">
      <c r="A1935" t="s">
        <v>1</v>
      </c>
      <c r="B1935">
        <v>1201008</v>
      </c>
      <c r="C1935">
        <v>20875</v>
      </c>
      <c r="D1935" s="4">
        <f>+VLOOKUP(A1935,Portfolio!$G$3:$I$6,3)</f>
        <v>1</v>
      </c>
      <c r="E1935">
        <f t="shared" si="30"/>
        <v>20875</v>
      </c>
    </row>
    <row r="1936" spans="1:5" x14ac:dyDescent="0.25">
      <c r="A1936" t="s">
        <v>1</v>
      </c>
      <c r="B1936">
        <v>1201009</v>
      </c>
      <c r="C1936">
        <v>20893.75</v>
      </c>
      <c r="D1936" s="4">
        <f>+VLOOKUP(A1936,Portfolio!$G$3:$I$6,3)</f>
        <v>1</v>
      </c>
      <c r="E1936">
        <f t="shared" si="30"/>
        <v>20893.75</v>
      </c>
    </row>
    <row r="1937" spans="1:5" x14ac:dyDescent="0.25">
      <c r="A1937" t="s">
        <v>1</v>
      </c>
      <c r="B1937">
        <v>1201011</v>
      </c>
      <c r="C1937">
        <v>21131.25</v>
      </c>
      <c r="D1937" s="4">
        <f>+VLOOKUP(A1937,Portfolio!$G$3:$I$6,3)</f>
        <v>1</v>
      </c>
      <c r="E1937">
        <f t="shared" si="30"/>
        <v>21131.25</v>
      </c>
    </row>
    <row r="1938" spans="1:5" x14ac:dyDescent="0.25">
      <c r="A1938" t="s">
        <v>1</v>
      </c>
      <c r="B1938">
        <v>1201012</v>
      </c>
      <c r="C1938">
        <v>21306.25</v>
      </c>
      <c r="D1938" s="4">
        <f>+VLOOKUP(A1938,Portfolio!$G$3:$I$6,3)</f>
        <v>1</v>
      </c>
      <c r="E1938">
        <f t="shared" si="30"/>
        <v>21306.25</v>
      </c>
    </row>
    <row r="1939" spans="1:5" x14ac:dyDescent="0.25">
      <c r="A1939" t="s">
        <v>1</v>
      </c>
      <c r="B1939">
        <v>1201013</v>
      </c>
      <c r="C1939">
        <v>21368.75</v>
      </c>
      <c r="D1939" s="4">
        <f>+VLOOKUP(A1939,Portfolio!$G$3:$I$6,3)</f>
        <v>1</v>
      </c>
      <c r="E1939">
        <f t="shared" si="30"/>
        <v>21368.75</v>
      </c>
    </row>
    <row r="1940" spans="1:5" x14ac:dyDescent="0.25">
      <c r="A1940" t="s">
        <v>1</v>
      </c>
      <c r="B1940">
        <v>1201014</v>
      </c>
      <c r="C1940">
        <v>21025</v>
      </c>
      <c r="D1940" s="4">
        <f>+VLOOKUP(A1940,Portfolio!$G$3:$I$6,3)</f>
        <v>1</v>
      </c>
      <c r="E1940">
        <f t="shared" si="30"/>
        <v>21025</v>
      </c>
    </row>
    <row r="1941" spans="1:5" x14ac:dyDescent="0.25">
      <c r="A1941" t="s">
        <v>1</v>
      </c>
      <c r="B1941">
        <v>1201015</v>
      </c>
      <c r="C1941">
        <v>21206.25</v>
      </c>
      <c r="D1941" s="4">
        <f>+VLOOKUP(A1941,Portfolio!$G$3:$I$6,3)</f>
        <v>1</v>
      </c>
      <c r="E1941">
        <f t="shared" si="30"/>
        <v>21206.25</v>
      </c>
    </row>
    <row r="1942" spans="1:5" x14ac:dyDescent="0.25">
      <c r="A1942" t="s">
        <v>1</v>
      </c>
      <c r="B1942">
        <v>1201016</v>
      </c>
      <c r="C1942">
        <v>21006.25</v>
      </c>
      <c r="D1942" s="4">
        <f>+VLOOKUP(A1942,Portfolio!$G$3:$I$6,3)</f>
        <v>1</v>
      </c>
      <c r="E1942">
        <f t="shared" si="30"/>
        <v>21006.25</v>
      </c>
    </row>
    <row r="1943" spans="1:5" x14ac:dyDescent="0.25">
      <c r="A1943" t="s">
        <v>1</v>
      </c>
      <c r="B1943">
        <v>1201018</v>
      </c>
      <c r="C1943">
        <v>21212.5</v>
      </c>
      <c r="D1943" s="4">
        <f>+VLOOKUP(A1943,Portfolio!$G$3:$I$6,3)</f>
        <v>1</v>
      </c>
      <c r="E1943">
        <f t="shared" si="30"/>
        <v>21212.5</v>
      </c>
    </row>
    <row r="1944" spans="1:5" x14ac:dyDescent="0.25">
      <c r="A1944" t="s">
        <v>1</v>
      </c>
      <c r="B1944">
        <v>1201019</v>
      </c>
      <c r="C1944">
        <v>21243.75</v>
      </c>
      <c r="D1944" s="4">
        <f>+VLOOKUP(A1944,Portfolio!$G$3:$I$6,3)</f>
        <v>1</v>
      </c>
      <c r="E1944">
        <f t="shared" si="30"/>
        <v>21243.75</v>
      </c>
    </row>
    <row r="1945" spans="1:5" x14ac:dyDescent="0.25">
      <c r="A1945" t="s">
        <v>1</v>
      </c>
      <c r="B1945">
        <v>1201020</v>
      </c>
      <c r="C1945">
        <v>20950</v>
      </c>
      <c r="D1945" s="4">
        <f>+VLOOKUP(A1945,Portfolio!$G$3:$I$6,3)</f>
        <v>1</v>
      </c>
      <c r="E1945">
        <f t="shared" si="30"/>
        <v>20950</v>
      </c>
    </row>
    <row r="1946" spans="1:5" x14ac:dyDescent="0.25">
      <c r="A1946" t="s">
        <v>1</v>
      </c>
      <c r="B1946">
        <v>1201021</v>
      </c>
      <c r="C1946">
        <v>21100</v>
      </c>
      <c r="D1946" s="4">
        <f>+VLOOKUP(A1946,Portfolio!$G$3:$I$6,3)</f>
        <v>1</v>
      </c>
      <c r="E1946">
        <f t="shared" si="30"/>
        <v>21100</v>
      </c>
    </row>
    <row r="1947" spans="1:5" x14ac:dyDescent="0.25">
      <c r="A1947" t="s">
        <v>1</v>
      </c>
      <c r="B1947">
        <v>1201022</v>
      </c>
      <c r="C1947">
        <v>21756.25</v>
      </c>
      <c r="D1947" s="4">
        <f>+VLOOKUP(A1947,Portfolio!$G$3:$I$6,3)</f>
        <v>1</v>
      </c>
      <c r="E1947">
        <f t="shared" si="30"/>
        <v>21756.25</v>
      </c>
    </row>
    <row r="1948" spans="1:5" x14ac:dyDescent="0.25">
      <c r="A1948" t="s">
        <v>1</v>
      </c>
      <c r="B1948">
        <v>1201023</v>
      </c>
      <c r="C1948">
        <v>21593.75</v>
      </c>
      <c r="D1948" s="4">
        <f>+VLOOKUP(A1948,Portfolio!$G$3:$I$6,3)</f>
        <v>1</v>
      </c>
      <c r="E1948">
        <f t="shared" si="30"/>
        <v>21593.75</v>
      </c>
    </row>
    <row r="1949" spans="1:5" x14ac:dyDescent="0.25">
      <c r="A1949" t="s">
        <v>1</v>
      </c>
      <c r="B1949">
        <v>1201025</v>
      </c>
      <c r="C1949">
        <v>21593.75</v>
      </c>
      <c r="D1949" s="4">
        <f>+VLOOKUP(A1949,Portfolio!$G$3:$I$6,3)</f>
        <v>1</v>
      </c>
      <c r="E1949">
        <f t="shared" si="30"/>
        <v>21593.75</v>
      </c>
    </row>
    <row r="1950" spans="1:5" x14ac:dyDescent="0.25">
      <c r="A1950" t="s">
        <v>1</v>
      </c>
      <c r="B1950">
        <v>1201026</v>
      </c>
      <c r="C1950">
        <v>21818.75</v>
      </c>
      <c r="D1950" s="4">
        <f>+VLOOKUP(A1950,Portfolio!$G$3:$I$6,3)</f>
        <v>1</v>
      </c>
      <c r="E1950">
        <f t="shared" si="30"/>
        <v>21818.75</v>
      </c>
    </row>
    <row r="1951" spans="1:5" x14ac:dyDescent="0.25">
      <c r="A1951" t="s">
        <v>1</v>
      </c>
      <c r="B1951">
        <v>1201027</v>
      </c>
      <c r="C1951">
        <v>21737.5</v>
      </c>
      <c r="D1951" s="4">
        <f>+VLOOKUP(A1951,Portfolio!$G$3:$I$6,3)</f>
        <v>1</v>
      </c>
      <c r="E1951">
        <f t="shared" si="30"/>
        <v>21737.5</v>
      </c>
    </row>
    <row r="1952" spans="1:5" x14ac:dyDescent="0.25">
      <c r="A1952" t="s">
        <v>1</v>
      </c>
      <c r="B1952">
        <v>1201028</v>
      </c>
      <c r="C1952">
        <v>22331.25</v>
      </c>
      <c r="D1952" s="4">
        <f>+VLOOKUP(A1952,Portfolio!$G$3:$I$6,3)</f>
        <v>1</v>
      </c>
      <c r="E1952">
        <f t="shared" si="30"/>
        <v>22331.25</v>
      </c>
    </row>
    <row r="1953" spans="1:5" x14ac:dyDescent="0.25">
      <c r="A1953" t="s">
        <v>1</v>
      </c>
      <c r="B1953">
        <v>1201029</v>
      </c>
      <c r="C1953">
        <v>22337.5</v>
      </c>
      <c r="D1953" s="4">
        <f>+VLOOKUP(A1953,Portfolio!$G$3:$I$6,3)</f>
        <v>1</v>
      </c>
      <c r="E1953">
        <f t="shared" si="30"/>
        <v>22337.5</v>
      </c>
    </row>
    <row r="1954" spans="1:5" x14ac:dyDescent="0.25">
      <c r="A1954" t="s">
        <v>1</v>
      </c>
      <c r="B1954">
        <v>1201030</v>
      </c>
      <c r="C1954">
        <v>22250</v>
      </c>
      <c r="D1954" s="4">
        <f>+VLOOKUP(A1954,Portfolio!$G$3:$I$6,3)</f>
        <v>1</v>
      </c>
      <c r="E1954">
        <f t="shared" si="30"/>
        <v>22250</v>
      </c>
    </row>
    <row r="1955" spans="1:5" x14ac:dyDescent="0.25">
      <c r="A1955" t="s">
        <v>1</v>
      </c>
      <c r="B1955">
        <v>1201101</v>
      </c>
      <c r="C1955">
        <v>22506.25</v>
      </c>
      <c r="D1955" s="4">
        <f>+VLOOKUP(A1955,Portfolio!$G$3:$I$6,3)</f>
        <v>1</v>
      </c>
      <c r="E1955">
        <f t="shared" si="30"/>
        <v>22506.25</v>
      </c>
    </row>
    <row r="1956" spans="1:5" x14ac:dyDescent="0.25">
      <c r="A1956" t="s">
        <v>1</v>
      </c>
      <c r="B1956">
        <v>1201102</v>
      </c>
      <c r="C1956">
        <v>22637.5</v>
      </c>
      <c r="D1956" s="4">
        <f>+VLOOKUP(A1956,Portfolio!$G$3:$I$6,3)</f>
        <v>1</v>
      </c>
      <c r="E1956">
        <f t="shared" si="30"/>
        <v>22637.5</v>
      </c>
    </row>
    <row r="1957" spans="1:5" x14ac:dyDescent="0.25">
      <c r="A1957" t="s">
        <v>1</v>
      </c>
      <c r="B1957">
        <v>1201103</v>
      </c>
      <c r="C1957">
        <v>22587.5</v>
      </c>
      <c r="D1957" s="4">
        <f>+VLOOKUP(A1957,Portfolio!$G$3:$I$6,3)</f>
        <v>1</v>
      </c>
      <c r="E1957">
        <f t="shared" si="30"/>
        <v>22587.5</v>
      </c>
    </row>
    <row r="1958" spans="1:5" x14ac:dyDescent="0.25">
      <c r="A1958" t="s">
        <v>1</v>
      </c>
      <c r="B1958">
        <v>1201104</v>
      </c>
      <c r="C1958">
        <v>22081.25</v>
      </c>
      <c r="D1958" s="4">
        <f>+VLOOKUP(A1958,Portfolio!$G$3:$I$6,3)</f>
        <v>1</v>
      </c>
      <c r="E1958">
        <f t="shared" si="30"/>
        <v>22081.25</v>
      </c>
    </row>
    <row r="1959" spans="1:5" x14ac:dyDescent="0.25">
      <c r="A1959" t="s">
        <v>1</v>
      </c>
      <c r="B1959">
        <v>1201105</v>
      </c>
      <c r="C1959">
        <v>21687.5</v>
      </c>
      <c r="D1959" s="4">
        <f>+VLOOKUP(A1959,Portfolio!$G$3:$I$6,3)</f>
        <v>1</v>
      </c>
      <c r="E1959">
        <f t="shared" si="30"/>
        <v>21687.5</v>
      </c>
    </row>
    <row r="1960" spans="1:5" x14ac:dyDescent="0.25">
      <c r="A1960" t="s">
        <v>1</v>
      </c>
      <c r="B1960">
        <v>1201106</v>
      </c>
      <c r="C1960">
        <v>22575</v>
      </c>
      <c r="D1960" s="4">
        <f>+VLOOKUP(A1960,Portfolio!$G$3:$I$6,3)</f>
        <v>1</v>
      </c>
      <c r="E1960">
        <f t="shared" si="30"/>
        <v>22575</v>
      </c>
    </row>
    <row r="1961" spans="1:5" x14ac:dyDescent="0.25">
      <c r="A1961" t="s">
        <v>1</v>
      </c>
      <c r="B1961">
        <v>1201108</v>
      </c>
      <c r="C1961">
        <v>22175</v>
      </c>
      <c r="D1961" s="4">
        <f>+VLOOKUP(A1961,Portfolio!$G$3:$I$6,3)</f>
        <v>1</v>
      </c>
      <c r="E1961">
        <f t="shared" si="30"/>
        <v>22175</v>
      </c>
    </row>
    <row r="1962" spans="1:5" x14ac:dyDescent="0.25">
      <c r="A1962" t="s">
        <v>1</v>
      </c>
      <c r="B1962">
        <v>1201109</v>
      </c>
      <c r="C1962">
        <v>22512.5</v>
      </c>
      <c r="D1962" s="4">
        <f>+VLOOKUP(A1962,Portfolio!$G$3:$I$6,3)</f>
        <v>1</v>
      </c>
      <c r="E1962">
        <f t="shared" si="30"/>
        <v>22512.5</v>
      </c>
    </row>
    <row r="1963" spans="1:5" x14ac:dyDescent="0.25">
      <c r="A1963" t="s">
        <v>1</v>
      </c>
      <c r="B1963">
        <v>1201110</v>
      </c>
      <c r="C1963">
        <v>24143.75</v>
      </c>
      <c r="D1963" s="4">
        <f>+VLOOKUP(A1963,Portfolio!$G$3:$I$6,3)</f>
        <v>1</v>
      </c>
      <c r="E1963">
        <f t="shared" si="30"/>
        <v>24143.75</v>
      </c>
    </row>
    <row r="1964" spans="1:5" x14ac:dyDescent="0.25">
      <c r="A1964" t="s">
        <v>1</v>
      </c>
      <c r="B1964">
        <v>1201111</v>
      </c>
      <c r="C1964">
        <v>24443.75</v>
      </c>
      <c r="D1964" s="4">
        <f>+VLOOKUP(A1964,Portfolio!$G$3:$I$6,3)</f>
        <v>1</v>
      </c>
      <c r="E1964">
        <f t="shared" si="30"/>
        <v>24443.75</v>
      </c>
    </row>
    <row r="1965" spans="1:5" x14ac:dyDescent="0.25">
      <c r="A1965" t="s">
        <v>1</v>
      </c>
      <c r="B1965">
        <v>1201112</v>
      </c>
      <c r="C1965">
        <v>24762.5</v>
      </c>
      <c r="D1965" s="4">
        <f>+VLOOKUP(A1965,Portfolio!$G$3:$I$6,3)</f>
        <v>1</v>
      </c>
      <c r="E1965">
        <f t="shared" si="30"/>
        <v>24762.5</v>
      </c>
    </row>
    <row r="1966" spans="1:5" x14ac:dyDescent="0.25">
      <c r="A1966" t="s">
        <v>1</v>
      </c>
      <c r="B1966">
        <v>1201113</v>
      </c>
      <c r="C1966">
        <v>25143.75</v>
      </c>
      <c r="D1966" s="4">
        <f>+VLOOKUP(A1966,Portfolio!$G$3:$I$6,3)</f>
        <v>1</v>
      </c>
      <c r="E1966">
        <f t="shared" si="30"/>
        <v>25143.75</v>
      </c>
    </row>
    <row r="1967" spans="1:5" x14ac:dyDescent="0.25">
      <c r="A1967" t="s">
        <v>1</v>
      </c>
      <c r="B1967">
        <v>1201115</v>
      </c>
      <c r="C1967">
        <v>25381.25</v>
      </c>
      <c r="D1967" s="4">
        <f>+VLOOKUP(A1967,Portfolio!$G$3:$I$6,3)</f>
        <v>1</v>
      </c>
      <c r="E1967">
        <f t="shared" si="30"/>
        <v>25381.25</v>
      </c>
    </row>
    <row r="1968" spans="1:5" x14ac:dyDescent="0.25">
      <c r="A1968" t="s">
        <v>1</v>
      </c>
      <c r="B1968">
        <v>1201116</v>
      </c>
      <c r="C1968">
        <v>25487.5</v>
      </c>
      <c r="D1968" s="4">
        <f>+VLOOKUP(A1968,Portfolio!$G$3:$I$6,3)</f>
        <v>1</v>
      </c>
      <c r="E1968">
        <f t="shared" si="30"/>
        <v>25487.5</v>
      </c>
    </row>
    <row r="1969" spans="1:5" x14ac:dyDescent="0.25">
      <c r="A1969" t="s">
        <v>1</v>
      </c>
      <c r="B1969">
        <v>1201117</v>
      </c>
      <c r="C1969">
        <v>25568.75</v>
      </c>
      <c r="D1969" s="4">
        <f>+VLOOKUP(A1969,Portfolio!$G$3:$I$6,3)</f>
        <v>1</v>
      </c>
      <c r="E1969">
        <f t="shared" si="30"/>
        <v>25568.75</v>
      </c>
    </row>
    <row r="1970" spans="1:5" x14ac:dyDescent="0.25">
      <c r="A1970" t="s">
        <v>1</v>
      </c>
      <c r="B1970">
        <v>1201118</v>
      </c>
      <c r="C1970">
        <v>26156.25</v>
      </c>
      <c r="D1970" s="4">
        <f>+VLOOKUP(A1970,Portfolio!$G$3:$I$6,3)</f>
        <v>1</v>
      </c>
      <c r="E1970">
        <f t="shared" si="30"/>
        <v>26156.25</v>
      </c>
    </row>
    <row r="1971" spans="1:5" x14ac:dyDescent="0.25">
      <c r="A1971" t="s">
        <v>1</v>
      </c>
      <c r="B1971">
        <v>1201119</v>
      </c>
      <c r="C1971">
        <v>25956.25</v>
      </c>
      <c r="D1971" s="4">
        <f>+VLOOKUP(A1971,Portfolio!$G$3:$I$6,3)</f>
        <v>1</v>
      </c>
      <c r="E1971">
        <f t="shared" si="30"/>
        <v>25956.25</v>
      </c>
    </row>
    <row r="1972" spans="1:5" x14ac:dyDescent="0.25">
      <c r="A1972" t="s">
        <v>1</v>
      </c>
      <c r="B1972">
        <v>1201120</v>
      </c>
      <c r="C1972">
        <v>25937.5</v>
      </c>
      <c r="D1972" s="4">
        <f>+VLOOKUP(A1972,Portfolio!$G$3:$I$6,3)</f>
        <v>1</v>
      </c>
      <c r="E1972">
        <f t="shared" si="30"/>
        <v>25937.5</v>
      </c>
    </row>
    <row r="1973" spans="1:5" x14ac:dyDescent="0.25">
      <c r="A1973" t="s">
        <v>1</v>
      </c>
      <c r="B1973">
        <v>1201122</v>
      </c>
      <c r="C1973">
        <v>25893.75</v>
      </c>
      <c r="D1973" s="4">
        <f>+VLOOKUP(A1973,Portfolio!$G$3:$I$6,3)</f>
        <v>1</v>
      </c>
      <c r="E1973">
        <f t="shared" si="30"/>
        <v>25893.75</v>
      </c>
    </row>
    <row r="1974" spans="1:5" x14ac:dyDescent="0.25">
      <c r="A1974" t="s">
        <v>1</v>
      </c>
      <c r="B1974">
        <v>1201123</v>
      </c>
      <c r="C1974">
        <v>25981.25</v>
      </c>
      <c r="D1974" s="4">
        <f>+VLOOKUP(A1974,Portfolio!$G$3:$I$6,3)</f>
        <v>1</v>
      </c>
      <c r="E1974">
        <f t="shared" si="30"/>
        <v>25981.25</v>
      </c>
    </row>
    <row r="1975" spans="1:5" x14ac:dyDescent="0.25">
      <c r="A1975" t="s">
        <v>1</v>
      </c>
      <c r="B1975">
        <v>1201124</v>
      </c>
      <c r="C1975">
        <v>26506.25</v>
      </c>
      <c r="D1975" s="4">
        <f>+VLOOKUP(A1975,Portfolio!$G$3:$I$6,3)</f>
        <v>1</v>
      </c>
      <c r="E1975">
        <f t="shared" si="30"/>
        <v>26506.25</v>
      </c>
    </row>
    <row r="1976" spans="1:5" x14ac:dyDescent="0.25">
      <c r="A1976" t="s">
        <v>1</v>
      </c>
      <c r="B1976">
        <v>1201125</v>
      </c>
      <c r="C1976">
        <v>26637.5</v>
      </c>
      <c r="D1976" s="4">
        <f>+VLOOKUP(A1976,Portfolio!$G$3:$I$6,3)</f>
        <v>1</v>
      </c>
      <c r="E1976">
        <f t="shared" si="30"/>
        <v>26637.5</v>
      </c>
    </row>
    <row r="1977" spans="1:5" x14ac:dyDescent="0.25">
      <c r="A1977" t="s">
        <v>1</v>
      </c>
      <c r="B1977">
        <v>1201126</v>
      </c>
      <c r="C1977">
        <v>26462.5</v>
      </c>
      <c r="D1977" s="4">
        <f>+VLOOKUP(A1977,Portfolio!$G$3:$I$6,3)</f>
        <v>1</v>
      </c>
      <c r="E1977">
        <f t="shared" si="30"/>
        <v>26462.5</v>
      </c>
    </row>
    <row r="1978" spans="1:5" x14ac:dyDescent="0.25">
      <c r="A1978" t="s">
        <v>1</v>
      </c>
      <c r="B1978">
        <v>1201127</v>
      </c>
      <c r="C1978">
        <v>26937.5</v>
      </c>
      <c r="D1978" s="4">
        <f>+VLOOKUP(A1978,Portfolio!$G$3:$I$6,3)</f>
        <v>1</v>
      </c>
      <c r="E1978">
        <f t="shared" si="30"/>
        <v>26937.5</v>
      </c>
    </row>
    <row r="1979" spans="1:5" x14ac:dyDescent="0.25">
      <c r="A1979" t="s">
        <v>1</v>
      </c>
      <c r="B1979">
        <v>1201129</v>
      </c>
      <c r="C1979">
        <v>26637.5</v>
      </c>
      <c r="D1979" s="4">
        <f>+VLOOKUP(A1979,Portfolio!$G$3:$I$6,3)</f>
        <v>1</v>
      </c>
      <c r="E1979">
        <f t="shared" si="30"/>
        <v>26637.5</v>
      </c>
    </row>
    <row r="1980" spans="1:5" x14ac:dyDescent="0.25">
      <c r="A1980" t="s">
        <v>1</v>
      </c>
      <c r="B1980">
        <v>1201130</v>
      </c>
      <c r="C1980">
        <v>26606.25</v>
      </c>
      <c r="D1980" s="4">
        <f>+VLOOKUP(A1980,Portfolio!$G$3:$I$6,3)</f>
        <v>1</v>
      </c>
      <c r="E1980">
        <f t="shared" si="30"/>
        <v>26606.25</v>
      </c>
    </row>
    <row r="1981" spans="1:5" x14ac:dyDescent="0.25">
      <c r="A1981" t="s">
        <v>1</v>
      </c>
      <c r="B1981">
        <v>1201201</v>
      </c>
      <c r="C1981">
        <v>26087.5</v>
      </c>
      <c r="D1981" s="4">
        <f>+VLOOKUP(A1981,Portfolio!$G$3:$I$6,3)</f>
        <v>1</v>
      </c>
      <c r="E1981">
        <f t="shared" si="30"/>
        <v>26087.5</v>
      </c>
    </row>
    <row r="1982" spans="1:5" x14ac:dyDescent="0.25">
      <c r="A1982" t="s">
        <v>1</v>
      </c>
      <c r="B1982">
        <v>1201202</v>
      </c>
      <c r="C1982">
        <v>26150</v>
      </c>
      <c r="D1982" s="4">
        <f>+VLOOKUP(A1982,Portfolio!$G$3:$I$6,3)</f>
        <v>1</v>
      </c>
      <c r="E1982">
        <f t="shared" si="30"/>
        <v>26150</v>
      </c>
    </row>
    <row r="1983" spans="1:5" x14ac:dyDescent="0.25">
      <c r="A1983" t="s">
        <v>1</v>
      </c>
      <c r="B1983">
        <v>1201203</v>
      </c>
      <c r="C1983">
        <v>26287.5</v>
      </c>
      <c r="D1983" s="4">
        <f>+VLOOKUP(A1983,Portfolio!$G$3:$I$6,3)</f>
        <v>1</v>
      </c>
      <c r="E1983">
        <f t="shared" si="30"/>
        <v>26287.5</v>
      </c>
    </row>
    <row r="1984" spans="1:5" x14ac:dyDescent="0.25">
      <c r="A1984" t="s">
        <v>1</v>
      </c>
      <c r="B1984">
        <v>1201204</v>
      </c>
      <c r="C1984">
        <v>26837.5</v>
      </c>
      <c r="D1984" s="4">
        <f>+VLOOKUP(A1984,Portfolio!$G$3:$I$6,3)</f>
        <v>1</v>
      </c>
      <c r="E1984">
        <f t="shared" si="30"/>
        <v>26837.5</v>
      </c>
    </row>
    <row r="1985" spans="1:5" x14ac:dyDescent="0.25">
      <c r="A1985" t="s">
        <v>1</v>
      </c>
      <c r="B1985">
        <v>1201206</v>
      </c>
      <c r="C1985">
        <v>26462.5</v>
      </c>
      <c r="D1985" s="4">
        <f>+VLOOKUP(A1985,Portfolio!$G$3:$I$6,3)</f>
        <v>1</v>
      </c>
      <c r="E1985">
        <f t="shared" si="30"/>
        <v>26462.5</v>
      </c>
    </row>
    <row r="1986" spans="1:5" x14ac:dyDescent="0.25">
      <c r="A1986" t="s">
        <v>1</v>
      </c>
      <c r="B1986">
        <v>1201207</v>
      </c>
      <c r="C1986">
        <v>26325</v>
      </c>
      <c r="D1986" s="4">
        <f>+VLOOKUP(A1986,Portfolio!$G$3:$I$6,3)</f>
        <v>1</v>
      </c>
      <c r="E1986">
        <f t="shared" si="30"/>
        <v>26325</v>
      </c>
    </row>
    <row r="1987" spans="1:5" x14ac:dyDescent="0.25">
      <c r="A1987" t="s">
        <v>1</v>
      </c>
      <c r="B1987">
        <v>1201208</v>
      </c>
      <c r="C1987">
        <v>26506.25</v>
      </c>
      <c r="D1987" s="4">
        <f>+VLOOKUP(A1987,Portfolio!$G$3:$I$6,3)</f>
        <v>1</v>
      </c>
      <c r="E1987">
        <f t="shared" ref="E1987:E2050" si="31">+C1987*D1987</f>
        <v>26506.25</v>
      </c>
    </row>
    <row r="1988" spans="1:5" x14ac:dyDescent="0.25">
      <c r="A1988" t="s">
        <v>1</v>
      </c>
      <c r="B1988">
        <v>1201209</v>
      </c>
      <c r="C1988">
        <v>26493.75</v>
      </c>
      <c r="D1988" s="4">
        <f>+VLOOKUP(A1988,Portfolio!$G$3:$I$6,3)</f>
        <v>1</v>
      </c>
      <c r="E1988">
        <f t="shared" si="31"/>
        <v>26493.75</v>
      </c>
    </row>
    <row r="1989" spans="1:5" x14ac:dyDescent="0.25">
      <c r="A1989" t="s">
        <v>1</v>
      </c>
      <c r="B1989">
        <v>1201210</v>
      </c>
      <c r="C1989">
        <v>26831.25</v>
      </c>
      <c r="D1989" s="4">
        <f>+VLOOKUP(A1989,Portfolio!$G$3:$I$6,3)</f>
        <v>1</v>
      </c>
      <c r="E1989">
        <f t="shared" si="31"/>
        <v>26831.25</v>
      </c>
    </row>
    <row r="1990" spans="1:5" x14ac:dyDescent="0.25">
      <c r="A1990" t="s">
        <v>1</v>
      </c>
      <c r="B1990">
        <v>1201211</v>
      </c>
      <c r="C1990">
        <v>27331.25</v>
      </c>
      <c r="D1990" s="4">
        <f>+VLOOKUP(A1990,Portfolio!$G$3:$I$6,3)</f>
        <v>1</v>
      </c>
      <c r="E1990">
        <f t="shared" si="31"/>
        <v>27331.25</v>
      </c>
    </row>
    <row r="1991" spans="1:5" x14ac:dyDescent="0.25">
      <c r="A1991" t="s">
        <v>1</v>
      </c>
      <c r="B1991">
        <v>1201213</v>
      </c>
      <c r="C1991">
        <v>26893.75</v>
      </c>
      <c r="D1991" s="4">
        <f>+VLOOKUP(A1991,Portfolio!$G$3:$I$6,3)</f>
        <v>1</v>
      </c>
      <c r="E1991">
        <f t="shared" si="31"/>
        <v>26893.75</v>
      </c>
    </row>
    <row r="1992" spans="1:5" x14ac:dyDescent="0.25">
      <c r="A1992" t="s">
        <v>1</v>
      </c>
      <c r="B1992">
        <v>1201214</v>
      </c>
      <c r="C1992">
        <v>26818.75</v>
      </c>
      <c r="D1992" s="4">
        <f>+VLOOKUP(A1992,Portfolio!$G$3:$I$6,3)</f>
        <v>1</v>
      </c>
      <c r="E1992">
        <f t="shared" si="31"/>
        <v>26818.75</v>
      </c>
    </row>
    <row r="1993" spans="1:5" x14ac:dyDescent="0.25">
      <c r="A1993" t="s">
        <v>1</v>
      </c>
      <c r="B1993">
        <v>1201215</v>
      </c>
      <c r="C1993">
        <v>27037.5</v>
      </c>
      <c r="D1993" s="4">
        <f>+VLOOKUP(A1993,Portfolio!$G$3:$I$6,3)</f>
        <v>1</v>
      </c>
      <c r="E1993">
        <f t="shared" si="31"/>
        <v>27037.5</v>
      </c>
    </row>
    <row r="1994" spans="1:5" x14ac:dyDescent="0.25">
      <c r="A1994" t="s">
        <v>1</v>
      </c>
      <c r="B1994">
        <v>1201216</v>
      </c>
      <c r="C1994">
        <v>27356.25</v>
      </c>
      <c r="D1994" s="4">
        <f>+VLOOKUP(A1994,Portfolio!$G$3:$I$6,3)</f>
        <v>1</v>
      </c>
      <c r="E1994">
        <f t="shared" si="31"/>
        <v>27356.25</v>
      </c>
    </row>
    <row r="1995" spans="1:5" x14ac:dyDescent="0.25">
      <c r="A1995" t="s">
        <v>1</v>
      </c>
      <c r="B1995">
        <v>1201217</v>
      </c>
      <c r="C1995">
        <v>27100</v>
      </c>
      <c r="D1995" s="4">
        <f>+VLOOKUP(A1995,Portfolio!$G$3:$I$6,3)</f>
        <v>1</v>
      </c>
      <c r="E1995">
        <f t="shared" si="31"/>
        <v>27100</v>
      </c>
    </row>
    <row r="1996" spans="1:5" x14ac:dyDescent="0.25">
      <c r="A1996" t="s">
        <v>1</v>
      </c>
      <c r="B1996">
        <v>1201218</v>
      </c>
      <c r="C1996">
        <v>27456.25</v>
      </c>
      <c r="D1996" s="4">
        <f>+VLOOKUP(A1996,Portfolio!$G$3:$I$6,3)</f>
        <v>1</v>
      </c>
      <c r="E1996">
        <f t="shared" si="31"/>
        <v>27456.25</v>
      </c>
    </row>
    <row r="1997" spans="1:5" x14ac:dyDescent="0.25">
      <c r="A1997" t="s">
        <v>1</v>
      </c>
      <c r="B1997">
        <v>1201220</v>
      </c>
      <c r="C1997">
        <v>27187.5</v>
      </c>
      <c r="D1997" s="4">
        <f>+VLOOKUP(A1997,Portfolio!$G$3:$I$6,3)</f>
        <v>1</v>
      </c>
      <c r="E1997">
        <f t="shared" si="31"/>
        <v>27187.5</v>
      </c>
    </row>
    <row r="1998" spans="1:5" x14ac:dyDescent="0.25">
      <c r="A1998" t="s">
        <v>1</v>
      </c>
      <c r="B1998">
        <v>1201221</v>
      </c>
      <c r="C1998">
        <v>27212.5</v>
      </c>
      <c r="D1998" s="4">
        <f>+VLOOKUP(A1998,Portfolio!$G$3:$I$6,3)</f>
        <v>1</v>
      </c>
      <c r="E1998">
        <f t="shared" si="31"/>
        <v>27212.5</v>
      </c>
    </row>
    <row r="1999" spans="1:5" x14ac:dyDescent="0.25">
      <c r="A1999" t="s">
        <v>1</v>
      </c>
      <c r="B1999">
        <v>1201222</v>
      </c>
      <c r="C1999">
        <v>27218.75</v>
      </c>
      <c r="D1999" s="4">
        <f>+VLOOKUP(A1999,Portfolio!$G$3:$I$6,3)</f>
        <v>1</v>
      </c>
      <c r="E1999">
        <f t="shared" si="31"/>
        <v>27218.75</v>
      </c>
    </row>
    <row r="2000" spans="1:5" x14ac:dyDescent="0.25">
      <c r="A2000" t="s">
        <v>1</v>
      </c>
      <c r="B2000">
        <v>1201223</v>
      </c>
      <c r="C2000">
        <v>27237.5</v>
      </c>
      <c r="D2000" s="4">
        <f>+VLOOKUP(A2000,Portfolio!$G$3:$I$6,3)</f>
        <v>1</v>
      </c>
      <c r="E2000">
        <f t="shared" si="31"/>
        <v>27237.5</v>
      </c>
    </row>
    <row r="2001" spans="1:5" x14ac:dyDescent="0.25">
      <c r="A2001" t="s">
        <v>1</v>
      </c>
      <c r="B2001">
        <v>1201224</v>
      </c>
      <c r="C2001">
        <v>27425</v>
      </c>
      <c r="D2001" s="4">
        <f>+VLOOKUP(A2001,Portfolio!$G$3:$I$6,3)</f>
        <v>1</v>
      </c>
      <c r="E2001">
        <f t="shared" si="31"/>
        <v>27425</v>
      </c>
    </row>
    <row r="2002" spans="1:5" x14ac:dyDescent="0.25">
      <c r="A2002" t="s">
        <v>1</v>
      </c>
      <c r="B2002">
        <v>1201227</v>
      </c>
      <c r="C2002">
        <v>27456.25</v>
      </c>
      <c r="D2002" s="4">
        <f>+VLOOKUP(A2002,Portfolio!$G$3:$I$6,3)</f>
        <v>1</v>
      </c>
      <c r="E2002">
        <f t="shared" si="31"/>
        <v>27456.25</v>
      </c>
    </row>
    <row r="2003" spans="1:5" x14ac:dyDescent="0.25">
      <c r="A2003" t="s">
        <v>1</v>
      </c>
      <c r="B2003">
        <v>1201228</v>
      </c>
      <c r="C2003">
        <v>27537.5</v>
      </c>
      <c r="D2003" s="4">
        <f>+VLOOKUP(A2003,Portfolio!$G$3:$I$6,3)</f>
        <v>1</v>
      </c>
      <c r="E2003">
        <f t="shared" si="31"/>
        <v>27537.5</v>
      </c>
    </row>
    <row r="2004" spans="1:5" x14ac:dyDescent="0.25">
      <c r="A2004" t="s">
        <v>1</v>
      </c>
      <c r="B2004">
        <v>1201229</v>
      </c>
      <c r="C2004">
        <v>27262.5</v>
      </c>
      <c r="D2004" s="4">
        <f>+VLOOKUP(A2004,Portfolio!$G$3:$I$6,3)</f>
        <v>1</v>
      </c>
      <c r="E2004">
        <f t="shared" si="31"/>
        <v>27262.5</v>
      </c>
    </row>
    <row r="2005" spans="1:5" x14ac:dyDescent="0.25">
      <c r="A2005" t="s">
        <v>1</v>
      </c>
      <c r="B2005">
        <v>1201230</v>
      </c>
      <c r="C2005">
        <v>27468.75</v>
      </c>
      <c r="D2005" s="4">
        <f>+VLOOKUP(A2005,Portfolio!$G$3:$I$6,3)</f>
        <v>1</v>
      </c>
      <c r="E2005">
        <f t="shared" si="31"/>
        <v>27468.75</v>
      </c>
    </row>
    <row r="2006" spans="1:5" x14ac:dyDescent="0.25">
      <c r="A2006" t="s">
        <v>1</v>
      </c>
      <c r="B2006">
        <v>1201231</v>
      </c>
      <c r="C2006">
        <v>27700</v>
      </c>
      <c r="D2006" s="4">
        <f>+VLOOKUP(A2006,Portfolio!$G$3:$I$6,3)</f>
        <v>1</v>
      </c>
      <c r="E2006">
        <f t="shared" si="31"/>
        <v>27700</v>
      </c>
    </row>
    <row r="2007" spans="1:5" x14ac:dyDescent="0.25">
      <c r="A2007" t="s">
        <v>1</v>
      </c>
      <c r="B2007">
        <v>1210103</v>
      </c>
      <c r="C2007">
        <v>27700</v>
      </c>
      <c r="D2007" s="4">
        <f>+VLOOKUP(A2007,Portfolio!$G$3:$I$6,3)</f>
        <v>1</v>
      </c>
      <c r="E2007">
        <f t="shared" si="31"/>
        <v>27700</v>
      </c>
    </row>
    <row r="2008" spans="1:5" x14ac:dyDescent="0.25">
      <c r="A2008" t="s">
        <v>1</v>
      </c>
      <c r="B2008">
        <v>1210104</v>
      </c>
      <c r="C2008">
        <v>27406.25</v>
      </c>
      <c r="D2008" s="4">
        <f>+VLOOKUP(A2008,Portfolio!$G$3:$I$6,3)</f>
        <v>1</v>
      </c>
      <c r="E2008">
        <f t="shared" si="31"/>
        <v>27406.25</v>
      </c>
    </row>
    <row r="2009" spans="1:5" x14ac:dyDescent="0.25">
      <c r="A2009" t="s">
        <v>1</v>
      </c>
      <c r="B2009">
        <v>1210105</v>
      </c>
      <c r="C2009">
        <v>27556.25</v>
      </c>
      <c r="D2009" s="4">
        <f>+VLOOKUP(A2009,Portfolio!$G$3:$I$6,3)</f>
        <v>1</v>
      </c>
      <c r="E2009">
        <f t="shared" si="31"/>
        <v>27556.25</v>
      </c>
    </row>
    <row r="2010" spans="1:5" x14ac:dyDescent="0.25">
      <c r="A2010" t="s">
        <v>1</v>
      </c>
      <c r="B2010">
        <v>1210106</v>
      </c>
      <c r="C2010">
        <v>27393.75</v>
      </c>
      <c r="D2010" s="4">
        <f>+VLOOKUP(A2010,Portfolio!$G$3:$I$6,3)</f>
        <v>1</v>
      </c>
      <c r="E2010">
        <f t="shared" si="31"/>
        <v>27393.75</v>
      </c>
    </row>
    <row r="2011" spans="1:5" x14ac:dyDescent="0.25">
      <c r="A2011" t="s">
        <v>1</v>
      </c>
      <c r="B2011">
        <v>1210107</v>
      </c>
      <c r="C2011">
        <v>27662.5</v>
      </c>
      <c r="D2011" s="4">
        <f>+VLOOKUP(A2011,Portfolio!$G$3:$I$6,3)</f>
        <v>1</v>
      </c>
      <c r="E2011">
        <f t="shared" si="31"/>
        <v>27662.5</v>
      </c>
    </row>
    <row r="2012" spans="1:5" x14ac:dyDescent="0.25">
      <c r="A2012" t="s">
        <v>1</v>
      </c>
      <c r="B2012">
        <v>1210108</v>
      </c>
      <c r="C2012">
        <v>28475</v>
      </c>
      <c r="D2012" s="4">
        <f>+VLOOKUP(A2012,Portfolio!$G$3:$I$6,3)</f>
        <v>1</v>
      </c>
      <c r="E2012">
        <f t="shared" si="31"/>
        <v>28475</v>
      </c>
    </row>
    <row r="2013" spans="1:5" x14ac:dyDescent="0.25">
      <c r="A2013" t="s">
        <v>1</v>
      </c>
      <c r="B2013">
        <v>1210110</v>
      </c>
      <c r="C2013">
        <v>28000</v>
      </c>
      <c r="D2013" s="4">
        <f>+VLOOKUP(A2013,Portfolio!$G$3:$I$6,3)</f>
        <v>1</v>
      </c>
      <c r="E2013">
        <f t="shared" si="31"/>
        <v>28000</v>
      </c>
    </row>
    <row r="2014" spans="1:5" x14ac:dyDescent="0.25">
      <c r="A2014" t="s">
        <v>1</v>
      </c>
      <c r="B2014">
        <v>1210111</v>
      </c>
      <c r="C2014">
        <v>28112.5</v>
      </c>
      <c r="D2014" s="4">
        <f>+VLOOKUP(A2014,Portfolio!$G$3:$I$6,3)</f>
        <v>1</v>
      </c>
      <c r="E2014">
        <f t="shared" si="31"/>
        <v>28112.5</v>
      </c>
    </row>
    <row r="2015" spans="1:5" x14ac:dyDescent="0.25">
      <c r="A2015" t="s">
        <v>1</v>
      </c>
      <c r="B2015">
        <v>1210112</v>
      </c>
      <c r="C2015">
        <v>28175</v>
      </c>
      <c r="D2015" s="4">
        <f>+VLOOKUP(A2015,Portfolio!$G$3:$I$6,3)</f>
        <v>1</v>
      </c>
      <c r="E2015">
        <f t="shared" si="31"/>
        <v>28175</v>
      </c>
    </row>
    <row r="2016" spans="1:5" x14ac:dyDescent="0.25">
      <c r="A2016" t="s">
        <v>1</v>
      </c>
      <c r="B2016">
        <v>1210113</v>
      </c>
      <c r="C2016">
        <v>28568.75</v>
      </c>
      <c r="D2016" s="4">
        <f>+VLOOKUP(A2016,Portfolio!$G$3:$I$6,3)</f>
        <v>1</v>
      </c>
      <c r="E2016">
        <f t="shared" si="31"/>
        <v>28568.75</v>
      </c>
    </row>
    <row r="2017" spans="1:5" x14ac:dyDescent="0.25">
      <c r="A2017" t="s">
        <v>1</v>
      </c>
      <c r="B2017">
        <v>1210114</v>
      </c>
      <c r="C2017">
        <v>28193.75</v>
      </c>
      <c r="D2017" s="4">
        <f>+VLOOKUP(A2017,Portfolio!$G$3:$I$6,3)</f>
        <v>1</v>
      </c>
      <c r="E2017">
        <f t="shared" si="31"/>
        <v>28193.75</v>
      </c>
    </row>
    <row r="2018" spans="1:5" x14ac:dyDescent="0.25">
      <c r="A2018" t="s">
        <v>1</v>
      </c>
      <c r="B2018">
        <v>1210115</v>
      </c>
      <c r="C2018">
        <v>28318.75</v>
      </c>
      <c r="D2018" s="4">
        <f>+VLOOKUP(A2018,Portfolio!$G$3:$I$6,3)</f>
        <v>1</v>
      </c>
      <c r="E2018">
        <f t="shared" si="31"/>
        <v>28318.75</v>
      </c>
    </row>
    <row r="2019" spans="1:5" x14ac:dyDescent="0.25">
      <c r="A2019" t="s">
        <v>1</v>
      </c>
      <c r="B2019">
        <v>1210117</v>
      </c>
      <c r="C2019">
        <v>28550</v>
      </c>
      <c r="D2019" s="4">
        <f>+VLOOKUP(A2019,Portfolio!$G$3:$I$6,3)</f>
        <v>1</v>
      </c>
      <c r="E2019">
        <f t="shared" si="31"/>
        <v>28550</v>
      </c>
    </row>
    <row r="2020" spans="1:5" x14ac:dyDescent="0.25">
      <c r="A2020" t="s">
        <v>1</v>
      </c>
      <c r="B2020">
        <v>1210118</v>
      </c>
      <c r="C2020">
        <v>28331.25</v>
      </c>
      <c r="D2020" s="4">
        <f>+VLOOKUP(A2020,Portfolio!$G$3:$I$6,3)</f>
        <v>1</v>
      </c>
      <c r="E2020">
        <f t="shared" si="31"/>
        <v>28331.25</v>
      </c>
    </row>
    <row r="2021" spans="1:5" x14ac:dyDescent="0.25">
      <c r="A2021" t="s">
        <v>1</v>
      </c>
      <c r="B2021">
        <v>1210119</v>
      </c>
      <c r="C2021">
        <v>28362.5</v>
      </c>
      <c r="D2021" s="4">
        <f>+VLOOKUP(A2021,Portfolio!$G$3:$I$6,3)</f>
        <v>1</v>
      </c>
      <c r="E2021">
        <f t="shared" si="31"/>
        <v>28362.5</v>
      </c>
    </row>
    <row r="2022" spans="1:5" x14ac:dyDescent="0.25">
      <c r="A2022" t="s">
        <v>1</v>
      </c>
      <c r="B2022">
        <v>1210120</v>
      </c>
      <c r="C2022">
        <v>28556.25</v>
      </c>
      <c r="D2022" s="4">
        <f>+VLOOKUP(A2022,Portfolio!$G$3:$I$6,3)</f>
        <v>1</v>
      </c>
      <c r="E2022">
        <f t="shared" si="31"/>
        <v>28556.25</v>
      </c>
    </row>
    <row r="2023" spans="1:5" x14ac:dyDescent="0.25">
      <c r="A2023" t="s">
        <v>1</v>
      </c>
      <c r="B2023">
        <v>1210121</v>
      </c>
      <c r="C2023">
        <v>28706.25</v>
      </c>
      <c r="D2023" s="4">
        <f>+VLOOKUP(A2023,Portfolio!$G$3:$I$6,3)</f>
        <v>1</v>
      </c>
      <c r="E2023">
        <f t="shared" si="31"/>
        <v>28706.25</v>
      </c>
    </row>
    <row r="2024" spans="1:5" x14ac:dyDescent="0.25">
      <c r="A2024" t="s">
        <v>1</v>
      </c>
      <c r="B2024">
        <v>1210122</v>
      </c>
      <c r="C2024">
        <v>28518.75</v>
      </c>
      <c r="D2024" s="4">
        <f>+VLOOKUP(A2024,Portfolio!$G$3:$I$6,3)</f>
        <v>1</v>
      </c>
      <c r="E2024">
        <f t="shared" si="31"/>
        <v>28518.75</v>
      </c>
    </row>
    <row r="2025" spans="1:5" x14ac:dyDescent="0.25">
      <c r="A2025" t="s">
        <v>1</v>
      </c>
      <c r="B2025">
        <v>1210124</v>
      </c>
      <c r="C2025">
        <v>28768.75</v>
      </c>
      <c r="D2025" s="4">
        <f>+VLOOKUP(A2025,Portfolio!$G$3:$I$6,3)</f>
        <v>1</v>
      </c>
      <c r="E2025">
        <f t="shared" si="31"/>
        <v>28768.75</v>
      </c>
    </row>
    <row r="2026" spans="1:5" x14ac:dyDescent="0.25">
      <c r="A2026" t="s">
        <v>1</v>
      </c>
      <c r="B2026">
        <v>1210125</v>
      </c>
      <c r="C2026">
        <v>28681.25</v>
      </c>
      <c r="D2026" s="4">
        <f>+VLOOKUP(A2026,Portfolio!$G$3:$I$6,3)</f>
        <v>1</v>
      </c>
      <c r="E2026">
        <f t="shared" si="31"/>
        <v>28681.25</v>
      </c>
    </row>
    <row r="2027" spans="1:5" x14ac:dyDescent="0.25">
      <c r="A2027" t="s">
        <v>1</v>
      </c>
      <c r="B2027">
        <v>1210126</v>
      </c>
      <c r="C2027">
        <v>28293.75</v>
      </c>
      <c r="D2027" s="4">
        <f>+VLOOKUP(A2027,Portfolio!$G$3:$I$6,3)</f>
        <v>1</v>
      </c>
      <c r="E2027">
        <f t="shared" si="31"/>
        <v>28293.75</v>
      </c>
    </row>
    <row r="2028" spans="1:5" x14ac:dyDescent="0.25">
      <c r="A2028" t="s">
        <v>1</v>
      </c>
      <c r="B2028">
        <v>1210127</v>
      </c>
      <c r="C2028">
        <v>28343.75</v>
      </c>
      <c r="D2028" s="4">
        <f>+VLOOKUP(A2028,Portfolio!$G$3:$I$6,3)</f>
        <v>1</v>
      </c>
      <c r="E2028">
        <f t="shared" si="31"/>
        <v>28343.75</v>
      </c>
    </row>
    <row r="2029" spans="1:5" x14ac:dyDescent="0.25">
      <c r="A2029" t="s">
        <v>1</v>
      </c>
      <c r="B2029">
        <v>1210128</v>
      </c>
      <c r="C2029">
        <v>28556.25</v>
      </c>
      <c r="D2029" s="4">
        <f>+VLOOKUP(A2029,Portfolio!$G$3:$I$6,3)</f>
        <v>1</v>
      </c>
      <c r="E2029">
        <f t="shared" si="31"/>
        <v>28556.25</v>
      </c>
    </row>
    <row r="2030" spans="1:5" x14ac:dyDescent="0.25">
      <c r="A2030" t="s">
        <v>1</v>
      </c>
      <c r="B2030">
        <v>1210129</v>
      </c>
      <c r="C2030">
        <v>28512.5</v>
      </c>
      <c r="D2030" s="4">
        <f>+VLOOKUP(A2030,Portfolio!$G$3:$I$6,3)</f>
        <v>1</v>
      </c>
      <c r="E2030">
        <f t="shared" si="31"/>
        <v>28512.5</v>
      </c>
    </row>
    <row r="2031" spans="1:5" x14ac:dyDescent="0.25">
      <c r="A2031" t="s">
        <v>1</v>
      </c>
      <c r="B2031">
        <v>1210131</v>
      </c>
      <c r="C2031">
        <v>28800</v>
      </c>
      <c r="D2031" s="4">
        <f>+VLOOKUP(A2031,Portfolio!$G$3:$I$6,3)</f>
        <v>1</v>
      </c>
      <c r="E2031">
        <f t="shared" si="31"/>
        <v>28800</v>
      </c>
    </row>
    <row r="2032" spans="1:5" x14ac:dyDescent="0.25">
      <c r="A2032" t="s">
        <v>1</v>
      </c>
      <c r="B2032">
        <v>1210201</v>
      </c>
      <c r="C2032">
        <v>28731.25</v>
      </c>
      <c r="D2032" s="4">
        <f>+VLOOKUP(A2032,Portfolio!$G$3:$I$6,3)</f>
        <v>1</v>
      </c>
      <c r="E2032">
        <f t="shared" si="31"/>
        <v>28731.25</v>
      </c>
    </row>
    <row r="2033" spans="1:5" x14ac:dyDescent="0.25">
      <c r="A2033" t="s">
        <v>1</v>
      </c>
      <c r="B2033">
        <v>1210202</v>
      </c>
      <c r="C2033">
        <v>29087.5</v>
      </c>
      <c r="D2033" s="4">
        <f>+VLOOKUP(A2033,Portfolio!$G$3:$I$6,3)</f>
        <v>1</v>
      </c>
      <c r="E2033">
        <f t="shared" si="31"/>
        <v>29087.5</v>
      </c>
    </row>
    <row r="2034" spans="1:5" x14ac:dyDescent="0.25">
      <c r="A2034" t="s">
        <v>1</v>
      </c>
      <c r="B2034">
        <v>1210203</v>
      </c>
      <c r="C2034">
        <v>29125</v>
      </c>
      <c r="D2034" s="4">
        <f>+VLOOKUP(A2034,Portfolio!$G$3:$I$6,3)</f>
        <v>1</v>
      </c>
      <c r="E2034">
        <f t="shared" si="31"/>
        <v>29125</v>
      </c>
    </row>
    <row r="2035" spans="1:5" x14ac:dyDescent="0.25">
      <c r="A2035" t="s">
        <v>1</v>
      </c>
      <c r="B2035">
        <v>1210204</v>
      </c>
      <c r="C2035">
        <v>29062.5</v>
      </c>
      <c r="D2035" s="4">
        <f>+VLOOKUP(A2035,Portfolio!$G$3:$I$6,3)</f>
        <v>1</v>
      </c>
      <c r="E2035">
        <f t="shared" si="31"/>
        <v>29062.5</v>
      </c>
    </row>
    <row r="2036" spans="1:5" x14ac:dyDescent="0.25">
      <c r="A2036" t="s">
        <v>1</v>
      </c>
      <c r="B2036">
        <v>1210205</v>
      </c>
      <c r="C2036">
        <v>29481.25</v>
      </c>
      <c r="D2036" s="4">
        <f>+VLOOKUP(A2036,Portfolio!$G$3:$I$6,3)</f>
        <v>1</v>
      </c>
      <c r="E2036">
        <f t="shared" si="31"/>
        <v>29481.25</v>
      </c>
    </row>
    <row r="2037" spans="1:5" x14ac:dyDescent="0.25">
      <c r="A2037" t="s">
        <v>1</v>
      </c>
      <c r="B2037">
        <v>1210207</v>
      </c>
      <c r="C2037">
        <v>29343.75</v>
      </c>
      <c r="D2037" s="4">
        <f>+VLOOKUP(A2037,Portfolio!$G$3:$I$6,3)</f>
        <v>1</v>
      </c>
      <c r="E2037">
        <f t="shared" si="31"/>
        <v>29343.75</v>
      </c>
    </row>
    <row r="2038" spans="1:5" x14ac:dyDescent="0.25">
      <c r="A2038" t="s">
        <v>1</v>
      </c>
      <c r="B2038">
        <v>1210208</v>
      </c>
      <c r="C2038">
        <v>29468.75</v>
      </c>
      <c r="D2038" s="4">
        <f>+VLOOKUP(A2038,Portfolio!$G$3:$I$6,3)</f>
        <v>1</v>
      </c>
      <c r="E2038">
        <f t="shared" si="31"/>
        <v>29468.75</v>
      </c>
    </row>
    <row r="2039" spans="1:5" x14ac:dyDescent="0.25">
      <c r="A2039" t="s">
        <v>1</v>
      </c>
      <c r="B2039">
        <v>1210209</v>
      </c>
      <c r="C2039">
        <v>30043.75</v>
      </c>
      <c r="D2039" s="4">
        <f>+VLOOKUP(A2039,Portfolio!$G$3:$I$6,3)</f>
        <v>1</v>
      </c>
      <c r="E2039">
        <f t="shared" si="31"/>
        <v>30043.75</v>
      </c>
    </row>
    <row r="2040" spans="1:5" x14ac:dyDescent="0.25">
      <c r="A2040" t="s">
        <v>1</v>
      </c>
      <c r="B2040">
        <v>1210210</v>
      </c>
      <c r="C2040">
        <v>30418.75</v>
      </c>
      <c r="D2040" s="4">
        <f>+VLOOKUP(A2040,Portfolio!$G$3:$I$6,3)</f>
        <v>1</v>
      </c>
      <c r="E2040">
        <f t="shared" si="31"/>
        <v>30418.75</v>
      </c>
    </row>
    <row r="2041" spans="1:5" x14ac:dyDescent="0.25">
      <c r="A2041" t="s">
        <v>1</v>
      </c>
      <c r="B2041">
        <v>1210211</v>
      </c>
      <c r="C2041">
        <v>30375</v>
      </c>
      <c r="D2041" s="4">
        <f>+VLOOKUP(A2041,Portfolio!$G$3:$I$6,3)</f>
        <v>1</v>
      </c>
      <c r="E2041">
        <f t="shared" si="31"/>
        <v>30375</v>
      </c>
    </row>
    <row r="2042" spans="1:5" x14ac:dyDescent="0.25">
      <c r="A2042" t="s">
        <v>1</v>
      </c>
      <c r="B2042">
        <v>1210212</v>
      </c>
      <c r="C2042">
        <v>30318.75</v>
      </c>
      <c r="D2042" s="4">
        <f>+VLOOKUP(A2042,Portfolio!$G$3:$I$6,3)</f>
        <v>1</v>
      </c>
      <c r="E2042">
        <f t="shared" si="31"/>
        <v>30318.75</v>
      </c>
    </row>
    <row r="2043" spans="1:5" x14ac:dyDescent="0.25">
      <c r="A2043" t="s">
        <v>1</v>
      </c>
      <c r="B2043">
        <v>1210214</v>
      </c>
      <c r="C2043">
        <v>30531.25</v>
      </c>
      <c r="D2043" s="4">
        <f>+VLOOKUP(A2043,Portfolio!$G$3:$I$6,3)</f>
        <v>1</v>
      </c>
      <c r="E2043">
        <f t="shared" si="31"/>
        <v>30531.25</v>
      </c>
    </row>
    <row r="2044" spans="1:5" x14ac:dyDescent="0.25">
      <c r="A2044" t="s">
        <v>1</v>
      </c>
      <c r="B2044">
        <v>1210215</v>
      </c>
      <c r="C2044">
        <v>30512.5</v>
      </c>
      <c r="D2044" s="4">
        <f>+VLOOKUP(A2044,Portfolio!$G$3:$I$6,3)</f>
        <v>1</v>
      </c>
      <c r="E2044">
        <f t="shared" si="31"/>
        <v>30512.5</v>
      </c>
    </row>
    <row r="2045" spans="1:5" x14ac:dyDescent="0.25">
      <c r="A2045" t="s">
        <v>1</v>
      </c>
      <c r="B2045">
        <v>1210216</v>
      </c>
      <c r="C2045">
        <v>30975</v>
      </c>
      <c r="D2045" s="4">
        <f>+VLOOKUP(A2045,Portfolio!$G$3:$I$6,3)</f>
        <v>1</v>
      </c>
      <c r="E2045">
        <f t="shared" si="31"/>
        <v>30975</v>
      </c>
    </row>
    <row r="2046" spans="1:5" x14ac:dyDescent="0.25">
      <c r="A2046" t="s">
        <v>1</v>
      </c>
      <c r="B2046">
        <v>1210217</v>
      </c>
      <c r="C2046">
        <v>31443.75</v>
      </c>
      <c r="D2046" s="4">
        <f>+VLOOKUP(A2046,Portfolio!$G$3:$I$6,3)</f>
        <v>1</v>
      </c>
      <c r="E2046">
        <f t="shared" si="31"/>
        <v>31443.75</v>
      </c>
    </row>
    <row r="2047" spans="1:5" x14ac:dyDescent="0.25">
      <c r="A2047" t="s">
        <v>1</v>
      </c>
      <c r="B2047">
        <v>1210218</v>
      </c>
      <c r="C2047">
        <v>31425</v>
      </c>
      <c r="D2047" s="4">
        <f>+VLOOKUP(A2047,Portfolio!$G$3:$I$6,3)</f>
        <v>1</v>
      </c>
      <c r="E2047">
        <f t="shared" si="31"/>
        <v>31425</v>
      </c>
    </row>
    <row r="2048" spans="1:5" x14ac:dyDescent="0.25">
      <c r="A2048" t="s">
        <v>1</v>
      </c>
      <c r="B2048">
        <v>1210219</v>
      </c>
      <c r="C2048">
        <v>31175</v>
      </c>
      <c r="D2048" s="4">
        <f>+VLOOKUP(A2048,Portfolio!$G$3:$I$6,3)</f>
        <v>1</v>
      </c>
      <c r="E2048">
        <f t="shared" si="31"/>
        <v>31175</v>
      </c>
    </row>
    <row r="2049" spans="1:5" x14ac:dyDescent="0.25">
      <c r="A2049" t="s">
        <v>1</v>
      </c>
      <c r="B2049">
        <v>1210221</v>
      </c>
      <c r="C2049">
        <v>31043.75</v>
      </c>
      <c r="D2049" s="4">
        <f>+VLOOKUP(A2049,Portfolio!$G$3:$I$6,3)</f>
        <v>1</v>
      </c>
      <c r="E2049">
        <f t="shared" si="31"/>
        <v>31043.75</v>
      </c>
    </row>
    <row r="2050" spans="1:5" x14ac:dyDescent="0.25">
      <c r="A2050" t="s">
        <v>1</v>
      </c>
      <c r="B2050">
        <v>1210222</v>
      </c>
      <c r="C2050">
        <v>31181.25</v>
      </c>
      <c r="D2050" s="4">
        <f>+VLOOKUP(A2050,Portfolio!$G$3:$I$6,3)</f>
        <v>1</v>
      </c>
      <c r="E2050">
        <f t="shared" si="31"/>
        <v>31181.25</v>
      </c>
    </row>
    <row r="2051" spans="1:5" x14ac:dyDescent="0.25">
      <c r="A2051" t="s">
        <v>1</v>
      </c>
      <c r="B2051">
        <v>1210223</v>
      </c>
      <c r="C2051">
        <v>31468.75</v>
      </c>
      <c r="D2051" s="4">
        <f>+VLOOKUP(A2051,Portfolio!$G$3:$I$6,3)</f>
        <v>1</v>
      </c>
      <c r="E2051">
        <f t="shared" ref="E2051:E2114" si="32">+C2051*D2051</f>
        <v>31468.75</v>
      </c>
    </row>
    <row r="2052" spans="1:5" x14ac:dyDescent="0.25">
      <c r="A2052" t="s">
        <v>1</v>
      </c>
      <c r="B2052">
        <v>1210224</v>
      </c>
      <c r="C2052">
        <v>30881.25</v>
      </c>
      <c r="D2052" s="4">
        <f>+VLOOKUP(A2052,Portfolio!$G$3:$I$6,3)</f>
        <v>1</v>
      </c>
      <c r="E2052">
        <f t="shared" si="32"/>
        <v>30881.25</v>
      </c>
    </row>
    <row r="2053" spans="1:5" x14ac:dyDescent="0.25">
      <c r="A2053" t="s">
        <v>1</v>
      </c>
      <c r="B2053">
        <v>1210225</v>
      </c>
      <c r="C2053">
        <v>31275</v>
      </c>
      <c r="D2053" s="4">
        <f>+VLOOKUP(A2053,Portfolio!$G$3:$I$6,3)</f>
        <v>1</v>
      </c>
      <c r="E2053">
        <f t="shared" si="32"/>
        <v>31275</v>
      </c>
    </row>
    <row r="2054" spans="1:5" x14ac:dyDescent="0.25">
      <c r="A2054" t="s">
        <v>1</v>
      </c>
      <c r="B2054">
        <v>1210226</v>
      </c>
      <c r="C2054">
        <v>31250</v>
      </c>
      <c r="D2054" s="4">
        <f>+VLOOKUP(A2054,Portfolio!$G$3:$I$6,3)</f>
        <v>1</v>
      </c>
      <c r="E2054">
        <f t="shared" si="32"/>
        <v>31250</v>
      </c>
    </row>
    <row r="2055" spans="1:5" x14ac:dyDescent="0.25">
      <c r="A2055" t="s">
        <v>1</v>
      </c>
      <c r="B2055">
        <v>1210228</v>
      </c>
      <c r="C2055">
        <v>31568.75</v>
      </c>
      <c r="D2055" s="4">
        <f>+VLOOKUP(A2055,Portfolio!$G$3:$I$6,3)</f>
        <v>1</v>
      </c>
      <c r="E2055">
        <f t="shared" si="32"/>
        <v>31568.75</v>
      </c>
    </row>
    <row r="2056" spans="1:5" x14ac:dyDescent="0.25">
      <c r="A2056" t="s">
        <v>1</v>
      </c>
      <c r="B2056">
        <v>1210301</v>
      </c>
      <c r="C2056">
        <v>31618.75</v>
      </c>
      <c r="D2056" s="4">
        <f>+VLOOKUP(A2056,Portfolio!$G$3:$I$6,3)</f>
        <v>1</v>
      </c>
      <c r="E2056">
        <f t="shared" si="32"/>
        <v>31618.75</v>
      </c>
    </row>
    <row r="2057" spans="1:5" x14ac:dyDescent="0.25">
      <c r="A2057" t="s">
        <v>1</v>
      </c>
      <c r="B2057">
        <v>1210302</v>
      </c>
      <c r="C2057">
        <v>31500</v>
      </c>
      <c r="D2057" s="4">
        <f>+VLOOKUP(A2057,Portfolio!$G$3:$I$6,3)</f>
        <v>1</v>
      </c>
      <c r="E2057">
        <f t="shared" si="32"/>
        <v>31500</v>
      </c>
    </row>
    <row r="2058" spans="1:5" x14ac:dyDescent="0.25">
      <c r="A2058" t="s">
        <v>1</v>
      </c>
      <c r="B2058">
        <v>1210303</v>
      </c>
      <c r="C2058">
        <v>31450</v>
      </c>
      <c r="D2058" s="4">
        <f>+VLOOKUP(A2058,Portfolio!$G$3:$I$6,3)</f>
        <v>1</v>
      </c>
      <c r="E2058">
        <f t="shared" si="32"/>
        <v>31450</v>
      </c>
    </row>
    <row r="2059" spans="1:5" x14ac:dyDescent="0.25">
      <c r="A2059" t="s">
        <v>1</v>
      </c>
      <c r="B2059">
        <v>1210304</v>
      </c>
      <c r="C2059">
        <v>31325</v>
      </c>
      <c r="D2059" s="4">
        <f>+VLOOKUP(A2059,Portfolio!$G$3:$I$6,3)</f>
        <v>1</v>
      </c>
      <c r="E2059">
        <f t="shared" si="32"/>
        <v>31325</v>
      </c>
    </row>
    <row r="2060" spans="1:5" x14ac:dyDescent="0.25">
      <c r="A2060" t="s">
        <v>1</v>
      </c>
      <c r="B2060">
        <v>1210305</v>
      </c>
      <c r="C2060">
        <v>32450</v>
      </c>
      <c r="D2060" s="4">
        <f>+VLOOKUP(A2060,Portfolio!$G$3:$I$6,3)</f>
        <v>1</v>
      </c>
      <c r="E2060">
        <f t="shared" si="32"/>
        <v>32450</v>
      </c>
    </row>
    <row r="2061" spans="1:5" x14ac:dyDescent="0.25">
      <c r="A2061" t="s">
        <v>1</v>
      </c>
      <c r="B2061">
        <v>1210307</v>
      </c>
      <c r="C2061">
        <v>32375</v>
      </c>
      <c r="D2061" s="4">
        <f>+VLOOKUP(A2061,Portfolio!$G$3:$I$6,3)</f>
        <v>1</v>
      </c>
      <c r="E2061">
        <f t="shared" si="32"/>
        <v>32375</v>
      </c>
    </row>
    <row r="2062" spans="1:5" x14ac:dyDescent="0.25">
      <c r="A2062" t="s">
        <v>1</v>
      </c>
      <c r="B2062">
        <v>1210308</v>
      </c>
      <c r="C2062">
        <v>32437.5</v>
      </c>
      <c r="D2062" s="4">
        <f>+VLOOKUP(A2062,Portfolio!$G$3:$I$6,3)</f>
        <v>1</v>
      </c>
      <c r="E2062">
        <f t="shared" si="32"/>
        <v>32437.5</v>
      </c>
    </row>
    <row r="2063" spans="1:5" x14ac:dyDescent="0.25">
      <c r="A2063" t="s">
        <v>1</v>
      </c>
      <c r="B2063">
        <v>1210309</v>
      </c>
      <c r="C2063">
        <v>32787.5</v>
      </c>
      <c r="D2063" s="4">
        <f>+VLOOKUP(A2063,Portfolio!$G$3:$I$6,3)</f>
        <v>1</v>
      </c>
      <c r="E2063">
        <f t="shared" si="32"/>
        <v>32787.5</v>
      </c>
    </row>
    <row r="2064" spans="1:5" x14ac:dyDescent="0.25">
      <c r="A2064" t="s">
        <v>1</v>
      </c>
      <c r="B2064">
        <v>1210310</v>
      </c>
      <c r="C2064">
        <v>31775</v>
      </c>
      <c r="D2064" s="4">
        <f>+VLOOKUP(A2064,Portfolio!$G$3:$I$6,3)</f>
        <v>1</v>
      </c>
      <c r="E2064">
        <f t="shared" si="32"/>
        <v>31775</v>
      </c>
    </row>
    <row r="2065" spans="1:5" x14ac:dyDescent="0.25">
      <c r="A2065" t="s">
        <v>1</v>
      </c>
      <c r="B2065">
        <v>1210311</v>
      </c>
      <c r="C2065">
        <v>31525</v>
      </c>
      <c r="D2065" s="4">
        <f>+VLOOKUP(A2065,Portfolio!$G$3:$I$6,3)</f>
        <v>1</v>
      </c>
      <c r="E2065">
        <f t="shared" si="32"/>
        <v>31525</v>
      </c>
    </row>
    <row r="2066" spans="1:5" x14ac:dyDescent="0.25">
      <c r="A2066" t="s">
        <v>1</v>
      </c>
      <c r="B2066">
        <v>1210312</v>
      </c>
      <c r="C2066">
        <v>31500</v>
      </c>
      <c r="D2066" s="4">
        <f>+VLOOKUP(A2066,Portfolio!$G$3:$I$6,3)</f>
        <v>1</v>
      </c>
      <c r="E2066">
        <f t="shared" si="32"/>
        <v>31500</v>
      </c>
    </row>
    <row r="2067" spans="1:5" x14ac:dyDescent="0.25">
      <c r="A2067" t="s">
        <v>1</v>
      </c>
      <c r="B2067">
        <v>1210314</v>
      </c>
      <c r="C2067">
        <v>31531.25</v>
      </c>
      <c r="D2067" s="4">
        <f>+VLOOKUP(A2067,Portfolio!$G$3:$I$6,3)</f>
        <v>1</v>
      </c>
      <c r="E2067">
        <f t="shared" si="32"/>
        <v>31531.25</v>
      </c>
    </row>
    <row r="2068" spans="1:5" x14ac:dyDescent="0.25">
      <c r="A2068" t="s">
        <v>1</v>
      </c>
      <c r="B2068">
        <v>1210315</v>
      </c>
      <c r="C2068">
        <v>31456.25</v>
      </c>
      <c r="D2068" s="4">
        <f>+VLOOKUP(A2068,Portfolio!$G$3:$I$6,3)</f>
        <v>1</v>
      </c>
      <c r="E2068">
        <f t="shared" si="32"/>
        <v>31456.25</v>
      </c>
    </row>
    <row r="2069" spans="1:5" x14ac:dyDescent="0.25">
      <c r="A2069" t="s">
        <v>1</v>
      </c>
      <c r="B2069">
        <v>1210316</v>
      </c>
      <c r="C2069">
        <v>31456.25</v>
      </c>
      <c r="D2069" s="4">
        <f>+VLOOKUP(A2069,Portfolio!$G$3:$I$6,3)</f>
        <v>1</v>
      </c>
      <c r="E2069">
        <f t="shared" si="32"/>
        <v>31456.25</v>
      </c>
    </row>
    <row r="2070" spans="1:5" x14ac:dyDescent="0.25">
      <c r="A2070" t="s">
        <v>1</v>
      </c>
      <c r="B2070">
        <v>1210317</v>
      </c>
      <c r="C2070">
        <v>31368.75</v>
      </c>
      <c r="D2070" s="4">
        <f>+VLOOKUP(A2070,Portfolio!$G$3:$I$6,3)</f>
        <v>1</v>
      </c>
      <c r="E2070">
        <f t="shared" si="32"/>
        <v>31368.75</v>
      </c>
    </row>
    <row r="2071" spans="1:5" x14ac:dyDescent="0.25">
      <c r="A2071" t="s">
        <v>1</v>
      </c>
      <c r="B2071">
        <v>1210318</v>
      </c>
      <c r="C2071">
        <v>31275</v>
      </c>
      <c r="D2071" s="4">
        <f>+VLOOKUP(A2071,Portfolio!$G$3:$I$6,3)</f>
        <v>1</v>
      </c>
      <c r="E2071">
        <f t="shared" si="32"/>
        <v>31275</v>
      </c>
    </row>
    <row r="2072" spans="1:5" x14ac:dyDescent="0.25">
      <c r="A2072" t="s">
        <v>1</v>
      </c>
      <c r="B2072">
        <v>1210319</v>
      </c>
      <c r="C2072">
        <v>31337.5</v>
      </c>
      <c r="D2072" s="4">
        <f>+VLOOKUP(A2072,Portfolio!$G$3:$I$6,3)</f>
        <v>1</v>
      </c>
      <c r="E2072">
        <f t="shared" si="32"/>
        <v>31337.5</v>
      </c>
    </row>
    <row r="2073" spans="1:5" x14ac:dyDescent="0.25">
      <c r="A2073" t="s">
        <v>1</v>
      </c>
      <c r="B2073">
        <v>1210321</v>
      </c>
      <c r="C2073">
        <v>30681.25</v>
      </c>
      <c r="D2073" s="4">
        <f>+VLOOKUP(A2073,Portfolio!$G$3:$I$6,3)</f>
        <v>1</v>
      </c>
      <c r="E2073">
        <f t="shared" si="32"/>
        <v>30681.25</v>
      </c>
    </row>
    <row r="2074" spans="1:5" x14ac:dyDescent="0.25">
      <c r="A2074" t="s">
        <v>1</v>
      </c>
      <c r="B2074">
        <v>1210322</v>
      </c>
      <c r="C2074">
        <v>30587.5</v>
      </c>
      <c r="D2074" s="4">
        <f>+VLOOKUP(A2074,Portfolio!$G$3:$I$6,3)</f>
        <v>1</v>
      </c>
      <c r="E2074">
        <f t="shared" si="32"/>
        <v>30587.5</v>
      </c>
    </row>
    <row r="2075" spans="1:5" x14ac:dyDescent="0.25">
      <c r="A2075" t="s">
        <v>1</v>
      </c>
      <c r="B2075">
        <v>1210323</v>
      </c>
      <c r="C2075">
        <v>30518.75</v>
      </c>
      <c r="D2075" s="4">
        <f>+VLOOKUP(A2075,Portfolio!$G$3:$I$6,3)</f>
        <v>1</v>
      </c>
      <c r="E2075">
        <f t="shared" si="32"/>
        <v>30518.75</v>
      </c>
    </row>
    <row r="2076" spans="1:5" x14ac:dyDescent="0.25">
      <c r="A2076" t="s">
        <v>1</v>
      </c>
      <c r="B2076">
        <v>1210324</v>
      </c>
      <c r="C2076">
        <v>30275</v>
      </c>
      <c r="D2076" s="4">
        <f>+VLOOKUP(A2076,Portfolio!$G$3:$I$6,3)</f>
        <v>1</v>
      </c>
      <c r="E2076">
        <f t="shared" si="32"/>
        <v>30275</v>
      </c>
    </row>
    <row r="2077" spans="1:5" x14ac:dyDescent="0.25">
      <c r="A2077" t="s">
        <v>1</v>
      </c>
      <c r="B2077">
        <v>1210325</v>
      </c>
      <c r="C2077">
        <v>30725</v>
      </c>
      <c r="D2077" s="4">
        <f>+VLOOKUP(A2077,Portfolio!$G$3:$I$6,3)</f>
        <v>1</v>
      </c>
      <c r="E2077">
        <f t="shared" si="32"/>
        <v>30725</v>
      </c>
    </row>
    <row r="2078" spans="1:5" x14ac:dyDescent="0.25">
      <c r="A2078" t="s">
        <v>1</v>
      </c>
      <c r="B2078">
        <v>1210326</v>
      </c>
      <c r="C2078">
        <v>31100</v>
      </c>
      <c r="D2078" s="4">
        <f>+VLOOKUP(A2078,Portfolio!$G$3:$I$6,3)</f>
        <v>1</v>
      </c>
      <c r="E2078">
        <f t="shared" si="32"/>
        <v>31100</v>
      </c>
    </row>
    <row r="2079" spans="1:5" x14ac:dyDescent="0.25">
      <c r="A2079" t="s">
        <v>1</v>
      </c>
      <c r="B2079">
        <v>1210328</v>
      </c>
      <c r="C2079">
        <v>31600</v>
      </c>
      <c r="D2079" s="4">
        <f>+VLOOKUP(A2079,Portfolio!$G$3:$I$6,3)</f>
        <v>1</v>
      </c>
      <c r="E2079">
        <f t="shared" si="32"/>
        <v>31600</v>
      </c>
    </row>
    <row r="2080" spans="1:5" x14ac:dyDescent="0.25">
      <c r="A2080" t="s">
        <v>1</v>
      </c>
      <c r="B2080">
        <v>1210329</v>
      </c>
      <c r="C2080">
        <v>31362.5</v>
      </c>
      <c r="D2080" s="4">
        <f>+VLOOKUP(A2080,Portfolio!$G$3:$I$6,3)</f>
        <v>1</v>
      </c>
      <c r="E2080">
        <f t="shared" si="32"/>
        <v>31362.5</v>
      </c>
    </row>
    <row r="2081" spans="1:5" x14ac:dyDescent="0.25">
      <c r="A2081" t="s">
        <v>1</v>
      </c>
      <c r="B2081">
        <v>1210330</v>
      </c>
      <c r="C2081">
        <v>31625</v>
      </c>
      <c r="D2081" s="4">
        <f>+VLOOKUP(A2081,Portfolio!$G$3:$I$6,3)</f>
        <v>1</v>
      </c>
      <c r="E2081">
        <f t="shared" si="32"/>
        <v>31625</v>
      </c>
    </row>
    <row r="2082" spans="1:5" x14ac:dyDescent="0.25">
      <c r="A2082" t="s">
        <v>1</v>
      </c>
      <c r="B2082">
        <v>1210331</v>
      </c>
      <c r="C2082">
        <v>32575</v>
      </c>
      <c r="D2082" s="4">
        <f>+VLOOKUP(A2082,Portfolio!$G$3:$I$6,3)</f>
        <v>1</v>
      </c>
      <c r="E2082">
        <f t="shared" si="32"/>
        <v>32575</v>
      </c>
    </row>
    <row r="2083" spans="1:5" x14ac:dyDescent="0.25">
      <c r="A2083" t="s">
        <v>1</v>
      </c>
      <c r="B2083">
        <v>1210401</v>
      </c>
      <c r="C2083">
        <v>31937.5</v>
      </c>
      <c r="D2083" s="4">
        <f>+VLOOKUP(A2083,Portfolio!$G$3:$I$6,3)</f>
        <v>1</v>
      </c>
      <c r="E2083">
        <f t="shared" si="32"/>
        <v>31937.5</v>
      </c>
    </row>
    <row r="2084" spans="1:5" x14ac:dyDescent="0.25">
      <c r="A2084" t="s">
        <v>1</v>
      </c>
      <c r="B2084">
        <v>1210402</v>
      </c>
      <c r="C2084">
        <v>31881.25</v>
      </c>
      <c r="D2084" s="4">
        <f>+VLOOKUP(A2084,Portfolio!$G$3:$I$6,3)</f>
        <v>1</v>
      </c>
      <c r="E2084">
        <f t="shared" si="32"/>
        <v>31881.25</v>
      </c>
    </row>
    <row r="2085" spans="1:5" x14ac:dyDescent="0.25">
      <c r="A2085" t="s">
        <v>1</v>
      </c>
      <c r="B2085">
        <v>1210404</v>
      </c>
      <c r="C2085">
        <v>32075</v>
      </c>
      <c r="D2085" s="4">
        <f>+VLOOKUP(A2085,Portfolio!$G$3:$I$6,3)</f>
        <v>1</v>
      </c>
      <c r="E2085">
        <f t="shared" si="32"/>
        <v>32075</v>
      </c>
    </row>
    <row r="2086" spans="1:5" x14ac:dyDescent="0.25">
      <c r="A2086" t="s">
        <v>1</v>
      </c>
      <c r="B2086">
        <v>1210405</v>
      </c>
      <c r="C2086">
        <v>32006.25</v>
      </c>
      <c r="D2086" s="4">
        <f>+VLOOKUP(A2086,Portfolio!$G$3:$I$6,3)</f>
        <v>1</v>
      </c>
      <c r="E2086">
        <f t="shared" si="32"/>
        <v>32006.25</v>
      </c>
    </row>
    <row r="2087" spans="1:5" x14ac:dyDescent="0.25">
      <c r="A2087" t="s">
        <v>1</v>
      </c>
      <c r="B2087">
        <v>1210406</v>
      </c>
      <c r="C2087">
        <v>32225</v>
      </c>
      <c r="D2087" s="4">
        <f>+VLOOKUP(A2087,Portfolio!$G$3:$I$6,3)</f>
        <v>1</v>
      </c>
      <c r="E2087">
        <f t="shared" si="32"/>
        <v>32225</v>
      </c>
    </row>
    <row r="2088" spans="1:5" x14ac:dyDescent="0.25">
      <c r="A2088" t="s">
        <v>1</v>
      </c>
      <c r="B2088">
        <v>1210407</v>
      </c>
      <c r="C2088">
        <v>32775</v>
      </c>
      <c r="D2088" s="4">
        <f>+VLOOKUP(A2088,Portfolio!$G$3:$I$6,3)</f>
        <v>1</v>
      </c>
      <c r="E2088">
        <f t="shared" si="32"/>
        <v>32775</v>
      </c>
    </row>
    <row r="2089" spans="1:5" x14ac:dyDescent="0.25">
      <c r="A2089" t="s">
        <v>1</v>
      </c>
      <c r="B2089">
        <v>1210408</v>
      </c>
      <c r="C2089">
        <v>32381.25</v>
      </c>
      <c r="D2089" s="4">
        <f>+VLOOKUP(A2089,Portfolio!$G$3:$I$6,3)</f>
        <v>1</v>
      </c>
      <c r="E2089">
        <f t="shared" si="32"/>
        <v>32381.25</v>
      </c>
    </row>
    <row r="2090" spans="1:5" x14ac:dyDescent="0.25">
      <c r="A2090" t="s">
        <v>1</v>
      </c>
      <c r="B2090">
        <v>1210409</v>
      </c>
      <c r="C2090">
        <v>32687.5</v>
      </c>
      <c r="D2090" s="4">
        <f>+VLOOKUP(A2090,Portfolio!$G$3:$I$6,3)</f>
        <v>1</v>
      </c>
      <c r="E2090">
        <f t="shared" si="32"/>
        <v>32687.5</v>
      </c>
    </row>
    <row r="2091" spans="1:5" x14ac:dyDescent="0.25">
      <c r="A2091" t="s">
        <v>1</v>
      </c>
      <c r="B2091">
        <v>1210411</v>
      </c>
      <c r="C2091">
        <v>32287.5</v>
      </c>
      <c r="D2091" s="4">
        <f>+VLOOKUP(A2091,Portfolio!$G$3:$I$6,3)</f>
        <v>1</v>
      </c>
      <c r="E2091">
        <f t="shared" si="32"/>
        <v>32287.5</v>
      </c>
    </row>
    <row r="2092" spans="1:5" x14ac:dyDescent="0.25">
      <c r="A2092" t="s">
        <v>1</v>
      </c>
      <c r="B2092">
        <v>1210412</v>
      </c>
      <c r="C2092">
        <v>32062.5</v>
      </c>
      <c r="D2092" s="4">
        <f>+VLOOKUP(A2092,Portfolio!$G$3:$I$6,3)</f>
        <v>1</v>
      </c>
      <c r="E2092">
        <f t="shared" si="32"/>
        <v>32062.5</v>
      </c>
    </row>
    <row r="2093" spans="1:5" x14ac:dyDescent="0.25">
      <c r="A2093" t="s">
        <v>1</v>
      </c>
      <c r="B2093">
        <v>1210413</v>
      </c>
      <c r="C2093">
        <v>31637.5</v>
      </c>
      <c r="D2093" s="4">
        <f>+VLOOKUP(A2093,Portfolio!$G$3:$I$6,3)</f>
        <v>1</v>
      </c>
      <c r="E2093">
        <f t="shared" si="32"/>
        <v>31637.5</v>
      </c>
    </row>
    <row r="2094" spans="1:5" x14ac:dyDescent="0.25">
      <c r="A2094" t="s">
        <v>1</v>
      </c>
      <c r="B2094">
        <v>1210414</v>
      </c>
      <c r="C2094">
        <v>31418.75</v>
      </c>
      <c r="D2094" s="4">
        <f>+VLOOKUP(A2094,Portfolio!$G$3:$I$6,3)</f>
        <v>1</v>
      </c>
      <c r="E2094">
        <f t="shared" si="32"/>
        <v>31418.75</v>
      </c>
    </row>
    <row r="2095" spans="1:5" x14ac:dyDescent="0.25">
      <c r="A2095" t="s">
        <v>1</v>
      </c>
      <c r="B2095">
        <v>1210415</v>
      </c>
      <c r="C2095">
        <v>31068.75</v>
      </c>
      <c r="D2095" s="4">
        <f>+VLOOKUP(A2095,Portfolio!$G$3:$I$6,3)</f>
        <v>1</v>
      </c>
      <c r="E2095">
        <f t="shared" si="32"/>
        <v>31068.75</v>
      </c>
    </row>
    <row r="2096" spans="1:5" x14ac:dyDescent="0.25">
      <c r="A2096" t="s">
        <v>1</v>
      </c>
      <c r="B2096">
        <v>1210416</v>
      </c>
      <c r="C2096">
        <v>30912.5</v>
      </c>
      <c r="D2096" s="4">
        <f>+VLOOKUP(A2096,Portfolio!$G$3:$I$6,3)</f>
        <v>1</v>
      </c>
      <c r="E2096">
        <f t="shared" si="32"/>
        <v>30912.5</v>
      </c>
    </row>
    <row r="2097" spans="1:5" x14ac:dyDescent="0.25">
      <c r="A2097" t="s">
        <v>1</v>
      </c>
      <c r="B2097">
        <v>1210418</v>
      </c>
      <c r="C2097">
        <v>30881.25</v>
      </c>
      <c r="D2097" s="4">
        <f>+VLOOKUP(A2097,Portfolio!$G$3:$I$6,3)</f>
        <v>1</v>
      </c>
      <c r="E2097">
        <f t="shared" si="32"/>
        <v>30881.25</v>
      </c>
    </row>
    <row r="2098" spans="1:5" x14ac:dyDescent="0.25">
      <c r="A2098" t="s">
        <v>1</v>
      </c>
      <c r="B2098">
        <v>1210419</v>
      </c>
      <c r="C2098">
        <v>30843.75</v>
      </c>
      <c r="D2098" s="4">
        <f>+VLOOKUP(A2098,Portfolio!$G$3:$I$6,3)</f>
        <v>1</v>
      </c>
      <c r="E2098">
        <f t="shared" si="32"/>
        <v>30843.75</v>
      </c>
    </row>
    <row r="2099" spans="1:5" x14ac:dyDescent="0.25">
      <c r="A2099" t="s">
        <v>1</v>
      </c>
      <c r="B2099">
        <v>1210420</v>
      </c>
      <c r="C2099">
        <v>31375</v>
      </c>
      <c r="D2099" s="4">
        <f>+VLOOKUP(A2099,Portfolio!$G$3:$I$6,3)</f>
        <v>1</v>
      </c>
      <c r="E2099">
        <f t="shared" si="32"/>
        <v>31375</v>
      </c>
    </row>
    <row r="2100" spans="1:5" x14ac:dyDescent="0.25">
      <c r="A2100" t="s">
        <v>1</v>
      </c>
      <c r="B2100">
        <v>1210421</v>
      </c>
      <c r="C2100">
        <v>31481.25</v>
      </c>
      <c r="D2100" s="4">
        <f>+VLOOKUP(A2100,Portfolio!$G$3:$I$6,3)</f>
        <v>1</v>
      </c>
      <c r="E2100">
        <f t="shared" si="32"/>
        <v>31481.25</v>
      </c>
    </row>
    <row r="2101" spans="1:5" x14ac:dyDescent="0.25">
      <c r="A2101" t="s">
        <v>1</v>
      </c>
      <c r="B2101">
        <v>1210422</v>
      </c>
      <c r="C2101">
        <v>31575</v>
      </c>
      <c r="D2101" s="4">
        <f>+VLOOKUP(A2101,Portfolio!$G$3:$I$6,3)</f>
        <v>1</v>
      </c>
      <c r="E2101">
        <f t="shared" si="32"/>
        <v>31575</v>
      </c>
    </row>
    <row r="2102" spans="1:5" x14ac:dyDescent="0.25">
      <c r="A2102" t="s">
        <v>1</v>
      </c>
      <c r="B2102">
        <v>1210423</v>
      </c>
      <c r="C2102">
        <v>31018.75</v>
      </c>
      <c r="D2102" s="4">
        <f>+VLOOKUP(A2102,Portfolio!$G$3:$I$6,3)</f>
        <v>1</v>
      </c>
      <c r="E2102">
        <f t="shared" si="32"/>
        <v>31018.75</v>
      </c>
    </row>
    <row r="2103" spans="1:5" x14ac:dyDescent="0.25">
      <c r="A2103" t="s">
        <v>1</v>
      </c>
      <c r="B2103">
        <v>1210425</v>
      </c>
      <c r="C2103">
        <v>30831.25</v>
      </c>
      <c r="D2103" s="4">
        <f>+VLOOKUP(A2103,Portfolio!$G$3:$I$6,3)</f>
        <v>1</v>
      </c>
      <c r="E2103">
        <f t="shared" si="32"/>
        <v>30831.25</v>
      </c>
    </row>
    <row r="2104" spans="1:5" x14ac:dyDescent="0.25">
      <c r="A2104" t="s">
        <v>1</v>
      </c>
      <c r="B2104">
        <v>1210426</v>
      </c>
      <c r="C2104">
        <v>30918.75</v>
      </c>
      <c r="D2104" s="4">
        <f>+VLOOKUP(A2104,Portfolio!$G$3:$I$6,3)</f>
        <v>1</v>
      </c>
      <c r="E2104">
        <f t="shared" si="32"/>
        <v>30918.75</v>
      </c>
    </row>
    <row r="2105" spans="1:5" x14ac:dyDescent="0.25">
      <c r="A2105" t="s">
        <v>1</v>
      </c>
      <c r="B2105">
        <v>1210427</v>
      </c>
      <c r="C2105">
        <v>31206.25</v>
      </c>
      <c r="D2105" s="4">
        <f>+VLOOKUP(A2105,Portfolio!$G$3:$I$6,3)</f>
        <v>1</v>
      </c>
      <c r="E2105">
        <f t="shared" si="32"/>
        <v>31206.25</v>
      </c>
    </row>
    <row r="2106" spans="1:5" x14ac:dyDescent="0.25">
      <c r="A2106" t="s">
        <v>1</v>
      </c>
      <c r="B2106">
        <v>1210428</v>
      </c>
      <c r="C2106">
        <v>31437.5</v>
      </c>
      <c r="D2106" s="4">
        <f>+VLOOKUP(A2106,Portfolio!$G$3:$I$6,3)</f>
        <v>1</v>
      </c>
      <c r="E2106">
        <f t="shared" si="32"/>
        <v>31437.5</v>
      </c>
    </row>
    <row r="2107" spans="1:5" x14ac:dyDescent="0.25">
      <c r="A2107" t="s">
        <v>1</v>
      </c>
      <c r="B2107">
        <v>1210429</v>
      </c>
      <c r="C2107">
        <v>31706.25</v>
      </c>
      <c r="D2107" s="4">
        <f>+VLOOKUP(A2107,Portfolio!$G$3:$I$6,3)</f>
        <v>1</v>
      </c>
      <c r="E2107">
        <f t="shared" si="32"/>
        <v>31706.25</v>
      </c>
    </row>
    <row r="2108" spans="1:5" x14ac:dyDescent="0.25">
      <c r="A2108" t="s">
        <v>1</v>
      </c>
      <c r="B2108">
        <v>1210430</v>
      </c>
      <c r="C2108">
        <v>30806.25</v>
      </c>
      <c r="D2108" s="4">
        <f>+VLOOKUP(A2108,Portfolio!$G$3:$I$6,3)</f>
        <v>1</v>
      </c>
      <c r="E2108">
        <f t="shared" si="32"/>
        <v>30806.25</v>
      </c>
    </row>
    <row r="2109" spans="1:5" x14ac:dyDescent="0.25">
      <c r="A2109" t="s">
        <v>1</v>
      </c>
      <c r="B2109">
        <v>1210502</v>
      </c>
      <c r="C2109">
        <v>30681.25</v>
      </c>
      <c r="D2109" s="4">
        <f>+VLOOKUP(A2109,Portfolio!$G$3:$I$6,3)</f>
        <v>1</v>
      </c>
      <c r="E2109">
        <f t="shared" si="32"/>
        <v>30681.25</v>
      </c>
    </row>
    <row r="2110" spans="1:5" x14ac:dyDescent="0.25">
      <c r="A2110" t="s">
        <v>1</v>
      </c>
      <c r="B2110">
        <v>1210503</v>
      </c>
      <c r="C2110">
        <v>30962.5</v>
      </c>
      <c r="D2110" s="4">
        <f>+VLOOKUP(A2110,Portfolio!$G$3:$I$6,3)</f>
        <v>1</v>
      </c>
      <c r="E2110">
        <f t="shared" si="32"/>
        <v>30962.5</v>
      </c>
    </row>
    <row r="2111" spans="1:5" x14ac:dyDescent="0.25">
      <c r="A2111" t="s">
        <v>1</v>
      </c>
      <c r="B2111">
        <v>1210504</v>
      </c>
      <c r="C2111">
        <v>30900</v>
      </c>
      <c r="D2111" s="4">
        <f>+VLOOKUP(A2111,Portfolio!$G$3:$I$6,3)</f>
        <v>1</v>
      </c>
      <c r="E2111">
        <f t="shared" si="32"/>
        <v>30900</v>
      </c>
    </row>
    <row r="2112" spans="1:5" x14ac:dyDescent="0.25">
      <c r="A2112" t="s">
        <v>1</v>
      </c>
      <c r="B2112">
        <v>1210505</v>
      </c>
      <c r="C2112">
        <v>30850</v>
      </c>
      <c r="D2112" s="4">
        <f>+VLOOKUP(A2112,Portfolio!$G$3:$I$6,3)</f>
        <v>1</v>
      </c>
      <c r="E2112">
        <f t="shared" si="32"/>
        <v>30850</v>
      </c>
    </row>
    <row r="2113" spans="1:5" x14ac:dyDescent="0.25">
      <c r="A2113" t="s">
        <v>1</v>
      </c>
      <c r="B2113">
        <v>1210506</v>
      </c>
      <c r="C2113">
        <v>30781.25</v>
      </c>
      <c r="D2113" s="4">
        <f>+VLOOKUP(A2113,Portfolio!$G$3:$I$6,3)</f>
        <v>1</v>
      </c>
      <c r="E2113">
        <f t="shared" si="32"/>
        <v>30781.25</v>
      </c>
    </row>
    <row r="2114" spans="1:5" x14ac:dyDescent="0.25">
      <c r="A2114" t="s">
        <v>1</v>
      </c>
      <c r="B2114">
        <v>1210507</v>
      </c>
      <c r="C2114">
        <v>30475</v>
      </c>
      <c r="D2114" s="4">
        <f>+VLOOKUP(A2114,Portfolio!$G$3:$I$6,3)</f>
        <v>1</v>
      </c>
      <c r="E2114">
        <f t="shared" si="32"/>
        <v>30475</v>
      </c>
    </row>
    <row r="2115" spans="1:5" x14ac:dyDescent="0.25">
      <c r="A2115" t="s">
        <v>1</v>
      </c>
      <c r="B2115">
        <v>1210509</v>
      </c>
      <c r="C2115">
        <v>30793.75</v>
      </c>
      <c r="D2115" s="4">
        <f>+VLOOKUP(A2115,Portfolio!$G$3:$I$6,3)</f>
        <v>1</v>
      </c>
      <c r="E2115">
        <f t="shared" ref="E2115:E2178" si="33">+C2115*D2115</f>
        <v>30793.75</v>
      </c>
    </row>
    <row r="2116" spans="1:5" x14ac:dyDescent="0.25">
      <c r="A2116" t="s">
        <v>1</v>
      </c>
      <c r="B2116">
        <v>1210510</v>
      </c>
      <c r="C2116">
        <v>30475</v>
      </c>
      <c r="D2116" s="4">
        <f>+VLOOKUP(A2116,Portfolio!$G$3:$I$6,3)</f>
        <v>1</v>
      </c>
      <c r="E2116">
        <f t="shared" si="33"/>
        <v>30475</v>
      </c>
    </row>
    <row r="2117" spans="1:5" x14ac:dyDescent="0.25">
      <c r="A2117" t="s">
        <v>1</v>
      </c>
      <c r="B2117">
        <v>1210511</v>
      </c>
      <c r="C2117">
        <v>30531.25</v>
      </c>
      <c r="D2117" s="4">
        <f>+VLOOKUP(A2117,Portfolio!$G$3:$I$6,3)</f>
        <v>1</v>
      </c>
      <c r="E2117">
        <f t="shared" si="33"/>
        <v>30531.25</v>
      </c>
    </row>
    <row r="2118" spans="1:5" x14ac:dyDescent="0.25">
      <c r="A2118" t="s">
        <v>1</v>
      </c>
      <c r="B2118">
        <v>1210512</v>
      </c>
      <c r="C2118">
        <v>30481.25</v>
      </c>
      <c r="D2118" s="4">
        <f>+VLOOKUP(A2118,Portfolio!$G$3:$I$6,3)</f>
        <v>1</v>
      </c>
      <c r="E2118">
        <f t="shared" si="33"/>
        <v>30481.25</v>
      </c>
    </row>
    <row r="2119" spans="1:5" x14ac:dyDescent="0.25">
      <c r="A2119" t="s">
        <v>1</v>
      </c>
      <c r="B2119">
        <v>1210513</v>
      </c>
      <c r="C2119">
        <v>31400</v>
      </c>
      <c r="D2119" s="4">
        <f>+VLOOKUP(A2119,Portfolio!$G$3:$I$6,3)</f>
        <v>1</v>
      </c>
      <c r="E2119">
        <f t="shared" si="33"/>
        <v>31400</v>
      </c>
    </row>
    <row r="2120" spans="1:5" x14ac:dyDescent="0.25">
      <c r="A2120" t="s">
        <v>1</v>
      </c>
      <c r="B2120">
        <v>1210514</v>
      </c>
      <c r="C2120">
        <v>31131.25</v>
      </c>
      <c r="D2120" s="4">
        <f>+VLOOKUP(A2120,Portfolio!$G$3:$I$6,3)</f>
        <v>1</v>
      </c>
      <c r="E2120">
        <f t="shared" si="33"/>
        <v>31131.25</v>
      </c>
    </row>
    <row r="2121" spans="1:5" x14ac:dyDescent="0.25">
      <c r="A2121" t="s">
        <v>1</v>
      </c>
      <c r="B2121">
        <v>1210516</v>
      </c>
      <c r="C2121">
        <v>31200</v>
      </c>
      <c r="D2121" s="4">
        <f>+VLOOKUP(A2121,Portfolio!$G$3:$I$6,3)</f>
        <v>1</v>
      </c>
      <c r="E2121">
        <f t="shared" si="33"/>
        <v>31200</v>
      </c>
    </row>
    <row r="2122" spans="1:5" x14ac:dyDescent="0.25">
      <c r="A2122" t="s">
        <v>1</v>
      </c>
      <c r="B2122">
        <v>1210517</v>
      </c>
      <c r="C2122">
        <v>31187.5</v>
      </c>
      <c r="D2122" s="4">
        <f>+VLOOKUP(A2122,Portfolio!$G$3:$I$6,3)</f>
        <v>1</v>
      </c>
      <c r="E2122">
        <f t="shared" si="33"/>
        <v>31187.5</v>
      </c>
    </row>
    <row r="2123" spans="1:5" x14ac:dyDescent="0.25">
      <c r="A2123" t="s">
        <v>1</v>
      </c>
      <c r="B2123">
        <v>1210518</v>
      </c>
      <c r="C2123">
        <v>30987.5</v>
      </c>
      <c r="D2123" s="4">
        <f>+VLOOKUP(A2123,Portfolio!$G$3:$I$6,3)</f>
        <v>1</v>
      </c>
      <c r="E2123">
        <f t="shared" si="33"/>
        <v>30987.5</v>
      </c>
    </row>
    <row r="2124" spans="1:5" x14ac:dyDescent="0.25">
      <c r="A2124" t="s">
        <v>1</v>
      </c>
      <c r="B2124">
        <v>1210519</v>
      </c>
      <c r="C2124">
        <v>30250</v>
      </c>
      <c r="D2124" s="4">
        <f>+VLOOKUP(A2124,Portfolio!$G$3:$I$6,3)</f>
        <v>1</v>
      </c>
      <c r="E2124">
        <f t="shared" si="33"/>
        <v>30250</v>
      </c>
    </row>
    <row r="2125" spans="1:5" x14ac:dyDescent="0.25">
      <c r="A2125" t="s">
        <v>1</v>
      </c>
      <c r="B2125">
        <v>1210520</v>
      </c>
      <c r="C2125">
        <v>29800</v>
      </c>
      <c r="D2125" s="4">
        <f>+VLOOKUP(A2125,Portfolio!$G$3:$I$6,3)</f>
        <v>1</v>
      </c>
      <c r="E2125">
        <f t="shared" si="33"/>
        <v>29800</v>
      </c>
    </row>
    <row r="2126" spans="1:5" x14ac:dyDescent="0.25">
      <c r="A2126" t="s">
        <v>1</v>
      </c>
      <c r="B2126">
        <v>1210521</v>
      </c>
      <c r="C2126">
        <v>29606.25</v>
      </c>
      <c r="D2126" s="4">
        <f>+VLOOKUP(A2126,Portfolio!$G$3:$I$6,3)</f>
        <v>1</v>
      </c>
      <c r="E2126">
        <f t="shared" si="33"/>
        <v>29606.25</v>
      </c>
    </row>
    <row r="2127" spans="1:5" x14ac:dyDescent="0.25">
      <c r="A2127" t="s">
        <v>1</v>
      </c>
      <c r="B2127">
        <v>1210523</v>
      </c>
      <c r="C2127">
        <v>29687.5</v>
      </c>
      <c r="D2127" s="4">
        <f>+VLOOKUP(A2127,Portfolio!$G$3:$I$6,3)</f>
        <v>1</v>
      </c>
      <c r="E2127">
        <f t="shared" si="33"/>
        <v>29687.5</v>
      </c>
    </row>
    <row r="2128" spans="1:5" x14ac:dyDescent="0.25">
      <c r="A2128" t="s">
        <v>1</v>
      </c>
      <c r="B2128">
        <v>1210524</v>
      </c>
      <c r="C2128">
        <v>29581.25</v>
      </c>
      <c r="D2128" s="4">
        <f>+VLOOKUP(A2128,Portfolio!$G$3:$I$6,3)</f>
        <v>1</v>
      </c>
      <c r="E2128">
        <f t="shared" si="33"/>
        <v>29581.25</v>
      </c>
    </row>
    <row r="2129" spans="1:5" x14ac:dyDescent="0.25">
      <c r="A2129" t="s">
        <v>1</v>
      </c>
      <c r="B2129">
        <v>1210525</v>
      </c>
      <c r="C2129">
        <v>29406.25</v>
      </c>
      <c r="D2129" s="4">
        <f>+VLOOKUP(A2129,Portfolio!$G$3:$I$6,3)</f>
        <v>1</v>
      </c>
      <c r="E2129">
        <f t="shared" si="33"/>
        <v>29406.25</v>
      </c>
    </row>
    <row r="2130" spans="1:5" x14ac:dyDescent="0.25">
      <c r="A2130" t="s">
        <v>1</v>
      </c>
      <c r="B2130">
        <v>1210526</v>
      </c>
      <c r="C2130">
        <v>28962.5</v>
      </c>
      <c r="D2130" s="4">
        <f>+VLOOKUP(A2130,Portfolio!$G$3:$I$6,3)</f>
        <v>1</v>
      </c>
      <c r="E2130">
        <f t="shared" si="33"/>
        <v>28962.5</v>
      </c>
    </row>
    <row r="2131" spans="1:5" x14ac:dyDescent="0.25">
      <c r="A2131" t="s">
        <v>1</v>
      </c>
      <c r="B2131">
        <v>1210527</v>
      </c>
      <c r="C2131">
        <v>29300</v>
      </c>
      <c r="D2131" s="4">
        <f>+VLOOKUP(A2131,Portfolio!$G$3:$I$6,3)</f>
        <v>1</v>
      </c>
      <c r="E2131">
        <f t="shared" si="33"/>
        <v>29300</v>
      </c>
    </row>
    <row r="2132" spans="1:5" x14ac:dyDescent="0.25">
      <c r="A2132" t="s">
        <v>1</v>
      </c>
      <c r="B2132">
        <v>1210528</v>
      </c>
      <c r="C2132">
        <v>30087.5</v>
      </c>
      <c r="D2132" s="4">
        <f>+VLOOKUP(A2132,Portfolio!$G$3:$I$6,3)</f>
        <v>1</v>
      </c>
      <c r="E2132">
        <f t="shared" si="33"/>
        <v>30087.5</v>
      </c>
    </row>
    <row r="2133" spans="1:5" x14ac:dyDescent="0.25">
      <c r="A2133" t="s">
        <v>1</v>
      </c>
      <c r="B2133">
        <v>1210530</v>
      </c>
      <c r="C2133">
        <v>29956.25</v>
      </c>
      <c r="D2133" s="4">
        <f>+VLOOKUP(A2133,Portfolio!$G$3:$I$6,3)</f>
        <v>1</v>
      </c>
      <c r="E2133">
        <f t="shared" si="33"/>
        <v>29956.25</v>
      </c>
    </row>
    <row r="2134" spans="1:5" x14ac:dyDescent="0.25">
      <c r="A2134" t="s">
        <v>1</v>
      </c>
      <c r="B2134">
        <v>1210531</v>
      </c>
      <c r="C2134">
        <v>30168.75</v>
      </c>
      <c r="D2134" s="4">
        <f>+VLOOKUP(A2134,Portfolio!$G$3:$I$6,3)</f>
        <v>1</v>
      </c>
      <c r="E2134">
        <f t="shared" si="33"/>
        <v>30168.75</v>
      </c>
    </row>
    <row r="2135" spans="1:5" x14ac:dyDescent="0.25">
      <c r="A2135" t="s">
        <v>1</v>
      </c>
      <c r="B2135">
        <v>1210601</v>
      </c>
      <c r="C2135">
        <v>30331.25</v>
      </c>
      <c r="D2135" s="4">
        <f>+VLOOKUP(A2135,Portfolio!$G$3:$I$6,3)</f>
        <v>1</v>
      </c>
      <c r="E2135">
        <f t="shared" si="33"/>
        <v>30331.25</v>
      </c>
    </row>
    <row r="2136" spans="1:5" x14ac:dyDescent="0.25">
      <c r="A2136" t="s">
        <v>1</v>
      </c>
      <c r="B2136">
        <v>1210602</v>
      </c>
      <c r="C2136">
        <v>29637.5</v>
      </c>
      <c r="D2136" s="4">
        <f>+VLOOKUP(A2136,Portfolio!$G$3:$I$6,3)</f>
        <v>1</v>
      </c>
      <c r="E2136">
        <f t="shared" si="33"/>
        <v>29637.5</v>
      </c>
    </row>
    <row r="2137" spans="1:5" x14ac:dyDescent="0.25">
      <c r="A2137" t="s">
        <v>1</v>
      </c>
      <c r="B2137">
        <v>1210603</v>
      </c>
      <c r="C2137">
        <v>29587.5</v>
      </c>
      <c r="D2137" s="4">
        <f>+VLOOKUP(A2137,Portfolio!$G$3:$I$6,3)</f>
        <v>1</v>
      </c>
      <c r="E2137">
        <f t="shared" si="33"/>
        <v>29587.5</v>
      </c>
    </row>
    <row r="2138" spans="1:5" x14ac:dyDescent="0.25">
      <c r="A2138" t="s">
        <v>1</v>
      </c>
      <c r="B2138">
        <v>1210604</v>
      </c>
      <c r="C2138">
        <v>29887.5</v>
      </c>
      <c r="D2138" s="4">
        <f>+VLOOKUP(A2138,Portfolio!$G$3:$I$6,3)</f>
        <v>1</v>
      </c>
      <c r="E2138">
        <f t="shared" si="33"/>
        <v>29887.5</v>
      </c>
    </row>
    <row r="2139" spans="1:5" x14ac:dyDescent="0.25">
      <c r="A2139" t="s">
        <v>1</v>
      </c>
      <c r="B2139">
        <v>1210606</v>
      </c>
      <c r="C2139">
        <v>30250</v>
      </c>
      <c r="D2139" s="4">
        <f>+VLOOKUP(A2139,Portfolio!$G$3:$I$6,3)</f>
        <v>1</v>
      </c>
      <c r="E2139">
        <f t="shared" si="33"/>
        <v>30250</v>
      </c>
    </row>
    <row r="2140" spans="1:5" x14ac:dyDescent="0.25">
      <c r="A2140" t="s">
        <v>1</v>
      </c>
      <c r="B2140">
        <v>1210607</v>
      </c>
      <c r="C2140">
        <v>30412.5</v>
      </c>
      <c r="D2140" s="4">
        <f>+VLOOKUP(A2140,Portfolio!$G$3:$I$6,3)</f>
        <v>1</v>
      </c>
      <c r="E2140">
        <f t="shared" si="33"/>
        <v>30412.5</v>
      </c>
    </row>
    <row r="2141" spans="1:5" x14ac:dyDescent="0.25">
      <c r="A2141" t="s">
        <v>1</v>
      </c>
      <c r="B2141">
        <v>1210608</v>
      </c>
      <c r="C2141">
        <v>30431.25</v>
      </c>
      <c r="D2141" s="4">
        <f>+VLOOKUP(A2141,Portfolio!$G$3:$I$6,3)</f>
        <v>1</v>
      </c>
      <c r="E2141">
        <f t="shared" si="33"/>
        <v>30431.25</v>
      </c>
    </row>
    <row r="2142" spans="1:5" x14ac:dyDescent="0.25">
      <c r="A2142" t="s">
        <v>1</v>
      </c>
      <c r="B2142">
        <v>1210609</v>
      </c>
      <c r="C2142">
        <v>30356.25</v>
      </c>
      <c r="D2142" s="4">
        <f>+VLOOKUP(A2142,Portfolio!$G$3:$I$6,3)</f>
        <v>1</v>
      </c>
      <c r="E2142">
        <f t="shared" si="33"/>
        <v>30356.25</v>
      </c>
    </row>
    <row r="2143" spans="1:5" x14ac:dyDescent="0.25">
      <c r="A2143" t="s">
        <v>1</v>
      </c>
      <c r="B2143">
        <v>1210610</v>
      </c>
      <c r="C2143">
        <v>30400</v>
      </c>
      <c r="D2143" s="4">
        <f>+VLOOKUP(A2143,Portfolio!$G$3:$I$6,3)</f>
        <v>1</v>
      </c>
      <c r="E2143">
        <f t="shared" si="33"/>
        <v>30400</v>
      </c>
    </row>
    <row r="2144" spans="1:5" x14ac:dyDescent="0.25">
      <c r="A2144" t="s">
        <v>1</v>
      </c>
      <c r="B2144">
        <v>1210611</v>
      </c>
      <c r="C2144">
        <v>29818.75</v>
      </c>
      <c r="D2144" s="4">
        <f>+VLOOKUP(A2144,Portfolio!$G$3:$I$6,3)</f>
        <v>1</v>
      </c>
      <c r="E2144">
        <f t="shared" si="33"/>
        <v>29818.75</v>
      </c>
    </row>
    <row r="2145" spans="1:5" x14ac:dyDescent="0.25">
      <c r="A2145" t="s">
        <v>1</v>
      </c>
      <c r="B2145">
        <v>1210613</v>
      </c>
      <c r="C2145">
        <v>29793.75</v>
      </c>
      <c r="D2145" s="4">
        <f>+VLOOKUP(A2145,Portfolio!$G$3:$I$6,3)</f>
        <v>1</v>
      </c>
      <c r="E2145">
        <f t="shared" si="33"/>
        <v>29793.75</v>
      </c>
    </row>
    <row r="2146" spans="1:5" x14ac:dyDescent="0.25">
      <c r="A2146" t="s">
        <v>1</v>
      </c>
      <c r="B2146">
        <v>1210614</v>
      </c>
      <c r="C2146">
        <v>29831.25</v>
      </c>
      <c r="D2146" s="4">
        <f>+VLOOKUP(A2146,Portfolio!$G$3:$I$6,3)</f>
        <v>1</v>
      </c>
      <c r="E2146">
        <f t="shared" si="33"/>
        <v>29831.25</v>
      </c>
    </row>
    <row r="2147" spans="1:5" x14ac:dyDescent="0.25">
      <c r="A2147" t="s">
        <v>1</v>
      </c>
      <c r="B2147">
        <v>1210615</v>
      </c>
      <c r="C2147">
        <v>30168.75</v>
      </c>
      <c r="D2147" s="4">
        <f>+VLOOKUP(A2147,Portfolio!$G$3:$I$6,3)</f>
        <v>1</v>
      </c>
      <c r="E2147">
        <f t="shared" si="33"/>
        <v>30168.75</v>
      </c>
    </row>
    <row r="2148" spans="1:5" x14ac:dyDescent="0.25">
      <c r="A2148" t="s">
        <v>1</v>
      </c>
      <c r="B2148">
        <v>1210616</v>
      </c>
      <c r="C2148">
        <v>30150</v>
      </c>
      <c r="D2148" s="4">
        <f>+VLOOKUP(A2148,Portfolio!$G$3:$I$6,3)</f>
        <v>1</v>
      </c>
      <c r="E2148">
        <f t="shared" si="33"/>
        <v>30150</v>
      </c>
    </row>
    <row r="2149" spans="1:5" x14ac:dyDescent="0.25">
      <c r="A2149" t="s">
        <v>1</v>
      </c>
      <c r="B2149">
        <v>1210617</v>
      </c>
      <c r="C2149">
        <v>30450</v>
      </c>
      <c r="D2149" s="4">
        <f>+VLOOKUP(A2149,Portfolio!$G$3:$I$6,3)</f>
        <v>1</v>
      </c>
      <c r="E2149">
        <f t="shared" si="33"/>
        <v>30450</v>
      </c>
    </row>
    <row r="2150" spans="1:5" x14ac:dyDescent="0.25">
      <c r="A2150" t="s">
        <v>1</v>
      </c>
      <c r="B2150">
        <v>1210618</v>
      </c>
      <c r="C2150">
        <v>30656.25</v>
      </c>
      <c r="D2150" s="4">
        <f>+VLOOKUP(A2150,Portfolio!$G$3:$I$6,3)</f>
        <v>1</v>
      </c>
      <c r="E2150">
        <f t="shared" si="33"/>
        <v>30656.25</v>
      </c>
    </row>
    <row r="2151" spans="1:5" x14ac:dyDescent="0.25">
      <c r="A2151" t="s">
        <v>1</v>
      </c>
      <c r="B2151">
        <v>1210620</v>
      </c>
      <c r="C2151">
        <v>30600</v>
      </c>
      <c r="D2151" s="4">
        <f>+VLOOKUP(A2151,Portfolio!$G$3:$I$6,3)</f>
        <v>1</v>
      </c>
      <c r="E2151">
        <f t="shared" si="33"/>
        <v>30600</v>
      </c>
    </row>
    <row r="2152" spans="1:5" x14ac:dyDescent="0.25">
      <c r="A2152" t="s">
        <v>1</v>
      </c>
      <c r="B2152">
        <v>1210621</v>
      </c>
      <c r="C2152">
        <v>30493.75</v>
      </c>
      <c r="D2152" s="4">
        <f>+VLOOKUP(A2152,Portfolio!$G$3:$I$6,3)</f>
        <v>1</v>
      </c>
      <c r="E2152">
        <f t="shared" si="33"/>
        <v>30493.75</v>
      </c>
    </row>
    <row r="2153" spans="1:5" x14ac:dyDescent="0.25">
      <c r="A2153" t="s">
        <v>1</v>
      </c>
      <c r="B2153">
        <v>1210622</v>
      </c>
      <c r="C2153">
        <v>30450</v>
      </c>
      <c r="D2153" s="4">
        <f>+VLOOKUP(A2153,Portfolio!$G$3:$I$6,3)</f>
        <v>1</v>
      </c>
      <c r="E2153">
        <f t="shared" si="33"/>
        <v>30450</v>
      </c>
    </row>
    <row r="2154" spans="1:5" x14ac:dyDescent="0.25">
      <c r="A2154" t="s">
        <v>1</v>
      </c>
      <c r="B2154">
        <v>1210623</v>
      </c>
      <c r="C2154">
        <v>30800</v>
      </c>
      <c r="D2154" s="4">
        <f>+VLOOKUP(A2154,Portfolio!$G$3:$I$6,3)</f>
        <v>1</v>
      </c>
      <c r="E2154">
        <f t="shared" si="33"/>
        <v>30800</v>
      </c>
    </row>
    <row r="2155" spans="1:5" x14ac:dyDescent="0.25">
      <c r="A2155" t="s">
        <v>1</v>
      </c>
      <c r="B2155">
        <v>1210624</v>
      </c>
      <c r="C2155">
        <v>30437.5</v>
      </c>
      <c r="D2155" s="4">
        <f>+VLOOKUP(A2155,Portfolio!$G$3:$I$6,3)</f>
        <v>1</v>
      </c>
      <c r="E2155">
        <f t="shared" si="33"/>
        <v>30437.5</v>
      </c>
    </row>
    <row r="2156" spans="1:5" x14ac:dyDescent="0.25">
      <c r="A2156" t="s">
        <v>1</v>
      </c>
      <c r="B2156">
        <v>1210625</v>
      </c>
      <c r="C2156">
        <v>30050</v>
      </c>
      <c r="D2156" s="4">
        <f>+VLOOKUP(A2156,Portfolio!$G$3:$I$6,3)</f>
        <v>1</v>
      </c>
      <c r="E2156">
        <f t="shared" si="33"/>
        <v>30050</v>
      </c>
    </row>
    <row r="2157" spans="1:5" x14ac:dyDescent="0.25">
      <c r="A2157" t="s">
        <v>1</v>
      </c>
      <c r="B2157">
        <v>1210627</v>
      </c>
      <c r="C2157">
        <v>29718.75</v>
      </c>
      <c r="D2157" s="4">
        <f>+VLOOKUP(A2157,Portfolio!$G$3:$I$6,3)</f>
        <v>1</v>
      </c>
      <c r="E2157">
        <f t="shared" si="33"/>
        <v>29718.75</v>
      </c>
    </row>
    <row r="2158" spans="1:5" x14ac:dyDescent="0.25">
      <c r="A2158" t="s">
        <v>1</v>
      </c>
      <c r="B2158">
        <v>1210628</v>
      </c>
      <c r="C2158">
        <v>29625</v>
      </c>
      <c r="D2158" s="4">
        <f>+VLOOKUP(A2158,Portfolio!$G$3:$I$6,3)</f>
        <v>1</v>
      </c>
      <c r="E2158">
        <f t="shared" si="33"/>
        <v>29625</v>
      </c>
    </row>
    <row r="2159" spans="1:5" x14ac:dyDescent="0.25">
      <c r="A2159" t="s">
        <v>1</v>
      </c>
      <c r="B2159">
        <v>1210629</v>
      </c>
      <c r="C2159">
        <v>29437.5</v>
      </c>
      <c r="D2159" s="4">
        <f>+VLOOKUP(A2159,Portfolio!$G$3:$I$6,3)</f>
        <v>1</v>
      </c>
      <c r="E2159">
        <f t="shared" si="33"/>
        <v>29437.5</v>
      </c>
    </row>
    <row r="2160" spans="1:5" x14ac:dyDescent="0.25">
      <c r="A2160" t="s">
        <v>1</v>
      </c>
      <c r="B2160">
        <v>1210630</v>
      </c>
      <c r="C2160">
        <v>29518.75</v>
      </c>
      <c r="D2160" s="4">
        <f>+VLOOKUP(A2160,Portfolio!$G$3:$I$6,3)</f>
        <v>1</v>
      </c>
      <c r="E2160">
        <f t="shared" si="33"/>
        <v>29518.75</v>
      </c>
    </row>
    <row r="2161" spans="1:5" x14ac:dyDescent="0.25">
      <c r="A2161" t="s">
        <v>1</v>
      </c>
      <c r="B2161">
        <v>1210701</v>
      </c>
      <c r="C2161">
        <v>29968.75</v>
      </c>
      <c r="D2161" s="4">
        <f>+VLOOKUP(A2161,Portfolio!$G$3:$I$6,3)</f>
        <v>1</v>
      </c>
      <c r="E2161">
        <f t="shared" si="33"/>
        <v>29968.75</v>
      </c>
    </row>
    <row r="2162" spans="1:5" x14ac:dyDescent="0.25">
      <c r="A2162" t="s">
        <v>1</v>
      </c>
      <c r="B2162">
        <v>1210702</v>
      </c>
      <c r="C2162">
        <v>30450</v>
      </c>
      <c r="D2162" s="4">
        <f>+VLOOKUP(A2162,Portfolio!$G$3:$I$6,3)</f>
        <v>1</v>
      </c>
      <c r="E2162">
        <f t="shared" si="33"/>
        <v>30450</v>
      </c>
    </row>
    <row r="2163" spans="1:5" x14ac:dyDescent="0.25">
      <c r="A2163" t="s">
        <v>1</v>
      </c>
      <c r="B2163">
        <v>1210704</v>
      </c>
      <c r="C2163">
        <v>30525</v>
      </c>
      <c r="D2163" s="4">
        <f>+VLOOKUP(A2163,Portfolio!$G$3:$I$6,3)</f>
        <v>1</v>
      </c>
      <c r="E2163">
        <f t="shared" si="33"/>
        <v>30525</v>
      </c>
    </row>
    <row r="2164" spans="1:5" x14ac:dyDescent="0.25">
      <c r="A2164" t="s">
        <v>1</v>
      </c>
      <c r="B2164">
        <v>1210705</v>
      </c>
      <c r="C2164">
        <v>30531.25</v>
      </c>
      <c r="D2164" s="4">
        <f>+VLOOKUP(A2164,Portfolio!$G$3:$I$6,3)</f>
        <v>1</v>
      </c>
      <c r="E2164">
        <f t="shared" si="33"/>
        <v>30531.25</v>
      </c>
    </row>
    <row r="2165" spans="1:5" x14ac:dyDescent="0.25">
      <c r="A2165" t="s">
        <v>1</v>
      </c>
      <c r="B2165">
        <v>1210706</v>
      </c>
      <c r="C2165">
        <v>30831.25</v>
      </c>
      <c r="D2165" s="4">
        <f>+VLOOKUP(A2165,Portfolio!$G$3:$I$6,3)</f>
        <v>1</v>
      </c>
      <c r="E2165">
        <f t="shared" si="33"/>
        <v>30831.25</v>
      </c>
    </row>
    <row r="2166" spans="1:5" x14ac:dyDescent="0.25">
      <c r="A2166" t="s">
        <v>1</v>
      </c>
      <c r="B2166">
        <v>1210707</v>
      </c>
      <c r="C2166">
        <v>31150</v>
      </c>
      <c r="D2166" s="4">
        <f>+VLOOKUP(A2166,Portfolio!$G$3:$I$6,3)</f>
        <v>1</v>
      </c>
      <c r="E2166">
        <f t="shared" si="33"/>
        <v>31150</v>
      </c>
    </row>
    <row r="2167" spans="1:5" x14ac:dyDescent="0.25">
      <c r="A2167" t="s">
        <v>1</v>
      </c>
      <c r="B2167">
        <v>1210708</v>
      </c>
      <c r="C2167">
        <v>30706.25</v>
      </c>
      <c r="D2167" s="4">
        <f>+VLOOKUP(A2167,Portfolio!$G$3:$I$6,3)</f>
        <v>1</v>
      </c>
      <c r="E2167">
        <f t="shared" si="33"/>
        <v>30706.25</v>
      </c>
    </row>
    <row r="2168" spans="1:5" x14ac:dyDescent="0.25">
      <c r="A2168" t="s">
        <v>1</v>
      </c>
      <c r="B2168">
        <v>1210709</v>
      </c>
      <c r="C2168">
        <v>31262.5</v>
      </c>
      <c r="D2168" s="4">
        <f>+VLOOKUP(A2168,Portfolio!$G$3:$I$6,3)</f>
        <v>1</v>
      </c>
      <c r="E2168">
        <f t="shared" si="33"/>
        <v>31262.5</v>
      </c>
    </row>
    <row r="2169" spans="1:5" x14ac:dyDescent="0.25">
      <c r="A2169" t="s">
        <v>1</v>
      </c>
      <c r="B2169">
        <v>1210711</v>
      </c>
      <c r="C2169">
        <v>31156.25</v>
      </c>
      <c r="D2169" s="4">
        <f>+VLOOKUP(A2169,Portfolio!$G$3:$I$6,3)</f>
        <v>1</v>
      </c>
      <c r="E2169">
        <f t="shared" si="33"/>
        <v>31156.25</v>
      </c>
    </row>
    <row r="2170" spans="1:5" x14ac:dyDescent="0.25">
      <c r="A2170" t="s">
        <v>1</v>
      </c>
      <c r="B2170">
        <v>1210712</v>
      </c>
      <c r="C2170">
        <v>31137.5</v>
      </c>
      <c r="D2170" s="4">
        <f>+VLOOKUP(A2170,Portfolio!$G$3:$I$6,3)</f>
        <v>1</v>
      </c>
      <c r="E2170">
        <f t="shared" si="33"/>
        <v>31137.5</v>
      </c>
    </row>
    <row r="2171" spans="1:5" x14ac:dyDescent="0.25">
      <c r="A2171" t="s">
        <v>1</v>
      </c>
      <c r="B2171">
        <v>1210713</v>
      </c>
      <c r="C2171">
        <v>31393.75</v>
      </c>
      <c r="D2171" s="4">
        <f>+VLOOKUP(A2171,Portfolio!$G$3:$I$6,3)</f>
        <v>1</v>
      </c>
      <c r="E2171">
        <f t="shared" si="33"/>
        <v>31393.75</v>
      </c>
    </row>
    <row r="2172" spans="1:5" x14ac:dyDescent="0.25">
      <c r="A2172" t="s">
        <v>1</v>
      </c>
      <c r="B2172">
        <v>1210714</v>
      </c>
      <c r="C2172">
        <v>31043.75</v>
      </c>
      <c r="D2172" s="4">
        <f>+VLOOKUP(A2172,Portfolio!$G$3:$I$6,3)</f>
        <v>1</v>
      </c>
      <c r="E2172">
        <f t="shared" si="33"/>
        <v>31043.75</v>
      </c>
    </row>
    <row r="2173" spans="1:5" x14ac:dyDescent="0.25">
      <c r="A2173" t="s">
        <v>1</v>
      </c>
      <c r="B2173">
        <v>1210715</v>
      </c>
      <c r="C2173">
        <v>31568.75</v>
      </c>
      <c r="D2173" s="4">
        <f>+VLOOKUP(A2173,Portfolio!$G$3:$I$6,3)</f>
        <v>1</v>
      </c>
      <c r="E2173">
        <f t="shared" si="33"/>
        <v>31568.75</v>
      </c>
    </row>
    <row r="2174" spans="1:5" x14ac:dyDescent="0.25">
      <c r="A2174" t="s">
        <v>1</v>
      </c>
      <c r="B2174">
        <v>1210716</v>
      </c>
      <c r="C2174">
        <v>31493.75</v>
      </c>
      <c r="D2174" s="4">
        <f>+VLOOKUP(A2174,Portfolio!$G$3:$I$6,3)</f>
        <v>1</v>
      </c>
      <c r="E2174">
        <f t="shared" si="33"/>
        <v>31493.75</v>
      </c>
    </row>
    <row r="2175" spans="1:5" x14ac:dyDescent="0.25">
      <c r="A2175" t="s">
        <v>1</v>
      </c>
      <c r="B2175">
        <v>1210718</v>
      </c>
      <c r="C2175">
        <v>31468.75</v>
      </c>
      <c r="D2175" s="4">
        <f>+VLOOKUP(A2175,Portfolio!$G$3:$I$6,3)</f>
        <v>1</v>
      </c>
      <c r="E2175">
        <f t="shared" si="33"/>
        <v>31468.75</v>
      </c>
    </row>
    <row r="2176" spans="1:5" x14ac:dyDescent="0.25">
      <c r="A2176" t="s">
        <v>1</v>
      </c>
      <c r="B2176">
        <v>1210719</v>
      </c>
      <c r="C2176">
        <v>31443.75</v>
      </c>
      <c r="D2176" s="4">
        <f>+VLOOKUP(A2176,Portfolio!$G$3:$I$6,3)</f>
        <v>1</v>
      </c>
      <c r="E2176">
        <f t="shared" si="33"/>
        <v>31443.75</v>
      </c>
    </row>
    <row r="2177" spans="1:5" x14ac:dyDescent="0.25">
      <c r="A2177" t="s">
        <v>1</v>
      </c>
      <c r="B2177">
        <v>1210720</v>
      </c>
      <c r="C2177">
        <v>31912.5</v>
      </c>
      <c r="D2177" s="4">
        <f>+VLOOKUP(A2177,Portfolio!$G$3:$I$6,3)</f>
        <v>1</v>
      </c>
      <c r="E2177">
        <f t="shared" si="33"/>
        <v>31912.5</v>
      </c>
    </row>
    <row r="2178" spans="1:5" x14ac:dyDescent="0.25">
      <c r="A2178" t="s">
        <v>1</v>
      </c>
      <c r="B2178">
        <v>1210721</v>
      </c>
      <c r="C2178">
        <v>31750</v>
      </c>
      <c r="D2178" s="4">
        <f>+VLOOKUP(A2178,Portfolio!$G$3:$I$6,3)</f>
        <v>1</v>
      </c>
      <c r="E2178">
        <f t="shared" si="33"/>
        <v>31750</v>
      </c>
    </row>
    <row r="2179" spans="1:5" x14ac:dyDescent="0.25">
      <c r="A2179" t="s">
        <v>1</v>
      </c>
      <c r="B2179">
        <v>1210722</v>
      </c>
      <c r="C2179">
        <v>32031.25</v>
      </c>
      <c r="D2179" s="4">
        <f>+VLOOKUP(A2179,Portfolio!$G$3:$I$6,3)</f>
        <v>1</v>
      </c>
      <c r="E2179">
        <f t="shared" ref="E2179:E2242" si="34">+C2179*D2179</f>
        <v>32031.25</v>
      </c>
    </row>
    <row r="2180" spans="1:5" x14ac:dyDescent="0.25">
      <c r="A2180" t="s">
        <v>1</v>
      </c>
      <c r="B2180">
        <v>1210723</v>
      </c>
      <c r="C2180">
        <v>31831.25</v>
      </c>
      <c r="D2180" s="4">
        <f>+VLOOKUP(A2180,Portfolio!$G$3:$I$6,3)</f>
        <v>1</v>
      </c>
      <c r="E2180">
        <f t="shared" si="34"/>
        <v>31831.25</v>
      </c>
    </row>
    <row r="2181" spans="1:5" x14ac:dyDescent="0.25">
      <c r="A2181" t="s">
        <v>1</v>
      </c>
      <c r="B2181">
        <v>1210725</v>
      </c>
      <c r="C2181">
        <v>31625</v>
      </c>
      <c r="D2181" s="4">
        <f>+VLOOKUP(A2181,Portfolio!$G$3:$I$6,3)</f>
        <v>1</v>
      </c>
      <c r="E2181">
        <f t="shared" si="34"/>
        <v>31625</v>
      </c>
    </row>
    <row r="2182" spans="1:5" x14ac:dyDescent="0.25">
      <c r="A2182" t="s">
        <v>1</v>
      </c>
      <c r="B2182">
        <v>1210726</v>
      </c>
      <c r="C2182">
        <v>31412.5</v>
      </c>
      <c r="D2182" s="4">
        <f>+VLOOKUP(A2182,Portfolio!$G$3:$I$6,3)</f>
        <v>1</v>
      </c>
      <c r="E2182">
        <f t="shared" si="34"/>
        <v>31412.5</v>
      </c>
    </row>
    <row r="2183" spans="1:5" x14ac:dyDescent="0.25">
      <c r="A2183" t="s">
        <v>1</v>
      </c>
      <c r="B2183">
        <v>1210727</v>
      </c>
      <c r="C2183">
        <v>31287.5</v>
      </c>
      <c r="D2183" s="4">
        <f>+VLOOKUP(A2183,Portfolio!$G$3:$I$6,3)</f>
        <v>1</v>
      </c>
      <c r="E2183">
        <f t="shared" si="34"/>
        <v>31287.5</v>
      </c>
    </row>
    <row r="2184" spans="1:5" x14ac:dyDescent="0.25">
      <c r="A2184" t="s">
        <v>1</v>
      </c>
      <c r="B2184">
        <v>1210728</v>
      </c>
      <c r="C2184">
        <v>31243.75</v>
      </c>
      <c r="D2184" s="4">
        <f>+VLOOKUP(A2184,Portfolio!$G$3:$I$6,3)</f>
        <v>1</v>
      </c>
      <c r="E2184">
        <f t="shared" si="34"/>
        <v>31243.75</v>
      </c>
    </row>
    <row r="2185" spans="1:5" x14ac:dyDescent="0.25">
      <c r="A2185" t="s">
        <v>1</v>
      </c>
      <c r="B2185">
        <v>1210729</v>
      </c>
      <c r="C2185">
        <v>30793.75</v>
      </c>
      <c r="D2185" s="4">
        <f>+VLOOKUP(A2185,Portfolio!$G$3:$I$6,3)</f>
        <v>1</v>
      </c>
      <c r="E2185">
        <f t="shared" si="34"/>
        <v>30793.75</v>
      </c>
    </row>
    <row r="2186" spans="1:5" x14ac:dyDescent="0.25">
      <c r="A2186" t="s">
        <v>1</v>
      </c>
      <c r="B2186">
        <v>1210730</v>
      </c>
      <c r="C2186">
        <v>30718.75</v>
      </c>
      <c r="D2186" s="4">
        <f>+VLOOKUP(A2186,Portfolio!$G$3:$I$6,3)</f>
        <v>1</v>
      </c>
      <c r="E2186">
        <f t="shared" si="34"/>
        <v>30718.75</v>
      </c>
    </row>
    <row r="2187" spans="1:5" x14ac:dyDescent="0.25">
      <c r="A2187" t="s">
        <v>1</v>
      </c>
      <c r="B2187">
        <v>1210801</v>
      </c>
      <c r="C2187">
        <v>30706.25</v>
      </c>
      <c r="D2187" s="4">
        <f>+VLOOKUP(A2187,Portfolio!$G$3:$I$6,3)</f>
        <v>1</v>
      </c>
      <c r="E2187">
        <f t="shared" si="34"/>
        <v>30706.25</v>
      </c>
    </row>
    <row r="2188" spans="1:5" x14ac:dyDescent="0.25">
      <c r="A2188" t="s">
        <v>1</v>
      </c>
      <c r="B2188">
        <v>1210802</v>
      </c>
      <c r="C2188">
        <v>30693.75</v>
      </c>
      <c r="D2188" s="4">
        <f>+VLOOKUP(A2188,Portfolio!$G$3:$I$6,3)</f>
        <v>1</v>
      </c>
      <c r="E2188">
        <f t="shared" si="34"/>
        <v>30693.75</v>
      </c>
    </row>
    <row r="2189" spans="1:5" x14ac:dyDescent="0.25">
      <c r="A2189" t="s">
        <v>1</v>
      </c>
      <c r="B2189">
        <v>1210803</v>
      </c>
      <c r="C2189">
        <v>30812.5</v>
      </c>
      <c r="D2189" s="4">
        <f>+VLOOKUP(A2189,Portfolio!$G$3:$I$6,3)</f>
        <v>1</v>
      </c>
      <c r="E2189">
        <f t="shared" si="34"/>
        <v>30812.5</v>
      </c>
    </row>
    <row r="2190" spans="1:5" x14ac:dyDescent="0.25">
      <c r="A2190" t="s">
        <v>1</v>
      </c>
      <c r="B2190">
        <v>1210804</v>
      </c>
      <c r="C2190">
        <v>30918.75</v>
      </c>
      <c r="D2190" s="4">
        <f>+VLOOKUP(A2190,Portfolio!$G$3:$I$6,3)</f>
        <v>1</v>
      </c>
      <c r="E2190">
        <f t="shared" si="34"/>
        <v>30918.75</v>
      </c>
    </row>
    <row r="2191" spans="1:5" x14ac:dyDescent="0.25">
      <c r="A2191" t="s">
        <v>1</v>
      </c>
      <c r="B2191">
        <v>1210805</v>
      </c>
      <c r="C2191">
        <v>31212.5</v>
      </c>
      <c r="D2191" s="4">
        <f>+VLOOKUP(A2191,Portfolio!$G$3:$I$6,3)</f>
        <v>1</v>
      </c>
      <c r="E2191">
        <f t="shared" si="34"/>
        <v>31212.5</v>
      </c>
    </row>
    <row r="2192" spans="1:5" x14ac:dyDescent="0.25">
      <c r="A2192" t="s">
        <v>1</v>
      </c>
      <c r="B2192">
        <v>1210806</v>
      </c>
      <c r="C2192">
        <v>30806.25</v>
      </c>
      <c r="D2192" s="4">
        <f>+VLOOKUP(A2192,Portfolio!$G$3:$I$6,3)</f>
        <v>1</v>
      </c>
      <c r="E2192">
        <f t="shared" si="34"/>
        <v>30806.25</v>
      </c>
    </row>
    <row r="2193" spans="1:5" x14ac:dyDescent="0.25">
      <c r="A2193" t="s">
        <v>1</v>
      </c>
      <c r="B2193">
        <v>1210808</v>
      </c>
      <c r="C2193">
        <v>31268.75</v>
      </c>
      <c r="D2193" s="4">
        <f>+VLOOKUP(A2193,Portfolio!$G$3:$I$6,3)</f>
        <v>1</v>
      </c>
      <c r="E2193">
        <f t="shared" si="34"/>
        <v>31268.75</v>
      </c>
    </row>
    <row r="2194" spans="1:5" x14ac:dyDescent="0.25">
      <c r="A2194" t="s">
        <v>1</v>
      </c>
      <c r="B2194">
        <v>1210809</v>
      </c>
      <c r="C2194">
        <v>31212.5</v>
      </c>
      <c r="D2194" s="4">
        <f>+VLOOKUP(A2194,Portfolio!$G$3:$I$6,3)</f>
        <v>1</v>
      </c>
      <c r="E2194">
        <f t="shared" si="34"/>
        <v>31212.5</v>
      </c>
    </row>
    <row r="2195" spans="1:5" x14ac:dyDescent="0.25">
      <c r="A2195" t="s">
        <v>1</v>
      </c>
      <c r="B2195">
        <v>1210810</v>
      </c>
      <c r="C2195">
        <v>31068.75</v>
      </c>
      <c r="D2195" s="4">
        <f>+VLOOKUP(A2195,Portfolio!$G$3:$I$6,3)</f>
        <v>1</v>
      </c>
      <c r="E2195">
        <f t="shared" si="34"/>
        <v>31068.75</v>
      </c>
    </row>
    <row r="2196" spans="1:5" x14ac:dyDescent="0.25">
      <c r="A2196" t="s">
        <v>1</v>
      </c>
      <c r="B2196">
        <v>1210811</v>
      </c>
      <c r="C2196">
        <v>31425</v>
      </c>
      <c r="D2196" s="4">
        <f>+VLOOKUP(A2196,Portfolio!$G$3:$I$6,3)</f>
        <v>1</v>
      </c>
      <c r="E2196">
        <f t="shared" si="34"/>
        <v>31425</v>
      </c>
    </row>
    <row r="2197" spans="1:5" x14ac:dyDescent="0.25">
      <c r="A2197" t="s">
        <v>1</v>
      </c>
      <c r="B2197">
        <v>1210812</v>
      </c>
      <c r="C2197">
        <v>31775</v>
      </c>
      <c r="D2197" s="4">
        <f>+VLOOKUP(A2197,Portfolio!$G$3:$I$6,3)</f>
        <v>1</v>
      </c>
      <c r="E2197">
        <f t="shared" si="34"/>
        <v>31775</v>
      </c>
    </row>
    <row r="2198" spans="1:5" x14ac:dyDescent="0.25">
      <c r="A2198" t="s">
        <v>1</v>
      </c>
      <c r="B2198">
        <v>1210813</v>
      </c>
      <c r="C2198">
        <v>31406.25</v>
      </c>
      <c r="D2198" s="4">
        <f>+VLOOKUP(A2198,Portfolio!$G$3:$I$6,3)</f>
        <v>1</v>
      </c>
      <c r="E2198">
        <f t="shared" si="34"/>
        <v>31406.25</v>
      </c>
    </row>
    <row r="2199" spans="1:5" x14ac:dyDescent="0.25">
      <c r="A2199" t="s">
        <v>1</v>
      </c>
      <c r="B2199">
        <v>1210815</v>
      </c>
      <c r="C2199">
        <v>31812.5</v>
      </c>
      <c r="D2199" s="4">
        <f>+VLOOKUP(A2199,Portfolio!$G$3:$I$6,3)</f>
        <v>1</v>
      </c>
      <c r="E2199">
        <f t="shared" si="34"/>
        <v>31812.5</v>
      </c>
    </row>
    <row r="2200" spans="1:5" x14ac:dyDescent="0.25">
      <c r="A2200" t="s">
        <v>1</v>
      </c>
      <c r="B2200">
        <v>1210816</v>
      </c>
      <c r="C2200">
        <v>32050</v>
      </c>
      <c r="D2200" s="4">
        <f>+VLOOKUP(A2200,Portfolio!$G$3:$I$6,3)</f>
        <v>1</v>
      </c>
      <c r="E2200">
        <f t="shared" si="34"/>
        <v>32050</v>
      </c>
    </row>
    <row r="2201" spans="1:5" x14ac:dyDescent="0.25">
      <c r="A2201" t="s">
        <v>1</v>
      </c>
      <c r="B2201">
        <v>1210817</v>
      </c>
      <c r="C2201">
        <v>32143.75</v>
      </c>
      <c r="D2201" s="4">
        <f>+VLOOKUP(A2201,Portfolio!$G$3:$I$6,3)</f>
        <v>1</v>
      </c>
      <c r="E2201">
        <f t="shared" si="34"/>
        <v>32143.75</v>
      </c>
    </row>
    <row r="2202" spans="1:5" x14ac:dyDescent="0.25">
      <c r="A2202" t="s">
        <v>1</v>
      </c>
      <c r="B2202">
        <v>1210818</v>
      </c>
      <c r="C2202">
        <v>32250</v>
      </c>
      <c r="D2202" s="4">
        <f>+VLOOKUP(A2202,Portfolio!$G$3:$I$6,3)</f>
        <v>1</v>
      </c>
      <c r="E2202">
        <f t="shared" si="34"/>
        <v>32250</v>
      </c>
    </row>
    <row r="2203" spans="1:5" x14ac:dyDescent="0.25">
      <c r="A2203" t="s">
        <v>1</v>
      </c>
      <c r="B2203">
        <v>1210819</v>
      </c>
      <c r="C2203">
        <v>32831.25</v>
      </c>
      <c r="D2203" s="4">
        <f>+VLOOKUP(A2203,Portfolio!$G$3:$I$6,3)</f>
        <v>1</v>
      </c>
      <c r="E2203">
        <f t="shared" si="34"/>
        <v>32831.25</v>
      </c>
    </row>
    <row r="2204" spans="1:5" x14ac:dyDescent="0.25">
      <c r="A2204" t="s">
        <v>1</v>
      </c>
      <c r="B2204">
        <v>1210820</v>
      </c>
      <c r="C2204">
        <v>32387.5</v>
      </c>
      <c r="D2204" s="4">
        <f>+VLOOKUP(A2204,Portfolio!$G$3:$I$6,3)</f>
        <v>1</v>
      </c>
      <c r="E2204">
        <f t="shared" si="34"/>
        <v>32387.5</v>
      </c>
    </row>
    <row r="2205" spans="1:5" x14ac:dyDescent="0.25">
      <c r="A2205" t="s">
        <v>1</v>
      </c>
      <c r="B2205">
        <v>1210822</v>
      </c>
      <c r="C2205">
        <v>32487.5</v>
      </c>
      <c r="D2205" s="4">
        <f>+VLOOKUP(A2205,Portfolio!$G$3:$I$6,3)</f>
        <v>1</v>
      </c>
      <c r="E2205">
        <f t="shared" si="34"/>
        <v>32487.5</v>
      </c>
    </row>
    <row r="2206" spans="1:5" x14ac:dyDescent="0.25">
      <c r="A2206" t="s">
        <v>1</v>
      </c>
      <c r="B2206">
        <v>1210823</v>
      </c>
      <c r="C2206">
        <v>32512.5</v>
      </c>
      <c r="D2206" s="4">
        <f>+VLOOKUP(A2206,Portfolio!$G$3:$I$6,3)</f>
        <v>1</v>
      </c>
      <c r="E2206">
        <f t="shared" si="34"/>
        <v>32512.5</v>
      </c>
    </row>
    <row r="2207" spans="1:5" x14ac:dyDescent="0.25">
      <c r="A2207" t="s">
        <v>1</v>
      </c>
      <c r="B2207">
        <v>1210824</v>
      </c>
      <c r="C2207">
        <v>32562.5</v>
      </c>
      <c r="D2207" s="4">
        <f>+VLOOKUP(A2207,Portfolio!$G$3:$I$6,3)</f>
        <v>1</v>
      </c>
      <c r="E2207">
        <f t="shared" si="34"/>
        <v>32562.5</v>
      </c>
    </row>
    <row r="2208" spans="1:5" x14ac:dyDescent="0.25">
      <c r="A2208" t="s">
        <v>1</v>
      </c>
      <c r="B2208">
        <v>1210825</v>
      </c>
      <c r="C2208">
        <v>32581.25</v>
      </c>
      <c r="D2208" s="4">
        <f>+VLOOKUP(A2208,Portfolio!$G$3:$I$6,3)</f>
        <v>1</v>
      </c>
      <c r="E2208">
        <f t="shared" si="34"/>
        <v>32581.25</v>
      </c>
    </row>
    <row r="2209" spans="1:5" x14ac:dyDescent="0.25">
      <c r="A2209" t="s">
        <v>1</v>
      </c>
      <c r="B2209">
        <v>1210826</v>
      </c>
      <c r="C2209">
        <v>32625</v>
      </c>
      <c r="D2209" s="4">
        <f>+VLOOKUP(A2209,Portfolio!$G$3:$I$6,3)</f>
        <v>1</v>
      </c>
      <c r="E2209">
        <f t="shared" si="34"/>
        <v>32625</v>
      </c>
    </row>
    <row r="2210" spans="1:5" x14ac:dyDescent="0.25">
      <c r="A2210" t="s">
        <v>1</v>
      </c>
      <c r="B2210">
        <v>1210827</v>
      </c>
      <c r="C2210">
        <v>32431.25</v>
      </c>
      <c r="D2210" s="4">
        <f>+VLOOKUP(A2210,Portfolio!$G$3:$I$6,3)</f>
        <v>1</v>
      </c>
      <c r="E2210">
        <f t="shared" si="34"/>
        <v>32431.25</v>
      </c>
    </row>
    <row r="2211" spans="1:5" x14ac:dyDescent="0.25">
      <c r="A2211" t="s">
        <v>1</v>
      </c>
      <c r="B2211">
        <v>1210829</v>
      </c>
      <c r="C2211">
        <v>32137.5</v>
      </c>
      <c r="D2211" s="4">
        <f>+VLOOKUP(A2211,Portfolio!$G$3:$I$6,3)</f>
        <v>1</v>
      </c>
      <c r="E2211">
        <f t="shared" si="34"/>
        <v>32137.5</v>
      </c>
    </row>
    <row r="2212" spans="1:5" x14ac:dyDescent="0.25">
      <c r="A2212" t="s">
        <v>1</v>
      </c>
      <c r="B2212">
        <v>1210830</v>
      </c>
      <c r="C2212">
        <v>32250</v>
      </c>
      <c r="D2212" s="4">
        <f>+VLOOKUP(A2212,Portfolio!$G$3:$I$6,3)</f>
        <v>1</v>
      </c>
      <c r="E2212">
        <f t="shared" si="34"/>
        <v>32250</v>
      </c>
    </row>
    <row r="2213" spans="1:5" x14ac:dyDescent="0.25">
      <c r="A2213" t="s">
        <v>1</v>
      </c>
      <c r="B2213">
        <v>1210831</v>
      </c>
      <c r="C2213">
        <v>32162.5</v>
      </c>
      <c r="D2213" s="4">
        <f>+VLOOKUP(A2213,Portfolio!$G$3:$I$6,3)</f>
        <v>1</v>
      </c>
      <c r="E2213">
        <f t="shared" si="34"/>
        <v>32162.5</v>
      </c>
    </row>
    <row r="2214" spans="1:5" x14ac:dyDescent="0.25">
      <c r="A2214" t="s">
        <v>1</v>
      </c>
      <c r="B2214">
        <v>1210901</v>
      </c>
      <c r="C2214">
        <v>32131.25</v>
      </c>
      <c r="D2214" s="4">
        <f>+VLOOKUP(A2214,Portfolio!$G$3:$I$6,3)</f>
        <v>1</v>
      </c>
      <c r="E2214">
        <f t="shared" si="34"/>
        <v>32131.25</v>
      </c>
    </row>
    <row r="2215" spans="1:5" x14ac:dyDescent="0.25">
      <c r="A2215" t="s">
        <v>1</v>
      </c>
      <c r="B2215">
        <v>1210902</v>
      </c>
      <c r="C2215">
        <v>32281.25</v>
      </c>
      <c r="D2215" s="4">
        <f>+VLOOKUP(A2215,Portfolio!$G$3:$I$6,3)</f>
        <v>1</v>
      </c>
      <c r="E2215">
        <f t="shared" si="34"/>
        <v>32281.25</v>
      </c>
    </row>
    <row r="2216" spans="1:5" x14ac:dyDescent="0.25">
      <c r="A2216" t="s">
        <v>1</v>
      </c>
      <c r="B2216">
        <v>1210903</v>
      </c>
      <c r="C2216">
        <v>32012.5</v>
      </c>
      <c r="D2216" s="4">
        <f>+VLOOKUP(A2216,Portfolio!$G$3:$I$6,3)</f>
        <v>1</v>
      </c>
      <c r="E2216">
        <f t="shared" si="34"/>
        <v>32012.5</v>
      </c>
    </row>
    <row r="2217" spans="1:5" x14ac:dyDescent="0.25">
      <c r="A2217" t="s">
        <v>1</v>
      </c>
      <c r="B2217">
        <v>1210905</v>
      </c>
      <c r="C2217">
        <v>32287.5</v>
      </c>
      <c r="D2217" s="4">
        <f>+VLOOKUP(A2217,Portfolio!$G$3:$I$6,3)</f>
        <v>1</v>
      </c>
      <c r="E2217">
        <f t="shared" si="34"/>
        <v>32287.5</v>
      </c>
    </row>
    <row r="2218" spans="1:5" x14ac:dyDescent="0.25">
      <c r="A2218" t="s">
        <v>1</v>
      </c>
      <c r="B2218">
        <v>1210906</v>
      </c>
      <c r="C2218">
        <v>32250</v>
      </c>
      <c r="D2218" s="4">
        <f>+VLOOKUP(A2218,Portfolio!$G$3:$I$6,3)</f>
        <v>1</v>
      </c>
      <c r="E2218">
        <f t="shared" si="34"/>
        <v>32250</v>
      </c>
    </row>
    <row r="2219" spans="1:5" x14ac:dyDescent="0.25">
      <c r="A2219" t="s">
        <v>1</v>
      </c>
      <c r="B2219">
        <v>1210907</v>
      </c>
      <c r="C2219">
        <v>32243.75</v>
      </c>
      <c r="D2219" s="4">
        <f>+VLOOKUP(A2219,Portfolio!$G$3:$I$6,3)</f>
        <v>1</v>
      </c>
      <c r="E2219">
        <f t="shared" si="34"/>
        <v>32243.75</v>
      </c>
    </row>
    <row r="2220" spans="1:5" x14ac:dyDescent="0.25">
      <c r="A2220" t="s">
        <v>1</v>
      </c>
      <c r="B2220">
        <v>1210908</v>
      </c>
      <c r="C2220">
        <v>32362.5</v>
      </c>
      <c r="D2220" s="4">
        <f>+VLOOKUP(A2220,Portfolio!$G$3:$I$6,3)</f>
        <v>1</v>
      </c>
      <c r="E2220">
        <f t="shared" si="34"/>
        <v>32362.5</v>
      </c>
    </row>
    <row r="2221" spans="1:5" x14ac:dyDescent="0.25">
      <c r="A2221" t="s">
        <v>1</v>
      </c>
      <c r="B2221">
        <v>1210909</v>
      </c>
      <c r="C2221">
        <v>32175</v>
      </c>
      <c r="D2221" s="4">
        <f>+VLOOKUP(A2221,Portfolio!$G$3:$I$6,3)</f>
        <v>1</v>
      </c>
      <c r="E2221">
        <f t="shared" si="34"/>
        <v>32175</v>
      </c>
    </row>
    <row r="2222" spans="1:5" x14ac:dyDescent="0.25">
      <c r="A2222" t="s">
        <v>1</v>
      </c>
      <c r="B2222">
        <v>1210910</v>
      </c>
      <c r="C2222">
        <v>32462.5</v>
      </c>
      <c r="D2222" s="4">
        <f>+VLOOKUP(A2222,Portfolio!$G$3:$I$6,3)</f>
        <v>1</v>
      </c>
      <c r="E2222">
        <f t="shared" si="34"/>
        <v>32462.5</v>
      </c>
    </row>
    <row r="2223" spans="1:5" x14ac:dyDescent="0.25">
      <c r="A2223" t="s">
        <v>1</v>
      </c>
      <c r="B2223">
        <v>1210912</v>
      </c>
      <c r="C2223">
        <v>32475</v>
      </c>
      <c r="D2223" s="4">
        <f>+VLOOKUP(A2223,Portfolio!$G$3:$I$6,3)</f>
        <v>1</v>
      </c>
      <c r="E2223">
        <f t="shared" si="34"/>
        <v>32475</v>
      </c>
    </row>
    <row r="2224" spans="1:5" x14ac:dyDescent="0.25">
      <c r="A2224" t="s">
        <v>1</v>
      </c>
      <c r="B2224">
        <v>1210913</v>
      </c>
      <c r="C2224">
        <v>32337.5</v>
      </c>
      <c r="D2224" s="4">
        <f>+VLOOKUP(A2224,Portfolio!$G$3:$I$6,3)</f>
        <v>1</v>
      </c>
      <c r="E2224">
        <f t="shared" si="34"/>
        <v>32337.5</v>
      </c>
    </row>
    <row r="2225" spans="1:5" x14ac:dyDescent="0.25">
      <c r="A2225" t="s">
        <v>1</v>
      </c>
      <c r="B2225">
        <v>1210914</v>
      </c>
      <c r="C2225">
        <v>32437.5</v>
      </c>
      <c r="D2225" s="4">
        <f>+VLOOKUP(A2225,Portfolio!$G$3:$I$6,3)</f>
        <v>1</v>
      </c>
      <c r="E2225">
        <f t="shared" si="34"/>
        <v>32437.5</v>
      </c>
    </row>
    <row r="2226" spans="1:5" x14ac:dyDescent="0.25">
      <c r="A2226" t="s">
        <v>1</v>
      </c>
      <c r="B2226">
        <v>1210915</v>
      </c>
      <c r="C2226">
        <v>32506.25</v>
      </c>
      <c r="D2226" s="4">
        <f>+VLOOKUP(A2226,Portfolio!$G$3:$I$6,3)</f>
        <v>1</v>
      </c>
      <c r="E2226">
        <f t="shared" si="34"/>
        <v>32506.25</v>
      </c>
    </row>
    <row r="2227" spans="1:5" x14ac:dyDescent="0.25">
      <c r="A2227" t="s">
        <v>1</v>
      </c>
      <c r="B2227">
        <v>1210916</v>
      </c>
      <c r="C2227">
        <v>32856.25</v>
      </c>
      <c r="D2227" s="4">
        <f>+VLOOKUP(A2227,Portfolio!$G$3:$I$6,3)</f>
        <v>1</v>
      </c>
      <c r="E2227">
        <f t="shared" si="34"/>
        <v>32856.25</v>
      </c>
    </row>
    <row r="2228" spans="1:5" x14ac:dyDescent="0.25">
      <c r="A2228" t="s">
        <v>1</v>
      </c>
      <c r="B2228">
        <v>1210917</v>
      </c>
      <c r="C2228">
        <v>33118.75</v>
      </c>
      <c r="D2228" s="4">
        <f>+VLOOKUP(A2228,Portfolio!$G$3:$I$6,3)</f>
        <v>1</v>
      </c>
      <c r="E2228">
        <f t="shared" si="34"/>
        <v>33118.75</v>
      </c>
    </row>
    <row r="2229" spans="1:5" x14ac:dyDescent="0.25">
      <c r="A2229" t="s">
        <v>1</v>
      </c>
      <c r="B2229">
        <v>1210919</v>
      </c>
      <c r="C2229">
        <v>33256.25</v>
      </c>
      <c r="D2229" s="4">
        <f>+VLOOKUP(A2229,Portfolio!$G$3:$I$6,3)</f>
        <v>1</v>
      </c>
      <c r="E2229">
        <f t="shared" si="34"/>
        <v>33256.25</v>
      </c>
    </row>
    <row r="2230" spans="1:5" x14ac:dyDescent="0.25">
      <c r="A2230" t="s">
        <v>1</v>
      </c>
      <c r="B2230">
        <v>1210920</v>
      </c>
      <c r="C2230">
        <v>33212.5</v>
      </c>
      <c r="D2230" s="4">
        <f>+VLOOKUP(A2230,Portfolio!$G$3:$I$6,3)</f>
        <v>1</v>
      </c>
      <c r="E2230">
        <f t="shared" si="34"/>
        <v>33212.5</v>
      </c>
    </row>
    <row r="2231" spans="1:5" x14ac:dyDescent="0.25">
      <c r="A2231" t="s">
        <v>1</v>
      </c>
      <c r="B2231">
        <v>1210921</v>
      </c>
      <c r="C2231">
        <v>32675</v>
      </c>
      <c r="D2231" s="4">
        <f>+VLOOKUP(A2231,Portfolio!$G$3:$I$6,3)</f>
        <v>1</v>
      </c>
      <c r="E2231">
        <f t="shared" si="34"/>
        <v>32675</v>
      </c>
    </row>
    <row r="2232" spans="1:5" x14ac:dyDescent="0.25">
      <c r="A2232" t="s">
        <v>1</v>
      </c>
      <c r="B2232">
        <v>1210922</v>
      </c>
      <c r="C2232">
        <v>32731.25</v>
      </c>
      <c r="D2232" s="4">
        <f>+VLOOKUP(A2232,Portfolio!$G$3:$I$6,3)</f>
        <v>1</v>
      </c>
      <c r="E2232">
        <f t="shared" si="34"/>
        <v>32731.25</v>
      </c>
    </row>
    <row r="2233" spans="1:5" x14ac:dyDescent="0.25">
      <c r="A2233" t="s">
        <v>1</v>
      </c>
      <c r="B2233">
        <v>1210923</v>
      </c>
      <c r="C2233">
        <v>32856.25</v>
      </c>
      <c r="D2233" s="4">
        <f>+VLOOKUP(A2233,Portfolio!$G$3:$I$6,3)</f>
        <v>1</v>
      </c>
      <c r="E2233">
        <f t="shared" si="34"/>
        <v>32856.25</v>
      </c>
    </row>
    <row r="2234" spans="1:5" x14ac:dyDescent="0.25">
      <c r="A2234" t="s">
        <v>1</v>
      </c>
      <c r="B2234">
        <v>1210924</v>
      </c>
      <c r="C2234">
        <v>33500</v>
      </c>
      <c r="D2234" s="4">
        <f>+VLOOKUP(A2234,Portfolio!$G$3:$I$6,3)</f>
        <v>1</v>
      </c>
      <c r="E2234">
        <f t="shared" si="34"/>
        <v>33500</v>
      </c>
    </row>
    <row r="2235" spans="1:5" x14ac:dyDescent="0.25">
      <c r="A2235" t="s">
        <v>1</v>
      </c>
      <c r="B2235">
        <v>1210926</v>
      </c>
      <c r="C2235">
        <v>33875</v>
      </c>
      <c r="D2235" s="4">
        <f>+VLOOKUP(A2235,Portfolio!$G$3:$I$6,3)</f>
        <v>1</v>
      </c>
      <c r="E2235">
        <f t="shared" si="34"/>
        <v>33875</v>
      </c>
    </row>
    <row r="2236" spans="1:5" x14ac:dyDescent="0.25">
      <c r="A2236" t="s">
        <v>1</v>
      </c>
      <c r="B2236">
        <v>1210927</v>
      </c>
      <c r="C2236">
        <v>33625</v>
      </c>
      <c r="D2236" s="4">
        <f>+VLOOKUP(A2236,Portfolio!$G$3:$I$6,3)</f>
        <v>1</v>
      </c>
      <c r="E2236">
        <f t="shared" si="34"/>
        <v>33625</v>
      </c>
    </row>
    <row r="2237" spans="1:5" x14ac:dyDescent="0.25">
      <c r="A2237" t="s">
        <v>1</v>
      </c>
      <c r="B2237">
        <v>1210928</v>
      </c>
      <c r="C2237">
        <v>34243.75</v>
      </c>
      <c r="D2237" s="4">
        <f>+VLOOKUP(A2237,Portfolio!$G$3:$I$6,3)</f>
        <v>1</v>
      </c>
      <c r="E2237">
        <f t="shared" si="34"/>
        <v>34243.75</v>
      </c>
    </row>
    <row r="2238" spans="1:5" x14ac:dyDescent="0.25">
      <c r="A2238" t="s">
        <v>1</v>
      </c>
      <c r="B2238">
        <v>1210929</v>
      </c>
      <c r="C2238">
        <v>34587.5</v>
      </c>
      <c r="D2238" s="4">
        <f>+VLOOKUP(A2238,Portfolio!$G$3:$I$6,3)</f>
        <v>1</v>
      </c>
      <c r="E2238">
        <f t="shared" si="34"/>
        <v>34587.5</v>
      </c>
    </row>
    <row r="2239" spans="1:5" x14ac:dyDescent="0.25">
      <c r="A2239" t="s">
        <v>1</v>
      </c>
      <c r="B2239">
        <v>1210930</v>
      </c>
      <c r="C2239">
        <v>35025</v>
      </c>
      <c r="D2239" s="4">
        <f>+VLOOKUP(A2239,Portfolio!$G$3:$I$6,3)</f>
        <v>1</v>
      </c>
      <c r="E2239">
        <f t="shared" si="34"/>
        <v>35025</v>
      </c>
    </row>
    <row r="2240" spans="1:5" x14ac:dyDescent="0.25">
      <c r="A2240" t="s">
        <v>1</v>
      </c>
      <c r="B2240">
        <v>1211001</v>
      </c>
      <c r="C2240">
        <v>35550</v>
      </c>
      <c r="D2240" s="4">
        <f>+VLOOKUP(A2240,Portfolio!$G$3:$I$6,3)</f>
        <v>1</v>
      </c>
      <c r="E2240">
        <f t="shared" si="34"/>
        <v>35550</v>
      </c>
    </row>
    <row r="2241" spans="1:5" x14ac:dyDescent="0.25">
      <c r="A2241" t="s">
        <v>1</v>
      </c>
      <c r="B2241">
        <v>1211003</v>
      </c>
      <c r="C2241">
        <v>35731.25</v>
      </c>
      <c r="D2241" s="4">
        <f>+VLOOKUP(A2241,Portfolio!$G$3:$I$6,3)</f>
        <v>1</v>
      </c>
      <c r="E2241">
        <f t="shared" si="34"/>
        <v>35731.25</v>
      </c>
    </row>
    <row r="2242" spans="1:5" x14ac:dyDescent="0.25">
      <c r="A2242" t="s">
        <v>1</v>
      </c>
      <c r="B2242">
        <v>1211004</v>
      </c>
      <c r="C2242">
        <v>35681.25</v>
      </c>
      <c r="D2242" s="4">
        <f>+VLOOKUP(A2242,Portfolio!$G$3:$I$6,3)</f>
        <v>1</v>
      </c>
      <c r="E2242">
        <f t="shared" si="34"/>
        <v>35681.25</v>
      </c>
    </row>
    <row r="2243" spans="1:5" x14ac:dyDescent="0.25">
      <c r="A2243" t="s">
        <v>1</v>
      </c>
      <c r="B2243">
        <v>1211005</v>
      </c>
      <c r="C2243">
        <v>35531.25</v>
      </c>
      <c r="D2243" s="4">
        <f>+VLOOKUP(A2243,Portfolio!$G$3:$I$6,3)</f>
        <v>1</v>
      </c>
      <c r="E2243">
        <f t="shared" ref="E2243:E2306" si="35">+C2243*D2243</f>
        <v>35531.25</v>
      </c>
    </row>
    <row r="2244" spans="1:5" x14ac:dyDescent="0.25">
      <c r="A2244" t="s">
        <v>1</v>
      </c>
      <c r="B2244">
        <v>1211006</v>
      </c>
      <c r="C2244">
        <v>35968.75</v>
      </c>
      <c r="D2244" s="4">
        <f>+VLOOKUP(A2244,Portfolio!$G$3:$I$6,3)</f>
        <v>1</v>
      </c>
      <c r="E2244">
        <f t="shared" si="35"/>
        <v>35968.75</v>
      </c>
    </row>
    <row r="2245" spans="1:5" x14ac:dyDescent="0.25">
      <c r="A2245" t="s">
        <v>1</v>
      </c>
      <c r="B2245">
        <v>1211007</v>
      </c>
      <c r="C2245">
        <v>35518.75</v>
      </c>
      <c r="D2245" s="4">
        <f>+VLOOKUP(A2245,Portfolio!$G$3:$I$6,3)</f>
        <v>1</v>
      </c>
      <c r="E2245">
        <f t="shared" si="35"/>
        <v>35518.75</v>
      </c>
    </row>
    <row r="2246" spans="1:5" x14ac:dyDescent="0.25">
      <c r="A2246" t="s">
        <v>1</v>
      </c>
      <c r="B2246">
        <v>1211008</v>
      </c>
      <c r="C2246">
        <v>35812.5</v>
      </c>
      <c r="D2246" s="4">
        <f>+VLOOKUP(A2246,Portfolio!$G$3:$I$6,3)</f>
        <v>1</v>
      </c>
      <c r="E2246">
        <f t="shared" si="35"/>
        <v>35812.5</v>
      </c>
    </row>
    <row r="2247" spans="1:5" x14ac:dyDescent="0.25">
      <c r="A2247" t="s">
        <v>1</v>
      </c>
      <c r="B2247">
        <v>1211010</v>
      </c>
      <c r="C2247">
        <v>35725</v>
      </c>
      <c r="D2247" s="4">
        <f>+VLOOKUP(A2247,Portfolio!$G$3:$I$6,3)</f>
        <v>1</v>
      </c>
      <c r="E2247">
        <f t="shared" si="35"/>
        <v>35725</v>
      </c>
    </row>
    <row r="2248" spans="1:5" x14ac:dyDescent="0.25">
      <c r="A2248" t="s">
        <v>1</v>
      </c>
      <c r="B2248">
        <v>1211011</v>
      </c>
      <c r="C2248">
        <v>36131.25</v>
      </c>
      <c r="D2248" s="4">
        <f>+VLOOKUP(A2248,Portfolio!$G$3:$I$6,3)</f>
        <v>1</v>
      </c>
      <c r="E2248">
        <f t="shared" si="35"/>
        <v>36131.25</v>
      </c>
    </row>
    <row r="2249" spans="1:5" x14ac:dyDescent="0.25">
      <c r="A2249" t="s">
        <v>1</v>
      </c>
      <c r="B2249">
        <v>1211012</v>
      </c>
      <c r="C2249">
        <v>36781.25</v>
      </c>
      <c r="D2249" s="4">
        <f>+VLOOKUP(A2249,Portfolio!$G$3:$I$6,3)</f>
        <v>1</v>
      </c>
      <c r="E2249">
        <f t="shared" si="35"/>
        <v>36781.25</v>
      </c>
    </row>
    <row r="2250" spans="1:5" x14ac:dyDescent="0.25">
      <c r="A2250" t="s">
        <v>1</v>
      </c>
      <c r="B2250">
        <v>1211013</v>
      </c>
      <c r="C2250">
        <v>36906.25</v>
      </c>
      <c r="D2250" s="4">
        <f>+VLOOKUP(A2250,Portfolio!$G$3:$I$6,3)</f>
        <v>1</v>
      </c>
      <c r="E2250">
        <f t="shared" si="35"/>
        <v>36906.25</v>
      </c>
    </row>
    <row r="2251" spans="1:5" x14ac:dyDescent="0.25">
      <c r="A2251" t="s">
        <v>1</v>
      </c>
      <c r="B2251">
        <v>1211014</v>
      </c>
      <c r="C2251">
        <v>36856.25</v>
      </c>
      <c r="D2251" s="4">
        <f>+VLOOKUP(A2251,Portfolio!$G$3:$I$6,3)</f>
        <v>1</v>
      </c>
      <c r="E2251">
        <f t="shared" si="35"/>
        <v>36856.25</v>
      </c>
    </row>
    <row r="2252" spans="1:5" x14ac:dyDescent="0.25">
      <c r="A2252" t="s">
        <v>1</v>
      </c>
      <c r="B2252">
        <v>1211015</v>
      </c>
      <c r="C2252">
        <v>37375</v>
      </c>
      <c r="D2252" s="4">
        <f>+VLOOKUP(A2252,Portfolio!$G$3:$I$6,3)</f>
        <v>1</v>
      </c>
      <c r="E2252">
        <f t="shared" si="35"/>
        <v>37375</v>
      </c>
    </row>
    <row r="2253" spans="1:5" x14ac:dyDescent="0.25">
      <c r="A2253" t="s">
        <v>1</v>
      </c>
      <c r="B2253">
        <v>1211017</v>
      </c>
      <c r="C2253">
        <v>37131.25</v>
      </c>
      <c r="D2253" s="4">
        <f>+VLOOKUP(A2253,Portfolio!$G$3:$I$6,3)</f>
        <v>1</v>
      </c>
      <c r="E2253">
        <f t="shared" si="35"/>
        <v>37131.25</v>
      </c>
    </row>
    <row r="2254" spans="1:5" x14ac:dyDescent="0.25">
      <c r="A2254" t="s">
        <v>1</v>
      </c>
      <c r="B2254">
        <v>1211018</v>
      </c>
      <c r="C2254">
        <v>36993.75</v>
      </c>
      <c r="D2254" s="4">
        <f>+VLOOKUP(A2254,Portfolio!$G$3:$I$6,3)</f>
        <v>1</v>
      </c>
      <c r="E2254">
        <f t="shared" si="35"/>
        <v>36993.75</v>
      </c>
    </row>
    <row r="2255" spans="1:5" x14ac:dyDescent="0.25">
      <c r="A2255" t="s">
        <v>1</v>
      </c>
      <c r="B2255">
        <v>1211019</v>
      </c>
      <c r="C2255">
        <v>36931.25</v>
      </c>
      <c r="D2255" s="4">
        <f>+VLOOKUP(A2255,Portfolio!$G$3:$I$6,3)</f>
        <v>1</v>
      </c>
      <c r="E2255">
        <f t="shared" si="35"/>
        <v>36931.25</v>
      </c>
    </row>
    <row r="2256" spans="1:5" x14ac:dyDescent="0.25">
      <c r="A2256" t="s">
        <v>1</v>
      </c>
      <c r="B2256">
        <v>1211020</v>
      </c>
      <c r="C2256">
        <v>37275</v>
      </c>
      <c r="D2256" s="4">
        <f>+VLOOKUP(A2256,Portfolio!$G$3:$I$6,3)</f>
        <v>1</v>
      </c>
      <c r="E2256">
        <f t="shared" si="35"/>
        <v>37275</v>
      </c>
    </row>
    <row r="2257" spans="1:5" x14ac:dyDescent="0.25">
      <c r="A2257" t="s">
        <v>1</v>
      </c>
      <c r="B2257">
        <v>1211021</v>
      </c>
      <c r="C2257">
        <v>37237.5</v>
      </c>
      <c r="D2257" s="4">
        <f>+VLOOKUP(A2257,Portfolio!$G$3:$I$6,3)</f>
        <v>1</v>
      </c>
      <c r="E2257">
        <f t="shared" si="35"/>
        <v>37237.5</v>
      </c>
    </row>
    <row r="2258" spans="1:5" x14ac:dyDescent="0.25">
      <c r="A2258" t="s">
        <v>1</v>
      </c>
      <c r="B2258">
        <v>1211022</v>
      </c>
      <c r="C2258">
        <v>36762.5</v>
      </c>
      <c r="D2258" s="4">
        <f>+VLOOKUP(A2258,Portfolio!$G$3:$I$6,3)</f>
        <v>1</v>
      </c>
      <c r="E2258">
        <f t="shared" si="35"/>
        <v>36762.5</v>
      </c>
    </row>
    <row r="2259" spans="1:5" x14ac:dyDescent="0.25">
      <c r="A2259" t="s">
        <v>1</v>
      </c>
      <c r="B2259">
        <v>1211024</v>
      </c>
      <c r="C2259">
        <v>36675</v>
      </c>
      <c r="D2259" s="4">
        <f>+VLOOKUP(A2259,Portfolio!$G$3:$I$6,3)</f>
        <v>1</v>
      </c>
      <c r="E2259">
        <f t="shared" si="35"/>
        <v>36675</v>
      </c>
    </row>
    <row r="2260" spans="1:5" x14ac:dyDescent="0.25">
      <c r="A2260" t="s">
        <v>1</v>
      </c>
      <c r="B2260">
        <v>1211025</v>
      </c>
      <c r="C2260">
        <v>36575</v>
      </c>
      <c r="D2260" s="4">
        <f>+VLOOKUP(A2260,Portfolio!$G$3:$I$6,3)</f>
        <v>1</v>
      </c>
      <c r="E2260">
        <f t="shared" si="35"/>
        <v>36575</v>
      </c>
    </row>
    <row r="2261" spans="1:5" x14ac:dyDescent="0.25">
      <c r="A2261" t="s">
        <v>1</v>
      </c>
      <c r="B2261">
        <v>1211026</v>
      </c>
      <c r="C2261">
        <v>36700</v>
      </c>
      <c r="D2261" s="4">
        <f>+VLOOKUP(A2261,Portfolio!$G$3:$I$6,3)</f>
        <v>1</v>
      </c>
      <c r="E2261">
        <f t="shared" si="35"/>
        <v>36700</v>
      </c>
    </row>
    <row r="2262" spans="1:5" x14ac:dyDescent="0.25">
      <c r="A2262" t="s">
        <v>1</v>
      </c>
      <c r="B2262">
        <v>1211027</v>
      </c>
      <c r="C2262">
        <v>36756.25</v>
      </c>
      <c r="D2262" s="4">
        <f>+VLOOKUP(A2262,Portfolio!$G$3:$I$6,3)</f>
        <v>1</v>
      </c>
      <c r="E2262">
        <f t="shared" si="35"/>
        <v>36756.25</v>
      </c>
    </row>
    <row r="2263" spans="1:5" x14ac:dyDescent="0.25">
      <c r="A2263" t="s">
        <v>1</v>
      </c>
      <c r="B2263">
        <v>1211028</v>
      </c>
      <c r="C2263">
        <v>36281.25</v>
      </c>
      <c r="D2263" s="4">
        <f>+VLOOKUP(A2263,Portfolio!$G$3:$I$6,3)</f>
        <v>1</v>
      </c>
      <c r="E2263">
        <f t="shared" si="35"/>
        <v>36281.25</v>
      </c>
    </row>
    <row r="2264" spans="1:5" x14ac:dyDescent="0.25">
      <c r="A2264" t="s">
        <v>1</v>
      </c>
      <c r="B2264">
        <v>1211029</v>
      </c>
      <c r="C2264">
        <v>36212.5</v>
      </c>
      <c r="D2264" s="4">
        <f>+VLOOKUP(A2264,Portfolio!$G$3:$I$6,3)</f>
        <v>1</v>
      </c>
      <c r="E2264">
        <f t="shared" si="35"/>
        <v>36212.5</v>
      </c>
    </row>
    <row r="2265" spans="1:5" x14ac:dyDescent="0.25">
      <c r="A2265" t="s">
        <v>1</v>
      </c>
      <c r="B2265">
        <v>1211031</v>
      </c>
      <c r="C2265">
        <v>36431.25</v>
      </c>
      <c r="D2265" s="4">
        <f>+VLOOKUP(A2265,Portfolio!$G$3:$I$6,3)</f>
        <v>1</v>
      </c>
      <c r="E2265">
        <f t="shared" si="35"/>
        <v>36431.25</v>
      </c>
    </row>
    <row r="2266" spans="1:5" x14ac:dyDescent="0.25">
      <c r="A2266" t="s">
        <v>1</v>
      </c>
      <c r="B2266">
        <v>1211101</v>
      </c>
      <c r="C2266">
        <v>36531.25</v>
      </c>
      <c r="D2266" s="4">
        <f>+VLOOKUP(A2266,Portfolio!$G$3:$I$6,3)</f>
        <v>1</v>
      </c>
      <c r="E2266">
        <f t="shared" si="35"/>
        <v>36531.25</v>
      </c>
    </row>
    <row r="2267" spans="1:5" x14ac:dyDescent="0.25">
      <c r="A2267" t="s">
        <v>1</v>
      </c>
      <c r="B2267">
        <v>1211102</v>
      </c>
      <c r="C2267">
        <v>36931.25</v>
      </c>
      <c r="D2267" s="4">
        <f>+VLOOKUP(A2267,Portfolio!$G$3:$I$6,3)</f>
        <v>1</v>
      </c>
      <c r="E2267">
        <f t="shared" si="35"/>
        <v>36931.25</v>
      </c>
    </row>
    <row r="2268" spans="1:5" x14ac:dyDescent="0.25">
      <c r="A2268" t="s">
        <v>1</v>
      </c>
      <c r="B2268">
        <v>1211103</v>
      </c>
      <c r="C2268">
        <v>36956.25</v>
      </c>
      <c r="D2268" s="4">
        <f>+VLOOKUP(A2268,Portfolio!$G$3:$I$6,3)</f>
        <v>1</v>
      </c>
      <c r="E2268">
        <f t="shared" si="35"/>
        <v>36956.25</v>
      </c>
    </row>
    <row r="2269" spans="1:5" x14ac:dyDescent="0.25">
      <c r="A2269" t="s">
        <v>1</v>
      </c>
      <c r="B2269">
        <v>1211104</v>
      </c>
      <c r="C2269">
        <v>36787.5</v>
      </c>
      <c r="D2269" s="4">
        <f>+VLOOKUP(A2269,Portfolio!$G$3:$I$6,3)</f>
        <v>1</v>
      </c>
      <c r="E2269">
        <f t="shared" si="35"/>
        <v>36787.5</v>
      </c>
    </row>
    <row r="2270" spans="1:5" x14ac:dyDescent="0.25">
      <c r="A2270" t="s">
        <v>1</v>
      </c>
      <c r="B2270">
        <v>1211105</v>
      </c>
      <c r="C2270">
        <v>36756.25</v>
      </c>
      <c r="D2270" s="4">
        <f>+VLOOKUP(A2270,Portfolio!$G$3:$I$6,3)</f>
        <v>1</v>
      </c>
      <c r="E2270">
        <f t="shared" si="35"/>
        <v>36756.25</v>
      </c>
    </row>
    <row r="2271" spans="1:5" x14ac:dyDescent="0.25">
      <c r="A2271" t="s">
        <v>1</v>
      </c>
      <c r="B2271">
        <v>1211107</v>
      </c>
      <c r="C2271">
        <v>36506.25</v>
      </c>
      <c r="D2271" s="4">
        <f>+VLOOKUP(A2271,Portfolio!$G$3:$I$6,3)</f>
        <v>1</v>
      </c>
      <c r="E2271">
        <f t="shared" si="35"/>
        <v>36506.25</v>
      </c>
    </row>
    <row r="2272" spans="1:5" x14ac:dyDescent="0.25">
      <c r="A2272" t="s">
        <v>1</v>
      </c>
      <c r="B2272">
        <v>1211108</v>
      </c>
      <c r="C2272">
        <v>36406.25</v>
      </c>
      <c r="D2272" s="4">
        <f>+VLOOKUP(A2272,Portfolio!$G$3:$I$6,3)</f>
        <v>1</v>
      </c>
      <c r="E2272">
        <f t="shared" si="35"/>
        <v>36406.25</v>
      </c>
    </row>
    <row r="2273" spans="1:5" x14ac:dyDescent="0.25">
      <c r="A2273" t="s">
        <v>1</v>
      </c>
      <c r="B2273">
        <v>1211109</v>
      </c>
      <c r="C2273">
        <v>37187.5</v>
      </c>
      <c r="D2273" s="4">
        <f>+VLOOKUP(A2273,Portfolio!$G$3:$I$6,3)</f>
        <v>1</v>
      </c>
      <c r="E2273">
        <f t="shared" si="35"/>
        <v>37187.5</v>
      </c>
    </row>
    <row r="2274" spans="1:5" x14ac:dyDescent="0.25">
      <c r="A2274" t="s">
        <v>1</v>
      </c>
      <c r="B2274">
        <v>1211110</v>
      </c>
      <c r="C2274">
        <v>36306.25</v>
      </c>
      <c r="D2274" s="4">
        <f>+VLOOKUP(A2274,Portfolio!$G$3:$I$6,3)</f>
        <v>1</v>
      </c>
      <c r="E2274">
        <f t="shared" si="35"/>
        <v>36306.25</v>
      </c>
    </row>
    <row r="2275" spans="1:5" x14ac:dyDescent="0.25">
      <c r="A2275" t="s">
        <v>1</v>
      </c>
      <c r="B2275">
        <v>1211111</v>
      </c>
      <c r="C2275">
        <v>36612.5</v>
      </c>
      <c r="D2275" s="4">
        <f>+VLOOKUP(A2275,Portfolio!$G$3:$I$6,3)</f>
        <v>1</v>
      </c>
      <c r="E2275">
        <f t="shared" si="35"/>
        <v>36612.5</v>
      </c>
    </row>
    <row r="2276" spans="1:5" x14ac:dyDescent="0.25">
      <c r="A2276" t="s">
        <v>1</v>
      </c>
      <c r="B2276">
        <v>1211112</v>
      </c>
      <c r="C2276">
        <v>36481.25</v>
      </c>
      <c r="D2276" s="4">
        <f>+VLOOKUP(A2276,Portfolio!$G$3:$I$6,3)</f>
        <v>1</v>
      </c>
      <c r="E2276">
        <f t="shared" si="35"/>
        <v>36481.25</v>
      </c>
    </row>
    <row r="2277" spans="1:5" x14ac:dyDescent="0.25">
      <c r="A2277" t="s">
        <v>1</v>
      </c>
      <c r="B2277">
        <v>1211114</v>
      </c>
      <c r="C2277">
        <v>36187.5</v>
      </c>
      <c r="D2277" s="4">
        <f>+VLOOKUP(A2277,Portfolio!$G$3:$I$6,3)</f>
        <v>1</v>
      </c>
      <c r="E2277">
        <f t="shared" si="35"/>
        <v>36187.5</v>
      </c>
    </row>
    <row r="2278" spans="1:5" x14ac:dyDescent="0.25">
      <c r="A2278" t="s">
        <v>1</v>
      </c>
      <c r="B2278">
        <v>1211115</v>
      </c>
      <c r="C2278">
        <v>36350</v>
      </c>
      <c r="D2278" s="4">
        <f>+VLOOKUP(A2278,Portfolio!$G$3:$I$6,3)</f>
        <v>1</v>
      </c>
      <c r="E2278">
        <f t="shared" si="35"/>
        <v>36350</v>
      </c>
    </row>
    <row r="2279" spans="1:5" x14ac:dyDescent="0.25">
      <c r="A2279" t="s">
        <v>1</v>
      </c>
      <c r="B2279">
        <v>1211116</v>
      </c>
      <c r="C2279">
        <v>36306.25</v>
      </c>
      <c r="D2279" s="4">
        <f>+VLOOKUP(A2279,Portfolio!$G$3:$I$6,3)</f>
        <v>1</v>
      </c>
      <c r="E2279">
        <f t="shared" si="35"/>
        <v>36306.25</v>
      </c>
    </row>
    <row r="2280" spans="1:5" x14ac:dyDescent="0.25">
      <c r="A2280" t="s">
        <v>1</v>
      </c>
      <c r="B2280">
        <v>1211117</v>
      </c>
      <c r="C2280">
        <v>37031.25</v>
      </c>
      <c r="D2280" s="4">
        <f>+VLOOKUP(A2280,Portfolio!$G$3:$I$6,3)</f>
        <v>1</v>
      </c>
      <c r="E2280">
        <f t="shared" si="35"/>
        <v>37031.25</v>
      </c>
    </row>
    <row r="2281" spans="1:5" x14ac:dyDescent="0.25">
      <c r="A2281" t="s">
        <v>1</v>
      </c>
      <c r="B2281">
        <v>1211118</v>
      </c>
      <c r="C2281">
        <v>37343.75</v>
      </c>
      <c r="D2281" s="4">
        <f>+VLOOKUP(A2281,Portfolio!$G$3:$I$6,3)</f>
        <v>1</v>
      </c>
      <c r="E2281">
        <f t="shared" si="35"/>
        <v>37343.75</v>
      </c>
    </row>
    <row r="2282" spans="1:5" x14ac:dyDescent="0.25">
      <c r="A2282" t="s">
        <v>1</v>
      </c>
      <c r="B2282">
        <v>1211119</v>
      </c>
      <c r="C2282">
        <v>37412.5</v>
      </c>
      <c r="D2282" s="4">
        <f>+VLOOKUP(A2282,Portfolio!$G$3:$I$6,3)</f>
        <v>1</v>
      </c>
      <c r="E2282">
        <f t="shared" si="35"/>
        <v>37412.5</v>
      </c>
    </row>
    <row r="2283" spans="1:5" x14ac:dyDescent="0.25">
      <c r="A2283" t="s">
        <v>1</v>
      </c>
      <c r="B2283">
        <v>1211121</v>
      </c>
      <c r="C2283">
        <v>36575</v>
      </c>
      <c r="D2283" s="4">
        <f>+VLOOKUP(A2283,Portfolio!$G$3:$I$6,3)</f>
        <v>1</v>
      </c>
      <c r="E2283">
        <f t="shared" si="35"/>
        <v>36575</v>
      </c>
    </row>
    <row r="2284" spans="1:5" x14ac:dyDescent="0.25">
      <c r="A2284" t="s">
        <v>1</v>
      </c>
      <c r="B2284">
        <v>1211122</v>
      </c>
      <c r="C2284">
        <v>36581.25</v>
      </c>
      <c r="D2284" s="4">
        <f>+VLOOKUP(A2284,Portfolio!$G$3:$I$6,3)</f>
        <v>1</v>
      </c>
      <c r="E2284">
        <f t="shared" si="35"/>
        <v>36581.25</v>
      </c>
    </row>
    <row r="2285" spans="1:5" x14ac:dyDescent="0.25">
      <c r="A2285" t="s">
        <v>1</v>
      </c>
      <c r="B2285">
        <v>1211123</v>
      </c>
      <c r="C2285">
        <v>37293.75</v>
      </c>
      <c r="D2285" s="4">
        <f>+VLOOKUP(A2285,Portfolio!$G$3:$I$6,3)</f>
        <v>1</v>
      </c>
      <c r="E2285">
        <f t="shared" si="35"/>
        <v>37293.75</v>
      </c>
    </row>
    <row r="2286" spans="1:5" x14ac:dyDescent="0.25">
      <c r="A2286" t="s">
        <v>1</v>
      </c>
      <c r="B2286">
        <v>1211124</v>
      </c>
      <c r="C2286">
        <v>37112.5</v>
      </c>
      <c r="D2286" s="4">
        <f>+VLOOKUP(A2286,Portfolio!$G$3:$I$6,3)</f>
        <v>1</v>
      </c>
      <c r="E2286">
        <f t="shared" si="35"/>
        <v>37112.5</v>
      </c>
    </row>
    <row r="2287" spans="1:5" x14ac:dyDescent="0.25">
      <c r="A2287" t="s">
        <v>1</v>
      </c>
      <c r="B2287">
        <v>1211125</v>
      </c>
      <c r="C2287">
        <v>37550</v>
      </c>
      <c r="D2287" s="4">
        <f>+VLOOKUP(A2287,Portfolio!$G$3:$I$6,3)</f>
        <v>1</v>
      </c>
      <c r="E2287">
        <f t="shared" si="35"/>
        <v>37550</v>
      </c>
    </row>
    <row r="2288" spans="1:5" x14ac:dyDescent="0.25">
      <c r="A2288" t="s">
        <v>1</v>
      </c>
      <c r="B2288">
        <v>1211126</v>
      </c>
      <c r="C2288">
        <v>37937.5</v>
      </c>
      <c r="D2288" s="4">
        <f>+VLOOKUP(A2288,Portfolio!$G$3:$I$6,3)</f>
        <v>1</v>
      </c>
      <c r="E2288">
        <f t="shared" si="35"/>
        <v>37937.5</v>
      </c>
    </row>
    <row r="2289" spans="1:5" x14ac:dyDescent="0.25">
      <c r="A2289" t="s">
        <v>1</v>
      </c>
      <c r="B2289">
        <v>1211128</v>
      </c>
      <c r="C2289">
        <v>38831.25</v>
      </c>
      <c r="D2289" s="4">
        <f>+VLOOKUP(A2289,Portfolio!$G$3:$I$6,3)</f>
        <v>1</v>
      </c>
      <c r="E2289">
        <f t="shared" si="35"/>
        <v>38831.25</v>
      </c>
    </row>
    <row r="2290" spans="1:5" x14ac:dyDescent="0.25">
      <c r="A2290" t="s">
        <v>1</v>
      </c>
      <c r="B2290">
        <v>1211129</v>
      </c>
      <c r="C2290">
        <v>39256.25</v>
      </c>
      <c r="D2290" s="4">
        <f>+VLOOKUP(A2290,Portfolio!$G$3:$I$6,3)</f>
        <v>1</v>
      </c>
      <c r="E2290">
        <f t="shared" si="35"/>
        <v>39256.25</v>
      </c>
    </row>
    <row r="2291" spans="1:5" x14ac:dyDescent="0.25">
      <c r="A2291" t="s">
        <v>1</v>
      </c>
      <c r="B2291">
        <v>1211130</v>
      </c>
      <c r="C2291">
        <v>38662.5</v>
      </c>
      <c r="D2291" s="4">
        <f>+VLOOKUP(A2291,Portfolio!$G$3:$I$6,3)</f>
        <v>1</v>
      </c>
      <c r="E2291">
        <f t="shared" si="35"/>
        <v>38662.5</v>
      </c>
    </row>
    <row r="2292" spans="1:5" x14ac:dyDescent="0.25">
      <c r="A2292" t="s">
        <v>1</v>
      </c>
      <c r="B2292">
        <v>1211201</v>
      </c>
      <c r="C2292">
        <v>38806.25</v>
      </c>
      <c r="D2292" s="4">
        <f>+VLOOKUP(A2292,Portfolio!$G$3:$I$6,3)</f>
        <v>1</v>
      </c>
      <c r="E2292">
        <f t="shared" si="35"/>
        <v>38806.25</v>
      </c>
    </row>
    <row r="2293" spans="1:5" x14ac:dyDescent="0.25">
      <c r="A2293" t="s">
        <v>1</v>
      </c>
      <c r="B2293">
        <v>1211202</v>
      </c>
      <c r="C2293">
        <v>38825</v>
      </c>
      <c r="D2293" s="4">
        <f>+VLOOKUP(A2293,Portfolio!$G$3:$I$6,3)</f>
        <v>1</v>
      </c>
      <c r="E2293">
        <f t="shared" si="35"/>
        <v>38825</v>
      </c>
    </row>
    <row r="2294" spans="1:5" x14ac:dyDescent="0.25">
      <c r="A2294" t="s">
        <v>1</v>
      </c>
      <c r="B2294">
        <v>1211203</v>
      </c>
      <c r="C2294">
        <v>38731.25</v>
      </c>
      <c r="D2294" s="4">
        <f>+VLOOKUP(A2294,Portfolio!$G$3:$I$6,3)</f>
        <v>1</v>
      </c>
      <c r="E2294">
        <f t="shared" si="35"/>
        <v>38731.25</v>
      </c>
    </row>
    <row r="2295" spans="1:5" x14ac:dyDescent="0.25">
      <c r="A2295" t="s">
        <v>1</v>
      </c>
      <c r="B2295">
        <v>1211205</v>
      </c>
      <c r="C2295">
        <v>38356.25</v>
      </c>
      <c r="D2295" s="4">
        <f>+VLOOKUP(A2295,Portfolio!$G$3:$I$6,3)</f>
        <v>1</v>
      </c>
      <c r="E2295">
        <f t="shared" si="35"/>
        <v>38356.25</v>
      </c>
    </row>
    <row r="2296" spans="1:5" x14ac:dyDescent="0.25">
      <c r="A2296" t="s">
        <v>1</v>
      </c>
      <c r="B2296">
        <v>1211206</v>
      </c>
      <c r="C2296">
        <v>38356.25</v>
      </c>
      <c r="D2296" s="4">
        <f>+VLOOKUP(A2296,Portfolio!$G$3:$I$6,3)</f>
        <v>1</v>
      </c>
      <c r="E2296">
        <f t="shared" si="35"/>
        <v>38356.25</v>
      </c>
    </row>
    <row r="2297" spans="1:5" x14ac:dyDescent="0.25">
      <c r="A2297" t="s">
        <v>1</v>
      </c>
      <c r="B2297">
        <v>1211207</v>
      </c>
      <c r="C2297">
        <v>38381.25</v>
      </c>
      <c r="D2297" s="4">
        <f>+VLOOKUP(A2297,Portfolio!$G$3:$I$6,3)</f>
        <v>1</v>
      </c>
      <c r="E2297">
        <f t="shared" si="35"/>
        <v>38381.25</v>
      </c>
    </row>
    <row r="2298" spans="1:5" x14ac:dyDescent="0.25">
      <c r="A2298" t="s">
        <v>1</v>
      </c>
      <c r="B2298">
        <v>1211208</v>
      </c>
      <c r="C2298">
        <v>37750</v>
      </c>
      <c r="D2298" s="4">
        <f>+VLOOKUP(A2298,Portfolio!$G$3:$I$6,3)</f>
        <v>1</v>
      </c>
      <c r="E2298">
        <f t="shared" si="35"/>
        <v>37750</v>
      </c>
    </row>
    <row r="2299" spans="1:5" x14ac:dyDescent="0.25">
      <c r="A2299" t="s">
        <v>1</v>
      </c>
      <c r="B2299">
        <v>1211209</v>
      </c>
      <c r="C2299">
        <v>37300</v>
      </c>
      <c r="D2299" s="4">
        <f>+VLOOKUP(A2299,Portfolio!$G$3:$I$6,3)</f>
        <v>1</v>
      </c>
      <c r="E2299">
        <f t="shared" si="35"/>
        <v>37300</v>
      </c>
    </row>
    <row r="2300" spans="1:5" x14ac:dyDescent="0.25">
      <c r="A2300" t="s">
        <v>1</v>
      </c>
      <c r="B2300">
        <v>1211210</v>
      </c>
      <c r="C2300">
        <v>36462.5</v>
      </c>
      <c r="D2300" s="4">
        <f>+VLOOKUP(A2300,Portfolio!$G$3:$I$6,3)</f>
        <v>1</v>
      </c>
      <c r="E2300">
        <f t="shared" si="35"/>
        <v>36462.5</v>
      </c>
    </row>
    <row r="2301" spans="1:5" x14ac:dyDescent="0.25">
      <c r="A2301" t="s">
        <v>1</v>
      </c>
      <c r="B2301">
        <v>1211212</v>
      </c>
      <c r="C2301">
        <v>36418.75</v>
      </c>
      <c r="D2301" s="4">
        <f>+VLOOKUP(A2301,Portfolio!$G$3:$I$6,3)</f>
        <v>1</v>
      </c>
      <c r="E2301">
        <f t="shared" si="35"/>
        <v>36418.75</v>
      </c>
    </row>
    <row r="2302" spans="1:5" x14ac:dyDescent="0.25">
      <c r="A2302" t="s">
        <v>1</v>
      </c>
      <c r="B2302">
        <v>1211213</v>
      </c>
      <c r="C2302">
        <v>36431.25</v>
      </c>
      <c r="D2302" s="4">
        <f>+VLOOKUP(A2302,Portfolio!$G$3:$I$6,3)</f>
        <v>1</v>
      </c>
      <c r="E2302">
        <f t="shared" si="35"/>
        <v>36431.25</v>
      </c>
    </row>
    <row r="2303" spans="1:5" x14ac:dyDescent="0.25">
      <c r="A2303" t="s">
        <v>1</v>
      </c>
      <c r="B2303">
        <v>1211214</v>
      </c>
      <c r="C2303">
        <v>36350</v>
      </c>
      <c r="D2303" s="4">
        <f>+VLOOKUP(A2303,Portfolio!$G$3:$I$6,3)</f>
        <v>1</v>
      </c>
      <c r="E2303">
        <f t="shared" si="35"/>
        <v>36350</v>
      </c>
    </row>
    <row r="2304" spans="1:5" x14ac:dyDescent="0.25">
      <c r="A2304" t="s">
        <v>1</v>
      </c>
      <c r="B2304">
        <v>1211215</v>
      </c>
      <c r="C2304">
        <v>36156.25</v>
      </c>
      <c r="D2304" s="4">
        <f>+VLOOKUP(A2304,Portfolio!$G$3:$I$6,3)</f>
        <v>1</v>
      </c>
      <c r="E2304">
        <f t="shared" si="35"/>
        <v>36156.25</v>
      </c>
    </row>
    <row r="2305" spans="1:5" x14ac:dyDescent="0.25">
      <c r="A2305" t="s">
        <v>1</v>
      </c>
      <c r="B2305">
        <v>1211216</v>
      </c>
      <c r="C2305">
        <v>36568.75</v>
      </c>
      <c r="D2305" s="4">
        <f>+VLOOKUP(A2305,Portfolio!$G$3:$I$6,3)</f>
        <v>1</v>
      </c>
      <c r="E2305">
        <f t="shared" si="35"/>
        <v>36568.75</v>
      </c>
    </row>
    <row r="2306" spans="1:5" x14ac:dyDescent="0.25">
      <c r="A2306" t="s">
        <v>1</v>
      </c>
      <c r="B2306">
        <v>1211217</v>
      </c>
      <c r="C2306">
        <v>36937.5</v>
      </c>
      <c r="D2306" s="4">
        <f>+VLOOKUP(A2306,Portfolio!$G$3:$I$6,3)</f>
        <v>1</v>
      </c>
      <c r="E2306">
        <f t="shared" si="35"/>
        <v>36937.5</v>
      </c>
    </row>
    <row r="2307" spans="1:5" x14ac:dyDescent="0.25">
      <c r="A2307" t="s">
        <v>1</v>
      </c>
      <c r="B2307">
        <v>1211219</v>
      </c>
      <c r="C2307">
        <v>36650</v>
      </c>
      <c r="D2307" s="4">
        <f>+VLOOKUP(A2307,Portfolio!$G$3:$I$6,3)</f>
        <v>1</v>
      </c>
      <c r="E2307">
        <f t="shared" ref="E2307:E2370" si="36">+C2307*D2307</f>
        <v>36650</v>
      </c>
    </row>
    <row r="2308" spans="1:5" x14ac:dyDescent="0.25">
      <c r="A2308" t="s">
        <v>1</v>
      </c>
      <c r="B2308">
        <v>1211220</v>
      </c>
      <c r="C2308">
        <v>36593.75</v>
      </c>
      <c r="D2308" s="4">
        <f>+VLOOKUP(A2308,Portfolio!$G$3:$I$6,3)</f>
        <v>1</v>
      </c>
      <c r="E2308">
        <f t="shared" si="36"/>
        <v>36593.75</v>
      </c>
    </row>
    <row r="2309" spans="1:5" x14ac:dyDescent="0.25">
      <c r="A2309" t="s">
        <v>1</v>
      </c>
      <c r="B2309">
        <v>1211221</v>
      </c>
      <c r="C2309">
        <v>36231.25</v>
      </c>
      <c r="D2309" s="4">
        <f>+VLOOKUP(A2309,Portfolio!$G$3:$I$6,3)</f>
        <v>1</v>
      </c>
      <c r="E2309">
        <f t="shared" si="36"/>
        <v>36231.25</v>
      </c>
    </row>
    <row r="2310" spans="1:5" x14ac:dyDescent="0.25">
      <c r="A2310" t="s">
        <v>1</v>
      </c>
      <c r="B2310">
        <v>1211222</v>
      </c>
      <c r="C2310">
        <v>36612.5</v>
      </c>
      <c r="D2310" s="4">
        <f>+VLOOKUP(A2310,Portfolio!$G$3:$I$6,3)</f>
        <v>1</v>
      </c>
      <c r="E2310">
        <f t="shared" si="36"/>
        <v>36612.5</v>
      </c>
    </row>
    <row r="2311" spans="1:5" x14ac:dyDescent="0.25">
      <c r="A2311" t="s">
        <v>1</v>
      </c>
      <c r="B2311">
        <v>1211223</v>
      </c>
      <c r="C2311">
        <v>36250</v>
      </c>
      <c r="D2311" s="4">
        <f>+VLOOKUP(A2311,Portfolio!$G$3:$I$6,3)</f>
        <v>1</v>
      </c>
      <c r="E2311">
        <f t="shared" si="36"/>
        <v>36250</v>
      </c>
    </row>
    <row r="2312" spans="1:5" x14ac:dyDescent="0.25">
      <c r="A2312" t="s">
        <v>1</v>
      </c>
      <c r="B2312">
        <v>1211226</v>
      </c>
      <c r="C2312">
        <v>35912.5</v>
      </c>
      <c r="D2312" s="4">
        <f>+VLOOKUP(A2312,Portfolio!$G$3:$I$6,3)</f>
        <v>1</v>
      </c>
      <c r="E2312">
        <f t="shared" si="36"/>
        <v>35912.5</v>
      </c>
    </row>
    <row r="2313" spans="1:5" x14ac:dyDescent="0.25">
      <c r="A2313" t="s">
        <v>1</v>
      </c>
      <c r="B2313">
        <v>1211227</v>
      </c>
      <c r="C2313">
        <v>36006.25</v>
      </c>
      <c r="D2313" s="4">
        <f>+VLOOKUP(A2313,Portfolio!$G$3:$I$6,3)</f>
        <v>1</v>
      </c>
      <c r="E2313">
        <f t="shared" si="36"/>
        <v>36006.25</v>
      </c>
    </row>
    <row r="2314" spans="1:5" x14ac:dyDescent="0.25">
      <c r="A2314" t="s">
        <v>1</v>
      </c>
      <c r="B2314">
        <v>1211228</v>
      </c>
      <c r="C2314">
        <v>36425</v>
      </c>
      <c r="D2314" s="4">
        <f>+VLOOKUP(A2314,Portfolio!$G$3:$I$6,3)</f>
        <v>1</v>
      </c>
      <c r="E2314">
        <f t="shared" si="36"/>
        <v>36425</v>
      </c>
    </row>
    <row r="2315" spans="1:5" x14ac:dyDescent="0.25">
      <c r="A2315" t="s">
        <v>1</v>
      </c>
      <c r="B2315">
        <v>1211229</v>
      </c>
      <c r="C2315">
        <v>36200</v>
      </c>
      <c r="D2315" s="4">
        <f>+VLOOKUP(A2315,Portfolio!$G$3:$I$6,3)</f>
        <v>1</v>
      </c>
      <c r="E2315">
        <f t="shared" si="36"/>
        <v>36200</v>
      </c>
    </row>
    <row r="2316" spans="1:5" x14ac:dyDescent="0.25">
      <c r="A2316" t="s">
        <v>1</v>
      </c>
      <c r="B2316">
        <v>1211230</v>
      </c>
      <c r="C2316">
        <v>36037.5</v>
      </c>
      <c r="D2316" s="4">
        <f>+VLOOKUP(A2316,Portfolio!$G$3:$I$6,3)</f>
        <v>1</v>
      </c>
      <c r="E2316">
        <f t="shared" si="36"/>
        <v>36037.5</v>
      </c>
    </row>
    <row r="2317" spans="1:5" x14ac:dyDescent="0.25">
      <c r="A2317" t="s">
        <v>1</v>
      </c>
      <c r="B2317">
        <v>1211231</v>
      </c>
      <c r="C2317">
        <v>35837.5</v>
      </c>
      <c r="D2317" s="4">
        <f>+VLOOKUP(A2317,Portfolio!$G$3:$I$6,3)</f>
        <v>1</v>
      </c>
      <c r="E2317">
        <f t="shared" si="36"/>
        <v>35837.5</v>
      </c>
    </row>
    <row r="2318" spans="1:5" x14ac:dyDescent="0.25">
      <c r="A2318" t="s">
        <v>1</v>
      </c>
      <c r="B2318">
        <v>1220102</v>
      </c>
      <c r="C2318">
        <v>35762.5</v>
      </c>
      <c r="D2318" s="4">
        <f>+VLOOKUP(A2318,Portfolio!$G$3:$I$6,3)</f>
        <v>1</v>
      </c>
      <c r="E2318">
        <f t="shared" si="36"/>
        <v>35762.5</v>
      </c>
    </row>
    <row r="2319" spans="1:5" x14ac:dyDescent="0.25">
      <c r="A2319" t="s">
        <v>1</v>
      </c>
      <c r="B2319">
        <v>1220103</v>
      </c>
      <c r="C2319">
        <v>35925</v>
      </c>
      <c r="D2319" s="4">
        <f>+VLOOKUP(A2319,Portfolio!$G$3:$I$6,3)</f>
        <v>1</v>
      </c>
      <c r="E2319">
        <f t="shared" si="36"/>
        <v>35925</v>
      </c>
    </row>
    <row r="2320" spans="1:5" x14ac:dyDescent="0.25">
      <c r="A2320" t="s">
        <v>1</v>
      </c>
      <c r="B2320">
        <v>1220104</v>
      </c>
      <c r="C2320">
        <v>35743.75</v>
      </c>
      <c r="D2320" s="4">
        <f>+VLOOKUP(A2320,Portfolio!$G$3:$I$6,3)</f>
        <v>1</v>
      </c>
      <c r="E2320">
        <f t="shared" si="36"/>
        <v>35743.75</v>
      </c>
    </row>
    <row r="2321" spans="1:5" x14ac:dyDescent="0.25">
      <c r="A2321" t="s">
        <v>1</v>
      </c>
      <c r="B2321">
        <v>1220105</v>
      </c>
      <c r="C2321">
        <v>35981.25</v>
      </c>
      <c r="D2321" s="4">
        <f>+VLOOKUP(A2321,Portfolio!$G$3:$I$6,3)</f>
        <v>1</v>
      </c>
      <c r="E2321">
        <f t="shared" si="36"/>
        <v>35981.25</v>
      </c>
    </row>
    <row r="2322" spans="1:5" x14ac:dyDescent="0.25">
      <c r="A2322" t="s">
        <v>1</v>
      </c>
      <c r="B2322">
        <v>1220106</v>
      </c>
      <c r="C2322">
        <v>35850</v>
      </c>
      <c r="D2322" s="4">
        <f>+VLOOKUP(A2322,Portfolio!$G$3:$I$6,3)</f>
        <v>1</v>
      </c>
      <c r="E2322">
        <f t="shared" si="36"/>
        <v>35850</v>
      </c>
    </row>
    <row r="2323" spans="1:5" x14ac:dyDescent="0.25">
      <c r="A2323" t="s">
        <v>1</v>
      </c>
      <c r="B2323">
        <v>1220107</v>
      </c>
      <c r="C2323">
        <v>35406.25</v>
      </c>
      <c r="D2323" s="4">
        <f>+VLOOKUP(A2323,Portfolio!$G$3:$I$6,3)</f>
        <v>1</v>
      </c>
      <c r="E2323">
        <f t="shared" si="36"/>
        <v>35406.25</v>
      </c>
    </row>
    <row r="2324" spans="1:5" x14ac:dyDescent="0.25">
      <c r="A2324" t="s">
        <v>1</v>
      </c>
      <c r="B2324">
        <v>1220109</v>
      </c>
      <c r="C2324">
        <v>35393.75</v>
      </c>
      <c r="D2324" s="4">
        <f>+VLOOKUP(A2324,Portfolio!$G$3:$I$6,3)</f>
        <v>1</v>
      </c>
      <c r="E2324">
        <f t="shared" si="36"/>
        <v>35393.75</v>
      </c>
    </row>
    <row r="2325" spans="1:5" x14ac:dyDescent="0.25">
      <c r="A2325" t="s">
        <v>1</v>
      </c>
      <c r="B2325">
        <v>1220110</v>
      </c>
      <c r="C2325">
        <v>35218.75</v>
      </c>
      <c r="D2325" s="4">
        <f>+VLOOKUP(A2325,Portfolio!$G$3:$I$6,3)</f>
        <v>1</v>
      </c>
      <c r="E2325">
        <f t="shared" si="36"/>
        <v>35218.75</v>
      </c>
    </row>
    <row r="2326" spans="1:5" x14ac:dyDescent="0.25">
      <c r="A2326" t="s">
        <v>1</v>
      </c>
      <c r="B2326">
        <v>1220111</v>
      </c>
      <c r="C2326">
        <v>35725</v>
      </c>
      <c r="D2326" s="4">
        <f>+VLOOKUP(A2326,Portfolio!$G$3:$I$6,3)</f>
        <v>1</v>
      </c>
      <c r="E2326">
        <f t="shared" si="36"/>
        <v>35725</v>
      </c>
    </row>
    <row r="2327" spans="1:5" x14ac:dyDescent="0.25">
      <c r="A2327" t="s">
        <v>1</v>
      </c>
      <c r="B2327">
        <v>1220112</v>
      </c>
      <c r="C2327">
        <v>35406.25</v>
      </c>
      <c r="D2327" s="4">
        <f>+VLOOKUP(A2327,Portfolio!$G$3:$I$6,3)</f>
        <v>1</v>
      </c>
      <c r="E2327">
        <f t="shared" si="36"/>
        <v>35406.25</v>
      </c>
    </row>
    <row r="2328" spans="1:5" x14ac:dyDescent="0.25">
      <c r="A2328" t="s">
        <v>1</v>
      </c>
      <c r="B2328">
        <v>1220113</v>
      </c>
      <c r="C2328">
        <v>36043.75</v>
      </c>
      <c r="D2328" s="4">
        <f>+VLOOKUP(A2328,Portfolio!$G$3:$I$6,3)</f>
        <v>1</v>
      </c>
      <c r="E2328">
        <f t="shared" si="36"/>
        <v>36043.75</v>
      </c>
    </row>
    <row r="2329" spans="1:5" x14ac:dyDescent="0.25">
      <c r="A2329" t="s">
        <v>1</v>
      </c>
      <c r="B2329">
        <v>1220114</v>
      </c>
      <c r="C2329">
        <v>36843.75</v>
      </c>
      <c r="D2329" s="4">
        <f>+VLOOKUP(A2329,Portfolio!$G$3:$I$6,3)</f>
        <v>1</v>
      </c>
      <c r="E2329">
        <f t="shared" si="36"/>
        <v>36843.75</v>
      </c>
    </row>
    <row r="2330" spans="1:5" x14ac:dyDescent="0.25">
      <c r="A2330" t="s">
        <v>1</v>
      </c>
      <c r="B2330">
        <v>1220116</v>
      </c>
      <c r="C2330">
        <v>36893.75</v>
      </c>
      <c r="D2330" s="4">
        <f>+VLOOKUP(A2330,Portfolio!$G$3:$I$6,3)</f>
        <v>1</v>
      </c>
      <c r="E2330">
        <f t="shared" si="36"/>
        <v>36893.75</v>
      </c>
    </row>
    <row r="2331" spans="1:5" x14ac:dyDescent="0.25">
      <c r="A2331" t="s">
        <v>1</v>
      </c>
      <c r="B2331">
        <v>1220117</v>
      </c>
      <c r="C2331">
        <v>37075</v>
      </c>
      <c r="D2331" s="4">
        <f>+VLOOKUP(A2331,Portfolio!$G$3:$I$6,3)</f>
        <v>1</v>
      </c>
      <c r="E2331">
        <f t="shared" si="36"/>
        <v>37075</v>
      </c>
    </row>
    <row r="2332" spans="1:5" x14ac:dyDescent="0.25">
      <c r="A2332" t="s">
        <v>1</v>
      </c>
      <c r="B2332">
        <v>1220118</v>
      </c>
      <c r="C2332">
        <v>37381.25</v>
      </c>
      <c r="D2332" s="4">
        <f>+VLOOKUP(A2332,Portfolio!$G$3:$I$6,3)</f>
        <v>1</v>
      </c>
      <c r="E2332">
        <f t="shared" si="36"/>
        <v>37381.25</v>
      </c>
    </row>
    <row r="2333" spans="1:5" x14ac:dyDescent="0.25">
      <c r="A2333" t="s">
        <v>1</v>
      </c>
      <c r="B2333">
        <v>1220119</v>
      </c>
      <c r="C2333">
        <v>37331.25</v>
      </c>
      <c r="D2333" s="4">
        <f>+VLOOKUP(A2333,Portfolio!$G$3:$I$6,3)</f>
        <v>1</v>
      </c>
      <c r="E2333">
        <f t="shared" si="36"/>
        <v>37331.25</v>
      </c>
    </row>
    <row r="2334" spans="1:5" x14ac:dyDescent="0.25">
      <c r="A2334" t="s">
        <v>1</v>
      </c>
      <c r="B2334">
        <v>1220120</v>
      </c>
      <c r="C2334">
        <v>36981.25</v>
      </c>
      <c r="D2334" s="4">
        <f>+VLOOKUP(A2334,Portfolio!$G$3:$I$6,3)</f>
        <v>1</v>
      </c>
      <c r="E2334">
        <f t="shared" si="36"/>
        <v>36981.25</v>
      </c>
    </row>
    <row r="2335" spans="1:5" x14ac:dyDescent="0.25">
      <c r="A2335" t="s">
        <v>1</v>
      </c>
      <c r="B2335">
        <v>1220121</v>
      </c>
      <c r="C2335">
        <v>37018.75</v>
      </c>
      <c r="D2335" s="4">
        <f>+VLOOKUP(A2335,Portfolio!$G$3:$I$6,3)</f>
        <v>1</v>
      </c>
      <c r="E2335">
        <f t="shared" si="36"/>
        <v>37018.75</v>
      </c>
    </row>
    <row r="2336" spans="1:5" x14ac:dyDescent="0.25">
      <c r="A2336" t="s">
        <v>1</v>
      </c>
      <c r="B2336">
        <v>1220123</v>
      </c>
      <c r="C2336">
        <v>37093.75</v>
      </c>
      <c r="D2336" s="4">
        <f>+VLOOKUP(A2336,Portfolio!$G$3:$I$6,3)</f>
        <v>1</v>
      </c>
      <c r="E2336">
        <f t="shared" si="36"/>
        <v>37093.75</v>
      </c>
    </row>
    <row r="2337" spans="1:5" x14ac:dyDescent="0.25">
      <c r="A2337" t="s">
        <v>1</v>
      </c>
      <c r="B2337">
        <v>1220124</v>
      </c>
      <c r="C2337">
        <v>37087.5</v>
      </c>
      <c r="D2337" s="4">
        <f>+VLOOKUP(A2337,Portfolio!$G$3:$I$6,3)</f>
        <v>1</v>
      </c>
      <c r="E2337">
        <f t="shared" si="36"/>
        <v>37087.5</v>
      </c>
    </row>
    <row r="2338" spans="1:5" x14ac:dyDescent="0.25">
      <c r="A2338" t="s">
        <v>1</v>
      </c>
      <c r="B2338">
        <v>1220125</v>
      </c>
      <c r="C2338">
        <v>37050</v>
      </c>
      <c r="D2338" s="4">
        <f>+VLOOKUP(A2338,Portfolio!$G$3:$I$6,3)</f>
        <v>1</v>
      </c>
      <c r="E2338">
        <f t="shared" si="36"/>
        <v>37050</v>
      </c>
    </row>
    <row r="2339" spans="1:5" x14ac:dyDescent="0.25">
      <c r="A2339" t="s">
        <v>1</v>
      </c>
      <c r="B2339">
        <v>1220126</v>
      </c>
      <c r="C2339">
        <v>36981.25</v>
      </c>
      <c r="D2339" s="4">
        <f>+VLOOKUP(A2339,Portfolio!$G$3:$I$6,3)</f>
        <v>1</v>
      </c>
      <c r="E2339">
        <f t="shared" si="36"/>
        <v>36981.25</v>
      </c>
    </row>
    <row r="2340" spans="1:5" x14ac:dyDescent="0.25">
      <c r="A2340" t="s">
        <v>1</v>
      </c>
      <c r="B2340">
        <v>1220127</v>
      </c>
      <c r="C2340">
        <v>37056.25</v>
      </c>
      <c r="D2340" s="4">
        <f>+VLOOKUP(A2340,Portfolio!$G$3:$I$6,3)</f>
        <v>1</v>
      </c>
      <c r="E2340">
        <f t="shared" si="36"/>
        <v>37056.25</v>
      </c>
    </row>
    <row r="2341" spans="1:5" x14ac:dyDescent="0.25">
      <c r="A2341" t="s">
        <v>1</v>
      </c>
      <c r="B2341">
        <v>1220128</v>
      </c>
      <c r="C2341">
        <v>37781.25</v>
      </c>
      <c r="D2341" s="4">
        <f>+VLOOKUP(A2341,Portfolio!$G$3:$I$6,3)</f>
        <v>1</v>
      </c>
      <c r="E2341">
        <f t="shared" si="36"/>
        <v>37781.25</v>
      </c>
    </row>
    <row r="2342" spans="1:5" x14ac:dyDescent="0.25">
      <c r="A2342" t="s">
        <v>1</v>
      </c>
      <c r="B2342">
        <v>1220130</v>
      </c>
      <c r="C2342">
        <v>37968.75</v>
      </c>
      <c r="D2342" s="4">
        <f>+VLOOKUP(A2342,Portfolio!$G$3:$I$6,3)</f>
        <v>1</v>
      </c>
      <c r="E2342">
        <f t="shared" si="36"/>
        <v>37968.75</v>
      </c>
    </row>
    <row r="2343" spans="1:5" x14ac:dyDescent="0.25">
      <c r="A2343" t="s">
        <v>1</v>
      </c>
      <c r="B2343">
        <v>1220131</v>
      </c>
      <c r="C2343">
        <v>37806.25</v>
      </c>
      <c r="D2343" s="4">
        <f>+VLOOKUP(A2343,Portfolio!$G$3:$I$6,3)</f>
        <v>1</v>
      </c>
      <c r="E2343">
        <f t="shared" si="36"/>
        <v>37806.25</v>
      </c>
    </row>
    <row r="2344" spans="1:5" x14ac:dyDescent="0.25">
      <c r="A2344" t="s">
        <v>1</v>
      </c>
      <c r="B2344">
        <v>1220201</v>
      </c>
      <c r="C2344">
        <v>38212.5</v>
      </c>
      <c r="D2344" s="4">
        <f>+VLOOKUP(A2344,Portfolio!$G$3:$I$6,3)</f>
        <v>1</v>
      </c>
      <c r="E2344">
        <f t="shared" si="36"/>
        <v>38212.5</v>
      </c>
    </row>
    <row r="2345" spans="1:5" x14ac:dyDescent="0.25">
      <c r="A2345" t="s">
        <v>1</v>
      </c>
      <c r="B2345">
        <v>1220202</v>
      </c>
      <c r="C2345">
        <v>38443.75</v>
      </c>
      <c r="D2345" s="4">
        <f>+VLOOKUP(A2345,Portfolio!$G$3:$I$6,3)</f>
        <v>1</v>
      </c>
      <c r="E2345">
        <f t="shared" si="36"/>
        <v>38443.75</v>
      </c>
    </row>
    <row r="2346" spans="1:5" x14ac:dyDescent="0.25">
      <c r="A2346" t="s">
        <v>1</v>
      </c>
      <c r="B2346">
        <v>1220203</v>
      </c>
      <c r="C2346">
        <v>38656.25</v>
      </c>
      <c r="D2346" s="4">
        <f>+VLOOKUP(A2346,Portfolio!$G$3:$I$6,3)</f>
        <v>1</v>
      </c>
      <c r="E2346">
        <f t="shared" si="36"/>
        <v>38656.25</v>
      </c>
    </row>
    <row r="2347" spans="1:5" x14ac:dyDescent="0.25">
      <c r="A2347" t="s">
        <v>1</v>
      </c>
      <c r="B2347">
        <v>1220204</v>
      </c>
      <c r="C2347">
        <v>38418.75</v>
      </c>
      <c r="D2347" s="4">
        <f>+VLOOKUP(A2347,Portfolio!$G$3:$I$6,3)</f>
        <v>1</v>
      </c>
      <c r="E2347">
        <f t="shared" si="36"/>
        <v>38418.75</v>
      </c>
    </row>
    <row r="2348" spans="1:5" x14ac:dyDescent="0.25">
      <c r="A2348" t="s">
        <v>1</v>
      </c>
      <c r="B2348">
        <v>1220206</v>
      </c>
      <c r="C2348">
        <v>38112.5</v>
      </c>
      <c r="D2348" s="4">
        <f>+VLOOKUP(A2348,Portfolio!$G$3:$I$6,3)</f>
        <v>1</v>
      </c>
      <c r="E2348">
        <f t="shared" si="36"/>
        <v>38112.5</v>
      </c>
    </row>
    <row r="2349" spans="1:5" x14ac:dyDescent="0.25">
      <c r="A2349" t="s">
        <v>1</v>
      </c>
      <c r="B2349">
        <v>1220207</v>
      </c>
      <c r="C2349">
        <v>38237.5</v>
      </c>
      <c r="D2349" s="4">
        <f>+VLOOKUP(A2349,Portfolio!$G$3:$I$6,3)</f>
        <v>1</v>
      </c>
      <c r="E2349">
        <f t="shared" si="36"/>
        <v>38237.5</v>
      </c>
    </row>
    <row r="2350" spans="1:5" x14ac:dyDescent="0.25">
      <c r="A2350" t="s">
        <v>1</v>
      </c>
      <c r="B2350">
        <v>1220208</v>
      </c>
      <c r="C2350">
        <v>37693.75</v>
      </c>
      <c r="D2350" s="4">
        <f>+VLOOKUP(A2350,Portfolio!$G$3:$I$6,3)</f>
        <v>1</v>
      </c>
      <c r="E2350">
        <f t="shared" si="36"/>
        <v>37693.75</v>
      </c>
    </row>
    <row r="2351" spans="1:5" x14ac:dyDescent="0.25">
      <c r="A2351" t="s">
        <v>1</v>
      </c>
      <c r="B2351">
        <v>1220209</v>
      </c>
      <c r="C2351">
        <v>37712.5</v>
      </c>
      <c r="D2351" s="4">
        <f>+VLOOKUP(A2351,Portfolio!$G$3:$I$6,3)</f>
        <v>1</v>
      </c>
      <c r="E2351">
        <f t="shared" si="36"/>
        <v>37712.5</v>
      </c>
    </row>
    <row r="2352" spans="1:5" x14ac:dyDescent="0.25">
      <c r="A2352" t="s">
        <v>1</v>
      </c>
      <c r="B2352">
        <v>1220210</v>
      </c>
      <c r="C2352">
        <v>37837.5</v>
      </c>
      <c r="D2352" s="4">
        <f>+VLOOKUP(A2352,Portfolio!$G$3:$I$6,3)</f>
        <v>1</v>
      </c>
      <c r="E2352">
        <f t="shared" si="36"/>
        <v>37837.5</v>
      </c>
    </row>
    <row r="2353" spans="1:5" x14ac:dyDescent="0.25">
      <c r="A2353" t="s">
        <v>1</v>
      </c>
      <c r="B2353">
        <v>1220211</v>
      </c>
      <c r="C2353">
        <v>38268.75</v>
      </c>
      <c r="D2353" s="4">
        <f>+VLOOKUP(A2353,Portfolio!$G$3:$I$6,3)</f>
        <v>1</v>
      </c>
      <c r="E2353">
        <f t="shared" si="36"/>
        <v>38268.75</v>
      </c>
    </row>
    <row r="2354" spans="1:5" x14ac:dyDescent="0.25">
      <c r="A2354" t="s">
        <v>1</v>
      </c>
      <c r="B2354">
        <v>1220213</v>
      </c>
      <c r="C2354">
        <v>38350</v>
      </c>
      <c r="D2354" s="4">
        <f>+VLOOKUP(A2354,Portfolio!$G$3:$I$6,3)</f>
        <v>1</v>
      </c>
      <c r="E2354">
        <f t="shared" si="36"/>
        <v>38350</v>
      </c>
    </row>
    <row r="2355" spans="1:5" x14ac:dyDescent="0.25">
      <c r="A2355" t="s">
        <v>1</v>
      </c>
      <c r="B2355">
        <v>1220214</v>
      </c>
      <c r="C2355">
        <v>38493.75</v>
      </c>
      <c r="D2355" s="4">
        <f>+VLOOKUP(A2355,Portfolio!$G$3:$I$6,3)</f>
        <v>1</v>
      </c>
      <c r="E2355">
        <f t="shared" si="36"/>
        <v>38493.75</v>
      </c>
    </row>
    <row r="2356" spans="1:5" x14ac:dyDescent="0.25">
      <c r="A2356" t="s">
        <v>1</v>
      </c>
      <c r="B2356">
        <v>1220215</v>
      </c>
      <c r="C2356">
        <v>38456.25</v>
      </c>
      <c r="D2356" s="4">
        <f>+VLOOKUP(A2356,Portfolio!$G$3:$I$6,3)</f>
        <v>1</v>
      </c>
      <c r="E2356">
        <f t="shared" si="36"/>
        <v>38456.25</v>
      </c>
    </row>
    <row r="2357" spans="1:5" x14ac:dyDescent="0.25">
      <c r="A2357" t="s">
        <v>1</v>
      </c>
      <c r="B2357">
        <v>1220216</v>
      </c>
      <c r="C2357">
        <v>38806.25</v>
      </c>
      <c r="D2357" s="4">
        <f>+VLOOKUP(A2357,Portfolio!$G$3:$I$6,3)</f>
        <v>1</v>
      </c>
      <c r="E2357">
        <f t="shared" si="36"/>
        <v>38806.25</v>
      </c>
    </row>
    <row r="2358" spans="1:5" x14ac:dyDescent="0.25">
      <c r="A2358" t="s">
        <v>1</v>
      </c>
      <c r="B2358">
        <v>1220217</v>
      </c>
      <c r="C2358">
        <v>39075</v>
      </c>
      <c r="D2358" s="4">
        <f>+VLOOKUP(A2358,Portfolio!$G$3:$I$6,3)</f>
        <v>1</v>
      </c>
      <c r="E2358">
        <f t="shared" si="36"/>
        <v>39075</v>
      </c>
    </row>
    <row r="2359" spans="1:5" x14ac:dyDescent="0.25">
      <c r="A2359" t="s">
        <v>1</v>
      </c>
      <c r="B2359">
        <v>1220218</v>
      </c>
      <c r="C2359">
        <v>39093.75</v>
      </c>
      <c r="D2359" s="4">
        <f>+VLOOKUP(A2359,Portfolio!$G$3:$I$6,3)</f>
        <v>1</v>
      </c>
      <c r="E2359">
        <f t="shared" si="36"/>
        <v>39093.75</v>
      </c>
    </row>
    <row r="2360" spans="1:5" x14ac:dyDescent="0.25">
      <c r="A2360" t="s">
        <v>1</v>
      </c>
      <c r="B2360">
        <v>1220220</v>
      </c>
      <c r="C2360">
        <v>39325</v>
      </c>
      <c r="D2360" s="4">
        <f>+VLOOKUP(A2360,Portfolio!$G$3:$I$6,3)</f>
        <v>1</v>
      </c>
      <c r="E2360">
        <f t="shared" si="36"/>
        <v>39325</v>
      </c>
    </row>
    <row r="2361" spans="1:5" x14ac:dyDescent="0.25">
      <c r="A2361" t="s">
        <v>1</v>
      </c>
      <c r="B2361">
        <v>1220221</v>
      </c>
      <c r="C2361">
        <v>39318.75</v>
      </c>
      <c r="D2361" s="4">
        <f>+VLOOKUP(A2361,Portfolio!$G$3:$I$6,3)</f>
        <v>1</v>
      </c>
      <c r="E2361">
        <f t="shared" si="36"/>
        <v>39318.75</v>
      </c>
    </row>
    <row r="2362" spans="1:5" x14ac:dyDescent="0.25">
      <c r="A2362" t="s">
        <v>1</v>
      </c>
      <c r="B2362">
        <v>1220222</v>
      </c>
      <c r="C2362">
        <v>39550</v>
      </c>
      <c r="D2362" s="4">
        <f>+VLOOKUP(A2362,Portfolio!$G$3:$I$6,3)</f>
        <v>1</v>
      </c>
      <c r="E2362">
        <f t="shared" si="36"/>
        <v>39550</v>
      </c>
    </row>
    <row r="2363" spans="1:5" x14ac:dyDescent="0.25">
      <c r="A2363" t="s">
        <v>1</v>
      </c>
      <c r="B2363">
        <v>1220223</v>
      </c>
      <c r="C2363">
        <v>39150</v>
      </c>
      <c r="D2363" s="4">
        <f>+VLOOKUP(A2363,Portfolio!$G$3:$I$6,3)</f>
        <v>1</v>
      </c>
      <c r="E2363">
        <f t="shared" si="36"/>
        <v>39150</v>
      </c>
    </row>
    <row r="2364" spans="1:5" x14ac:dyDescent="0.25">
      <c r="A2364" t="s">
        <v>1</v>
      </c>
      <c r="B2364">
        <v>1220224</v>
      </c>
      <c r="C2364">
        <v>39187.5</v>
      </c>
      <c r="D2364" s="4">
        <f>+VLOOKUP(A2364,Portfolio!$G$3:$I$6,3)</f>
        <v>1</v>
      </c>
      <c r="E2364">
        <f t="shared" si="36"/>
        <v>39187.5</v>
      </c>
    </row>
    <row r="2365" spans="1:5" x14ac:dyDescent="0.25">
      <c r="A2365" t="s">
        <v>1</v>
      </c>
      <c r="B2365">
        <v>1220225</v>
      </c>
      <c r="C2365">
        <v>39275</v>
      </c>
      <c r="D2365" s="4">
        <f>+VLOOKUP(A2365,Portfolio!$G$3:$I$6,3)</f>
        <v>1</v>
      </c>
      <c r="E2365">
        <f t="shared" si="36"/>
        <v>39275</v>
      </c>
    </row>
    <row r="2366" spans="1:5" x14ac:dyDescent="0.25">
      <c r="A2366" t="s">
        <v>1</v>
      </c>
      <c r="B2366">
        <v>1220227</v>
      </c>
      <c r="C2366">
        <v>39650</v>
      </c>
      <c r="D2366" s="4">
        <f>+VLOOKUP(A2366,Portfolio!$G$3:$I$6,3)</f>
        <v>1</v>
      </c>
      <c r="E2366">
        <f t="shared" si="36"/>
        <v>39650</v>
      </c>
    </row>
    <row r="2367" spans="1:5" x14ac:dyDescent="0.25">
      <c r="A2367" t="s">
        <v>1</v>
      </c>
      <c r="B2367">
        <v>1220228</v>
      </c>
      <c r="C2367">
        <v>39600</v>
      </c>
      <c r="D2367" s="4">
        <f>+VLOOKUP(A2367,Portfolio!$G$3:$I$6,3)</f>
        <v>1</v>
      </c>
      <c r="E2367">
        <f t="shared" si="36"/>
        <v>39600</v>
      </c>
    </row>
    <row r="2368" spans="1:5" x14ac:dyDescent="0.25">
      <c r="A2368" t="s">
        <v>1</v>
      </c>
      <c r="B2368">
        <v>1220301</v>
      </c>
      <c r="C2368">
        <v>39881.25</v>
      </c>
      <c r="D2368" s="4">
        <f>+VLOOKUP(A2368,Portfolio!$G$3:$I$6,3)</f>
        <v>1</v>
      </c>
      <c r="E2368">
        <f t="shared" si="36"/>
        <v>39881.25</v>
      </c>
    </row>
    <row r="2369" spans="1:5" x14ac:dyDescent="0.25">
      <c r="A2369" t="s">
        <v>1</v>
      </c>
      <c r="B2369">
        <v>1220302</v>
      </c>
      <c r="C2369">
        <v>39856.25</v>
      </c>
      <c r="D2369" s="4">
        <f>+VLOOKUP(A2369,Portfolio!$G$3:$I$6,3)</f>
        <v>1</v>
      </c>
      <c r="E2369">
        <f t="shared" si="36"/>
        <v>39856.25</v>
      </c>
    </row>
    <row r="2370" spans="1:5" x14ac:dyDescent="0.25">
      <c r="A2370" t="s">
        <v>1</v>
      </c>
      <c r="B2370">
        <v>1220303</v>
      </c>
      <c r="C2370">
        <v>40425</v>
      </c>
      <c r="D2370" s="4">
        <f>+VLOOKUP(A2370,Portfolio!$G$3:$I$6,3)</f>
        <v>1</v>
      </c>
      <c r="E2370">
        <f t="shared" si="36"/>
        <v>40425</v>
      </c>
    </row>
    <row r="2371" spans="1:5" x14ac:dyDescent="0.25">
      <c r="A2371" t="s">
        <v>1</v>
      </c>
      <c r="B2371">
        <v>1220304</v>
      </c>
      <c r="C2371">
        <v>40618.75</v>
      </c>
      <c r="D2371" s="4">
        <f>+VLOOKUP(A2371,Portfolio!$G$3:$I$6,3)</f>
        <v>1</v>
      </c>
      <c r="E2371">
        <f t="shared" ref="E2371:E2434" si="37">+C2371*D2371</f>
        <v>40618.75</v>
      </c>
    </row>
    <row r="2372" spans="1:5" x14ac:dyDescent="0.25">
      <c r="A2372" t="s">
        <v>1</v>
      </c>
      <c r="B2372">
        <v>1220306</v>
      </c>
      <c r="C2372">
        <v>40768.75</v>
      </c>
      <c r="D2372" s="4">
        <f>+VLOOKUP(A2372,Portfolio!$G$3:$I$6,3)</f>
        <v>1</v>
      </c>
      <c r="E2372">
        <f t="shared" si="37"/>
        <v>40768.75</v>
      </c>
    </row>
    <row r="2373" spans="1:5" x14ac:dyDescent="0.25">
      <c r="A2373" t="s">
        <v>1</v>
      </c>
      <c r="B2373">
        <v>1220307</v>
      </c>
      <c r="C2373">
        <v>40762.5</v>
      </c>
      <c r="D2373" s="4">
        <f>+VLOOKUP(A2373,Portfolio!$G$3:$I$6,3)</f>
        <v>1</v>
      </c>
      <c r="E2373">
        <f t="shared" si="37"/>
        <v>40762.5</v>
      </c>
    </row>
    <row r="2374" spans="1:5" x14ac:dyDescent="0.25">
      <c r="A2374" t="s">
        <v>1</v>
      </c>
      <c r="B2374">
        <v>1220308</v>
      </c>
      <c r="C2374">
        <v>40943.75</v>
      </c>
      <c r="D2374" s="4">
        <f>+VLOOKUP(A2374,Portfolio!$G$3:$I$6,3)</f>
        <v>1</v>
      </c>
      <c r="E2374">
        <f t="shared" si="37"/>
        <v>40943.75</v>
      </c>
    </row>
    <row r="2375" spans="1:5" x14ac:dyDescent="0.25">
      <c r="A2375" t="s">
        <v>1</v>
      </c>
      <c r="B2375">
        <v>1220309</v>
      </c>
      <c r="C2375">
        <v>41218.75</v>
      </c>
      <c r="D2375" s="4">
        <f>+VLOOKUP(A2375,Portfolio!$G$3:$I$6,3)</f>
        <v>1</v>
      </c>
      <c r="E2375">
        <f t="shared" si="37"/>
        <v>41218.75</v>
      </c>
    </row>
    <row r="2376" spans="1:5" x14ac:dyDescent="0.25">
      <c r="A2376" t="s">
        <v>1</v>
      </c>
      <c r="B2376">
        <v>1220310</v>
      </c>
      <c r="C2376">
        <v>41118.75</v>
      </c>
      <c r="D2376" s="4">
        <f>+VLOOKUP(A2376,Portfolio!$G$3:$I$6,3)</f>
        <v>1</v>
      </c>
      <c r="E2376">
        <f t="shared" si="37"/>
        <v>41118.75</v>
      </c>
    </row>
    <row r="2377" spans="1:5" x14ac:dyDescent="0.25">
      <c r="A2377" t="s">
        <v>1</v>
      </c>
      <c r="B2377">
        <v>1220311</v>
      </c>
      <c r="C2377">
        <v>41681.25</v>
      </c>
      <c r="D2377" s="4">
        <f>+VLOOKUP(A2377,Portfolio!$G$3:$I$6,3)</f>
        <v>1</v>
      </c>
      <c r="E2377">
        <f t="shared" si="37"/>
        <v>41681.25</v>
      </c>
    </row>
    <row r="2378" spans="1:5" x14ac:dyDescent="0.25">
      <c r="A2378" t="s">
        <v>1</v>
      </c>
      <c r="B2378">
        <v>1220313</v>
      </c>
      <c r="C2378">
        <v>42437.5</v>
      </c>
      <c r="D2378" s="4">
        <f>+VLOOKUP(A2378,Portfolio!$G$3:$I$6,3)</f>
        <v>1</v>
      </c>
      <c r="E2378">
        <f t="shared" si="37"/>
        <v>42437.5</v>
      </c>
    </row>
    <row r="2379" spans="1:5" x14ac:dyDescent="0.25">
      <c r="A2379" t="s">
        <v>1</v>
      </c>
      <c r="B2379">
        <v>1220314</v>
      </c>
      <c r="C2379">
        <v>42550</v>
      </c>
      <c r="D2379" s="4">
        <f>+VLOOKUP(A2379,Portfolio!$G$3:$I$6,3)</f>
        <v>1</v>
      </c>
      <c r="E2379">
        <f t="shared" si="37"/>
        <v>42550</v>
      </c>
    </row>
    <row r="2380" spans="1:5" x14ac:dyDescent="0.25">
      <c r="A2380" t="s">
        <v>1</v>
      </c>
      <c r="B2380">
        <v>1220315</v>
      </c>
      <c r="C2380">
        <v>43212.5</v>
      </c>
      <c r="D2380" s="4">
        <f>+VLOOKUP(A2380,Portfolio!$G$3:$I$6,3)</f>
        <v>1</v>
      </c>
      <c r="E2380">
        <f t="shared" si="37"/>
        <v>43212.5</v>
      </c>
    </row>
    <row r="2381" spans="1:5" x14ac:dyDescent="0.25">
      <c r="A2381" t="s">
        <v>1</v>
      </c>
      <c r="B2381">
        <v>1220316</v>
      </c>
      <c r="C2381">
        <v>43087.5</v>
      </c>
      <c r="D2381" s="4">
        <f>+VLOOKUP(A2381,Portfolio!$G$3:$I$6,3)</f>
        <v>1</v>
      </c>
      <c r="E2381">
        <f t="shared" si="37"/>
        <v>43087.5</v>
      </c>
    </row>
    <row r="2382" spans="1:5" x14ac:dyDescent="0.25">
      <c r="A2382" t="s">
        <v>1</v>
      </c>
      <c r="B2382">
        <v>1220317</v>
      </c>
      <c r="C2382">
        <v>43287.5</v>
      </c>
      <c r="D2382" s="4">
        <f>+VLOOKUP(A2382,Portfolio!$G$3:$I$6,3)</f>
        <v>1</v>
      </c>
      <c r="E2382">
        <f t="shared" si="37"/>
        <v>43287.5</v>
      </c>
    </row>
    <row r="2383" spans="1:5" x14ac:dyDescent="0.25">
      <c r="A2383" t="s">
        <v>1</v>
      </c>
      <c r="B2383">
        <v>1220318</v>
      </c>
      <c r="C2383">
        <v>42806.25</v>
      </c>
      <c r="D2383" s="4">
        <f>+VLOOKUP(A2383,Portfolio!$G$3:$I$6,3)</f>
        <v>1</v>
      </c>
      <c r="E2383">
        <f t="shared" si="37"/>
        <v>42806.25</v>
      </c>
    </row>
    <row r="2384" spans="1:5" x14ac:dyDescent="0.25">
      <c r="A2384" t="s">
        <v>1</v>
      </c>
      <c r="B2384">
        <v>1220320</v>
      </c>
      <c r="C2384">
        <v>42612.5</v>
      </c>
      <c r="D2384" s="4">
        <f>+VLOOKUP(A2384,Portfolio!$G$3:$I$6,3)</f>
        <v>1</v>
      </c>
      <c r="E2384">
        <f t="shared" si="37"/>
        <v>42612.5</v>
      </c>
    </row>
    <row r="2385" spans="1:5" x14ac:dyDescent="0.25">
      <c r="A2385" t="s">
        <v>1</v>
      </c>
      <c r="B2385">
        <v>1220321</v>
      </c>
      <c r="C2385">
        <v>42587.5</v>
      </c>
      <c r="D2385" s="4">
        <f>+VLOOKUP(A2385,Portfolio!$G$3:$I$6,3)</f>
        <v>1</v>
      </c>
      <c r="E2385">
        <f t="shared" si="37"/>
        <v>42587.5</v>
      </c>
    </row>
    <row r="2386" spans="1:5" x14ac:dyDescent="0.25">
      <c r="A2386" t="s">
        <v>1</v>
      </c>
      <c r="B2386">
        <v>1220322</v>
      </c>
      <c r="C2386">
        <v>43362.5</v>
      </c>
      <c r="D2386" s="4">
        <f>+VLOOKUP(A2386,Portfolio!$G$3:$I$6,3)</f>
        <v>1</v>
      </c>
      <c r="E2386">
        <f t="shared" si="37"/>
        <v>43362.5</v>
      </c>
    </row>
    <row r="2387" spans="1:5" x14ac:dyDescent="0.25">
      <c r="A2387" t="s">
        <v>1</v>
      </c>
      <c r="B2387">
        <v>1220323</v>
      </c>
      <c r="C2387">
        <v>43943.75</v>
      </c>
      <c r="D2387" s="4">
        <f>+VLOOKUP(A2387,Portfolio!$G$3:$I$6,3)</f>
        <v>1</v>
      </c>
      <c r="E2387">
        <f t="shared" si="37"/>
        <v>43943.75</v>
      </c>
    </row>
    <row r="2388" spans="1:5" x14ac:dyDescent="0.25">
      <c r="A2388" t="s">
        <v>1</v>
      </c>
      <c r="B2388">
        <v>1220324</v>
      </c>
      <c r="C2388">
        <v>43568.75</v>
      </c>
      <c r="D2388" s="4">
        <f>+VLOOKUP(A2388,Portfolio!$G$3:$I$6,3)</f>
        <v>1</v>
      </c>
      <c r="E2388">
        <f t="shared" si="37"/>
        <v>43568.75</v>
      </c>
    </row>
    <row r="2389" spans="1:5" x14ac:dyDescent="0.25">
      <c r="A2389" t="s">
        <v>1</v>
      </c>
      <c r="B2389">
        <v>1220325</v>
      </c>
      <c r="C2389">
        <v>43775</v>
      </c>
      <c r="D2389" s="4">
        <f>+VLOOKUP(A2389,Portfolio!$G$3:$I$6,3)</f>
        <v>1</v>
      </c>
      <c r="E2389">
        <f t="shared" si="37"/>
        <v>43775</v>
      </c>
    </row>
    <row r="2390" spans="1:5" x14ac:dyDescent="0.25">
      <c r="A2390" t="s">
        <v>1</v>
      </c>
      <c r="B2390">
        <v>1220327</v>
      </c>
      <c r="C2390">
        <v>43775</v>
      </c>
      <c r="D2390" s="4">
        <f>+VLOOKUP(A2390,Portfolio!$G$3:$I$6,3)</f>
        <v>1</v>
      </c>
      <c r="E2390">
        <f t="shared" si="37"/>
        <v>43775</v>
      </c>
    </row>
    <row r="2391" spans="1:5" x14ac:dyDescent="0.25">
      <c r="A2391" t="s">
        <v>1</v>
      </c>
      <c r="B2391">
        <v>1220328</v>
      </c>
      <c r="C2391">
        <v>44418.75</v>
      </c>
      <c r="D2391" s="4">
        <f>+VLOOKUP(A2391,Portfolio!$G$3:$I$6,3)</f>
        <v>1</v>
      </c>
      <c r="E2391">
        <f t="shared" si="37"/>
        <v>44418.75</v>
      </c>
    </row>
    <row r="2392" spans="1:5" x14ac:dyDescent="0.25">
      <c r="A2392" t="s">
        <v>1</v>
      </c>
      <c r="B2392">
        <v>1220329</v>
      </c>
      <c r="C2392">
        <v>44531.25</v>
      </c>
      <c r="D2392" s="4">
        <f>+VLOOKUP(A2392,Portfolio!$G$3:$I$6,3)</f>
        <v>1</v>
      </c>
      <c r="E2392">
        <f t="shared" si="37"/>
        <v>44531.25</v>
      </c>
    </row>
    <row r="2393" spans="1:5" x14ac:dyDescent="0.25">
      <c r="A2393" t="s">
        <v>1</v>
      </c>
      <c r="B2393">
        <v>1220330</v>
      </c>
      <c r="C2393">
        <v>45737.5</v>
      </c>
      <c r="D2393" s="4">
        <f>+VLOOKUP(A2393,Portfolio!$G$3:$I$6,3)</f>
        <v>1</v>
      </c>
      <c r="E2393">
        <f t="shared" si="37"/>
        <v>45737.5</v>
      </c>
    </row>
    <row r="2394" spans="1:5" x14ac:dyDescent="0.25">
      <c r="A2394" t="s">
        <v>1</v>
      </c>
      <c r="B2394">
        <v>1220331</v>
      </c>
      <c r="C2394">
        <v>45793.75</v>
      </c>
      <c r="D2394" s="4">
        <f>+VLOOKUP(A2394,Portfolio!$G$3:$I$6,3)</f>
        <v>1</v>
      </c>
      <c r="E2394">
        <f t="shared" si="37"/>
        <v>45793.75</v>
      </c>
    </row>
    <row r="2395" spans="1:5" x14ac:dyDescent="0.25">
      <c r="A2395" t="s">
        <v>1</v>
      </c>
      <c r="B2395">
        <v>1220401</v>
      </c>
      <c r="C2395">
        <v>44600</v>
      </c>
      <c r="D2395" s="4">
        <f>+VLOOKUP(A2395,Portfolio!$G$3:$I$6,3)</f>
        <v>1</v>
      </c>
      <c r="E2395">
        <f t="shared" si="37"/>
        <v>44600</v>
      </c>
    </row>
    <row r="2396" spans="1:5" x14ac:dyDescent="0.25">
      <c r="A2396" t="s">
        <v>1</v>
      </c>
      <c r="B2396">
        <v>1220403</v>
      </c>
      <c r="C2396">
        <v>44650</v>
      </c>
      <c r="D2396" s="4">
        <f>+VLOOKUP(A2396,Portfolio!$G$3:$I$6,3)</f>
        <v>1</v>
      </c>
      <c r="E2396">
        <f t="shared" si="37"/>
        <v>44650</v>
      </c>
    </row>
    <row r="2397" spans="1:5" x14ac:dyDescent="0.25">
      <c r="A2397" t="s">
        <v>1</v>
      </c>
      <c r="B2397">
        <v>1220404</v>
      </c>
      <c r="C2397">
        <v>43868.75</v>
      </c>
      <c r="D2397" s="4">
        <f>+VLOOKUP(A2397,Portfolio!$G$3:$I$6,3)</f>
        <v>1</v>
      </c>
      <c r="E2397">
        <f t="shared" si="37"/>
        <v>43868.75</v>
      </c>
    </row>
    <row r="2398" spans="1:5" x14ac:dyDescent="0.25">
      <c r="A2398" t="s">
        <v>1</v>
      </c>
      <c r="B2398">
        <v>1220405</v>
      </c>
      <c r="C2398">
        <v>43743.75</v>
      </c>
      <c r="D2398" s="4">
        <f>+VLOOKUP(A2398,Portfolio!$G$3:$I$6,3)</f>
        <v>1</v>
      </c>
      <c r="E2398">
        <f t="shared" si="37"/>
        <v>43743.75</v>
      </c>
    </row>
    <row r="2399" spans="1:5" x14ac:dyDescent="0.25">
      <c r="A2399" t="s">
        <v>1</v>
      </c>
      <c r="B2399">
        <v>1220406</v>
      </c>
      <c r="C2399">
        <v>44087.5</v>
      </c>
      <c r="D2399" s="4">
        <f>+VLOOKUP(A2399,Portfolio!$G$3:$I$6,3)</f>
        <v>1</v>
      </c>
      <c r="E2399">
        <f t="shared" si="37"/>
        <v>44087.5</v>
      </c>
    </row>
    <row r="2400" spans="1:5" x14ac:dyDescent="0.25">
      <c r="A2400" t="s">
        <v>1</v>
      </c>
      <c r="B2400">
        <v>1220407</v>
      </c>
      <c r="C2400">
        <v>43800</v>
      </c>
      <c r="D2400" s="4">
        <f>+VLOOKUP(A2400,Portfolio!$G$3:$I$6,3)</f>
        <v>1</v>
      </c>
      <c r="E2400">
        <f t="shared" si="37"/>
        <v>43800</v>
      </c>
    </row>
    <row r="2401" spans="1:5" x14ac:dyDescent="0.25">
      <c r="A2401" t="s">
        <v>1</v>
      </c>
      <c r="B2401">
        <v>1220408</v>
      </c>
      <c r="C2401">
        <v>43750</v>
      </c>
      <c r="D2401" s="4">
        <f>+VLOOKUP(A2401,Portfolio!$G$3:$I$6,3)</f>
        <v>1</v>
      </c>
      <c r="E2401">
        <f t="shared" si="37"/>
        <v>43750</v>
      </c>
    </row>
    <row r="2402" spans="1:5" x14ac:dyDescent="0.25">
      <c r="A2402" t="s">
        <v>1</v>
      </c>
      <c r="B2402">
        <v>1220410</v>
      </c>
      <c r="C2402">
        <v>44050</v>
      </c>
      <c r="D2402" s="4">
        <f>+VLOOKUP(A2402,Portfolio!$G$3:$I$6,3)</f>
        <v>1</v>
      </c>
      <c r="E2402">
        <f t="shared" si="37"/>
        <v>44050</v>
      </c>
    </row>
    <row r="2403" spans="1:5" x14ac:dyDescent="0.25">
      <c r="A2403" t="s">
        <v>1</v>
      </c>
      <c r="B2403">
        <v>1220411</v>
      </c>
      <c r="C2403">
        <v>44512.5</v>
      </c>
      <c r="D2403" s="4">
        <f>+VLOOKUP(A2403,Portfolio!$G$3:$I$6,3)</f>
        <v>1</v>
      </c>
      <c r="E2403">
        <f t="shared" si="37"/>
        <v>44512.5</v>
      </c>
    </row>
    <row r="2404" spans="1:5" x14ac:dyDescent="0.25">
      <c r="A2404" t="s">
        <v>1</v>
      </c>
      <c r="B2404">
        <v>1220412</v>
      </c>
      <c r="C2404">
        <v>44200</v>
      </c>
      <c r="D2404" s="4">
        <f>+VLOOKUP(A2404,Portfolio!$G$3:$I$6,3)</f>
        <v>1</v>
      </c>
      <c r="E2404">
        <f t="shared" si="37"/>
        <v>44200</v>
      </c>
    </row>
    <row r="2405" spans="1:5" x14ac:dyDescent="0.25">
      <c r="A2405" t="s">
        <v>1</v>
      </c>
      <c r="B2405">
        <v>1220413</v>
      </c>
      <c r="C2405">
        <v>44143.75</v>
      </c>
      <c r="D2405" s="4">
        <f>+VLOOKUP(A2405,Portfolio!$G$3:$I$6,3)</f>
        <v>1</v>
      </c>
      <c r="E2405">
        <f t="shared" si="37"/>
        <v>44143.75</v>
      </c>
    </row>
    <row r="2406" spans="1:5" x14ac:dyDescent="0.25">
      <c r="A2406" t="s">
        <v>1</v>
      </c>
      <c r="B2406">
        <v>1220414</v>
      </c>
      <c r="C2406">
        <v>44406.25</v>
      </c>
      <c r="D2406" s="4">
        <f>+VLOOKUP(A2406,Portfolio!$G$3:$I$6,3)</f>
        <v>1</v>
      </c>
      <c r="E2406">
        <f t="shared" si="37"/>
        <v>44406.25</v>
      </c>
    </row>
    <row r="2407" spans="1:5" x14ac:dyDescent="0.25">
      <c r="A2407" t="s">
        <v>1</v>
      </c>
      <c r="B2407">
        <v>1220417</v>
      </c>
      <c r="C2407">
        <v>45125</v>
      </c>
      <c r="D2407" s="4">
        <f>+VLOOKUP(A2407,Portfolio!$G$3:$I$6,3)</f>
        <v>1</v>
      </c>
      <c r="E2407">
        <f t="shared" si="37"/>
        <v>45125</v>
      </c>
    </row>
    <row r="2408" spans="1:5" x14ac:dyDescent="0.25">
      <c r="A2408" t="s">
        <v>1</v>
      </c>
      <c r="B2408">
        <v>1220418</v>
      </c>
      <c r="C2408">
        <v>45212.5</v>
      </c>
      <c r="D2408" s="4">
        <f>+VLOOKUP(A2408,Portfolio!$G$3:$I$6,3)</f>
        <v>1</v>
      </c>
      <c r="E2408">
        <f t="shared" si="37"/>
        <v>45212.5</v>
      </c>
    </row>
    <row r="2409" spans="1:5" x14ac:dyDescent="0.25">
      <c r="A2409" t="s">
        <v>1</v>
      </c>
      <c r="B2409">
        <v>1220419</v>
      </c>
      <c r="C2409">
        <v>45987.5</v>
      </c>
      <c r="D2409" s="4">
        <f>+VLOOKUP(A2409,Portfolio!$G$3:$I$6,3)</f>
        <v>1</v>
      </c>
      <c r="E2409">
        <f t="shared" si="37"/>
        <v>45987.5</v>
      </c>
    </row>
    <row r="2410" spans="1:5" x14ac:dyDescent="0.25">
      <c r="A2410" t="s">
        <v>1</v>
      </c>
      <c r="B2410">
        <v>1220420</v>
      </c>
      <c r="C2410">
        <v>46293.75</v>
      </c>
      <c r="D2410" s="4">
        <f>+VLOOKUP(A2410,Portfolio!$G$3:$I$6,3)</f>
        <v>1</v>
      </c>
      <c r="E2410">
        <f t="shared" si="37"/>
        <v>46293.75</v>
      </c>
    </row>
    <row r="2411" spans="1:5" x14ac:dyDescent="0.25">
      <c r="A2411" t="s">
        <v>1</v>
      </c>
      <c r="B2411">
        <v>1220421</v>
      </c>
      <c r="C2411">
        <v>44981.25</v>
      </c>
      <c r="D2411" s="4">
        <f>+VLOOKUP(A2411,Portfolio!$G$3:$I$6,3)</f>
        <v>1</v>
      </c>
      <c r="E2411">
        <f t="shared" si="37"/>
        <v>44981.25</v>
      </c>
    </row>
    <row r="2412" spans="1:5" x14ac:dyDescent="0.25">
      <c r="A2412" t="s">
        <v>1</v>
      </c>
      <c r="B2412">
        <v>1220422</v>
      </c>
      <c r="C2412">
        <v>44993.75</v>
      </c>
      <c r="D2412" s="4">
        <f>+VLOOKUP(A2412,Portfolio!$G$3:$I$6,3)</f>
        <v>1</v>
      </c>
      <c r="E2412">
        <f t="shared" si="37"/>
        <v>44993.75</v>
      </c>
    </row>
    <row r="2413" spans="1:5" x14ac:dyDescent="0.25">
      <c r="A2413" t="s">
        <v>1</v>
      </c>
      <c r="B2413">
        <v>1220424</v>
      </c>
      <c r="C2413">
        <v>45418.75</v>
      </c>
      <c r="D2413" s="4">
        <f>+VLOOKUP(A2413,Portfolio!$G$3:$I$6,3)</f>
        <v>1</v>
      </c>
      <c r="E2413">
        <f t="shared" si="37"/>
        <v>45418.75</v>
      </c>
    </row>
    <row r="2414" spans="1:5" x14ac:dyDescent="0.25">
      <c r="A2414" t="s">
        <v>1</v>
      </c>
      <c r="B2414">
        <v>1220425</v>
      </c>
      <c r="C2414">
        <v>45250</v>
      </c>
      <c r="D2414" s="4">
        <f>+VLOOKUP(A2414,Portfolio!$G$3:$I$6,3)</f>
        <v>1</v>
      </c>
      <c r="E2414">
        <f t="shared" si="37"/>
        <v>45250</v>
      </c>
    </row>
    <row r="2415" spans="1:5" x14ac:dyDescent="0.25">
      <c r="A2415" t="s">
        <v>1</v>
      </c>
      <c r="B2415">
        <v>1220426</v>
      </c>
      <c r="C2415">
        <v>44587.5</v>
      </c>
      <c r="D2415" s="4">
        <f>+VLOOKUP(A2415,Portfolio!$G$3:$I$6,3)</f>
        <v>1</v>
      </c>
      <c r="E2415">
        <f t="shared" si="37"/>
        <v>44587.5</v>
      </c>
    </row>
    <row r="2416" spans="1:5" x14ac:dyDescent="0.25">
      <c r="A2416" t="s">
        <v>1</v>
      </c>
      <c r="B2416">
        <v>1220427</v>
      </c>
      <c r="C2416">
        <v>44931.25</v>
      </c>
      <c r="D2416" s="4">
        <f>+VLOOKUP(A2416,Portfolio!$G$3:$I$6,3)</f>
        <v>1</v>
      </c>
      <c r="E2416">
        <f t="shared" si="37"/>
        <v>44931.25</v>
      </c>
    </row>
    <row r="2417" spans="1:5" x14ac:dyDescent="0.25">
      <c r="A2417" t="s">
        <v>1</v>
      </c>
      <c r="B2417">
        <v>1220428</v>
      </c>
      <c r="C2417">
        <v>46043.75</v>
      </c>
      <c r="D2417" s="4">
        <f>+VLOOKUP(A2417,Portfolio!$G$3:$I$6,3)</f>
        <v>1</v>
      </c>
      <c r="E2417">
        <f t="shared" si="37"/>
        <v>46043.75</v>
      </c>
    </row>
    <row r="2418" spans="1:5" x14ac:dyDescent="0.25">
      <c r="A2418" t="s">
        <v>1</v>
      </c>
      <c r="B2418">
        <v>1220429</v>
      </c>
      <c r="C2418">
        <v>46556.25</v>
      </c>
      <c r="D2418" s="4">
        <f>+VLOOKUP(A2418,Portfolio!$G$3:$I$6,3)</f>
        <v>1</v>
      </c>
      <c r="E2418">
        <f t="shared" si="37"/>
        <v>46556.25</v>
      </c>
    </row>
    <row r="2419" spans="1:5" x14ac:dyDescent="0.25">
      <c r="A2419" t="s">
        <v>1</v>
      </c>
      <c r="B2419">
        <v>1220501</v>
      </c>
      <c r="C2419">
        <v>45706.25</v>
      </c>
      <c r="D2419" s="4">
        <f>+VLOOKUP(A2419,Portfolio!$G$3:$I$6,3)</f>
        <v>1</v>
      </c>
      <c r="E2419">
        <f t="shared" si="37"/>
        <v>45706.25</v>
      </c>
    </row>
    <row r="2420" spans="1:5" x14ac:dyDescent="0.25">
      <c r="A2420" t="s">
        <v>1</v>
      </c>
      <c r="B2420">
        <v>1220502</v>
      </c>
      <c r="C2420">
        <v>45525</v>
      </c>
      <c r="D2420" s="4">
        <f>+VLOOKUP(A2420,Portfolio!$G$3:$I$6,3)</f>
        <v>1</v>
      </c>
      <c r="E2420">
        <f t="shared" si="37"/>
        <v>45525</v>
      </c>
    </row>
    <row r="2421" spans="1:5" x14ac:dyDescent="0.25">
      <c r="A2421" t="s">
        <v>1</v>
      </c>
      <c r="B2421">
        <v>1220503</v>
      </c>
      <c r="C2421">
        <v>45450</v>
      </c>
      <c r="D2421" s="4">
        <f>+VLOOKUP(A2421,Portfolio!$G$3:$I$6,3)</f>
        <v>1</v>
      </c>
      <c r="E2421">
        <f t="shared" si="37"/>
        <v>45450</v>
      </c>
    </row>
    <row r="2422" spans="1:5" x14ac:dyDescent="0.25">
      <c r="A2422" t="s">
        <v>1</v>
      </c>
      <c r="B2422">
        <v>1220504</v>
      </c>
      <c r="C2422">
        <v>45312.5</v>
      </c>
      <c r="D2422" s="4">
        <f>+VLOOKUP(A2422,Portfolio!$G$3:$I$6,3)</f>
        <v>1</v>
      </c>
      <c r="E2422">
        <f t="shared" si="37"/>
        <v>45312.5</v>
      </c>
    </row>
    <row r="2423" spans="1:5" x14ac:dyDescent="0.25">
      <c r="A2423" t="s">
        <v>1</v>
      </c>
      <c r="B2423">
        <v>1220505</v>
      </c>
      <c r="C2423">
        <v>45650</v>
      </c>
      <c r="D2423" s="4">
        <f>+VLOOKUP(A2423,Portfolio!$G$3:$I$6,3)</f>
        <v>1</v>
      </c>
      <c r="E2423">
        <f t="shared" si="37"/>
        <v>45650</v>
      </c>
    </row>
    <row r="2424" spans="1:5" x14ac:dyDescent="0.25">
      <c r="A2424" t="s">
        <v>1</v>
      </c>
      <c r="B2424">
        <v>1220506</v>
      </c>
      <c r="C2424">
        <v>45775</v>
      </c>
      <c r="D2424" s="4">
        <f>+VLOOKUP(A2424,Portfolio!$G$3:$I$6,3)</f>
        <v>1</v>
      </c>
      <c r="E2424">
        <f t="shared" si="37"/>
        <v>45775</v>
      </c>
    </row>
    <row r="2425" spans="1:5" x14ac:dyDescent="0.25">
      <c r="A2425" t="s">
        <v>1</v>
      </c>
      <c r="B2425">
        <v>1220508</v>
      </c>
      <c r="C2425">
        <v>44712.5</v>
      </c>
      <c r="D2425" s="4">
        <f>+VLOOKUP(A2425,Portfolio!$G$3:$I$6,3)</f>
        <v>1</v>
      </c>
      <c r="E2425">
        <f t="shared" si="37"/>
        <v>44712.5</v>
      </c>
    </row>
    <row r="2426" spans="1:5" x14ac:dyDescent="0.25">
      <c r="A2426" t="s">
        <v>1</v>
      </c>
      <c r="B2426">
        <v>1220509</v>
      </c>
      <c r="C2426">
        <v>44943.75</v>
      </c>
      <c r="D2426" s="4">
        <f>+VLOOKUP(A2426,Portfolio!$G$3:$I$6,3)</f>
        <v>1</v>
      </c>
      <c r="E2426">
        <f t="shared" si="37"/>
        <v>44943.75</v>
      </c>
    </row>
    <row r="2427" spans="1:5" x14ac:dyDescent="0.25">
      <c r="A2427" t="s">
        <v>1</v>
      </c>
      <c r="B2427">
        <v>1220510</v>
      </c>
      <c r="C2427">
        <v>45387.5</v>
      </c>
      <c r="D2427" s="4">
        <f>+VLOOKUP(A2427,Portfolio!$G$3:$I$6,3)</f>
        <v>1</v>
      </c>
      <c r="E2427">
        <f t="shared" si="37"/>
        <v>45387.5</v>
      </c>
    </row>
    <row r="2428" spans="1:5" x14ac:dyDescent="0.25">
      <c r="A2428" t="s">
        <v>1</v>
      </c>
      <c r="B2428">
        <v>1220511</v>
      </c>
      <c r="C2428">
        <v>45293.75</v>
      </c>
      <c r="D2428" s="4">
        <f>+VLOOKUP(A2428,Portfolio!$G$3:$I$6,3)</f>
        <v>1</v>
      </c>
      <c r="E2428">
        <f t="shared" si="37"/>
        <v>45293.75</v>
      </c>
    </row>
    <row r="2429" spans="1:5" x14ac:dyDescent="0.25">
      <c r="A2429" t="s">
        <v>1</v>
      </c>
      <c r="B2429">
        <v>1220512</v>
      </c>
      <c r="C2429">
        <v>44581.25</v>
      </c>
      <c r="D2429" s="4">
        <f>+VLOOKUP(A2429,Portfolio!$G$3:$I$6,3)</f>
        <v>1</v>
      </c>
      <c r="E2429">
        <f t="shared" si="37"/>
        <v>44581.25</v>
      </c>
    </row>
    <row r="2430" spans="1:5" x14ac:dyDescent="0.25">
      <c r="A2430" t="s">
        <v>1</v>
      </c>
      <c r="B2430">
        <v>1220513</v>
      </c>
      <c r="C2430">
        <v>44668.75</v>
      </c>
      <c r="D2430" s="4">
        <f>+VLOOKUP(A2430,Portfolio!$G$3:$I$6,3)</f>
        <v>1</v>
      </c>
      <c r="E2430">
        <f t="shared" si="37"/>
        <v>44668.75</v>
      </c>
    </row>
    <row r="2431" spans="1:5" x14ac:dyDescent="0.25">
      <c r="A2431" t="s">
        <v>1</v>
      </c>
      <c r="B2431">
        <v>1220515</v>
      </c>
      <c r="C2431">
        <v>45012.5</v>
      </c>
      <c r="D2431" s="4">
        <f>+VLOOKUP(A2431,Portfolio!$G$3:$I$6,3)</f>
        <v>1</v>
      </c>
      <c r="E2431">
        <f t="shared" si="37"/>
        <v>45012.5</v>
      </c>
    </row>
    <row r="2432" spans="1:5" x14ac:dyDescent="0.25">
      <c r="A2432" t="s">
        <v>1</v>
      </c>
      <c r="B2432">
        <v>1220516</v>
      </c>
      <c r="C2432">
        <v>44725</v>
      </c>
      <c r="D2432" s="4">
        <f>+VLOOKUP(A2432,Portfolio!$G$3:$I$6,3)</f>
        <v>1</v>
      </c>
      <c r="E2432">
        <f t="shared" si="37"/>
        <v>44725</v>
      </c>
    </row>
    <row r="2433" spans="1:5" x14ac:dyDescent="0.25">
      <c r="A2433" t="s">
        <v>1</v>
      </c>
      <c r="B2433">
        <v>1220517</v>
      </c>
      <c r="C2433">
        <v>45012.5</v>
      </c>
      <c r="D2433" s="4">
        <f>+VLOOKUP(A2433,Portfolio!$G$3:$I$6,3)</f>
        <v>1</v>
      </c>
      <c r="E2433">
        <f t="shared" si="37"/>
        <v>45012.5</v>
      </c>
    </row>
    <row r="2434" spans="1:5" x14ac:dyDescent="0.25">
      <c r="A2434" t="s">
        <v>1</v>
      </c>
      <c r="B2434">
        <v>1220518</v>
      </c>
      <c r="C2434">
        <v>44437.5</v>
      </c>
      <c r="D2434" s="4">
        <f>+VLOOKUP(A2434,Portfolio!$G$3:$I$6,3)</f>
        <v>1</v>
      </c>
      <c r="E2434">
        <f t="shared" si="37"/>
        <v>44437.5</v>
      </c>
    </row>
    <row r="2435" spans="1:5" x14ac:dyDescent="0.25">
      <c r="A2435" t="s">
        <v>1</v>
      </c>
      <c r="B2435">
        <v>1220519</v>
      </c>
      <c r="C2435">
        <v>44618.75</v>
      </c>
      <c r="D2435" s="4">
        <f>+VLOOKUP(A2435,Portfolio!$G$3:$I$6,3)</f>
        <v>1</v>
      </c>
      <c r="E2435">
        <f t="shared" ref="E2435:E2498" si="38">+C2435*D2435</f>
        <v>44618.75</v>
      </c>
    </row>
    <row r="2436" spans="1:5" x14ac:dyDescent="0.25">
      <c r="A2436" t="s">
        <v>1</v>
      </c>
      <c r="B2436">
        <v>1220520</v>
      </c>
      <c r="C2436">
        <v>45425</v>
      </c>
      <c r="D2436" s="4">
        <f>+VLOOKUP(A2436,Portfolio!$G$3:$I$6,3)</f>
        <v>1</v>
      </c>
      <c r="E2436">
        <f t="shared" si="38"/>
        <v>45425</v>
      </c>
    </row>
    <row r="2437" spans="1:5" x14ac:dyDescent="0.25">
      <c r="A2437" t="s">
        <v>1</v>
      </c>
      <c r="B2437">
        <v>1220522</v>
      </c>
      <c r="C2437">
        <v>45268.75</v>
      </c>
      <c r="D2437" s="4">
        <f>+VLOOKUP(A2437,Portfolio!$G$3:$I$6,3)</f>
        <v>1</v>
      </c>
      <c r="E2437">
        <f t="shared" si="38"/>
        <v>45268.75</v>
      </c>
    </row>
    <row r="2438" spans="1:5" x14ac:dyDescent="0.25">
      <c r="A2438" t="s">
        <v>1</v>
      </c>
      <c r="B2438">
        <v>1220523</v>
      </c>
      <c r="C2438">
        <v>45687.5</v>
      </c>
      <c r="D2438" s="4">
        <f>+VLOOKUP(A2438,Portfolio!$G$3:$I$6,3)</f>
        <v>1</v>
      </c>
      <c r="E2438">
        <f t="shared" si="38"/>
        <v>45687.5</v>
      </c>
    </row>
    <row r="2439" spans="1:5" x14ac:dyDescent="0.25">
      <c r="A2439" t="s">
        <v>1</v>
      </c>
      <c r="B2439">
        <v>1220524</v>
      </c>
      <c r="C2439">
        <v>45350</v>
      </c>
      <c r="D2439" s="4">
        <f>+VLOOKUP(A2439,Portfolio!$G$3:$I$6,3)</f>
        <v>1</v>
      </c>
      <c r="E2439">
        <f t="shared" si="38"/>
        <v>45350</v>
      </c>
    </row>
    <row r="2440" spans="1:5" x14ac:dyDescent="0.25">
      <c r="A2440" t="s">
        <v>1</v>
      </c>
      <c r="B2440">
        <v>1220525</v>
      </c>
      <c r="C2440">
        <v>45000</v>
      </c>
      <c r="D2440" s="4">
        <f>+VLOOKUP(A2440,Portfolio!$G$3:$I$6,3)</f>
        <v>1</v>
      </c>
      <c r="E2440">
        <f t="shared" si="38"/>
        <v>45000</v>
      </c>
    </row>
    <row r="2441" spans="1:5" x14ac:dyDescent="0.25">
      <c r="A2441" t="s">
        <v>1</v>
      </c>
      <c r="B2441">
        <v>1220526</v>
      </c>
      <c r="C2441">
        <v>44787.5</v>
      </c>
      <c r="D2441" s="4">
        <f>+VLOOKUP(A2441,Portfolio!$G$3:$I$6,3)</f>
        <v>1</v>
      </c>
      <c r="E2441">
        <f t="shared" si="38"/>
        <v>44787.5</v>
      </c>
    </row>
    <row r="2442" spans="1:5" x14ac:dyDescent="0.25">
      <c r="A2442" t="s">
        <v>1</v>
      </c>
      <c r="B2442">
        <v>1220527</v>
      </c>
      <c r="C2442">
        <v>44368.75</v>
      </c>
      <c r="D2442" s="4">
        <f>+VLOOKUP(A2442,Portfolio!$G$3:$I$6,3)</f>
        <v>1</v>
      </c>
      <c r="E2442">
        <f t="shared" si="38"/>
        <v>44368.75</v>
      </c>
    </row>
    <row r="2443" spans="1:5" x14ac:dyDescent="0.25">
      <c r="A2443" t="s">
        <v>1</v>
      </c>
      <c r="B2443">
        <v>1220529</v>
      </c>
      <c r="C2443">
        <v>44325</v>
      </c>
      <c r="D2443" s="4">
        <f>+VLOOKUP(A2443,Portfolio!$G$3:$I$6,3)</f>
        <v>1</v>
      </c>
      <c r="E2443">
        <f t="shared" si="38"/>
        <v>44325</v>
      </c>
    </row>
    <row r="2444" spans="1:5" x14ac:dyDescent="0.25">
      <c r="A2444" t="s">
        <v>1</v>
      </c>
      <c r="B2444">
        <v>1220530</v>
      </c>
      <c r="C2444">
        <v>44112.5</v>
      </c>
      <c r="D2444" s="4">
        <f>+VLOOKUP(A2444,Portfolio!$G$3:$I$6,3)</f>
        <v>1</v>
      </c>
      <c r="E2444">
        <f t="shared" si="38"/>
        <v>44112.5</v>
      </c>
    </row>
    <row r="2445" spans="1:5" x14ac:dyDescent="0.25">
      <c r="A2445" t="s">
        <v>1</v>
      </c>
      <c r="B2445">
        <v>1220531</v>
      </c>
      <c r="C2445">
        <v>44218.75</v>
      </c>
      <c r="D2445" s="4">
        <f>+VLOOKUP(A2445,Portfolio!$G$3:$I$6,3)</f>
        <v>1</v>
      </c>
      <c r="E2445">
        <f t="shared" si="38"/>
        <v>44218.75</v>
      </c>
    </row>
    <row r="2446" spans="1:5" x14ac:dyDescent="0.25">
      <c r="A2446" t="s">
        <v>1</v>
      </c>
      <c r="B2446">
        <v>1220601</v>
      </c>
      <c r="C2446">
        <v>45143.75</v>
      </c>
      <c r="D2446" s="4">
        <f>+VLOOKUP(A2446,Portfolio!$G$3:$I$6,3)</f>
        <v>1</v>
      </c>
      <c r="E2446">
        <f t="shared" si="38"/>
        <v>45143.75</v>
      </c>
    </row>
    <row r="2447" spans="1:5" x14ac:dyDescent="0.25">
      <c r="A2447" t="s">
        <v>1</v>
      </c>
      <c r="B2447">
        <v>1220602</v>
      </c>
      <c r="C2447">
        <v>45312.5</v>
      </c>
      <c r="D2447" s="4">
        <f>+VLOOKUP(A2447,Portfolio!$G$3:$I$6,3)</f>
        <v>1</v>
      </c>
      <c r="E2447">
        <f t="shared" si="38"/>
        <v>45312.5</v>
      </c>
    </row>
    <row r="2448" spans="1:5" x14ac:dyDescent="0.25">
      <c r="A2448" t="s">
        <v>1</v>
      </c>
      <c r="B2448">
        <v>1220603</v>
      </c>
      <c r="C2448">
        <v>44118.75</v>
      </c>
      <c r="D2448" s="4">
        <f>+VLOOKUP(A2448,Portfolio!$G$3:$I$6,3)</f>
        <v>1</v>
      </c>
      <c r="E2448">
        <f t="shared" si="38"/>
        <v>44118.75</v>
      </c>
    </row>
    <row r="2449" spans="1:5" x14ac:dyDescent="0.25">
      <c r="A2449" t="s">
        <v>1</v>
      </c>
      <c r="B2449">
        <v>1220605</v>
      </c>
      <c r="C2449">
        <v>44312.5</v>
      </c>
      <c r="D2449" s="4">
        <f>+VLOOKUP(A2449,Portfolio!$G$3:$I$6,3)</f>
        <v>1</v>
      </c>
      <c r="E2449">
        <f t="shared" si="38"/>
        <v>44312.5</v>
      </c>
    </row>
    <row r="2450" spans="1:5" x14ac:dyDescent="0.25">
      <c r="A2450" t="s">
        <v>1</v>
      </c>
      <c r="B2450">
        <v>1220606</v>
      </c>
      <c r="C2450">
        <v>44200</v>
      </c>
      <c r="D2450" s="4">
        <f>+VLOOKUP(A2450,Portfolio!$G$3:$I$6,3)</f>
        <v>1</v>
      </c>
      <c r="E2450">
        <f t="shared" si="38"/>
        <v>44200</v>
      </c>
    </row>
    <row r="2451" spans="1:5" x14ac:dyDescent="0.25">
      <c r="A2451" t="s">
        <v>1</v>
      </c>
      <c r="B2451">
        <v>1220607</v>
      </c>
      <c r="C2451">
        <v>45843.75</v>
      </c>
      <c r="D2451" s="4">
        <f>+VLOOKUP(A2451,Portfolio!$G$3:$I$6,3)</f>
        <v>1</v>
      </c>
      <c r="E2451">
        <f t="shared" si="38"/>
        <v>45843.75</v>
      </c>
    </row>
    <row r="2452" spans="1:5" x14ac:dyDescent="0.25">
      <c r="A2452" t="s">
        <v>1</v>
      </c>
      <c r="B2452">
        <v>1220608</v>
      </c>
      <c r="C2452">
        <v>45650</v>
      </c>
      <c r="D2452" s="4">
        <f>+VLOOKUP(A2452,Portfolio!$G$3:$I$6,3)</f>
        <v>1</v>
      </c>
      <c r="E2452">
        <f t="shared" si="38"/>
        <v>45650</v>
      </c>
    </row>
    <row r="2453" spans="1:5" x14ac:dyDescent="0.25">
      <c r="A2453" t="s">
        <v>1</v>
      </c>
      <c r="B2453">
        <v>1220609</v>
      </c>
      <c r="C2453">
        <v>46312.5</v>
      </c>
      <c r="D2453" s="4">
        <f>+VLOOKUP(A2453,Portfolio!$G$3:$I$6,3)</f>
        <v>1</v>
      </c>
      <c r="E2453">
        <f t="shared" si="38"/>
        <v>46312.5</v>
      </c>
    </row>
    <row r="2454" spans="1:5" x14ac:dyDescent="0.25">
      <c r="A2454" t="s">
        <v>1</v>
      </c>
      <c r="B2454">
        <v>1220610</v>
      </c>
      <c r="C2454">
        <v>46343.75</v>
      </c>
      <c r="D2454" s="4">
        <f>+VLOOKUP(A2454,Portfolio!$G$3:$I$6,3)</f>
        <v>1</v>
      </c>
      <c r="E2454">
        <f t="shared" si="38"/>
        <v>46343.75</v>
      </c>
    </row>
    <row r="2455" spans="1:5" x14ac:dyDescent="0.25">
      <c r="A2455" t="s">
        <v>1</v>
      </c>
      <c r="B2455">
        <v>1220612</v>
      </c>
      <c r="C2455">
        <v>46650</v>
      </c>
      <c r="D2455" s="4">
        <f>+VLOOKUP(A2455,Portfolio!$G$3:$I$6,3)</f>
        <v>1</v>
      </c>
      <c r="E2455">
        <f t="shared" si="38"/>
        <v>46650</v>
      </c>
    </row>
    <row r="2456" spans="1:5" x14ac:dyDescent="0.25">
      <c r="A2456" t="s">
        <v>1</v>
      </c>
      <c r="B2456">
        <v>1220613</v>
      </c>
      <c r="C2456">
        <v>46881.25</v>
      </c>
      <c r="D2456" s="4">
        <f>+VLOOKUP(A2456,Portfolio!$G$3:$I$6,3)</f>
        <v>1</v>
      </c>
      <c r="E2456">
        <f t="shared" si="38"/>
        <v>46881.25</v>
      </c>
    </row>
    <row r="2457" spans="1:5" x14ac:dyDescent="0.25">
      <c r="A2457" t="s">
        <v>1</v>
      </c>
      <c r="B2457">
        <v>1220614</v>
      </c>
      <c r="C2457">
        <v>46012.5</v>
      </c>
      <c r="D2457" s="4">
        <f>+VLOOKUP(A2457,Portfolio!$G$3:$I$6,3)</f>
        <v>1</v>
      </c>
      <c r="E2457">
        <f t="shared" si="38"/>
        <v>46012.5</v>
      </c>
    </row>
    <row r="2458" spans="1:5" x14ac:dyDescent="0.25">
      <c r="A2458" t="s">
        <v>1</v>
      </c>
      <c r="B2458">
        <v>1220615</v>
      </c>
      <c r="C2458">
        <v>46243.75</v>
      </c>
      <c r="D2458" s="4">
        <f>+VLOOKUP(A2458,Portfolio!$G$3:$I$6,3)</f>
        <v>1</v>
      </c>
      <c r="E2458">
        <f t="shared" si="38"/>
        <v>46243.75</v>
      </c>
    </row>
    <row r="2459" spans="1:5" x14ac:dyDescent="0.25">
      <c r="A2459" t="s">
        <v>1</v>
      </c>
      <c r="B2459">
        <v>1220616</v>
      </c>
      <c r="C2459">
        <v>44618.75</v>
      </c>
      <c r="D2459" s="4">
        <f>+VLOOKUP(A2459,Portfolio!$G$3:$I$6,3)</f>
        <v>1</v>
      </c>
      <c r="E2459">
        <f t="shared" si="38"/>
        <v>44618.75</v>
      </c>
    </row>
    <row r="2460" spans="1:5" x14ac:dyDescent="0.25">
      <c r="A2460" t="s">
        <v>1</v>
      </c>
      <c r="B2460">
        <v>1220617</v>
      </c>
      <c r="C2460">
        <v>43906.25</v>
      </c>
      <c r="D2460" s="4">
        <f>+VLOOKUP(A2460,Portfolio!$G$3:$I$6,3)</f>
        <v>1</v>
      </c>
      <c r="E2460">
        <f t="shared" si="38"/>
        <v>43906.25</v>
      </c>
    </row>
    <row r="2461" spans="1:5" x14ac:dyDescent="0.25">
      <c r="A2461" t="s">
        <v>1</v>
      </c>
      <c r="B2461">
        <v>1220619</v>
      </c>
      <c r="C2461">
        <v>44850</v>
      </c>
      <c r="D2461" s="4">
        <f>+VLOOKUP(A2461,Portfolio!$G$3:$I$6,3)</f>
        <v>1</v>
      </c>
      <c r="E2461">
        <f t="shared" si="38"/>
        <v>44850</v>
      </c>
    </row>
    <row r="2462" spans="1:5" x14ac:dyDescent="0.25">
      <c r="A2462" t="s">
        <v>1</v>
      </c>
      <c r="B2462">
        <v>1220620</v>
      </c>
      <c r="C2462">
        <v>44675</v>
      </c>
      <c r="D2462" s="4">
        <f>+VLOOKUP(A2462,Portfolio!$G$3:$I$6,3)</f>
        <v>1</v>
      </c>
      <c r="E2462">
        <f t="shared" si="38"/>
        <v>44675</v>
      </c>
    </row>
    <row r="2463" spans="1:5" x14ac:dyDescent="0.25">
      <c r="A2463" t="s">
        <v>1</v>
      </c>
      <c r="B2463">
        <v>1220621</v>
      </c>
      <c r="C2463">
        <v>44787.5</v>
      </c>
      <c r="D2463" s="4">
        <f>+VLOOKUP(A2463,Portfolio!$G$3:$I$6,3)</f>
        <v>1</v>
      </c>
      <c r="E2463">
        <f t="shared" si="38"/>
        <v>44787.5</v>
      </c>
    </row>
    <row r="2464" spans="1:5" x14ac:dyDescent="0.25">
      <c r="A2464" t="s">
        <v>1</v>
      </c>
      <c r="B2464">
        <v>1220622</v>
      </c>
      <c r="C2464">
        <v>45537.5</v>
      </c>
      <c r="D2464" s="4">
        <f>+VLOOKUP(A2464,Portfolio!$G$3:$I$6,3)</f>
        <v>1</v>
      </c>
      <c r="E2464">
        <f t="shared" si="38"/>
        <v>45537.5</v>
      </c>
    </row>
    <row r="2465" spans="1:5" x14ac:dyDescent="0.25">
      <c r="A2465" t="s">
        <v>1</v>
      </c>
      <c r="B2465">
        <v>1220623</v>
      </c>
      <c r="C2465">
        <v>45500</v>
      </c>
      <c r="D2465" s="4">
        <f>+VLOOKUP(A2465,Portfolio!$G$3:$I$6,3)</f>
        <v>1</v>
      </c>
      <c r="E2465">
        <f t="shared" si="38"/>
        <v>45500</v>
      </c>
    </row>
    <row r="2466" spans="1:5" x14ac:dyDescent="0.25">
      <c r="A2466" t="s">
        <v>1</v>
      </c>
      <c r="B2466">
        <v>1220624</v>
      </c>
      <c r="C2466">
        <v>45931.25</v>
      </c>
      <c r="D2466" s="4">
        <f>+VLOOKUP(A2466,Portfolio!$G$3:$I$6,3)</f>
        <v>1</v>
      </c>
      <c r="E2466">
        <f t="shared" si="38"/>
        <v>45931.25</v>
      </c>
    </row>
    <row r="2467" spans="1:5" x14ac:dyDescent="0.25">
      <c r="A2467" t="s">
        <v>1</v>
      </c>
      <c r="B2467">
        <v>1220626</v>
      </c>
      <c r="C2467">
        <v>45631.25</v>
      </c>
      <c r="D2467" s="4">
        <f>+VLOOKUP(A2467,Portfolio!$G$3:$I$6,3)</f>
        <v>1</v>
      </c>
      <c r="E2467">
        <f t="shared" si="38"/>
        <v>45631.25</v>
      </c>
    </row>
    <row r="2468" spans="1:5" x14ac:dyDescent="0.25">
      <c r="A2468" t="s">
        <v>1</v>
      </c>
      <c r="B2468">
        <v>1220627</v>
      </c>
      <c r="C2468">
        <v>45350</v>
      </c>
      <c r="D2468" s="4">
        <f>+VLOOKUP(A2468,Portfolio!$G$3:$I$6,3)</f>
        <v>1</v>
      </c>
      <c r="E2468">
        <f t="shared" si="38"/>
        <v>45350</v>
      </c>
    </row>
    <row r="2469" spans="1:5" x14ac:dyDescent="0.25">
      <c r="A2469" t="s">
        <v>1</v>
      </c>
      <c r="B2469">
        <v>1220628</v>
      </c>
      <c r="C2469">
        <v>45787.5</v>
      </c>
      <c r="D2469" s="4">
        <f>+VLOOKUP(A2469,Portfolio!$G$3:$I$6,3)</f>
        <v>1</v>
      </c>
      <c r="E2469">
        <f t="shared" si="38"/>
        <v>45787.5</v>
      </c>
    </row>
    <row r="2470" spans="1:5" x14ac:dyDescent="0.25">
      <c r="A2470" t="s">
        <v>1</v>
      </c>
      <c r="B2470">
        <v>1220629</v>
      </c>
      <c r="C2470">
        <v>46281.25</v>
      </c>
      <c r="D2470" s="4">
        <f>+VLOOKUP(A2470,Portfolio!$G$3:$I$6,3)</f>
        <v>1</v>
      </c>
      <c r="E2470">
        <f t="shared" si="38"/>
        <v>46281.25</v>
      </c>
    </row>
    <row r="2471" spans="1:5" x14ac:dyDescent="0.25">
      <c r="A2471" t="s">
        <v>1</v>
      </c>
      <c r="B2471">
        <v>1220630</v>
      </c>
      <c r="C2471">
        <v>46618.75</v>
      </c>
      <c r="D2471" s="4">
        <f>+VLOOKUP(A2471,Portfolio!$G$3:$I$6,3)</f>
        <v>1</v>
      </c>
      <c r="E2471">
        <f t="shared" si="38"/>
        <v>46618.75</v>
      </c>
    </row>
    <row r="2472" spans="1:5" x14ac:dyDescent="0.25">
      <c r="A2472" t="s">
        <v>1</v>
      </c>
      <c r="B2472">
        <v>1220701</v>
      </c>
      <c r="C2472">
        <v>46825</v>
      </c>
      <c r="D2472" s="4">
        <f>+VLOOKUP(A2472,Portfolio!$G$3:$I$6,3)</f>
        <v>1</v>
      </c>
      <c r="E2472">
        <f t="shared" si="38"/>
        <v>46825</v>
      </c>
    </row>
    <row r="2473" spans="1:5" x14ac:dyDescent="0.25">
      <c r="A2473" t="s">
        <v>1</v>
      </c>
      <c r="B2473">
        <v>1220703</v>
      </c>
      <c r="C2473">
        <v>46781.25</v>
      </c>
      <c r="D2473" s="4">
        <f>+VLOOKUP(A2473,Portfolio!$G$3:$I$6,3)</f>
        <v>1</v>
      </c>
      <c r="E2473">
        <f t="shared" si="38"/>
        <v>46781.25</v>
      </c>
    </row>
    <row r="2474" spans="1:5" x14ac:dyDescent="0.25">
      <c r="A2474" t="s">
        <v>1</v>
      </c>
      <c r="B2474">
        <v>1220704</v>
      </c>
      <c r="C2474">
        <v>46793.75</v>
      </c>
      <c r="D2474" s="4">
        <f>+VLOOKUP(A2474,Portfolio!$G$3:$I$6,3)</f>
        <v>1</v>
      </c>
      <c r="E2474">
        <f t="shared" si="38"/>
        <v>46793.75</v>
      </c>
    </row>
    <row r="2475" spans="1:5" x14ac:dyDescent="0.25">
      <c r="A2475" t="s">
        <v>1</v>
      </c>
      <c r="B2475">
        <v>1220705</v>
      </c>
      <c r="C2475">
        <v>46981.25</v>
      </c>
      <c r="D2475" s="4">
        <f>+VLOOKUP(A2475,Portfolio!$G$3:$I$6,3)</f>
        <v>1</v>
      </c>
      <c r="E2475">
        <f t="shared" si="38"/>
        <v>46981.25</v>
      </c>
    </row>
    <row r="2476" spans="1:5" x14ac:dyDescent="0.25">
      <c r="A2476" t="s">
        <v>1</v>
      </c>
      <c r="B2476">
        <v>1220706</v>
      </c>
      <c r="C2476">
        <v>46643.75</v>
      </c>
      <c r="D2476" s="4">
        <f>+VLOOKUP(A2476,Portfolio!$G$3:$I$6,3)</f>
        <v>1</v>
      </c>
      <c r="E2476">
        <f t="shared" si="38"/>
        <v>46643.75</v>
      </c>
    </row>
    <row r="2477" spans="1:5" x14ac:dyDescent="0.25">
      <c r="A2477" t="s">
        <v>1</v>
      </c>
      <c r="B2477">
        <v>1220707</v>
      </c>
      <c r="C2477">
        <v>46400</v>
      </c>
      <c r="D2477" s="4">
        <f>+VLOOKUP(A2477,Portfolio!$G$3:$I$6,3)</f>
        <v>1</v>
      </c>
      <c r="E2477">
        <f t="shared" si="38"/>
        <v>46400</v>
      </c>
    </row>
    <row r="2478" spans="1:5" x14ac:dyDescent="0.25">
      <c r="A2478" t="s">
        <v>1</v>
      </c>
      <c r="B2478">
        <v>1220708</v>
      </c>
      <c r="C2478">
        <v>46618.75</v>
      </c>
      <c r="D2478" s="4">
        <f>+VLOOKUP(A2478,Portfolio!$G$3:$I$6,3)</f>
        <v>1</v>
      </c>
      <c r="E2478">
        <f t="shared" si="38"/>
        <v>46618.75</v>
      </c>
    </row>
    <row r="2479" spans="1:5" x14ac:dyDescent="0.25">
      <c r="A2479" t="s">
        <v>1</v>
      </c>
      <c r="B2479">
        <v>1220710</v>
      </c>
      <c r="C2479">
        <v>46393.75</v>
      </c>
      <c r="D2479" s="4">
        <f>+VLOOKUP(A2479,Portfolio!$G$3:$I$6,3)</f>
        <v>1</v>
      </c>
      <c r="E2479">
        <f t="shared" si="38"/>
        <v>46393.75</v>
      </c>
    </row>
    <row r="2480" spans="1:5" x14ac:dyDescent="0.25">
      <c r="A2480" t="s">
        <v>1</v>
      </c>
      <c r="B2480">
        <v>1220711</v>
      </c>
      <c r="C2480">
        <v>46943.75</v>
      </c>
      <c r="D2480" s="4">
        <f>+VLOOKUP(A2480,Portfolio!$G$3:$I$6,3)</f>
        <v>1</v>
      </c>
      <c r="E2480">
        <f t="shared" si="38"/>
        <v>46943.75</v>
      </c>
    </row>
    <row r="2481" spans="1:5" x14ac:dyDescent="0.25">
      <c r="A2481" t="s">
        <v>1</v>
      </c>
      <c r="B2481">
        <v>1220712</v>
      </c>
      <c r="C2481">
        <v>47150</v>
      </c>
      <c r="D2481" s="4">
        <f>+VLOOKUP(A2481,Portfolio!$G$3:$I$6,3)</f>
        <v>1</v>
      </c>
      <c r="E2481">
        <f t="shared" si="38"/>
        <v>47150</v>
      </c>
    </row>
    <row r="2482" spans="1:5" x14ac:dyDescent="0.25">
      <c r="A2482" t="s">
        <v>1</v>
      </c>
      <c r="B2482">
        <v>1220713</v>
      </c>
      <c r="C2482">
        <v>46650</v>
      </c>
      <c r="D2482" s="4">
        <f>+VLOOKUP(A2482,Portfolio!$G$3:$I$6,3)</f>
        <v>1</v>
      </c>
      <c r="E2482">
        <f t="shared" si="38"/>
        <v>46650</v>
      </c>
    </row>
    <row r="2483" spans="1:5" x14ac:dyDescent="0.25">
      <c r="A2483" t="s">
        <v>1</v>
      </c>
      <c r="B2483">
        <v>1220714</v>
      </c>
      <c r="C2483">
        <v>47162.5</v>
      </c>
      <c r="D2483" s="4">
        <f>+VLOOKUP(A2483,Portfolio!$G$3:$I$6,3)</f>
        <v>1</v>
      </c>
      <c r="E2483">
        <f t="shared" si="38"/>
        <v>47162.5</v>
      </c>
    </row>
    <row r="2484" spans="1:5" x14ac:dyDescent="0.25">
      <c r="A2484" t="s">
        <v>1</v>
      </c>
      <c r="B2484">
        <v>1220715</v>
      </c>
      <c r="C2484">
        <v>47693.75</v>
      </c>
      <c r="D2484" s="4">
        <f>+VLOOKUP(A2484,Portfolio!$G$3:$I$6,3)</f>
        <v>1</v>
      </c>
      <c r="E2484">
        <f t="shared" si="38"/>
        <v>47693.75</v>
      </c>
    </row>
    <row r="2485" spans="1:5" x14ac:dyDescent="0.25">
      <c r="A2485" t="s">
        <v>1</v>
      </c>
      <c r="B2485">
        <v>1220717</v>
      </c>
      <c r="C2485">
        <v>47456.25</v>
      </c>
      <c r="D2485" s="4">
        <f>+VLOOKUP(A2485,Portfolio!$G$3:$I$6,3)</f>
        <v>1</v>
      </c>
      <c r="E2485">
        <f t="shared" si="38"/>
        <v>47456.25</v>
      </c>
    </row>
    <row r="2486" spans="1:5" x14ac:dyDescent="0.25">
      <c r="A2486" t="s">
        <v>1</v>
      </c>
      <c r="B2486">
        <v>1220718</v>
      </c>
      <c r="C2486">
        <v>47531.25</v>
      </c>
      <c r="D2486" s="4">
        <f>+VLOOKUP(A2486,Portfolio!$G$3:$I$6,3)</f>
        <v>1</v>
      </c>
      <c r="E2486">
        <f t="shared" si="38"/>
        <v>47531.25</v>
      </c>
    </row>
    <row r="2487" spans="1:5" x14ac:dyDescent="0.25">
      <c r="A2487" t="s">
        <v>1</v>
      </c>
      <c r="B2487">
        <v>1220719</v>
      </c>
      <c r="C2487">
        <v>47387.5</v>
      </c>
      <c r="D2487" s="4">
        <f>+VLOOKUP(A2487,Portfolio!$G$3:$I$6,3)</f>
        <v>1</v>
      </c>
      <c r="E2487">
        <f t="shared" si="38"/>
        <v>47387.5</v>
      </c>
    </row>
    <row r="2488" spans="1:5" x14ac:dyDescent="0.25">
      <c r="A2488" t="s">
        <v>1</v>
      </c>
      <c r="B2488">
        <v>1220720</v>
      </c>
      <c r="C2488">
        <v>46593.75</v>
      </c>
      <c r="D2488" s="4">
        <f>+VLOOKUP(A2488,Portfolio!$G$3:$I$6,3)</f>
        <v>1</v>
      </c>
      <c r="E2488">
        <f t="shared" si="38"/>
        <v>46593.75</v>
      </c>
    </row>
    <row r="2489" spans="1:5" x14ac:dyDescent="0.25">
      <c r="A2489" t="s">
        <v>1</v>
      </c>
      <c r="B2489">
        <v>1220721</v>
      </c>
      <c r="C2489">
        <v>46150</v>
      </c>
      <c r="D2489" s="4">
        <f>+VLOOKUP(A2489,Portfolio!$G$3:$I$6,3)</f>
        <v>1</v>
      </c>
      <c r="E2489">
        <f t="shared" si="38"/>
        <v>46150</v>
      </c>
    </row>
    <row r="2490" spans="1:5" x14ac:dyDescent="0.25">
      <c r="A2490" t="s">
        <v>1</v>
      </c>
      <c r="B2490">
        <v>1220722</v>
      </c>
      <c r="C2490">
        <v>46506.25</v>
      </c>
      <c r="D2490" s="4">
        <f>+VLOOKUP(A2490,Portfolio!$G$3:$I$6,3)</f>
        <v>1</v>
      </c>
      <c r="E2490">
        <f t="shared" si="38"/>
        <v>46506.25</v>
      </c>
    </row>
    <row r="2491" spans="1:5" x14ac:dyDescent="0.25">
      <c r="A2491" t="s">
        <v>1</v>
      </c>
      <c r="B2491">
        <v>1220724</v>
      </c>
      <c r="C2491">
        <v>47543.75</v>
      </c>
      <c r="D2491" s="4">
        <f>+VLOOKUP(A2491,Portfolio!$G$3:$I$6,3)</f>
        <v>1</v>
      </c>
      <c r="E2491">
        <f t="shared" si="38"/>
        <v>47543.75</v>
      </c>
    </row>
    <row r="2492" spans="1:5" x14ac:dyDescent="0.25">
      <c r="A2492" t="s">
        <v>1</v>
      </c>
      <c r="B2492">
        <v>1220725</v>
      </c>
      <c r="C2492">
        <v>47618.75</v>
      </c>
      <c r="D2492" s="4">
        <f>+VLOOKUP(A2492,Portfolio!$G$3:$I$6,3)</f>
        <v>1</v>
      </c>
      <c r="E2492">
        <f t="shared" si="38"/>
        <v>47618.75</v>
      </c>
    </row>
    <row r="2493" spans="1:5" x14ac:dyDescent="0.25">
      <c r="A2493" t="s">
        <v>1</v>
      </c>
      <c r="B2493">
        <v>1220726</v>
      </c>
      <c r="C2493">
        <v>47487.5</v>
      </c>
      <c r="D2493" s="4">
        <f>+VLOOKUP(A2493,Portfolio!$G$3:$I$6,3)</f>
        <v>1</v>
      </c>
      <c r="E2493">
        <f t="shared" si="38"/>
        <v>47487.5</v>
      </c>
    </row>
    <row r="2494" spans="1:5" x14ac:dyDescent="0.25">
      <c r="A2494" t="s">
        <v>1</v>
      </c>
      <c r="B2494">
        <v>1220727</v>
      </c>
      <c r="C2494">
        <v>47293.75</v>
      </c>
      <c r="D2494" s="4">
        <f>+VLOOKUP(A2494,Portfolio!$G$3:$I$6,3)</f>
        <v>1</v>
      </c>
      <c r="E2494">
        <f t="shared" si="38"/>
        <v>47293.75</v>
      </c>
    </row>
    <row r="2495" spans="1:5" x14ac:dyDescent="0.25">
      <c r="A2495" t="s">
        <v>1</v>
      </c>
      <c r="B2495">
        <v>1220728</v>
      </c>
      <c r="C2495">
        <v>47656.25</v>
      </c>
      <c r="D2495" s="4">
        <f>+VLOOKUP(A2495,Portfolio!$G$3:$I$6,3)</f>
        <v>1</v>
      </c>
      <c r="E2495">
        <f t="shared" si="38"/>
        <v>47656.25</v>
      </c>
    </row>
    <row r="2496" spans="1:5" x14ac:dyDescent="0.25">
      <c r="A2496" t="s">
        <v>1</v>
      </c>
      <c r="B2496">
        <v>1220729</v>
      </c>
      <c r="C2496">
        <v>49087.5</v>
      </c>
      <c r="D2496" s="4">
        <f>+VLOOKUP(A2496,Portfolio!$G$3:$I$6,3)</f>
        <v>1</v>
      </c>
      <c r="E2496">
        <f t="shared" si="38"/>
        <v>49087.5</v>
      </c>
    </row>
    <row r="2497" spans="1:5" x14ac:dyDescent="0.25">
      <c r="A2497" t="s">
        <v>1</v>
      </c>
      <c r="B2497">
        <v>1220731</v>
      </c>
      <c r="C2497">
        <v>48800</v>
      </c>
      <c r="D2497" s="4">
        <f>+VLOOKUP(A2497,Portfolio!$G$3:$I$6,3)</f>
        <v>1</v>
      </c>
      <c r="E2497">
        <f t="shared" si="38"/>
        <v>48800</v>
      </c>
    </row>
    <row r="2498" spans="1:5" x14ac:dyDescent="0.25">
      <c r="A2498" t="s">
        <v>1</v>
      </c>
      <c r="B2498">
        <v>1220801</v>
      </c>
      <c r="C2498">
        <v>48181.25</v>
      </c>
      <c r="D2498" s="4">
        <f>+VLOOKUP(A2498,Portfolio!$G$3:$I$6,3)</f>
        <v>1</v>
      </c>
      <c r="E2498">
        <f t="shared" si="38"/>
        <v>48181.25</v>
      </c>
    </row>
    <row r="2499" spans="1:5" x14ac:dyDescent="0.25">
      <c r="A2499" t="s">
        <v>1</v>
      </c>
      <c r="B2499">
        <v>1220802</v>
      </c>
      <c r="C2499">
        <v>49537.5</v>
      </c>
      <c r="D2499" s="4">
        <f>+VLOOKUP(A2499,Portfolio!$G$3:$I$6,3)</f>
        <v>1</v>
      </c>
      <c r="E2499">
        <f t="shared" ref="E2499:E2562" si="39">+C2499*D2499</f>
        <v>49537.5</v>
      </c>
    </row>
    <row r="2500" spans="1:5" x14ac:dyDescent="0.25">
      <c r="A2500" t="s">
        <v>1</v>
      </c>
      <c r="B2500">
        <v>1220803</v>
      </c>
      <c r="C2500">
        <v>50312.5</v>
      </c>
      <c r="D2500" s="4">
        <f>+VLOOKUP(A2500,Portfolio!$G$3:$I$6,3)</f>
        <v>1</v>
      </c>
      <c r="E2500">
        <f t="shared" si="39"/>
        <v>50312.5</v>
      </c>
    </row>
    <row r="2501" spans="1:5" x14ac:dyDescent="0.25">
      <c r="A2501" t="s">
        <v>1</v>
      </c>
      <c r="B2501">
        <v>1220804</v>
      </c>
      <c r="C2501">
        <v>51031.25</v>
      </c>
      <c r="D2501" s="4">
        <f>+VLOOKUP(A2501,Portfolio!$G$3:$I$6,3)</f>
        <v>1</v>
      </c>
      <c r="E2501">
        <f t="shared" si="39"/>
        <v>51031.25</v>
      </c>
    </row>
    <row r="2502" spans="1:5" x14ac:dyDescent="0.25">
      <c r="A2502" t="s">
        <v>1</v>
      </c>
      <c r="B2502">
        <v>1220805</v>
      </c>
      <c r="C2502">
        <v>51643.75</v>
      </c>
      <c r="D2502" s="4">
        <f>+VLOOKUP(A2502,Portfolio!$G$3:$I$6,3)</f>
        <v>1</v>
      </c>
      <c r="E2502">
        <f t="shared" si="39"/>
        <v>51643.75</v>
      </c>
    </row>
    <row r="2503" spans="1:5" x14ac:dyDescent="0.25">
      <c r="A2503" t="s">
        <v>1</v>
      </c>
      <c r="B2503">
        <v>1220807</v>
      </c>
      <c r="C2503">
        <v>52843.75</v>
      </c>
      <c r="D2503" s="4">
        <f>+VLOOKUP(A2503,Portfolio!$G$3:$I$6,3)</f>
        <v>1</v>
      </c>
      <c r="E2503">
        <f t="shared" si="39"/>
        <v>52843.75</v>
      </c>
    </row>
    <row r="2504" spans="1:5" x14ac:dyDescent="0.25">
      <c r="A2504" t="s">
        <v>1</v>
      </c>
      <c r="B2504">
        <v>1220808</v>
      </c>
      <c r="C2504">
        <v>52906.25</v>
      </c>
      <c r="D2504" s="4">
        <f>+VLOOKUP(A2504,Portfolio!$G$3:$I$6,3)</f>
        <v>1</v>
      </c>
      <c r="E2504">
        <f t="shared" si="39"/>
        <v>52906.25</v>
      </c>
    </row>
    <row r="2505" spans="1:5" x14ac:dyDescent="0.25">
      <c r="A2505" t="s">
        <v>1</v>
      </c>
      <c r="B2505">
        <v>1220809</v>
      </c>
      <c r="C2505">
        <v>52487.5</v>
      </c>
      <c r="D2505" s="4">
        <f>+VLOOKUP(A2505,Portfolio!$G$3:$I$6,3)</f>
        <v>1</v>
      </c>
      <c r="E2505">
        <f t="shared" si="39"/>
        <v>52487.5</v>
      </c>
    </row>
    <row r="2506" spans="1:5" x14ac:dyDescent="0.25">
      <c r="A2506" t="s">
        <v>1</v>
      </c>
      <c r="B2506">
        <v>1220810</v>
      </c>
      <c r="C2506">
        <v>52400</v>
      </c>
      <c r="D2506" s="4">
        <f>+VLOOKUP(A2506,Portfolio!$G$3:$I$6,3)</f>
        <v>1</v>
      </c>
      <c r="E2506">
        <f t="shared" si="39"/>
        <v>52400</v>
      </c>
    </row>
    <row r="2507" spans="1:5" x14ac:dyDescent="0.25">
      <c r="A2507" t="s">
        <v>1</v>
      </c>
      <c r="B2507">
        <v>1220811</v>
      </c>
      <c r="C2507">
        <v>53150</v>
      </c>
      <c r="D2507" s="4">
        <f>+VLOOKUP(A2507,Portfolio!$G$3:$I$6,3)</f>
        <v>1</v>
      </c>
      <c r="E2507">
        <f t="shared" si="39"/>
        <v>53150</v>
      </c>
    </row>
    <row r="2508" spans="1:5" x14ac:dyDescent="0.25">
      <c r="A2508" t="s">
        <v>1</v>
      </c>
      <c r="B2508">
        <v>1220812</v>
      </c>
      <c r="C2508">
        <v>53787.5</v>
      </c>
      <c r="D2508" s="4">
        <f>+VLOOKUP(A2508,Portfolio!$G$3:$I$6,3)</f>
        <v>1</v>
      </c>
      <c r="E2508">
        <f t="shared" si="39"/>
        <v>53787.5</v>
      </c>
    </row>
    <row r="2509" spans="1:5" x14ac:dyDescent="0.25">
      <c r="A2509" t="s">
        <v>1</v>
      </c>
      <c r="B2509">
        <v>1220814</v>
      </c>
      <c r="C2509">
        <v>53975</v>
      </c>
      <c r="D2509" s="4">
        <f>+VLOOKUP(A2509,Portfolio!$G$3:$I$6,3)</f>
        <v>1</v>
      </c>
      <c r="E2509">
        <f t="shared" si="39"/>
        <v>53975</v>
      </c>
    </row>
    <row r="2510" spans="1:5" x14ac:dyDescent="0.25">
      <c r="A2510" t="s">
        <v>1</v>
      </c>
      <c r="B2510">
        <v>1220815</v>
      </c>
      <c r="C2510">
        <v>53712.5</v>
      </c>
      <c r="D2510" s="4">
        <f>+VLOOKUP(A2510,Portfolio!$G$3:$I$6,3)</f>
        <v>1</v>
      </c>
      <c r="E2510">
        <f t="shared" si="39"/>
        <v>53712.5</v>
      </c>
    </row>
    <row r="2511" spans="1:5" x14ac:dyDescent="0.25">
      <c r="A2511" t="s">
        <v>1</v>
      </c>
      <c r="B2511">
        <v>1220816</v>
      </c>
      <c r="C2511">
        <v>53525</v>
      </c>
      <c r="D2511" s="4">
        <f>+VLOOKUP(A2511,Portfolio!$G$3:$I$6,3)</f>
        <v>1</v>
      </c>
      <c r="E2511">
        <f t="shared" si="39"/>
        <v>53525</v>
      </c>
    </row>
    <row r="2512" spans="1:5" x14ac:dyDescent="0.25">
      <c r="A2512" t="s">
        <v>1</v>
      </c>
      <c r="B2512">
        <v>1220817</v>
      </c>
      <c r="C2512">
        <v>52912.5</v>
      </c>
      <c r="D2512" s="4">
        <f>+VLOOKUP(A2512,Portfolio!$G$3:$I$6,3)</f>
        <v>1</v>
      </c>
      <c r="E2512">
        <f t="shared" si="39"/>
        <v>52912.5</v>
      </c>
    </row>
    <row r="2513" spans="1:5" x14ac:dyDescent="0.25">
      <c r="A2513" t="s">
        <v>1</v>
      </c>
      <c r="B2513">
        <v>1220818</v>
      </c>
      <c r="C2513">
        <v>53568.75</v>
      </c>
      <c r="D2513" s="4">
        <f>+VLOOKUP(A2513,Portfolio!$G$3:$I$6,3)</f>
        <v>1</v>
      </c>
      <c r="E2513">
        <f t="shared" si="39"/>
        <v>53568.75</v>
      </c>
    </row>
    <row r="2514" spans="1:5" x14ac:dyDescent="0.25">
      <c r="A2514" t="s">
        <v>1</v>
      </c>
      <c r="B2514">
        <v>1220819</v>
      </c>
      <c r="C2514">
        <v>53950</v>
      </c>
      <c r="D2514" s="4">
        <f>+VLOOKUP(A2514,Portfolio!$G$3:$I$6,3)</f>
        <v>1</v>
      </c>
      <c r="E2514">
        <f t="shared" si="39"/>
        <v>53950</v>
      </c>
    </row>
    <row r="2515" spans="1:5" x14ac:dyDescent="0.25">
      <c r="A2515" t="s">
        <v>1</v>
      </c>
      <c r="B2515">
        <v>1220821</v>
      </c>
      <c r="C2515">
        <v>54456.25</v>
      </c>
      <c r="D2515" s="4">
        <f>+VLOOKUP(A2515,Portfolio!$G$3:$I$6,3)</f>
        <v>1</v>
      </c>
      <c r="E2515">
        <f t="shared" si="39"/>
        <v>54456.25</v>
      </c>
    </row>
    <row r="2516" spans="1:5" x14ac:dyDescent="0.25">
      <c r="A2516" t="s">
        <v>1</v>
      </c>
      <c r="B2516">
        <v>1220822</v>
      </c>
      <c r="C2516">
        <v>54612.5</v>
      </c>
      <c r="D2516" s="4">
        <f>+VLOOKUP(A2516,Portfolio!$G$3:$I$6,3)</f>
        <v>1</v>
      </c>
      <c r="E2516">
        <f t="shared" si="39"/>
        <v>54612.5</v>
      </c>
    </row>
    <row r="2517" spans="1:5" x14ac:dyDescent="0.25">
      <c r="A2517" t="s">
        <v>1</v>
      </c>
      <c r="B2517">
        <v>1220823</v>
      </c>
      <c r="C2517">
        <v>54650</v>
      </c>
      <c r="D2517" s="4">
        <f>+VLOOKUP(A2517,Portfolio!$G$3:$I$6,3)</f>
        <v>1</v>
      </c>
      <c r="E2517">
        <f t="shared" si="39"/>
        <v>54650</v>
      </c>
    </row>
    <row r="2518" spans="1:5" x14ac:dyDescent="0.25">
      <c r="A2518" t="s">
        <v>1</v>
      </c>
      <c r="B2518">
        <v>1220824</v>
      </c>
      <c r="C2518">
        <v>54843.75</v>
      </c>
      <c r="D2518" s="4">
        <f>+VLOOKUP(A2518,Portfolio!$G$3:$I$6,3)</f>
        <v>1</v>
      </c>
      <c r="E2518">
        <f t="shared" si="39"/>
        <v>54843.75</v>
      </c>
    </row>
    <row r="2519" spans="1:5" x14ac:dyDescent="0.25">
      <c r="A2519" t="s">
        <v>1</v>
      </c>
      <c r="B2519">
        <v>1220825</v>
      </c>
      <c r="C2519">
        <v>54487.5</v>
      </c>
      <c r="D2519" s="4">
        <f>+VLOOKUP(A2519,Portfolio!$G$3:$I$6,3)</f>
        <v>1</v>
      </c>
      <c r="E2519">
        <f t="shared" si="39"/>
        <v>54487.5</v>
      </c>
    </row>
    <row r="2520" spans="1:5" x14ac:dyDescent="0.25">
      <c r="A2520" t="s">
        <v>1</v>
      </c>
      <c r="B2520">
        <v>1220826</v>
      </c>
      <c r="C2520">
        <v>54612.5</v>
      </c>
      <c r="D2520" s="4">
        <f>+VLOOKUP(A2520,Portfolio!$G$3:$I$6,3)</f>
        <v>1</v>
      </c>
      <c r="E2520">
        <f t="shared" si="39"/>
        <v>54612.5</v>
      </c>
    </row>
    <row r="2521" spans="1:5" x14ac:dyDescent="0.25">
      <c r="A2521" t="s">
        <v>1</v>
      </c>
      <c r="B2521">
        <v>1220828</v>
      </c>
      <c r="C2521">
        <v>54893.75</v>
      </c>
      <c r="D2521" s="4">
        <f>+VLOOKUP(A2521,Portfolio!$G$3:$I$6,3)</f>
        <v>1</v>
      </c>
      <c r="E2521">
        <f t="shared" si="39"/>
        <v>54893.75</v>
      </c>
    </row>
    <row r="2522" spans="1:5" x14ac:dyDescent="0.25">
      <c r="A2522" t="s">
        <v>1</v>
      </c>
      <c r="B2522">
        <v>1220829</v>
      </c>
      <c r="C2522">
        <v>55537.5</v>
      </c>
      <c r="D2522" s="4">
        <f>+VLOOKUP(A2522,Portfolio!$G$3:$I$6,3)</f>
        <v>1</v>
      </c>
      <c r="E2522">
        <f t="shared" si="39"/>
        <v>55537.5</v>
      </c>
    </row>
    <row r="2523" spans="1:5" x14ac:dyDescent="0.25">
      <c r="A2523" t="s">
        <v>1</v>
      </c>
      <c r="B2523">
        <v>1220830</v>
      </c>
      <c r="C2523">
        <v>55112.5</v>
      </c>
      <c r="D2523" s="4">
        <f>+VLOOKUP(A2523,Portfolio!$G$3:$I$6,3)</f>
        <v>1</v>
      </c>
      <c r="E2523">
        <f t="shared" si="39"/>
        <v>55112.5</v>
      </c>
    </row>
    <row r="2524" spans="1:5" x14ac:dyDescent="0.25">
      <c r="A2524" t="s">
        <v>1</v>
      </c>
      <c r="B2524">
        <v>1220831</v>
      </c>
      <c r="C2524">
        <v>54918.75</v>
      </c>
      <c r="D2524" s="4">
        <f>+VLOOKUP(A2524,Portfolio!$G$3:$I$6,3)</f>
        <v>1</v>
      </c>
      <c r="E2524">
        <f t="shared" si="39"/>
        <v>54918.75</v>
      </c>
    </row>
    <row r="2525" spans="1:5" x14ac:dyDescent="0.25">
      <c r="A2525" t="s">
        <v>1</v>
      </c>
      <c r="B2525">
        <v>1220901</v>
      </c>
      <c r="C2525">
        <v>55612.5</v>
      </c>
      <c r="D2525" s="4">
        <f>+VLOOKUP(A2525,Portfolio!$G$3:$I$6,3)</f>
        <v>1</v>
      </c>
      <c r="E2525">
        <f t="shared" si="39"/>
        <v>55612.5</v>
      </c>
    </row>
    <row r="2526" spans="1:5" x14ac:dyDescent="0.25">
      <c r="A2526" t="s">
        <v>1</v>
      </c>
      <c r="B2526">
        <v>1220902</v>
      </c>
      <c r="C2526">
        <v>56150</v>
      </c>
      <c r="D2526" s="4">
        <f>+VLOOKUP(A2526,Portfolio!$G$3:$I$6,3)</f>
        <v>1</v>
      </c>
      <c r="E2526">
        <f t="shared" si="39"/>
        <v>56150</v>
      </c>
    </row>
    <row r="2527" spans="1:5" x14ac:dyDescent="0.25">
      <c r="A2527" t="s">
        <v>1</v>
      </c>
      <c r="B2527">
        <v>1220904</v>
      </c>
      <c r="C2527">
        <v>55475</v>
      </c>
      <c r="D2527" s="4">
        <f>+VLOOKUP(A2527,Portfolio!$G$3:$I$6,3)</f>
        <v>1</v>
      </c>
      <c r="E2527">
        <f t="shared" si="39"/>
        <v>55475</v>
      </c>
    </row>
    <row r="2528" spans="1:5" x14ac:dyDescent="0.25">
      <c r="A2528" t="s">
        <v>1</v>
      </c>
      <c r="B2528">
        <v>1220905</v>
      </c>
      <c r="C2528">
        <v>55150</v>
      </c>
      <c r="D2528" s="4">
        <f>+VLOOKUP(A2528,Portfolio!$G$3:$I$6,3)</f>
        <v>1</v>
      </c>
      <c r="E2528">
        <f t="shared" si="39"/>
        <v>55150</v>
      </c>
    </row>
    <row r="2529" spans="1:5" x14ac:dyDescent="0.25">
      <c r="A2529" t="s">
        <v>1</v>
      </c>
      <c r="B2529">
        <v>1220906</v>
      </c>
      <c r="C2529">
        <v>55181.25</v>
      </c>
      <c r="D2529" s="4">
        <f>+VLOOKUP(A2529,Portfolio!$G$3:$I$6,3)</f>
        <v>1</v>
      </c>
      <c r="E2529">
        <f t="shared" si="39"/>
        <v>55181.25</v>
      </c>
    </row>
    <row r="2530" spans="1:5" x14ac:dyDescent="0.25">
      <c r="A2530" t="s">
        <v>1</v>
      </c>
      <c r="B2530">
        <v>1220907</v>
      </c>
      <c r="C2530">
        <v>57075</v>
      </c>
      <c r="D2530" s="4">
        <f>+VLOOKUP(A2530,Portfolio!$G$3:$I$6,3)</f>
        <v>1</v>
      </c>
      <c r="E2530">
        <f t="shared" si="39"/>
        <v>57075</v>
      </c>
    </row>
    <row r="2531" spans="1:5" x14ac:dyDescent="0.25">
      <c r="A2531" t="s">
        <v>1</v>
      </c>
      <c r="B2531">
        <v>1220908</v>
      </c>
      <c r="C2531">
        <v>56875</v>
      </c>
      <c r="D2531" s="4">
        <f>+VLOOKUP(A2531,Portfolio!$G$3:$I$6,3)</f>
        <v>1</v>
      </c>
      <c r="E2531">
        <f t="shared" si="39"/>
        <v>56875</v>
      </c>
    </row>
    <row r="2532" spans="1:5" x14ac:dyDescent="0.25">
      <c r="A2532" t="s">
        <v>1</v>
      </c>
      <c r="B2532">
        <v>1220909</v>
      </c>
      <c r="C2532">
        <v>56687.5</v>
      </c>
      <c r="D2532" s="4">
        <f>+VLOOKUP(A2532,Portfolio!$G$3:$I$6,3)</f>
        <v>1</v>
      </c>
      <c r="E2532">
        <f t="shared" si="39"/>
        <v>56687.5</v>
      </c>
    </row>
    <row r="2533" spans="1:5" x14ac:dyDescent="0.25">
      <c r="A2533" t="s">
        <v>1</v>
      </c>
      <c r="B2533">
        <v>1220911</v>
      </c>
      <c r="C2533">
        <v>56712.5</v>
      </c>
      <c r="D2533" s="4">
        <f>+VLOOKUP(A2533,Portfolio!$G$3:$I$6,3)</f>
        <v>1</v>
      </c>
      <c r="E2533">
        <f t="shared" si="39"/>
        <v>56712.5</v>
      </c>
    </row>
    <row r="2534" spans="1:5" x14ac:dyDescent="0.25">
      <c r="A2534" t="s">
        <v>1</v>
      </c>
      <c r="B2534">
        <v>1220912</v>
      </c>
      <c r="C2534">
        <v>57050</v>
      </c>
      <c r="D2534" s="4">
        <f>+VLOOKUP(A2534,Portfolio!$G$3:$I$6,3)</f>
        <v>1</v>
      </c>
      <c r="E2534">
        <f t="shared" si="39"/>
        <v>57050</v>
      </c>
    </row>
    <row r="2535" spans="1:5" x14ac:dyDescent="0.25">
      <c r="A2535" t="s">
        <v>1</v>
      </c>
      <c r="B2535">
        <v>1220913</v>
      </c>
      <c r="C2535">
        <v>56593.75</v>
      </c>
      <c r="D2535" s="4">
        <f>+VLOOKUP(A2535,Portfolio!$G$3:$I$6,3)</f>
        <v>1</v>
      </c>
      <c r="E2535">
        <f t="shared" si="39"/>
        <v>56593.75</v>
      </c>
    </row>
    <row r="2536" spans="1:5" x14ac:dyDescent="0.25">
      <c r="A2536" t="s">
        <v>1</v>
      </c>
      <c r="B2536">
        <v>1220914</v>
      </c>
      <c r="C2536">
        <v>57456.25</v>
      </c>
      <c r="D2536" s="4">
        <f>+VLOOKUP(A2536,Portfolio!$G$3:$I$6,3)</f>
        <v>1</v>
      </c>
      <c r="E2536">
        <f t="shared" si="39"/>
        <v>57456.25</v>
      </c>
    </row>
    <row r="2537" spans="1:5" x14ac:dyDescent="0.25">
      <c r="A2537" t="s">
        <v>1</v>
      </c>
      <c r="B2537">
        <v>1220915</v>
      </c>
      <c r="C2537">
        <v>56487.5</v>
      </c>
      <c r="D2537" s="4">
        <f>+VLOOKUP(A2537,Portfolio!$G$3:$I$6,3)</f>
        <v>1</v>
      </c>
      <c r="E2537">
        <f t="shared" si="39"/>
        <v>56487.5</v>
      </c>
    </row>
    <row r="2538" spans="1:5" x14ac:dyDescent="0.25">
      <c r="A2538" t="s">
        <v>1</v>
      </c>
      <c r="B2538">
        <v>1220916</v>
      </c>
      <c r="C2538">
        <v>56606.25</v>
      </c>
      <c r="D2538" s="4">
        <f>+VLOOKUP(A2538,Portfolio!$G$3:$I$6,3)</f>
        <v>1</v>
      </c>
      <c r="E2538">
        <f t="shared" si="39"/>
        <v>56606.25</v>
      </c>
    </row>
    <row r="2539" spans="1:5" x14ac:dyDescent="0.25">
      <c r="A2539" t="s">
        <v>1</v>
      </c>
      <c r="B2539">
        <v>1220918</v>
      </c>
      <c r="C2539">
        <v>56868.75</v>
      </c>
      <c r="D2539" s="4">
        <f>+VLOOKUP(A2539,Portfolio!$G$3:$I$6,3)</f>
        <v>1</v>
      </c>
      <c r="E2539">
        <f t="shared" si="39"/>
        <v>56868.75</v>
      </c>
    </row>
    <row r="2540" spans="1:5" x14ac:dyDescent="0.25">
      <c r="A2540" t="s">
        <v>1</v>
      </c>
      <c r="B2540">
        <v>1220919</v>
      </c>
      <c r="C2540">
        <v>56637.5</v>
      </c>
      <c r="D2540" s="4">
        <f>+VLOOKUP(A2540,Portfolio!$G$3:$I$6,3)</f>
        <v>1</v>
      </c>
      <c r="E2540">
        <f t="shared" si="39"/>
        <v>56637.5</v>
      </c>
    </row>
    <row r="2541" spans="1:5" x14ac:dyDescent="0.25">
      <c r="A2541" t="s">
        <v>1</v>
      </c>
      <c r="B2541">
        <v>1220920</v>
      </c>
      <c r="C2541">
        <v>56175</v>
      </c>
      <c r="D2541" s="4">
        <f>+VLOOKUP(A2541,Portfolio!$G$3:$I$6,3)</f>
        <v>1</v>
      </c>
      <c r="E2541">
        <f t="shared" si="39"/>
        <v>56175</v>
      </c>
    </row>
    <row r="2542" spans="1:5" x14ac:dyDescent="0.25">
      <c r="A2542" t="s">
        <v>1</v>
      </c>
      <c r="B2542">
        <v>1220921</v>
      </c>
      <c r="C2542">
        <v>55993.75</v>
      </c>
      <c r="D2542" s="4">
        <f>+VLOOKUP(A2542,Portfolio!$G$3:$I$6,3)</f>
        <v>1</v>
      </c>
      <c r="E2542">
        <f t="shared" si="39"/>
        <v>55993.75</v>
      </c>
    </row>
    <row r="2543" spans="1:5" x14ac:dyDescent="0.25">
      <c r="A2543" t="s">
        <v>1</v>
      </c>
      <c r="B2543">
        <v>1220922</v>
      </c>
      <c r="C2543">
        <v>56493.75</v>
      </c>
      <c r="D2543" s="4">
        <f>+VLOOKUP(A2543,Portfolio!$G$3:$I$6,3)</f>
        <v>1</v>
      </c>
      <c r="E2543">
        <f t="shared" si="39"/>
        <v>56493.75</v>
      </c>
    </row>
    <row r="2544" spans="1:5" x14ac:dyDescent="0.25">
      <c r="A2544" t="s">
        <v>1</v>
      </c>
      <c r="B2544">
        <v>1220923</v>
      </c>
      <c r="C2544">
        <v>52881.25</v>
      </c>
      <c r="D2544" s="4">
        <f>+VLOOKUP(A2544,Portfolio!$G$3:$I$6,3)</f>
        <v>1</v>
      </c>
      <c r="E2544">
        <f t="shared" si="39"/>
        <v>52881.25</v>
      </c>
    </row>
    <row r="2545" spans="1:5" x14ac:dyDescent="0.25">
      <c r="A2545" t="s">
        <v>1</v>
      </c>
      <c r="B2545">
        <v>1220925</v>
      </c>
      <c r="C2545">
        <v>52412.5</v>
      </c>
      <c r="D2545" s="4">
        <f>+VLOOKUP(A2545,Portfolio!$G$3:$I$6,3)</f>
        <v>1</v>
      </c>
      <c r="E2545">
        <f t="shared" si="39"/>
        <v>52412.5</v>
      </c>
    </row>
    <row r="2546" spans="1:5" x14ac:dyDescent="0.25">
      <c r="A2546" t="s">
        <v>1</v>
      </c>
      <c r="B2546">
        <v>1220926</v>
      </c>
      <c r="C2546">
        <v>52825</v>
      </c>
      <c r="D2546" s="4">
        <f>+VLOOKUP(A2546,Portfolio!$G$3:$I$6,3)</f>
        <v>1</v>
      </c>
      <c r="E2546">
        <f t="shared" si="39"/>
        <v>52825</v>
      </c>
    </row>
    <row r="2547" spans="1:5" x14ac:dyDescent="0.25">
      <c r="A2547" t="s">
        <v>1</v>
      </c>
      <c r="B2547">
        <v>1220927</v>
      </c>
      <c r="C2547">
        <v>53056.25</v>
      </c>
      <c r="D2547" s="4">
        <f>+VLOOKUP(A2547,Portfolio!$G$3:$I$6,3)</f>
        <v>1</v>
      </c>
      <c r="E2547">
        <f t="shared" si="39"/>
        <v>53056.25</v>
      </c>
    </row>
    <row r="2548" spans="1:5" x14ac:dyDescent="0.25">
      <c r="A2548" t="s">
        <v>1</v>
      </c>
      <c r="B2548">
        <v>1220928</v>
      </c>
      <c r="C2548">
        <v>53150</v>
      </c>
      <c r="D2548" s="4">
        <f>+VLOOKUP(A2548,Portfolio!$G$3:$I$6,3)</f>
        <v>1</v>
      </c>
      <c r="E2548">
        <f t="shared" si="39"/>
        <v>53150</v>
      </c>
    </row>
    <row r="2549" spans="1:5" x14ac:dyDescent="0.25">
      <c r="A2549" t="s">
        <v>1</v>
      </c>
      <c r="B2549">
        <v>1220929</v>
      </c>
      <c r="C2549">
        <v>53006.25</v>
      </c>
      <c r="D2549" s="4">
        <f>+VLOOKUP(A2549,Portfolio!$G$3:$I$6,3)</f>
        <v>1</v>
      </c>
      <c r="E2549">
        <f t="shared" si="39"/>
        <v>53006.25</v>
      </c>
    </row>
    <row r="2550" spans="1:5" x14ac:dyDescent="0.25">
      <c r="A2550" t="s">
        <v>1</v>
      </c>
      <c r="B2550">
        <v>1220930</v>
      </c>
      <c r="C2550">
        <v>52937.5</v>
      </c>
      <c r="D2550" s="4">
        <f>+VLOOKUP(A2550,Portfolio!$G$3:$I$6,3)</f>
        <v>1</v>
      </c>
      <c r="E2550">
        <f t="shared" si="39"/>
        <v>52937.5</v>
      </c>
    </row>
    <row r="2551" spans="1:5" x14ac:dyDescent="0.25">
      <c r="A2551" t="s">
        <v>1</v>
      </c>
      <c r="B2551">
        <v>1221002</v>
      </c>
      <c r="C2551">
        <v>53118.75</v>
      </c>
      <c r="D2551" s="4">
        <f>+VLOOKUP(A2551,Portfolio!$G$3:$I$6,3)</f>
        <v>1</v>
      </c>
      <c r="E2551">
        <f t="shared" si="39"/>
        <v>53118.75</v>
      </c>
    </row>
    <row r="2552" spans="1:5" x14ac:dyDescent="0.25">
      <c r="A2552" t="s">
        <v>1</v>
      </c>
      <c r="B2552">
        <v>1221003</v>
      </c>
      <c r="C2552">
        <v>53231.25</v>
      </c>
      <c r="D2552" s="4">
        <f>+VLOOKUP(A2552,Portfolio!$G$3:$I$6,3)</f>
        <v>1</v>
      </c>
      <c r="E2552">
        <f t="shared" si="39"/>
        <v>53231.25</v>
      </c>
    </row>
    <row r="2553" spans="1:5" x14ac:dyDescent="0.25">
      <c r="A2553" t="s">
        <v>1</v>
      </c>
      <c r="B2553">
        <v>1221004</v>
      </c>
      <c r="C2553">
        <v>53218.75</v>
      </c>
      <c r="D2553" s="4">
        <f>+VLOOKUP(A2553,Portfolio!$G$3:$I$6,3)</f>
        <v>1</v>
      </c>
      <c r="E2553">
        <f t="shared" si="39"/>
        <v>53218.75</v>
      </c>
    </row>
    <row r="2554" spans="1:5" x14ac:dyDescent="0.25">
      <c r="A2554" t="s">
        <v>1</v>
      </c>
      <c r="B2554">
        <v>1221005</v>
      </c>
      <c r="C2554">
        <v>53268.75</v>
      </c>
      <c r="D2554" s="4">
        <f>+VLOOKUP(A2554,Portfolio!$G$3:$I$6,3)</f>
        <v>1</v>
      </c>
      <c r="E2554">
        <f t="shared" si="39"/>
        <v>53268.75</v>
      </c>
    </row>
    <row r="2555" spans="1:5" x14ac:dyDescent="0.25">
      <c r="A2555" t="s">
        <v>1</v>
      </c>
      <c r="B2555">
        <v>1221006</v>
      </c>
      <c r="C2555">
        <v>53006.25</v>
      </c>
      <c r="D2555" s="4">
        <f>+VLOOKUP(A2555,Portfolio!$G$3:$I$6,3)</f>
        <v>1</v>
      </c>
      <c r="E2555">
        <f t="shared" si="39"/>
        <v>53006.25</v>
      </c>
    </row>
    <row r="2556" spans="1:5" x14ac:dyDescent="0.25">
      <c r="A2556" t="s">
        <v>1</v>
      </c>
      <c r="B2556">
        <v>1221007</v>
      </c>
      <c r="C2556">
        <v>53325</v>
      </c>
      <c r="D2556" s="4">
        <f>+VLOOKUP(A2556,Portfolio!$G$3:$I$6,3)</f>
        <v>1</v>
      </c>
      <c r="E2556">
        <f t="shared" si="39"/>
        <v>53325</v>
      </c>
    </row>
    <row r="2557" spans="1:5" x14ac:dyDescent="0.25">
      <c r="A2557" t="s">
        <v>1</v>
      </c>
      <c r="B2557">
        <v>1221009</v>
      </c>
      <c r="C2557">
        <v>53156.25</v>
      </c>
      <c r="D2557" s="4">
        <f>+VLOOKUP(A2557,Portfolio!$G$3:$I$6,3)</f>
        <v>1</v>
      </c>
      <c r="E2557">
        <f t="shared" si="39"/>
        <v>53156.25</v>
      </c>
    </row>
    <row r="2558" spans="1:5" x14ac:dyDescent="0.25">
      <c r="A2558" t="s">
        <v>1</v>
      </c>
      <c r="B2558">
        <v>1221010</v>
      </c>
      <c r="C2558">
        <v>53175</v>
      </c>
      <c r="D2558" s="4">
        <f>+VLOOKUP(A2558,Portfolio!$G$3:$I$6,3)</f>
        <v>1</v>
      </c>
      <c r="E2558">
        <f t="shared" si="39"/>
        <v>53175</v>
      </c>
    </row>
    <row r="2559" spans="1:5" x14ac:dyDescent="0.25">
      <c r="A2559" t="s">
        <v>1</v>
      </c>
      <c r="B2559">
        <v>1221011</v>
      </c>
      <c r="C2559">
        <v>53381.25</v>
      </c>
      <c r="D2559" s="4">
        <f>+VLOOKUP(A2559,Portfolio!$G$3:$I$6,3)</f>
        <v>1</v>
      </c>
      <c r="E2559">
        <f t="shared" si="39"/>
        <v>53381.25</v>
      </c>
    </row>
    <row r="2560" spans="1:5" x14ac:dyDescent="0.25">
      <c r="A2560" t="s">
        <v>1</v>
      </c>
      <c r="B2560">
        <v>1221012</v>
      </c>
      <c r="C2560">
        <v>52993.75</v>
      </c>
      <c r="D2560" s="4">
        <f>+VLOOKUP(A2560,Portfolio!$G$3:$I$6,3)</f>
        <v>1</v>
      </c>
      <c r="E2560">
        <f t="shared" si="39"/>
        <v>52993.75</v>
      </c>
    </row>
    <row r="2561" spans="1:5" x14ac:dyDescent="0.25">
      <c r="A2561" t="s">
        <v>1</v>
      </c>
      <c r="B2561">
        <v>1221013</v>
      </c>
      <c r="C2561">
        <v>53381.25</v>
      </c>
      <c r="D2561" s="4">
        <f>+VLOOKUP(A2561,Portfolio!$G$3:$I$6,3)</f>
        <v>1</v>
      </c>
      <c r="E2561">
        <f t="shared" si="39"/>
        <v>53381.25</v>
      </c>
    </row>
    <row r="2562" spans="1:5" x14ac:dyDescent="0.25">
      <c r="A2562" t="s">
        <v>1</v>
      </c>
      <c r="B2562">
        <v>1221014</v>
      </c>
      <c r="C2562">
        <v>53362.5</v>
      </c>
      <c r="D2562" s="4">
        <f>+VLOOKUP(A2562,Portfolio!$G$3:$I$6,3)</f>
        <v>1</v>
      </c>
      <c r="E2562">
        <f t="shared" si="39"/>
        <v>53362.5</v>
      </c>
    </row>
    <row r="2563" spans="1:5" x14ac:dyDescent="0.25">
      <c r="A2563" t="s">
        <v>1</v>
      </c>
      <c r="B2563">
        <v>1221016</v>
      </c>
      <c r="C2563">
        <v>54062.5</v>
      </c>
      <c r="D2563" s="4">
        <f>+VLOOKUP(A2563,Portfolio!$G$3:$I$6,3)</f>
        <v>1</v>
      </c>
      <c r="E2563">
        <f t="shared" ref="E2563:E2626" si="40">+C2563*D2563</f>
        <v>54062.5</v>
      </c>
    </row>
    <row r="2564" spans="1:5" x14ac:dyDescent="0.25">
      <c r="A2564" t="s">
        <v>1</v>
      </c>
      <c r="B2564">
        <v>1221017</v>
      </c>
      <c r="C2564">
        <v>54143.75</v>
      </c>
      <c r="D2564" s="4">
        <f>+VLOOKUP(A2564,Portfolio!$G$3:$I$6,3)</f>
        <v>1</v>
      </c>
      <c r="E2564">
        <f t="shared" si="40"/>
        <v>54143.75</v>
      </c>
    </row>
    <row r="2565" spans="1:5" x14ac:dyDescent="0.25">
      <c r="A2565" t="s">
        <v>1</v>
      </c>
      <c r="B2565">
        <v>1221018</v>
      </c>
      <c r="C2565">
        <v>53787.5</v>
      </c>
      <c r="D2565" s="4">
        <f>+VLOOKUP(A2565,Portfolio!$G$3:$I$6,3)</f>
        <v>1</v>
      </c>
      <c r="E2565">
        <f t="shared" si="40"/>
        <v>53787.5</v>
      </c>
    </row>
    <row r="2566" spans="1:5" x14ac:dyDescent="0.25">
      <c r="A2566" t="s">
        <v>1</v>
      </c>
      <c r="B2566">
        <v>1221019</v>
      </c>
      <c r="C2566">
        <v>54087.5</v>
      </c>
      <c r="D2566" s="4">
        <f>+VLOOKUP(A2566,Portfolio!$G$3:$I$6,3)</f>
        <v>1</v>
      </c>
      <c r="E2566">
        <f t="shared" si="40"/>
        <v>54087.5</v>
      </c>
    </row>
    <row r="2567" spans="1:5" x14ac:dyDescent="0.25">
      <c r="A2567" t="s">
        <v>1</v>
      </c>
      <c r="B2567">
        <v>1221020</v>
      </c>
      <c r="C2567">
        <v>54450</v>
      </c>
      <c r="D2567" s="4">
        <f>+VLOOKUP(A2567,Portfolio!$G$3:$I$6,3)</f>
        <v>1</v>
      </c>
      <c r="E2567">
        <f t="shared" si="40"/>
        <v>54450</v>
      </c>
    </row>
    <row r="2568" spans="1:5" x14ac:dyDescent="0.25">
      <c r="A2568" t="s">
        <v>1</v>
      </c>
      <c r="B2568">
        <v>1221021</v>
      </c>
      <c r="C2568">
        <v>54200</v>
      </c>
      <c r="D2568" s="4">
        <f>+VLOOKUP(A2568,Portfolio!$G$3:$I$6,3)</f>
        <v>1</v>
      </c>
      <c r="E2568">
        <f t="shared" si="40"/>
        <v>54200</v>
      </c>
    </row>
    <row r="2569" spans="1:5" x14ac:dyDescent="0.25">
      <c r="A2569" t="s">
        <v>1</v>
      </c>
      <c r="B2569">
        <v>1221023</v>
      </c>
      <c r="C2569">
        <v>54775</v>
      </c>
      <c r="D2569" s="4">
        <f>+VLOOKUP(A2569,Portfolio!$G$3:$I$6,3)</f>
        <v>1</v>
      </c>
      <c r="E2569">
        <f t="shared" si="40"/>
        <v>54775</v>
      </c>
    </row>
    <row r="2570" spans="1:5" x14ac:dyDescent="0.25">
      <c r="A2570" t="s">
        <v>1</v>
      </c>
      <c r="B2570">
        <v>1221024</v>
      </c>
      <c r="C2570">
        <v>54987.5</v>
      </c>
      <c r="D2570" s="4">
        <f>+VLOOKUP(A2570,Portfolio!$G$3:$I$6,3)</f>
        <v>1</v>
      </c>
      <c r="E2570">
        <f t="shared" si="40"/>
        <v>54987.5</v>
      </c>
    </row>
    <row r="2571" spans="1:5" x14ac:dyDescent="0.25">
      <c r="A2571" t="s">
        <v>1</v>
      </c>
      <c r="B2571">
        <v>1221025</v>
      </c>
      <c r="C2571">
        <v>54975</v>
      </c>
      <c r="D2571" s="4">
        <f>+VLOOKUP(A2571,Portfolio!$G$3:$I$6,3)</f>
        <v>1</v>
      </c>
      <c r="E2571">
        <f t="shared" si="40"/>
        <v>54975</v>
      </c>
    </row>
    <row r="2572" spans="1:5" x14ac:dyDescent="0.25">
      <c r="A2572" t="s">
        <v>1</v>
      </c>
      <c r="B2572">
        <v>1221026</v>
      </c>
      <c r="C2572">
        <v>55337.5</v>
      </c>
      <c r="D2572" s="4">
        <f>+VLOOKUP(A2572,Portfolio!$G$3:$I$6,3)</f>
        <v>1</v>
      </c>
      <c r="E2572">
        <f t="shared" si="40"/>
        <v>55337.5</v>
      </c>
    </row>
    <row r="2573" spans="1:5" x14ac:dyDescent="0.25">
      <c r="A2573" t="s">
        <v>1</v>
      </c>
      <c r="B2573">
        <v>1221027</v>
      </c>
      <c r="C2573">
        <v>56725</v>
      </c>
      <c r="D2573" s="4">
        <f>+VLOOKUP(A2573,Portfolio!$G$3:$I$6,3)</f>
        <v>1</v>
      </c>
      <c r="E2573">
        <f t="shared" si="40"/>
        <v>56725</v>
      </c>
    </row>
    <row r="2574" spans="1:5" x14ac:dyDescent="0.25">
      <c r="A2574" t="s">
        <v>1</v>
      </c>
      <c r="B2574">
        <v>1221028</v>
      </c>
      <c r="C2574">
        <v>56231.25</v>
      </c>
      <c r="D2574" s="4">
        <f>+VLOOKUP(A2574,Portfolio!$G$3:$I$6,3)</f>
        <v>1</v>
      </c>
      <c r="E2574">
        <f t="shared" si="40"/>
        <v>56231.25</v>
      </c>
    </row>
    <row r="2575" spans="1:5" x14ac:dyDescent="0.25">
      <c r="A2575" t="s">
        <v>1</v>
      </c>
      <c r="B2575">
        <v>1221030</v>
      </c>
      <c r="C2575">
        <v>57087.5</v>
      </c>
      <c r="D2575" s="4">
        <f>+VLOOKUP(A2575,Portfolio!$G$3:$I$6,3)</f>
        <v>1</v>
      </c>
      <c r="E2575">
        <f t="shared" si="40"/>
        <v>57087.5</v>
      </c>
    </row>
    <row r="2576" spans="1:5" x14ac:dyDescent="0.25">
      <c r="A2576" t="s">
        <v>1</v>
      </c>
      <c r="B2576">
        <v>1221031</v>
      </c>
      <c r="C2576">
        <v>57225</v>
      </c>
      <c r="D2576" s="4">
        <f>+VLOOKUP(A2576,Portfolio!$G$3:$I$6,3)</f>
        <v>1</v>
      </c>
      <c r="E2576">
        <f t="shared" si="40"/>
        <v>57225</v>
      </c>
    </row>
    <row r="2577" spans="1:5" x14ac:dyDescent="0.25">
      <c r="A2577" t="s">
        <v>1</v>
      </c>
      <c r="B2577">
        <v>1221101</v>
      </c>
      <c r="C2577">
        <v>57493.75</v>
      </c>
      <c r="D2577" s="4">
        <f>+VLOOKUP(A2577,Portfolio!$G$3:$I$6,3)</f>
        <v>1</v>
      </c>
      <c r="E2577">
        <f t="shared" si="40"/>
        <v>57493.75</v>
      </c>
    </row>
    <row r="2578" spans="1:5" x14ac:dyDescent="0.25">
      <c r="A2578" t="s">
        <v>1</v>
      </c>
      <c r="B2578">
        <v>1221102</v>
      </c>
      <c r="C2578">
        <v>57068.75</v>
      </c>
      <c r="D2578" s="4">
        <f>+VLOOKUP(A2578,Portfolio!$G$3:$I$6,3)</f>
        <v>1</v>
      </c>
      <c r="E2578">
        <f t="shared" si="40"/>
        <v>57068.75</v>
      </c>
    </row>
    <row r="2579" spans="1:5" x14ac:dyDescent="0.25">
      <c r="A2579" t="s">
        <v>1</v>
      </c>
      <c r="B2579">
        <v>1221103</v>
      </c>
      <c r="C2579">
        <v>56137.5</v>
      </c>
      <c r="D2579" s="4">
        <f>+VLOOKUP(A2579,Portfolio!$G$3:$I$6,3)</f>
        <v>1</v>
      </c>
      <c r="E2579">
        <f t="shared" si="40"/>
        <v>56137.5</v>
      </c>
    </row>
    <row r="2580" spans="1:5" x14ac:dyDescent="0.25">
      <c r="A2580" t="s">
        <v>1</v>
      </c>
      <c r="B2580">
        <v>1221104</v>
      </c>
      <c r="C2580">
        <v>56500</v>
      </c>
      <c r="D2580" s="4">
        <f>+VLOOKUP(A2580,Portfolio!$G$3:$I$6,3)</f>
        <v>1</v>
      </c>
      <c r="E2580">
        <f t="shared" si="40"/>
        <v>56500</v>
      </c>
    </row>
    <row r="2581" spans="1:5" x14ac:dyDescent="0.25">
      <c r="A2581" t="s">
        <v>1</v>
      </c>
      <c r="B2581">
        <v>1221106</v>
      </c>
      <c r="C2581">
        <v>55731.25</v>
      </c>
      <c r="D2581" s="4">
        <f>+VLOOKUP(A2581,Portfolio!$G$3:$I$6,3)</f>
        <v>1</v>
      </c>
      <c r="E2581">
        <f t="shared" si="40"/>
        <v>55731.25</v>
      </c>
    </row>
    <row r="2582" spans="1:5" x14ac:dyDescent="0.25">
      <c r="A2582" t="s">
        <v>1</v>
      </c>
      <c r="B2582">
        <v>1221107</v>
      </c>
      <c r="C2582">
        <v>55550</v>
      </c>
      <c r="D2582" s="4">
        <f>+VLOOKUP(A2582,Portfolio!$G$3:$I$6,3)</f>
        <v>1</v>
      </c>
      <c r="E2582">
        <f t="shared" si="40"/>
        <v>55550</v>
      </c>
    </row>
    <row r="2583" spans="1:5" x14ac:dyDescent="0.25">
      <c r="A2583" t="s">
        <v>1</v>
      </c>
      <c r="B2583">
        <v>1221108</v>
      </c>
      <c r="C2583">
        <v>55775</v>
      </c>
      <c r="D2583" s="4">
        <f>+VLOOKUP(A2583,Portfolio!$G$3:$I$6,3)</f>
        <v>1</v>
      </c>
      <c r="E2583">
        <f t="shared" si="40"/>
        <v>55775</v>
      </c>
    </row>
    <row r="2584" spans="1:5" x14ac:dyDescent="0.25">
      <c r="A2584" t="s">
        <v>1</v>
      </c>
      <c r="B2584">
        <v>1221109</v>
      </c>
      <c r="C2584">
        <v>56312.5</v>
      </c>
      <c r="D2584" s="4">
        <f>+VLOOKUP(A2584,Portfolio!$G$3:$I$6,3)</f>
        <v>1</v>
      </c>
      <c r="E2584">
        <f t="shared" si="40"/>
        <v>56312.5</v>
      </c>
    </row>
    <row r="2585" spans="1:5" x14ac:dyDescent="0.25">
      <c r="A2585" t="s">
        <v>1</v>
      </c>
      <c r="B2585">
        <v>1221110</v>
      </c>
      <c r="C2585">
        <v>56406.25</v>
      </c>
      <c r="D2585" s="4">
        <f>+VLOOKUP(A2585,Portfolio!$G$3:$I$6,3)</f>
        <v>1</v>
      </c>
      <c r="E2585">
        <f t="shared" si="40"/>
        <v>56406.25</v>
      </c>
    </row>
    <row r="2586" spans="1:5" x14ac:dyDescent="0.25">
      <c r="A2586" t="s">
        <v>1</v>
      </c>
      <c r="B2586">
        <v>1221111</v>
      </c>
      <c r="C2586">
        <v>59081.25</v>
      </c>
      <c r="D2586" s="4">
        <f>+VLOOKUP(A2586,Portfolio!$G$3:$I$6,3)</f>
        <v>1</v>
      </c>
      <c r="E2586">
        <f t="shared" si="40"/>
        <v>59081.25</v>
      </c>
    </row>
    <row r="2587" spans="1:5" x14ac:dyDescent="0.25">
      <c r="A2587" t="s">
        <v>1</v>
      </c>
      <c r="B2587">
        <v>1221113</v>
      </c>
      <c r="C2587">
        <v>60381.25</v>
      </c>
      <c r="D2587" s="4">
        <f>+VLOOKUP(A2587,Portfolio!$G$3:$I$6,3)</f>
        <v>1</v>
      </c>
      <c r="E2587">
        <f t="shared" si="40"/>
        <v>60381.25</v>
      </c>
    </row>
    <row r="2588" spans="1:5" x14ac:dyDescent="0.25">
      <c r="A2588" t="s">
        <v>1</v>
      </c>
      <c r="B2588">
        <v>1221114</v>
      </c>
      <c r="C2588">
        <v>60393.75</v>
      </c>
      <c r="D2588" s="4">
        <f>+VLOOKUP(A2588,Portfolio!$G$3:$I$6,3)</f>
        <v>1</v>
      </c>
      <c r="E2588">
        <f t="shared" si="40"/>
        <v>60393.75</v>
      </c>
    </row>
    <row r="2589" spans="1:5" x14ac:dyDescent="0.25">
      <c r="A2589" t="s">
        <v>1</v>
      </c>
      <c r="B2589">
        <v>1221115</v>
      </c>
      <c r="C2589">
        <v>59862.5</v>
      </c>
      <c r="D2589" s="4">
        <f>+VLOOKUP(A2589,Portfolio!$G$3:$I$6,3)</f>
        <v>1</v>
      </c>
      <c r="E2589">
        <f t="shared" si="40"/>
        <v>59862.5</v>
      </c>
    </row>
    <row r="2590" spans="1:5" x14ac:dyDescent="0.25">
      <c r="A2590" t="s">
        <v>1</v>
      </c>
      <c r="B2590">
        <v>1221116</v>
      </c>
      <c r="C2590">
        <v>60287.5</v>
      </c>
      <c r="D2590" s="4">
        <f>+VLOOKUP(A2590,Portfolio!$G$3:$I$6,3)</f>
        <v>1</v>
      </c>
      <c r="E2590">
        <f t="shared" si="40"/>
        <v>60287.5</v>
      </c>
    </row>
    <row r="2591" spans="1:5" x14ac:dyDescent="0.25">
      <c r="A2591" t="s">
        <v>1</v>
      </c>
      <c r="B2591">
        <v>1221117</v>
      </c>
      <c r="C2591">
        <v>59450</v>
      </c>
      <c r="D2591" s="4">
        <f>+VLOOKUP(A2591,Portfolio!$G$3:$I$6,3)</f>
        <v>1</v>
      </c>
      <c r="E2591">
        <f t="shared" si="40"/>
        <v>59450</v>
      </c>
    </row>
    <row r="2592" spans="1:5" x14ac:dyDescent="0.25">
      <c r="A2592" t="s">
        <v>1</v>
      </c>
      <c r="B2592">
        <v>1221118</v>
      </c>
      <c r="C2592">
        <v>59687.5</v>
      </c>
      <c r="D2592" s="4">
        <f>+VLOOKUP(A2592,Portfolio!$G$3:$I$6,3)</f>
        <v>1</v>
      </c>
      <c r="E2592">
        <f t="shared" si="40"/>
        <v>59687.5</v>
      </c>
    </row>
    <row r="2593" spans="1:5" x14ac:dyDescent="0.25">
      <c r="A2593" t="s">
        <v>1</v>
      </c>
      <c r="B2593">
        <v>1221120</v>
      </c>
      <c r="C2593">
        <v>59300</v>
      </c>
      <c r="D2593" s="4">
        <f>+VLOOKUP(A2593,Portfolio!$G$3:$I$6,3)</f>
        <v>1</v>
      </c>
      <c r="E2593">
        <f t="shared" si="40"/>
        <v>59300</v>
      </c>
    </row>
    <row r="2594" spans="1:5" x14ac:dyDescent="0.25">
      <c r="A2594" t="s">
        <v>1</v>
      </c>
      <c r="B2594">
        <v>1221121</v>
      </c>
      <c r="C2594">
        <v>59481.25</v>
      </c>
      <c r="D2594" s="4">
        <f>+VLOOKUP(A2594,Portfolio!$G$3:$I$6,3)</f>
        <v>1</v>
      </c>
      <c r="E2594">
        <f t="shared" si="40"/>
        <v>59481.25</v>
      </c>
    </row>
    <row r="2595" spans="1:5" x14ac:dyDescent="0.25">
      <c r="A2595" t="s">
        <v>1</v>
      </c>
      <c r="B2595">
        <v>1221122</v>
      </c>
      <c r="C2595">
        <v>60300</v>
      </c>
      <c r="D2595" s="4">
        <f>+VLOOKUP(A2595,Portfolio!$G$3:$I$6,3)</f>
        <v>1</v>
      </c>
      <c r="E2595">
        <f t="shared" si="40"/>
        <v>60300</v>
      </c>
    </row>
    <row r="2596" spans="1:5" x14ac:dyDescent="0.25">
      <c r="A2596" t="s">
        <v>1</v>
      </c>
      <c r="B2596">
        <v>1221123</v>
      </c>
      <c r="C2596">
        <v>59662.5</v>
      </c>
      <c r="D2596" s="4">
        <f>+VLOOKUP(A2596,Portfolio!$G$3:$I$6,3)</f>
        <v>1</v>
      </c>
      <c r="E2596">
        <f t="shared" si="40"/>
        <v>59662.5</v>
      </c>
    </row>
    <row r="2597" spans="1:5" x14ac:dyDescent="0.25">
      <c r="A2597" t="s">
        <v>1</v>
      </c>
      <c r="B2597">
        <v>1221124</v>
      </c>
      <c r="C2597">
        <v>61175</v>
      </c>
      <c r="D2597" s="4">
        <f>+VLOOKUP(A2597,Portfolio!$G$3:$I$6,3)</f>
        <v>1</v>
      </c>
      <c r="E2597">
        <f t="shared" si="40"/>
        <v>61175</v>
      </c>
    </row>
    <row r="2598" spans="1:5" x14ac:dyDescent="0.25">
      <c r="A2598" t="s">
        <v>1</v>
      </c>
      <c r="B2598">
        <v>1221125</v>
      </c>
      <c r="C2598">
        <v>61331.25</v>
      </c>
      <c r="D2598" s="4">
        <f>+VLOOKUP(A2598,Portfolio!$G$3:$I$6,3)</f>
        <v>1</v>
      </c>
      <c r="E2598">
        <f t="shared" si="40"/>
        <v>61331.25</v>
      </c>
    </row>
    <row r="2599" spans="1:5" x14ac:dyDescent="0.25">
      <c r="A2599" t="s">
        <v>1</v>
      </c>
      <c r="B2599">
        <v>1221127</v>
      </c>
      <c r="C2599">
        <v>60856.25</v>
      </c>
      <c r="D2599" s="4">
        <f>+VLOOKUP(A2599,Portfolio!$G$3:$I$6,3)</f>
        <v>1</v>
      </c>
      <c r="E2599">
        <f t="shared" si="40"/>
        <v>60856.25</v>
      </c>
    </row>
    <row r="2600" spans="1:5" x14ac:dyDescent="0.25">
      <c r="A2600" t="s">
        <v>1</v>
      </c>
      <c r="B2600">
        <v>1221128</v>
      </c>
      <c r="C2600">
        <v>61518.75</v>
      </c>
      <c r="D2600" s="4">
        <f>+VLOOKUP(A2600,Portfolio!$G$3:$I$6,3)</f>
        <v>1</v>
      </c>
      <c r="E2600">
        <f t="shared" si="40"/>
        <v>61518.75</v>
      </c>
    </row>
    <row r="2601" spans="1:5" x14ac:dyDescent="0.25">
      <c r="A2601" t="s">
        <v>1</v>
      </c>
      <c r="B2601">
        <v>1221129</v>
      </c>
      <c r="C2601">
        <v>61606.25</v>
      </c>
      <c r="D2601" s="4">
        <f>+VLOOKUP(A2601,Portfolio!$G$3:$I$6,3)</f>
        <v>1</v>
      </c>
      <c r="E2601">
        <f t="shared" si="40"/>
        <v>61606.25</v>
      </c>
    </row>
    <row r="2602" spans="1:5" x14ac:dyDescent="0.25">
      <c r="A2602" t="s">
        <v>1</v>
      </c>
      <c r="B2602">
        <v>1221130</v>
      </c>
      <c r="C2602">
        <v>61581.25</v>
      </c>
      <c r="D2602" s="4">
        <f>+VLOOKUP(A2602,Portfolio!$G$3:$I$6,3)</f>
        <v>1</v>
      </c>
      <c r="E2602">
        <f t="shared" si="40"/>
        <v>61581.25</v>
      </c>
    </row>
    <row r="2603" spans="1:5" x14ac:dyDescent="0.25">
      <c r="A2603" t="s">
        <v>1</v>
      </c>
      <c r="B2603">
        <v>1221201</v>
      </c>
      <c r="C2603">
        <v>62900</v>
      </c>
      <c r="D2603" s="4">
        <f>+VLOOKUP(A2603,Portfolio!$G$3:$I$6,3)</f>
        <v>1</v>
      </c>
      <c r="E2603">
        <f t="shared" si="40"/>
        <v>62900</v>
      </c>
    </row>
    <row r="2604" spans="1:5" x14ac:dyDescent="0.25">
      <c r="A2604" t="s">
        <v>1</v>
      </c>
      <c r="B2604">
        <v>1221202</v>
      </c>
      <c r="C2604">
        <v>63743.75</v>
      </c>
      <c r="D2604" s="4">
        <f>+VLOOKUP(A2604,Portfolio!$G$3:$I$6,3)</f>
        <v>1</v>
      </c>
      <c r="E2604">
        <f t="shared" si="40"/>
        <v>63743.75</v>
      </c>
    </row>
    <row r="2605" spans="1:5" x14ac:dyDescent="0.25">
      <c r="A2605" t="s">
        <v>1</v>
      </c>
      <c r="B2605">
        <v>1221204</v>
      </c>
      <c r="C2605">
        <v>63762.5</v>
      </c>
      <c r="D2605" s="4">
        <f>+VLOOKUP(A2605,Portfolio!$G$3:$I$6,3)</f>
        <v>1</v>
      </c>
      <c r="E2605">
        <f t="shared" si="40"/>
        <v>63762.5</v>
      </c>
    </row>
    <row r="2606" spans="1:5" x14ac:dyDescent="0.25">
      <c r="A2606" t="s">
        <v>1</v>
      </c>
      <c r="B2606">
        <v>1221205</v>
      </c>
      <c r="C2606">
        <v>63806.25</v>
      </c>
      <c r="D2606" s="4">
        <f>+VLOOKUP(A2606,Portfolio!$G$3:$I$6,3)</f>
        <v>1</v>
      </c>
      <c r="E2606">
        <f t="shared" si="40"/>
        <v>63806.25</v>
      </c>
    </row>
    <row r="2607" spans="1:5" x14ac:dyDescent="0.25">
      <c r="A2607" t="s">
        <v>1</v>
      </c>
      <c r="B2607">
        <v>1221206</v>
      </c>
      <c r="C2607">
        <v>65462.5</v>
      </c>
      <c r="D2607" s="4">
        <f>+VLOOKUP(A2607,Portfolio!$G$3:$I$6,3)</f>
        <v>1</v>
      </c>
      <c r="E2607">
        <f t="shared" si="40"/>
        <v>65462.5</v>
      </c>
    </row>
    <row r="2608" spans="1:5" x14ac:dyDescent="0.25">
      <c r="A2608" t="s">
        <v>1</v>
      </c>
      <c r="B2608">
        <v>1221207</v>
      </c>
      <c r="C2608">
        <v>64750</v>
      </c>
      <c r="D2608" s="4">
        <f>+VLOOKUP(A2608,Portfolio!$G$3:$I$6,3)</f>
        <v>1</v>
      </c>
      <c r="E2608">
        <f t="shared" si="40"/>
        <v>64750</v>
      </c>
    </row>
    <row r="2609" spans="1:5" x14ac:dyDescent="0.25">
      <c r="A2609" t="s">
        <v>1</v>
      </c>
      <c r="B2609">
        <v>1221208</v>
      </c>
      <c r="C2609">
        <v>64843.75</v>
      </c>
      <c r="D2609" s="4">
        <f>+VLOOKUP(A2609,Portfolio!$G$3:$I$6,3)</f>
        <v>1</v>
      </c>
      <c r="E2609">
        <f t="shared" si="40"/>
        <v>64843.75</v>
      </c>
    </row>
    <row r="2610" spans="1:5" x14ac:dyDescent="0.25">
      <c r="A2610" t="s">
        <v>1</v>
      </c>
      <c r="B2610">
        <v>1221209</v>
      </c>
      <c r="C2610">
        <v>65468.75</v>
      </c>
      <c r="D2610" s="4">
        <f>+VLOOKUP(A2610,Portfolio!$G$3:$I$6,3)</f>
        <v>1</v>
      </c>
      <c r="E2610">
        <f t="shared" si="40"/>
        <v>65468.75</v>
      </c>
    </row>
    <row r="2611" spans="1:5" x14ac:dyDescent="0.25">
      <c r="A2611" t="s">
        <v>1</v>
      </c>
      <c r="B2611">
        <v>1221211</v>
      </c>
      <c r="C2611">
        <v>65431.25</v>
      </c>
      <c r="D2611" s="4">
        <f>+VLOOKUP(A2611,Portfolio!$G$3:$I$6,3)</f>
        <v>1</v>
      </c>
      <c r="E2611">
        <f t="shared" si="40"/>
        <v>65431.25</v>
      </c>
    </row>
    <row r="2612" spans="1:5" x14ac:dyDescent="0.25">
      <c r="A2612" t="s">
        <v>1</v>
      </c>
      <c r="B2612">
        <v>1221212</v>
      </c>
      <c r="C2612">
        <v>65625</v>
      </c>
      <c r="D2612" s="4">
        <f>+VLOOKUP(A2612,Portfolio!$G$3:$I$6,3)</f>
        <v>1</v>
      </c>
      <c r="E2612">
        <f t="shared" si="40"/>
        <v>65625</v>
      </c>
    </row>
    <row r="2613" spans="1:5" x14ac:dyDescent="0.25">
      <c r="A2613" t="s">
        <v>1</v>
      </c>
      <c r="B2613">
        <v>1221213</v>
      </c>
      <c r="C2613">
        <v>66012.5</v>
      </c>
      <c r="D2613" s="4">
        <f>+VLOOKUP(A2613,Portfolio!$G$3:$I$6,3)</f>
        <v>1</v>
      </c>
      <c r="E2613">
        <f t="shared" si="40"/>
        <v>66012.5</v>
      </c>
    </row>
    <row r="2614" spans="1:5" x14ac:dyDescent="0.25">
      <c r="A2614" t="s">
        <v>1</v>
      </c>
      <c r="B2614">
        <v>1221214</v>
      </c>
      <c r="C2614">
        <v>67193.75</v>
      </c>
      <c r="D2614" s="4">
        <f>+VLOOKUP(A2614,Portfolio!$G$3:$I$6,3)</f>
        <v>1</v>
      </c>
      <c r="E2614">
        <f t="shared" si="40"/>
        <v>67193.75</v>
      </c>
    </row>
    <row r="2615" spans="1:5" x14ac:dyDescent="0.25">
      <c r="A2615" t="s">
        <v>1</v>
      </c>
      <c r="B2615">
        <v>1221215</v>
      </c>
      <c r="C2615">
        <v>67118.75</v>
      </c>
      <c r="D2615" s="4">
        <f>+VLOOKUP(A2615,Portfolio!$G$3:$I$6,3)</f>
        <v>1</v>
      </c>
      <c r="E2615">
        <f t="shared" si="40"/>
        <v>67118.75</v>
      </c>
    </row>
    <row r="2616" spans="1:5" x14ac:dyDescent="0.25">
      <c r="A2616" t="s">
        <v>1</v>
      </c>
      <c r="B2616">
        <v>1221216</v>
      </c>
      <c r="C2616">
        <v>68331.25</v>
      </c>
      <c r="D2616" s="4">
        <f>+VLOOKUP(A2616,Portfolio!$G$3:$I$6,3)</f>
        <v>1</v>
      </c>
      <c r="E2616">
        <f t="shared" si="40"/>
        <v>68331.25</v>
      </c>
    </row>
    <row r="2617" spans="1:5" x14ac:dyDescent="0.25">
      <c r="A2617" t="s">
        <v>1</v>
      </c>
      <c r="B2617">
        <v>1221218</v>
      </c>
      <c r="C2617">
        <v>68131.25</v>
      </c>
      <c r="D2617" s="4">
        <f>+VLOOKUP(A2617,Portfolio!$G$3:$I$6,3)</f>
        <v>1</v>
      </c>
      <c r="E2617">
        <f t="shared" si="40"/>
        <v>68131.25</v>
      </c>
    </row>
    <row r="2618" spans="1:5" x14ac:dyDescent="0.25">
      <c r="A2618" t="s">
        <v>1</v>
      </c>
      <c r="B2618">
        <v>1221219</v>
      </c>
      <c r="C2618">
        <v>68393.75</v>
      </c>
      <c r="D2618" s="4">
        <f>+VLOOKUP(A2618,Portfolio!$G$3:$I$6,3)</f>
        <v>1</v>
      </c>
      <c r="E2618">
        <f t="shared" si="40"/>
        <v>68393.75</v>
      </c>
    </row>
    <row r="2619" spans="1:5" x14ac:dyDescent="0.25">
      <c r="A2619" t="s">
        <v>1</v>
      </c>
      <c r="B2619">
        <v>1221220</v>
      </c>
      <c r="C2619">
        <v>69856.25</v>
      </c>
      <c r="D2619" s="4">
        <f>+VLOOKUP(A2619,Portfolio!$G$3:$I$6,3)</f>
        <v>1</v>
      </c>
      <c r="E2619">
        <f t="shared" si="40"/>
        <v>69856.25</v>
      </c>
    </row>
    <row r="2620" spans="1:5" x14ac:dyDescent="0.25">
      <c r="A2620" t="s">
        <v>1</v>
      </c>
      <c r="B2620">
        <v>1221221</v>
      </c>
      <c r="C2620">
        <v>69437.5</v>
      </c>
      <c r="D2620" s="4">
        <f>+VLOOKUP(A2620,Portfolio!$G$3:$I$6,3)</f>
        <v>1</v>
      </c>
      <c r="E2620">
        <f t="shared" si="40"/>
        <v>69437.5</v>
      </c>
    </row>
    <row r="2621" spans="1:5" x14ac:dyDescent="0.25">
      <c r="A2621" t="s">
        <v>1</v>
      </c>
      <c r="B2621">
        <v>1221222</v>
      </c>
      <c r="C2621">
        <v>69600</v>
      </c>
      <c r="D2621" s="4">
        <f>+VLOOKUP(A2621,Portfolio!$G$3:$I$6,3)</f>
        <v>1</v>
      </c>
      <c r="E2621">
        <f t="shared" si="40"/>
        <v>69600</v>
      </c>
    </row>
    <row r="2622" spans="1:5" x14ac:dyDescent="0.25">
      <c r="A2622" t="s">
        <v>1</v>
      </c>
      <c r="B2622">
        <v>1221223</v>
      </c>
      <c r="C2622">
        <v>70162.5</v>
      </c>
      <c r="D2622" s="4">
        <f>+VLOOKUP(A2622,Portfolio!$G$3:$I$6,3)</f>
        <v>1</v>
      </c>
      <c r="E2622">
        <f t="shared" si="40"/>
        <v>70162.5</v>
      </c>
    </row>
    <row r="2623" spans="1:5" x14ac:dyDescent="0.25">
      <c r="A2623" t="s">
        <v>1</v>
      </c>
      <c r="B2623">
        <v>1221226</v>
      </c>
      <c r="C2623">
        <v>69843.75</v>
      </c>
      <c r="D2623" s="4">
        <f>+VLOOKUP(A2623,Portfolio!$G$3:$I$6,3)</f>
        <v>1</v>
      </c>
      <c r="E2623">
        <f t="shared" si="40"/>
        <v>69843.75</v>
      </c>
    </row>
    <row r="2624" spans="1:5" x14ac:dyDescent="0.25">
      <c r="A2624" t="s">
        <v>1</v>
      </c>
      <c r="B2624">
        <v>1221227</v>
      </c>
      <c r="C2624">
        <v>69881.25</v>
      </c>
      <c r="D2624" s="4">
        <f>+VLOOKUP(A2624,Portfolio!$G$3:$I$6,3)</f>
        <v>1</v>
      </c>
      <c r="E2624">
        <f t="shared" si="40"/>
        <v>69881.25</v>
      </c>
    </row>
    <row r="2625" spans="1:5" x14ac:dyDescent="0.25">
      <c r="A2625" t="s">
        <v>1</v>
      </c>
      <c r="B2625">
        <v>1221228</v>
      </c>
      <c r="C2625">
        <v>70800</v>
      </c>
      <c r="D2625" s="4">
        <f>+VLOOKUP(A2625,Portfolio!$G$3:$I$6,3)</f>
        <v>1</v>
      </c>
      <c r="E2625">
        <f t="shared" si="40"/>
        <v>70800</v>
      </c>
    </row>
    <row r="2626" spans="1:5" x14ac:dyDescent="0.25">
      <c r="A2626" t="s">
        <v>1</v>
      </c>
      <c r="B2626">
        <v>1221229</v>
      </c>
      <c r="C2626">
        <v>69906.25</v>
      </c>
      <c r="D2626" s="4">
        <f>+VLOOKUP(A2626,Portfolio!$G$3:$I$6,3)</f>
        <v>1</v>
      </c>
      <c r="E2626">
        <f t="shared" si="40"/>
        <v>69906.25</v>
      </c>
    </row>
    <row r="2627" spans="1:5" x14ac:dyDescent="0.25">
      <c r="A2627" t="s">
        <v>1</v>
      </c>
      <c r="B2627">
        <v>1221230</v>
      </c>
      <c r="C2627">
        <v>70637.5</v>
      </c>
      <c r="D2627" s="4">
        <f>+VLOOKUP(A2627,Portfolio!$G$3:$I$6,3)</f>
        <v>1</v>
      </c>
      <c r="E2627">
        <f t="shared" ref="E2627:E2690" si="41">+C2627*D2627</f>
        <v>70637.5</v>
      </c>
    </row>
    <row r="2628" spans="1:5" x14ac:dyDescent="0.25">
      <c r="A2628" t="s">
        <v>1</v>
      </c>
      <c r="B2628">
        <v>1230102</v>
      </c>
      <c r="C2628">
        <v>71050</v>
      </c>
      <c r="D2628" s="4">
        <f>+VLOOKUP(A2628,Portfolio!$G$3:$I$6,3)</f>
        <v>1</v>
      </c>
      <c r="E2628">
        <f t="shared" si="41"/>
        <v>71050</v>
      </c>
    </row>
    <row r="2629" spans="1:5" x14ac:dyDescent="0.25">
      <c r="A2629" t="s">
        <v>1</v>
      </c>
      <c r="B2629">
        <v>1230103</v>
      </c>
      <c r="C2629">
        <v>71781.25</v>
      </c>
      <c r="D2629" s="4">
        <f>+VLOOKUP(A2629,Portfolio!$G$3:$I$6,3)</f>
        <v>1</v>
      </c>
      <c r="E2629">
        <f t="shared" si="41"/>
        <v>71781.25</v>
      </c>
    </row>
    <row r="2630" spans="1:5" x14ac:dyDescent="0.25">
      <c r="A2630" t="s">
        <v>1</v>
      </c>
      <c r="B2630">
        <v>1230104</v>
      </c>
      <c r="C2630">
        <v>69556.25</v>
      </c>
      <c r="D2630" s="4">
        <f>+VLOOKUP(A2630,Portfolio!$G$3:$I$6,3)</f>
        <v>1</v>
      </c>
      <c r="E2630">
        <f t="shared" si="41"/>
        <v>69556.25</v>
      </c>
    </row>
    <row r="2631" spans="1:5" x14ac:dyDescent="0.25">
      <c r="A2631" t="s">
        <v>1</v>
      </c>
      <c r="B2631">
        <v>1230105</v>
      </c>
      <c r="C2631">
        <v>70800</v>
      </c>
      <c r="D2631" s="4">
        <f>+VLOOKUP(A2631,Portfolio!$G$3:$I$6,3)</f>
        <v>1</v>
      </c>
      <c r="E2631">
        <f t="shared" si="41"/>
        <v>70800</v>
      </c>
    </row>
    <row r="2632" spans="1:5" x14ac:dyDescent="0.25">
      <c r="A2632" t="s">
        <v>1</v>
      </c>
      <c r="B2632">
        <v>1230106</v>
      </c>
      <c r="C2632">
        <v>72000</v>
      </c>
      <c r="D2632" s="4">
        <f>+VLOOKUP(A2632,Portfolio!$G$3:$I$6,3)</f>
        <v>1</v>
      </c>
      <c r="E2632">
        <f t="shared" si="41"/>
        <v>72000</v>
      </c>
    </row>
    <row r="2633" spans="1:5" x14ac:dyDescent="0.25">
      <c r="A2633" t="s">
        <v>1</v>
      </c>
      <c r="B2633">
        <v>1230108</v>
      </c>
      <c r="C2633">
        <v>73662.5</v>
      </c>
      <c r="D2633" s="4">
        <f>+VLOOKUP(A2633,Portfolio!$G$3:$I$6,3)</f>
        <v>1</v>
      </c>
      <c r="E2633">
        <f t="shared" si="41"/>
        <v>73662.5</v>
      </c>
    </row>
    <row r="2634" spans="1:5" x14ac:dyDescent="0.25">
      <c r="A2634" t="s">
        <v>1</v>
      </c>
      <c r="B2634">
        <v>1230109</v>
      </c>
      <c r="C2634">
        <v>73637.5</v>
      </c>
      <c r="D2634" s="4">
        <f>+VLOOKUP(A2634,Portfolio!$G$3:$I$6,3)</f>
        <v>1</v>
      </c>
      <c r="E2634">
        <f t="shared" si="41"/>
        <v>73637.5</v>
      </c>
    </row>
    <row r="2635" spans="1:5" x14ac:dyDescent="0.25">
      <c r="A2635" t="s">
        <v>1</v>
      </c>
      <c r="B2635">
        <v>1230110</v>
      </c>
      <c r="C2635">
        <v>73681.25</v>
      </c>
      <c r="D2635" s="4">
        <f>+VLOOKUP(A2635,Portfolio!$G$3:$I$6,3)</f>
        <v>1</v>
      </c>
      <c r="E2635">
        <f t="shared" si="41"/>
        <v>73681.25</v>
      </c>
    </row>
    <row r="2636" spans="1:5" x14ac:dyDescent="0.25">
      <c r="A2636" t="s">
        <v>1</v>
      </c>
      <c r="B2636">
        <v>1230111</v>
      </c>
      <c r="C2636">
        <v>73387.5</v>
      </c>
      <c r="D2636" s="4">
        <f>+VLOOKUP(A2636,Portfolio!$G$3:$I$6,3)</f>
        <v>1</v>
      </c>
      <c r="E2636">
        <f t="shared" si="41"/>
        <v>73387.5</v>
      </c>
    </row>
    <row r="2637" spans="1:5" x14ac:dyDescent="0.25">
      <c r="A2637" t="s">
        <v>1</v>
      </c>
      <c r="B2637">
        <v>1230112</v>
      </c>
      <c r="C2637">
        <v>73862.5</v>
      </c>
      <c r="D2637" s="4">
        <f>+VLOOKUP(A2637,Portfolio!$G$3:$I$6,3)</f>
        <v>1</v>
      </c>
      <c r="E2637">
        <f t="shared" si="41"/>
        <v>73862.5</v>
      </c>
    </row>
    <row r="2638" spans="1:5" x14ac:dyDescent="0.25">
      <c r="A2638" t="s">
        <v>1</v>
      </c>
      <c r="B2638">
        <v>1230113</v>
      </c>
      <c r="C2638">
        <v>75681.25</v>
      </c>
      <c r="D2638" s="4">
        <f>+VLOOKUP(A2638,Portfolio!$G$3:$I$6,3)</f>
        <v>1</v>
      </c>
      <c r="E2638">
        <f t="shared" si="41"/>
        <v>75681.25</v>
      </c>
    </row>
    <row r="2639" spans="1:5" x14ac:dyDescent="0.25">
      <c r="A2639" t="s">
        <v>1</v>
      </c>
      <c r="B2639">
        <v>1230115</v>
      </c>
      <c r="C2639">
        <v>75468.75</v>
      </c>
      <c r="D2639" s="4">
        <f>+VLOOKUP(A2639,Portfolio!$G$3:$I$6,3)</f>
        <v>1</v>
      </c>
      <c r="E2639">
        <f t="shared" si="41"/>
        <v>75468.75</v>
      </c>
    </row>
    <row r="2640" spans="1:5" x14ac:dyDescent="0.25">
      <c r="A2640" t="s">
        <v>1</v>
      </c>
      <c r="B2640">
        <v>1230116</v>
      </c>
      <c r="C2640">
        <v>75812.5</v>
      </c>
      <c r="D2640" s="4">
        <f>+VLOOKUP(A2640,Portfolio!$G$3:$I$6,3)</f>
        <v>1</v>
      </c>
      <c r="E2640">
        <f t="shared" si="41"/>
        <v>75812.5</v>
      </c>
    </row>
    <row r="2641" spans="1:5" x14ac:dyDescent="0.25">
      <c r="A2641" t="s">
        <v>1</v>
      </c>
      <c r="B2641">
        <v>1230117</v>
      </c>
      <c r="C2641">
        <v>74687.5</v>
      </c>
      <c r="D2641" s="4">
        <f>+VLOOKUP(A2641,Portfolio!$G$3:$I$6,3)</f>
        <v>1</v>
      </c>
      <c r="E2641">
        <f t="shared" si="41"/>
        <v>74687.5</v>
      </c>
    </row>
    <row r="2642" spans="1:5" x14ac:dyDescent="0.25">
      <c r="A2642" t="s">
        <v>1</v>
      </c>
      <c r="B2642">
        <v>1230118</v>
      </c>
      <c r="C2642">
        <v>75200</v>
      </c>
      <c r="D2642" s="4">
        <f>+VLOOKUP(A2642,Portfolio!$G$3:$I$6,3)</f>
        <v>1</v>
      </c>
      <c r="E2642">
        <f t="shared" si="41"/>
        <v>75200</v>
      </c>
    </row>
    <row r="2643" spans="1:5" x14ac:dyDescent="0.25">
      <c r="A2643" t="s">
        <v>1</v>
      </c>
      <c r="B2643">
        <v>1230119</v>
      </c>
      <c r="C2643">
        <v>74343.75</v>
      </c>
      <c r="D2643" s="4">
        <f>+VLOOKUP(A2643,Portfolio!$G$3:$I$6,3)</f>
        <v>1</v>
      </c>
      <c r="E2643">
        <f t="shared" si="41"/>
        <v>74343.75</v>
      </c>
    </row>
    <row r="2644" spans="1:5" x14ac:dyDescent="0.25">
      <c r="A2644" t="s">
        <v>1</v>
      </c>
      <c r="B2644">
        <v>1230120</v>
      </c>
      <c r="C2644">
        <v>74125</v>
      </c>
      <c r="D2644" s="4">
        <f>+VLOOKUP(A2644,Portfolio!$G$3:$I$6,3)</f>
        <v>1</v>
      </c>
      <c r="E2644">
        <f t="shared" si="41"/>
        <v>74125</v>
      </c>
    </row>
    <row r="2645" spans="1:5" x14ac:dyDescent="0.25">
      <c r="A2645" t="s">
        <v>1</v>
      </c>
      <c r="B2645">
        <v>1230122</v>
      </c>
      <c r="C2645">
        <v>74300</v>
      </c>
      <c r="D2645" s="4">
        <f>+VLOOKUP(A2645,Portfolio!$G$3:$I$6,3)</f>
        <v>1</v>
      </c>
      <c r="E2645">
        <f t="shared" si="41"/>
        <v>74300</v>
      </c>
    </row>
    <row r="2646" spans="1:5" x14ac:dyDescent="0.25">
      <c r="A2646" t="s">
        <v>1</v>
      </c>
      <c r="B2646">
        <v>1230123</v>
      </c>
      <c r="C2646">
        <v>74650</v>
      </c>
      <c r="D2646" s="4">
        <f>+VLOOKUP(A2646,Portfolio!$G$3:$I$6,3)</f>
        <v>1</v>
      </c>
      <c r="E2646">
        <f t="shared" si="41"/>
        <v>74650</v>
      </c>
    </row>
    <row r="2647" spans="1:5" x14ac:dyDescent="0.25">
      <c r="A2647" t="s">
        <v>1</v>
      </c>
      <c r="B2647">
        <v>1230124</v>
      </c>
      <c r="C2647">
        <v>74881.25</v>
      </c>
      <c r="D2647" s="4">
        <f>+VLOOKUP(A2647,Portfolio!$G$3:$I$6,3)</f>
        <v>1</v>
      </c>
      <c r="E2647">
        <f t="shared" si="41"/>
        <v>74881.25</v>
      </c>
    </row>
    <row r="2648" spans="1:5" x14ac:dyDescent="0.25">
      <c r="A2648" t="s">
        <v>1</v>
      </c>
      <c r="B2648">
        <v>1230125</v>
      </c>
      <c r="C2648">
        <v>75118.75</v>
      </c>
      <c r="D2648" s="4">
        <f>+VLOOKUP(A2648,Portfolio!$G$3:$I$6,3)</f>
        <v>1</v>
      </c>
      <c r="E2648">
        <f t="shared" si="41"/>
        <v>75118.75</v>
      </c>
    </row>
    <row r="2649" spans="1:5" x14ac:dyDescent="0.25">
      <c r="A2649" t="s">
        <v>1</v>
      </c>
      <c r="B2649">
        <v>1230126</v>
      </c>
      <c r="C2649">
        <v>74743.75</v>
      </c>
      <c r="D2649" s="4">
        <f>+VLOOKUP(A2649,Portfolio!$G$3:$I$6,3)</f>
        <v>1</v>
      </c>
      <c r="E2649">
        <f t="shared" si="41"/>
        <v>74743.75</v>
      </c>
    </row>
    <row r="2650" spans="1:5" x14ac:dyDescent="0.25">
      <c r="A2650" t="s">
        <v>1</v>
      </c>
      <c r="B2650">
        <v>1230127</v>
      </c>
      <c r="C2650">
        <v>74225</v>
      </c>
      <c r="D2650" s="4">
        <f>+VLOOKUP(A2650,Portfolio!$G$3:$I$6,3)</f>
        <v>1</v>
      </c>
      <c r="E2650">
        <f t="shared" si="41"/>
        <v>74225</v>
      </c>
    </row>
    <row r="2651" spans="1:5" x14ac:dyDescent="0.25">
      <c r="A2651" t="s">
        <v>1</v>
      </c>
      <c r="B2651">
        <v>1230129</v>
      </c>
      <c r="C2651">
        <v>73637.5</v>
      </c>
      <c r="D2651" s="4">
        <f>+VLOOKUP(A2651,Portfolio!$G$3:$I$6,3)</f>
        <v>1</v>
      </c>
      <c r="E2651">
        <f t="shared" si="41"/>
        <v>73637.5</v>
      </c>
    </row>
    <row r="2652" spans="1:5" x14ac:dyDescent="0.25">
      <c r="A2652" t="s">
        <v>1</v>
      </c>
      <c r="B2652">
        <v>1230130</v>
      </c>
      <c r="C2652">
        <v>73500</v>
      </c>
      <c r="D2652" s="4">
        <f>+VLOOKUP(A2652,Portfolio!$G$3:$I$6,3)</f>
        <v>1</v>
      </c>
      <c r="E2652">
        <f t="shared" si="41"/>
        <v>73500</v>
      </c>
    </row>
    <row r="2653" spans="1:5" x14ac:dyDescent="0.25">
      <c r="A2653" t="s">
        <v>1</v>
      </c>
      <c r="B2653">
        <v>1230131</v>
      </c>
      <c r="C2653">
        <v>73000</v>
      </c>
      <c r="D2653" s="4">
        <f>+VLOOKUP(A2653,Portfolio!$G$3:$I$6,3)</f>
        <v>1</v>
      </c>
      <c r="E2653">
        <f t="shared" si="41"/>
        <v>73000</v>
      </c>
    </row>
    <row r="2654" spans="1:5" x14ac:dyDescent="0.25">
      <c r="A2654" t="s">
        <v>1</v>
      </c>
      <c r="B2654">
        <v>1230201</v>
      </c>
      <c r="C2654">
        <v>72731.25</v>
      </c>
      <c r="D2654" s="4">
        <f>+VLOOKUP(A2654,Portfolio!$G$3:$I$6,3)</f>
        <v>1</v>
      </c>
      <c r="E2654">
        <f t="shared" si="41"/>
        <v>72731.25</v>
      </c>
    </row>
    <row r="2655" spans="1:5" x14ac:dyDescent="0.25">
      <c r="A2655" t="s">
        <v>1</v>
      </c>
      <c r="B2655">
        <v>1230202</v>
      </c>
      <c r="C2655">
        <v>73968.75</v>
      </c>
      <c r="D2655" s="4">
        <f>+VLOOKUP(A2655,Portfolio!$G$3:$I$6,3)</f>
        <v>1</v>
      </c>
      <c r="E2655">
        <f t="shared" si="41"/>
        <v>73968.75</v>
      </c>
    </row>
    <row r="2656" spans="1:5" x14ac:dyDescent="0.25">
      <c r="A2656" t="s">
        <v>1</v>
      </c>
      <c r="B2656">
        <v>1230203</v>
      </c>
      <c r="C2656">
        <v>73943.75</v>
      </c>
      <c r="D2656" s="4">
        <f>+VLOOKUP(A2656,Portfolio!$G$3:$I$6,3)</f>
        <v>1</v>
      </c>
      <c r="E2656">
        <f t="shared" si="41"/>
        <v>73943.75</v>
      </c>
    </row>
    <row r="2657" spans="1:5" x14ac:dyDescent="0.25">
      <c r="A2657" t="s">
        <v>1</v>
      </c>
      <c r="B2657">
        <v>1230205</v>
      </c>
      <c r="C2657">
        <v>76337.5</v>
      </c>
      <c r="D2657" s="4">
        <f>+VLOOKUP(A2657,Portfolio!$G$3:$I$6,3)</f>
        <v>1</v>
      </c>
      <c r="E2657">
        <f t="shared" si="41"/>
        <v>76337.5</v>
      </c>
    </row>
    <row r="2658" spans="1:5" x14ac:dyDescent="0.25">
      <c r="A2658" t="s">
        <v>1</v>
      </c>
      <c r="B2658">
        <v>1230206</v>
      </c>
      <c r="C2658">
        <v>76100</v>
      </c>
      <c r="D2658" s="4">
        <f>+VLOOKUP(A2658,Portfolio!$G$3:$I$6,3)</f>
        <v>1</v>
      </c>
      <c r="E2658">
        <f t="shared" si="41"/>
        <v>76100</v>
      </c>
    </row>
    <row r="2659" spans="1:5" x14ac:dyDescent="0.25">
      <c r="A2659" t="s">
        <v>1</v>
      </c>
      <c r="B2659">
        <v>1230207</v>
      </c>
      <c r="C2659">
        <v>76493.75</v>
      </c>
      <c r="D2659" s="4">
        <f>+VLOOKUP(A2659,Portfolio!$G$3:$I$6,3)</f>
        <v>1</v>
      </c>
      <c r="E2659">
        <f t="shared" si="41"/>
        <v>76493.75</v>
      </c>
    </row>
    <row r="2660" spans="1:5" x14ac:dyDescent="0.25">
      <c r="A2660" t="s">
        <v>1</v>
      </c>
      <c r="B2660">
        <v>1230208</v>
      </c>
      <c r="C2660">
        <v>76525</v>
      </c>
      <c r="D2660" s="4">
        <f>+VLOOKUP(A2660,Portfolio!$G$3:$I$6,3)</f>
        <v>1</v>
      </c>
      <c r="E2660">
        <f t="shared" si="41"/>
        <v>76525</v>
      </c>
    </row>
    <row r="2661" spans="1:5" x14ac:dyDescent="0.25">
      <c r="A2661" t="s">
        <v>1</v>
      </c>
      <c r="B2661">
        <v>1230209</v>
      </c>
      <c r="C2661">
        <v>76893.75</v>
      </c>
      <c r="D2661" s="4">
        <f>+VLOOKUP(A2661,Portfolio!$G$3:$I$6,3)</f>
        <v>1</v>
      </c>
      <c r="E2661">
        <f t="shared" si="41"/>
        <v>76893.75</v>
      </c>
    </row>
    <row r="2662" spans="1:5" x14ac:dyDescent="0.25">
      <c r="A2662" t="s">
        <v>1</v>
      </c>
      <c r="B2662">
        <v>1230210</v>
      </c>
      <c r="C2662">
        <v>76418.75</v>
      </c>
      <c r="D2662" s="4">
        <f>+VLOOKUP(A2662,Portfolio!$G$3:$I$6,3)</f>
        <v>1</v>
      </c>
      <c r="E2662">
        <f t="shared" si="41"/>
        <v>76418.75</v>
      </c>
    </row>
    <row r="2663" spans="1:5" x14ac:dyDescent="0.25">
      <c r="A2663" t="s">
        <v>1</v>
      </c>
      <c r="B2663">
        <v>1230212</v>
      </c>
      <c r="C2663">
        <v>76443.75</v>
      </c>
      <c r="D2663" s="4">
        <f>+VLOOKUP(A2663,Portfolio!$G$3:$I$6,3)</f>
        <v>1</v>
      </c>
      <c r="E2663">
        <f t="shared" si="41"/>
        <v>76443.75</v>
      </c>
    </row>
    <row r="2664" spans="1:5" x14ac:dyDescent="0.25">
      <c r="A2664" t="s">
        <v>1</v>
      </c>
      <c r="B2664">
        <v>1230213</v>
      </c>
      <c r="C2664">
        <v>76893.75</v>
      </c>
      <c r="D2664" s="4">
        <f>+VLOOKUP(A2664,Portfolio!$G$3:$I$6,3)</f>
        <v>1</v>
      </c>
      <c r="E2664">
        <f t="shared" si="41"/>
        <v>76893.75</v>
      </c>
    </row>
    <row r="2665" spans="1:5" x14ac:dyDescent="0.25">
      <c r="A2665" t="s">
        <v>1</v>
      </c>
      <c r="B2665">
        <v>1230214</v>
      </c>
      <c r="C2665">
        <v>77025</v>
      </c>
      <c r="D2665" s="4">
        <f>+VLOOKUP(A2665,Portfolio!$G$3:$I$6,3)</f>
        <v>1</v>
      </c>
      <c r="E2665">
        <f t="shared" si="41"/>
        <v>77025</v>
      </c>
    </row>
    <row r="2666" spans="1:5" x14ac:dyDescent="0.25">
      <c r="A2666" t="s">
        <v>1</v>
      </c>
      <c r="B2666">
        <v>1230215</v>
      </c>
      <c r="C2666">
        <v>77231.25</v>
      </c>
      <c r="D2666" s="4">
        <f>+VLOOKUP(A2666,Portfolio!$G$3:$I$6,3)</f>
        <v>1</v>
      </c>
      <c r="E2666">
        <f t="shared" si="41"/>
        <v>77231.25</v>
      </c>
    </row>
    <row r="2667" spans="1:5" x14ac:dyDescent="0.25">
      <c r="A2667" t="s">
        <v>1</v>
      </c>
      <c r="B2667">
        <v>1230216</v>
      </c>
      <c r="C2667">
        <v>77843.75</v>
      </c>
      <c r="D2667" s="4">
        <f>+VLOOKUP(A2667,Portfolio!$G$3:$I$6,3)</f>
        <v>1</v>
      </c>
      <c r="E2667">
        <f t="shared" si="41"/>
        <v>77843.75</v>
      </c>
    </row>
    <row r="2668" spans="1:5" x14ac:dyDescent="0.25">
      <c r="A2668" t="s">
        <v>1</v>
      </c>
      <c r="B2668">
        <v>1230217</v>
      </c>
      <c r="C2668">
        <v>78431.25</v>
      </c>
      <c r="D2668" s="4">
        <f>+VLOOKUP(A2668,Portfolio!$G$3:$I$6,3)</f>
        <v>1</v>
      </c>
      <c r="E2668">
        <f t="shared" si="41"/>
        <v>78431.25</v>
      </c>
    </row>
    <row r="2669" spans="1:5" x14ac:dyDescent="0.25">
      <c r="A2669" t="s">
        <v>1</v>
      </c>
      <c r="B2669">
        <v>1230219</v>
      </c>
      <c r="C2669">
        <v>78675</v>
      </c>
      <c r="D2669" s="4">
        <f>+VLOOKUP(A2669,Portfolio!$G$3:$I$6,3)</f>
        <v>1</v>
      </c>
      <c r="E2669">
        <f t="shared" si="41"/>
        <v>78675</v>
      </c>
    </row>
    <row r="2670" spans="1:5" x14ac:dyDescent="0.25">
      <c r="A2670" t="s">
        <v>1</v>
      </c>
      <c r="B2670">
        <v>1230220</v>
      </c>
      <c r="C2670">
        <v>78831.25</v>
      </c>
      <c r="D2670" s="4">
        <f>+VLOOKUP(A2670,Portfolio!$G$3:$I$6,3)</f>
        <v>1</v>
      </c>
      <c r="E2670">
        <f t="shared" si="41"/>
        <v>78831.25</v>
      </c>
    </row>
    <row r="2671" spans="1:5" x14ac:dyDescent="0.25">
      <c r="A2671" t="s">
        <v>1</v>
      </c>
      <c r="B2671">
        <v>1230221</v>
      </c>
      <c r="C2671">
        <v>78618.75</v>
      </c>
      <c r="D2671" s="4">
        <f>+VLOOKUP(A2671,Portfolio!$G$3:$I$6,3)</f>
        <v>1</v>
      </c>
      <c r="E2671">
        <f t="shared" si="41"/>
        <v>78618.75</v>
      </c>
    </row>
    <row r="2672" spans="1:5" x14ac:dyDescent="0.25">
      <c r="A2672" t="s">
        <v>1</v>
      </c>
      <c r="B2672">
        <v>1230222</v>
      </c>
      <c r="C2672">
        <v>78975</v>
      </c>
      <c r="D2672" s="4">
        <f>+VLOOKUP(A2672,Portfolio!$G$3:$I$6,3)</f>
        <v>1</v>
      </c>
      <c r="E2672">
        <f t="shared" si="41"/>
        <v>78975</v>
      </c>
    </row>
    <row r="2673" spans="1:5" x14ac:dyDescent="0.25">
      <c r="A2673" t="s">
        <v>1</v>
      </c>
      <c r="B2673">
        <v>1230223</v>
      </c>
      <c r="C2673">
        <v>78693.75</v>
      </c>
      <c r="D2673" s="4">
        <f>+VLOOKUP(A2673,Portfolio!$G$3:$I$6,3)</f>
        <v>1</v>
      </c>
      <c r="E2673">
        <f t="shared" si="41"/>
        <v>78693.75</v>
      </c>
    </row>
    <row r="2674" spans="1:5" x14ac:dyDescent="0.25">
      <c r="A2674" t="s">
        <v>1</v>
      </c>
      <c r="B2674">
        <v>1230224</v>
      </c>
      <c r="C2674">
        <v>78543.75</v>
      </c>
      <c r="D2674" s="4">
        <f>+VLOOKUP(A2674,Portfolio!$G$3:$I$6,3)</f>
        <v>1</v>
      </c>
      <c r="E2674">
        <f t="shared" si="41"/>
        <v>78543.75</v>
      </c>
    </row>
    <row r="2675" spans="1:5" x14ac:dyDescent="0.25">
      <c r="A2675" t="s">
        <v>1</v>
      </c>
      <c r="B2675">
        <v>1230226</v>
      </c>
      <c r="C2675">
        <v>78637.5</v>
      </c>
      <c r="D2675" s="4">
        <f>+VLOOKUP(A2675,Portfolio!$G$3:$I$6,3)</f>
        <v>1</v>
      </c>
      <c r="E2675">
        <f t="shared" si="41"/>
        <v>78637.5</v>
      </c>
    </row>
    <row r="2676" spans="1:5" x14ac:dyDescent="0.25">
      <c r="A2676" t="s">
        <v>1</v>
      </c>
      <c r="B2676">
        <v>1230227</v>
      </c>
      <c r="C2676">
        <v>78581.25</v>
      </c>
      <c r="D2676" s="4">
        <f>+VLOOKUP(A2676,Portfolio!$G$3:$I$6,3)</f>
        <v>1</v>
      </c>
      <c r="E2676">
        <f t="shared" si="41"/>
        <v>78581.25</v>
      </c>
    </row>
    <row r="2677" spans="1:5" x14ac:dyDescent="0.25">
      <c r="A2677" t="s">
        <v>1</v>
      </c>
      <c r="B2677">
        <v>1230228</v>
      </c>
      <c r="C2677">
        <v>78125</v>
      </c>
      <c r="D2677" s="4">
        <f>+VLOOKUP(A2677,Portfolio!$G$3:$I$6,3)</f>
        <v>1</v>
      </c>
      <c r="E2677">
        <f t="shared" si="41"/>
        <v>78125</v>
      </c>
    </row>
    <row r="2678" spans="1:5" x14ac:dyDescent="0.25">
      <c r="A2678" t="s">
        <v>1</v>
      </c>
      <c r="B2678">
        <v>1230301</v>
      </c>
      <c r="C2678">
        <v>77712.5</v>
      </c>
      <c r="D2678" s="4">
        <f>+VLOOKUP(A2678,Portfolio!$G$3:$I$6,3)</f>
        <v>1</v>
      </c>
      <c r="E2678">
        <f t="shared" si="41"/>
        <v>77712.5</v>
      </c>
    </row>
    <row r="2679" spans="1:5" x14ac:dyDescent="0.25">
      <c r="A2679" t="s">
        <v>1</v>
      </c>
      <c r="B2679">
        <v>1230302</v>
      </c>
      <c r="C2679">
        <v>78368.75</v>
      </c>
      <c r="D2679" s="4">
        <f>+VLOOKUP(A2679,Portfolio!$G$3:$I$6,3)</f>
        <v>1</v>
      </c>
      <c r="E2679">
        <f t="shared" si="41"/>
        <v>78368.75</v>
      </c>
    </row>
    <row r="2680" spans="1:5" x14ac:dyDescent="0.25">
      <c r="A2680" t="s">
        <v>1</v>
      </c>
      <c r="B2680">
        <v>1230303</v>
      </c>
      <c r="C2680">
        <v>78393.75</v>
      </c>
      <c r="D2680" s="4">
        <f>+VLOOKUP(A2680,Portfolio!$G$3:$I$6,3)</f>
        <v>1</v>
      </c>
      <c r="E2680">
        <f t="shared" si="41"/>
        <v>78393.75</v>
      </c>
    </row>
    <row r="2681" spans="1:5" x14ac:dyDescent="0.25">
      <c r="A2681" t="s">
        <v>1</v>
      </c>
      <c r="B2681">
        <v>1230305</v>
      </c>
      <c r="C2681">
        <v>77918.75</v>
      </c>
      <c r="D2681" s="4">
        <f>+VLOOKUP(A2681,Portfolio!$G$3:$I$6,3)</f>
        <v>1</v>
      </c>
      <c r="E2681">
        <f t="shared" si="41"/>
        <v>77918.75</v>
      </c>
    </row>
    <row r="2682" spans="1:5" x14ac:dyDescent="0.25">
      <c r="A2682" t="s">
        <v>1</v>
      </c>
      <c r="B2682">
        <v>1230306</v>
      </c>
      <c r="C2682">
        <v>78081.25</v>
      </c>
      <c r="D2682" s="4">
        <f>+VLOOKUP(A2682,Portfolio!$G$3:$I$6,3)</f>
        <v>1</v>
      </c>
      <c r="E2682">
        <f t="shared" si="41"/>
        <v>78081.25</v>
      </c>
    </row>
    <row r="2683" spans="1:5" x14ac:dyDescent="0.25">
      <c r="A2683" t="s">
        <v>1</v>
      </c>
      <c r="B2683">
        <v>1230307</v>
      </c>
      <c r="C2683">
        <v>77681.25</v>
      </c>
      <c r="D2683" s="4">
        <f>+VLOOKUP(A2683,Portfolio!$G$3:$I$6,3)</f>
        <v>1</v>
      </c>
      <c r="E2683">
        <f t="shared" si="41"/>
        <v>77681.25</v>
      </c>
    </row>
    <row r="2684" spans="1:5" x14ac:dyDescent="0.25">
      <c r="A2684" t="s">
        <v>1</v>
      </c>
      <c r="B2684">
        <v>1230308</v>
      </c>
      <c r="C2684">
        <v>78850</v>
      </c>
      <c r="D2684" s="4">
        <f>+VLOOKUP(A2684,Portfolio!$G$3:$I$6,3)</f>
        <v>1</v>
      </c>
      <c r="E2684">
        <f t="shared" si="41"/>
        <v>78850</v>
      </c>
    </row>
    <row r="2685" spans="1:5" x14ac:dyDescent="0.25">
      <c r="A2685" t="s">
        <v>1</v>
      </c>
      <c r="B2685">
        <v>1230309</v>
      </c>
      <c r="C2685">
        <v>78731.25</v>
      </c>
      <c r="D2685" s="4">
        <f>+VLOOKUP(A2685,Portfolio!$G$3:$I$6,3)</f>
        <v>1</v>
      </c>
      <c r="E2685">
        <f t="shared" si="41"/>
        <v>78731.25</v>
      </c>
    </row>
    <row r="2686" spans="1:5" x14ac:dyDescent="0.25">
      <c r="A2686" t="s">
        <v>1</v>
      </c>
      <c r="B2686">
        <v>1230310</v>
      </c>
      <c r="C2686">
        <v>78512.5</v>
      </c>
      <c r="D2686" s="4">
        <f>+VLOOKUP(A2686,Portfolio!$G$3:$I$6,3)</f>
        <v>1</v>
      </c>
      <c r="E2686">
        <f t="shared" si="41"/>
        <v>78512.5</v>
      </c>
    </row>
    <row r="2687" spans="1:5" x14ac:dyDescent="0.25">
      <c r="A2687" t="s">
        <v>1</v>
      </c>
      <c r="B2687">
        <v>1230312</v>
      </c>
      <c r="C2687">
        <v>79268.75</v>
      </c>
      <c r="D2687" s="4">
        <f>+VLOOKUP(A2687,Portfolio!$G$3:$I$6,3)</f>
        <v>1</v>
      </c>
      <c r="E2687">
        <f t="shared" si="41"/>
        <v>79268.75</v>
      </c>
    </row>
    <row r="2688" spans="1:5" x14ac:dyDescent="0.25">
      <c r="A2688" t="s">
        <v>1</v>
      </c>
      <c r="B2688">
        <v>1230313</v>
      </c>
      <c r="C2688">
        <v>79450</v>
      </c>
      <c r="D2688" s="4">
        <f>+VLOOKUP(A2688,Portfolio!$G$3:$I$6,3)</f>
        <v>1</v>
      </c>
      <c r="E2688">
        <f t="shared" si="41"/>
        <v>79450</v>
      </c>
    </row>
    <row r="2689" spans="1:5" x14ac:dyDescent="0.25">
      <c r="A2689" t="s">
        <v>1</v>
      </c>
      <c r="B2689">
        <v>1230314</v>
      </c>
      <c r="C2689">
        <v>79631.25</v>
      </c>
      <c r="D2689" s="4">
        <f>+VLOOKUP(A2689,Portfolio!$G$3:$I$6,3)</f>
        <v>1</v>
      </c>
      <c r="E2689">
        <f t="shared" si="41"/>
        <v>79631.25</v>
      </c>
    </row>
    <row r="2690" spans="1:5" x14ac:dyDescent="0.25">
      <c r="A2690" t="s">
        <v>1</v>
      </c>
      <c r="B2690">
        <v>1230315</v>
      </c>
      <c r="C2690">
        <v>79481.25</v>
      </c>
      <c r="D2690" s="4">
        <f>+VLOOKUP(A2690,Portfolio!$G$3:$I$6,3)</f>
        <v>1</v>
      </c>
      <c r="E2690">
        <f t="shared" si="41"/>
        <v>79481.25</v>
      </c>
    </row>
    <row r="2691" spans="1:5" x14ac:dyDescent="0.25">
      <c r="A2691" t="s">
        <v>1</v>
      </c>
      <c r="B2691">
        <v>1230316</v>
      </c>
      <c r="C2691">
        <v>79062.5</v>
      </c>
      <c r="D2691" s="4">
        <f>+VLOOKUP(A2691,Portfolio!$G$3:$I$6,3)</f>
        <v>1</v>
      </c>
      <c r="E2691">
        <f t="shared" ref="E2691:E2754" si="42">+C2691*D2691</f>
        <v>79062.5</v>
      </c>
    </row>
    <row r="2692" spans="1:5" x14ac:dyDescent="0.25">
      <c r="A2692" t="s">
        <v>1</v>
      </c>
      <c r="B2692">
        <v>1230317</v>
      </c>
      <c r="C2692">
        <v>78662.5</v>
      </c>
      <c r="D2692" s="4">
        <f>+VLOOKUP(A2692,Portfolio!$G$3:$I$6,3)</f>
        <v>1</v>
      </c>
      <c r="E2692">
        <f t="shared" si="42"/>
        <v>78662.5</v>
      </c>
    </row>
    <row r="2693" spans="1:5" x14ac:dyDescent="0.25">
      <c r="A2693" t="s">
        <v>1</v>
      </c>
      <c r="B2693">
        <v>1230319</v>
      </c>
      <c r="C2693">
        <v>78837.5</v>
      </c>
      <c r="D2693" s="4">
        <f>+VLOOKUP(A2693,Portfolio!$G$3:$I$6,3)</f>
        <v>1</v>
      </c>
      <c r="E2693">
        <f t="shared" si="42"/>
        <v>78837.5</v>
      </c>
    </row>
    <row r="2694" spans="1:5" x14ac:dyDescent="0.25">
      <c r="A2694" t="s">
        <v>1</v>
      </c>
      <c r="B2694">
        <v>1230320</v>
      </c>
      <c r="C2694">
        <v>79081.25</v>
      </c>
      <c r="D2694" s="4">
        <f>+VLOOKUP(A2694,Portfolio!$G$3:$I$6,3)</f>
        <v>1</v>
      </c>
      <c r="E2694">
        <f t="shared" si="42"/>
        <v>79081.25</v>
      </c>
    </row>
    <row r="2695" spans="1:5" x14ac:dyDescent="0.25">
      <c r="A2695" t="s">
        <v>1</v>
      </c>
      <c r="B2695">
        <v>1230321</v>
      </c>
      <c r="C2695">
        <v>79225</v>
      </c>
      <c r="D2695" s="4">
        <f>+VLOOKUP(A2695,Portfolio!$G$3:$I$6,3)</f>
        <v>1</v>
      </c>
      <c r="E2695">
        <f t="shared" si="42"/>
        <v>79225</v>
      </c>
    </row>
    <row r="2696" spans="1:5" x14ac:dyDescent="0.25">
      <c r="A2696" t="s">
        <v>1</v>
      </c>
      <c r="B2696">
        <v>1230322</v>
      </c>
      <c r="C2696">
        <v>80143.75</v>
      </c>
      <c r="D2696" s="4">
        <f>+VLOOKUP(A2696,Portfolio!$G$3:$I$6,3)</f>
        <v>1</v>
      </c>
      <c r="E2696">
        <f t="shared" si="42"/>
        <v>80143.75</v>
      </c>
    </row>
    <row r="2697" spans="1:5" x14ac:dyDescent="0.25">
      <c r="A2697" t="s">
        <v>1</v>
      </c>
      <c r="B2697">
        <v>1230323</v>
      </c>
      <c r="C2697">
        <v>81131.25</v>
      </c>
      <c r="D2697" s="4">
        <f>+VLOOKUP(A2697,Portfolio!$G$3:$I$6,3)</f>
        <v>1</v>
      </c>
      <c r="E2697">
        <f t="shared" si="42"/>
        <v>81131.25</v>
      </c>
    </row>
    <row r="2698" spans="1:5" x14ac:dyDescent="0.25">
      <c r="A2698" t="s">
        <v>1</v>
      </c>
      <c r="B2698">
        <v>1230324</v>
      </c>
      <c r="C2698">
        <v>80481.25</v>
      </c>
      <c r="D2698" s="4">
        <f>+VLOOKUP(A2698,Portfolio!$G$3:$I$6,3)</f>
        <v>1</v>
      </c>
      <c r="E2698">
        <f t="shared" si="42"/>
        <v>80481.25</v>
      </c>
    </row>
    <row r="2699" spans="1:5" x14ac:dyDescent="0.25">
      <c r="A2699" t="s">
        <v>1</v>
      </c>
      <c r="B2699">
        <v>1230326</v>
      </c>
      <c r="C2699">
        <v>80456.25</v>
      </c>
      <c r="D2699" s="4">
        <f>+VLOOKUP(A2699,Portfolio!$G$3:$I$6,3)</f>
        <v>1</v>
      </c>
      <c r="E2699">
        <f t="shared" si="42"/>
        <v>80456.25</v>
      </c>
    </row>
    <row r="2700" spans="1:5" x14ac:dyDescent="0.25">
      <c r="A2700" t="s">
        <v>1</v>
      </c>
      <c r="B2700">
        <v>1230327</v>
      </c>
      <c r="C2700">
        <v>80393.75</v>
      </c>
      <c r="D2700" s="4">
        <f>+VLOOKUP(A2700,Portfolio!$G$3:$I$6,3)</f>
        <v>1</v>
      </c>
      <c r="E2700">
        <f t="shared" si="42"/>
        <v>80393.75</v>
      </c>
    </row>
    <row r="2701" spans="1:5" x14ac:dyDescent="0.25">
      <c r="A2701" t="s">
        <v>1</v>
      </c>
      <c r="B2701">
        <v>1230328</v>
      </c>
      <c r="C2701">
        <v>80687.5</v>
      </c>
      <c r="D2701" s="4">
        <f>+VLOOKUP(A2701,Portfolio!$G$3:$I$6,3)</f>
        <v>1</v>
      </c>
      <c r="E2701">
        <f t="shared" si="42"/>
        <v>80687.5</v>
      </c>
    </row>
    <row r="2702" spans="1:5" x14ac:dyDescent="0.25">
      <c r="A2702" t="s">
        <v>1</v>
      </c>
      <c r="B2702">
        <v>1230329</v>
      </c>
      <c r="C2702">
        <v>80493.75</v>
      </c>
      <c r="D2702" s="4">
        <f>+VLOOKUP(A2702,Portfolio!$G$3:$I$6,3)</f>
        <v>1</v>
      </c>
      <c r="E2702">
        <f t="shared" si="42"/>
        <v>80493.75</v>
      </c>
    </row>
    <row r="2703" spans="1:5" x14ac:dyDescent="0.25">
      <c r="A2703" t="s">
        <v>1</v>
      </c>
      <c r="B2703">
        <v>1230330</v>
      </c>
      <c r="C2703">
        <v>81168.75</v>
      </c>
      <c r="D2703" s="4">
        <f>+VLOOKUP(A2703,Portfolio!$G$3:$I$6,3)</f>
        <v>1</v>
      </c>
      <c r="E2703">
        <f t="shared" si="42"/>
        <v>81168.75</v>
      </c>
    </row>
    <row r="2704" spans="1:5" x14ac:dyDescent="0.25">
      <c r="A2704" t="s">
        <v>1</v>
      </c>
      <c r="B2704">
        <v>1230331</v>
      </c>
      <c r="C2704">
        <v>81306.25</v>
      </c>
      <c r="D2704" s="4">
        <f>+VLOOKUP(A2704,Portfolio!$G$3:$I$6,3)</f>
        <v>1</v>
      </c>
      <c r="E2704">
        <f t="shared" si="42"/>
        <v>81306.25</v>
      </c>
    </row>
    <row r="2705" spans="1:5" x14ac:dyDescent="0.25">
      <c r="A2705" t="s">
        <v>1</v>
      </c>
      <c r="B2705">
        <v>1230402</v>
      </c>
      <c r="C2705">
        <v>80981.25</v>
      </c>
      <c r="D2705" s="4">
        <f>+VLOOKUP(A2705,Portfolio!$G$3:$I$6,3)</f>
        <v>1</v>
      </c>
      <c r="E2705">
        <f t="shared" si="42"/>
        <v>80981.25</v>
      </c>
    </row>
    <row r="2706" spans="1:5" x14ac:dyDescent="0.25">
      <c r="A2706" t="s">
        <v>1</v>
      </c>
      <c r="B2706">
        <v>1230403</v>
      </c>
      <c r="C2706">
        <v>80843.75</v>
      </c>
      <c r="D2706" s="4">
        <f>+VLOOKUP(A2706,Portfolio!$G$3:$I$6,3)</f>
        <v>1</v>
      </c>
      <c r="E2706">
        <f t="shared" si="42"/>
        <v>80843.75</v>
      </c>
    </row>
    <row r="2707" spans="1:5" x14ac:dyDescent="0.25">
      <c r="A2707" t="s">
        <v>1</v>
      </c>
      <c r="B2707">
        <v>1230404</v>
      </c>
      <c r="C2707">
        <v>81356.25</v>
      </c>
      <c r="D2707" s="4">
        <f>+VLOOKUP(A2707,Portfolio!$G$3:$I$6,3)</f>
        <v>1</v>
      </c>
      <c r="E2707">
        <f t="shared" si="42"/>
        <v>81356.25</v>
      </c>
    </row>
    <row r="2708" spans="1:5" x14ac:dyDescent="0.25">
      <c r="A2708" t="s">
        <v>1</v>
      </c>
      <c r="B2708">
        <v>1230405</v>
      </c>
      <c r="C2708">
        <v>81287.5</v>
      </c>
      <c r="D2708" s="4">
        <f>+VLOOKUP(A2708,Portfolio!$G$3:$I$6,3)</f>
        <v>1</v>
      </c>
      <c r="E2708">
        <f t="shared" si="42"/>
        <v>81287.5</v>
      </c>
    </row>
    <row r="2709" spans="1:5" x14ac:dyDescent="0.25">
      <c r="A2709" t="s">
        <v>1</v>
      </c>
      <c r="B2709">
        <v>1230406</v>
      </c>
      <c r="C2709">
        <v>81631.25</v>
      </c>
      <c r="D2709" s="4">
        <f>+VLOOKUP(A2709,Portfolio!$G$3:$I$6,3)</f>
        <v>1</v>
      </c>
      <c r="E2709">
        <f t="shared" si="42"/>
        <v>81631.25</v>
      </c>
    </row>
    <row r="2710" spans="1:5" x14ac:dyDescent="0.25">
      <c r="A2710" t="s">
        <v>1</v>
      </c>
      <c r="B2710">
        <v>1230407</v>
      </c>
      <c r="C2710">
        <v>80856.25</v>
      </c>
      <c r="D2710" s="4">
        <f>+VLOOKUP(A2710,Portfolio!$G$3:$I$6,3)</f>
        <v>1</v>
      </c>
      <c r="E2710">
        <f t="shared" si="42"/>
        <v>80856.25</v>
      </c>
    </row>
    <row r="2711" spans="1:5" x14ac:dyDescent="0.25">
      <c r="A2711" t="s">
        <v>1</v>
      </c>
      <c r="B2711">
        <v>1230409</v>
      </c>
      <c r="C2711">
        <v>80493.75</v>
      </c>
      <c r="D2711" s="4">
        <f>+VLOOKUP(A2711,Portfolio!$G$3:$I$6,3)</f>
        <v>1</v>
      </c>
      <c r="E2711">
        <f t="shared" si="42"/>
        <v>80493.75</v>
      </c>
    </row>
    <row r="2712" spans="1:5" x14ac:dyDescent="0.25">
      <c r="A2712" t="s">
        <v>1</v>
      </c>
      <c r="B2712">
        <v>1230410</v>
      </c>
      <c r="C2712">
        <v>80975</v>
      </c>
      <c r="D2712" s="4">
        <f>+VLOOKUP(A2712,Portfolio!$G$3:$I$6,3)</f>
        <v>1</v>
      </c>
      <c r="E2712">
        <f t="shared" si="42"/>
        <v>80975</v>
      </c>
    </row>
    <row r="2713" spans="1:5" x14ac:dyDescent="0.25">
      <c r="A2713" t="s">
        <v>1</v>
      </c>
      <c r="B2713">
        <v>1230411</v>
      </c>
      <c r="C2713">
        <v>81512.5</v>
      </c>
      <c r="D2713" s="4">
        <f>+VLOOKUP(A2713,Portfolio!$G$3:$I$6,3)</f>
        <v>1</v>
      </c>
      <c r="E2713">
        <f t="shared" si="42"/>
        <v>81512.5</v>
      </c>
    </row>
    <row r="2714" spans="1:5" x14ac:dyDescent="0.25">
      <c r="A2714" t="s">
        <v>1</v>
      </c>
      <c r="B2714">
        <v>1230412</v>
      </c>
      <c r="C2714">
        <v>80962.5</v>
      </c>
      <c r="D2714" s="4">
        <f>+VLOOKUP(A2714,Portfolio!$G$3:$I$6,3)</f>
        <v>1</v>
      </c>
      <c r="E2714">
        <f t="shared" si="42"/>
        <v>80962.5</v>
      </c>
    </row>
    <row r="2715" spans="1:5" x14ac:dyDescent="0.25">
      <c r="A2715" t="s">
        <v>1</v>
      </c>
      <c r="B2715">
        <v>1230413</v>
      </c>
      <c r="C2715">
        <v>80962.5</v>
      </c>
      <c r="D2715" s="4">
        <f>+VLOOKUP(A2715,Portfolio!$G$3:$I$6,3)</f>
        <v>1</v>
      </c>
      <c r="E2715">
        <f t="shared" si="42"/>
        <v>80962.5</v>
      </c>
    </row>
    <row r="2716" spans="1:5" x14ac:dyDescent="0.25">
      <c r="A2716" t="s">
        <v>1</v>
      </c>
      <c r="B2716">
        <v>1230414</v>
      </c>
      <c r="C2716">
        <v>80968.75</v>
      </c>
      <c r="D2716" s="4">
        <f>+VLOOKUP(A2716,Portfolio!$G$3:$I$6,3)</f>
        <v>1</v>
      </c>
      <c r="E2716">
        <f t="shared" si="42"/>
        <v>80968.75</v>
      </c>
    </row>
    <row r="2717" spans="1:5" x14ac:dyDescent="0.25">
      <c r="A2717" t="s">
        <v>1</v>
      </c>
      <c r="B2717">
        <v>1230416</v>
      </c>
      <c r="C2717">
        <v>81806.25</v>
      </c>
      <c r="D2717" s="4">
        <f>+VLOOKUP(A2717,Portfolio!$G$3:$I$6,3)</f>
        <v>1</v>
      </c>
      <c r="E2717">
        <f t="shared" si="42"/>
        <v>81806.25</v>
      </c>
    </row>
    <row r="2718" spans="1:5" x14ac:dyDescent="0.25">
      <c r="A2718" t="s">
        <v>1</v>
      </c>
      <c r="B2718">
        <v>1230417</v>
      </c>
      <c r="C2718">
        <v>81925</v>
      </c>
      <c r="D2718" s="4">
        <f>+VLOOKUP(A2718,Portfolio!$G$3:$I$6,3)</f>
        <v>1</v>
      </c>
      <c r="E2718">
        <f t="shared" si="42"/>
        <v>81925</v>
      </c>
    </row>
    <row r="2719" spans="1:5" x14ac:dyDescent="0.25">
      <c r="A2719" t="s">
        <v>1</v>
      </c>
      <c r="B2719">
        <v>1230418</v>
      </c>
      <c r="C2719">
        <v>81725</v>
      </c>
      <c r="D2719" s="4">
        <f>+VLOOKUP(A2719,Portfolio!$G$3:$I$6,3)</f>
        <v>1</v>
      </c>
      <c r="E2719">
        <f t="shared" si="42"/>
        <v>81725</v>
      </c>
    </row>
    <row r="2720" spans="1:5" x14ac:dyDescent="0.25">
      <c r="A2720" t="s">
        <v>1</v>
      </c>
      <c r="B2720">
        <v>1230419</v>
      </c>
      <c r="C2720">
        <v>81175</v>
      </c>
      <c r="D2720" s="4">
        <f>+VLOOKUP(A2720,Portfolio!$G$3:$I$6,3)</f>
        <v>1</v>
      </c>
      <c r="E2720">
        <f t="shared" si="42"/>
        <v>81175</v>
      </c>
    </row>
    <row r="2721" spans="1:5" x14ac:dyDescent="0.25">
      <c r="A2721" t="s">
        <v>1</v>
      </c>
      <c r="B2721">
        <v>1230420</v>
      </c>
      <c r="C2721">
        <v>80825</v>
      </c>
      <c r="D2721" s="4">
        <f>+VLOOKUP(A2721,Portfolio!$G$3:$I$6,3)</f>
        <v>1</v>
      </c>
      <c r="E2721">
        <f t="shared" si="42"/>
        <v>80825</v>
      </c>
    </row>
    <row r="2722" spans="1:5" x14ac:dyDescent="0.25">
      <c r="A2722" t="s">
        <v>1</v>
      </c>
      <c r="B2722">
        <v>1230421</v>
      </c>
      <c r="C2722">
        <v>81437.5</v>
      </c>
      <c r="D2722" s="4">
        <f>+VLOOKUP(A2722,Portfolio!$G$3:$I$6,3)</f>
        <v>1</v>
      </c>
      <c r="E2722">
        <f t="shared" si="42"/>
        <v>81437.5</v>
      </c>
    </row>
    <row r="2723" spans="1:5" x14ac:dyDescent="0.25">
      <c r="A2723" t="s">
        <v>1</v>
      </c>
      <c r="B2723">
        <v>1230423</v>
      </c>
      <c r="C2723">
        <v>81262.5</v>
      </c>
      <c r="D2723" s="4">
        <f>+VLOOKUP(A2723,Portfolio!$G$3:$I$6,3)</f>
        <v>1</v>
      </c>
      <c r="E2723">
        <f t="shared" si="42"/>
        <v>81262.5</v>
      </c>
    </row>
    <row r="2724" spans="1:5" x14ac:dyDescent="0.25">
      <c r="A2724" t="s">
        <v>1</v>
      </c>
      <c r="B2724">
        <v>1230424</v>
      </c>
      <c r="C2724">
        <v>81462.5</v>
      </c>
      <c r="D2724" s="4">
        <f>+VLOOKUP(A2724,Portfolio!$G$3:$I$6,3)</f>
        <v>1</v>
      </c>
      <c r="E2724">
        <f t="shared" si="42"/>
        <v>81462.5</v>
      </c>
    </row>
    <row r="2725" spans="1:5" x14ac:dyDescent="0.25">
      <c r="A2725" t="s">
        <v>1</v>
      </c>
      <c r="B2725">
        <v>1230425</v>
      </c>
      <c r="C2725">
        <v>81175</v>
      </c>
      <c r="D2725" s="4">
        <f>+VLOOKUP(A2725,Portfolio!$G$3:$I$6,3)</f>
        <v>1</v>
      </c>
      <c r="E2725">
        <f t="shared" si="42"/>
        <v>81175</v>
      </c>
    </row>
    <row r="2726" spans="1:5" x14ac:dyDescent="0.25">
      <c r="A2726" t="s">
        <v>1</v>
      </c>
      <c r="B2726">
        <v>1230426</v>
      </c>
      <c r="C2726">
        <v>81662.5</v>
      </c>
      <c r="D2726" s="4">
        <f>+VLOOKUP(A2726,Portfolio!$G$3:$I$6,3)</f>
        <v>1</v>
      </c>
      <c r="E2726">
        <f t="shared" si="42"/>
        <v>81662.5</v>
      </c>
    </row>
    <row r="2727" spans="1:5" x14ac:dyDescent="0.25">
      <c r="A2727" t="s">
        <v>1</v>
      </c>
      <c r="B2727">
        <v>1230427</v>
      </c>
      <c r="C2727">
        <v>80987.5</v>
      </c>
      <c r="D2727" s="4">
        <f>+VLOOKUP(A2727,Portfolio!$G$3:$I$6,3)</f>
        <v>1</v>
      </c>
      <c r="E2727">
        <f t="shared" si="42"/>
        <v>80987.5</v>
      </c>
    </row>
    <row r="2728" spans="1:5" x14ac:dyDescent="0.25">
      <c r="A2728" t="s">
        <v>1</v>
      </c>
      <c r="B2728">
        <v>1230428</v>
      </c>
      <c r="C2728">
        <v>80687.5</v>
      </c>
      <c r="D2728" s="4">
        <f>+VLOOKUP(A2728,Portfolio!$G$3:$I$6,3)</f>
        <v>1</v>
      </c>
      <c r="E2728">
        <f t="shared" si="42"/>
        <v>80687.5</v>
      </c>
    </row>
    <row r="2729" spans="1:5" x14ac:dyDescent="0.25">
      <c r="A2729" t="s">
        <v>1</v>
      </c>
      <c r="B2729">
        <v>1230430</v>
      </c>
      <c r="C2729">
        <v>81743.75</v>
      </c>
      <c r="D2729" s="4">
        <f>+VLOOKUP(A2729,Portfolio!$G$3:$I$6,3)</f>
        <v>1</v>
      </c>
      <c r="E2729">
        <f t="shared" si="42"/>
        <v>81743.75</v>
      </c>
    </row>
    <row r="2730" spans="1:5" x14ac:dyDescent="0.25">
      <c r="A2730" t="s">
        <v>1</v>
      </c>
      <c r="B2730">
        <v>1230501</v>
      </c>
      <c r="C2730">
        <v>82181.25</v>
      </c>
      <c r="D2730" s="4">
        <f>+VLOOKUP(A2730,Portfolio!$G$3:$I$6,3)</f>
        <v>1</v>
      </c>
      <c r="E2730">
        <f t="shared" si="42"/>
        <v>82181.25</v>
      </c>
    </row>
    <row r="2731" spans="1:5" x14ac:dyDescent="0.25">
      <c r="A2731" t="s">
        <v>1</v>
      </c>
      <c r="B2731">
        <v>1230502</v>
      </c>
      <c r="C2731">
        <v>82750</v>
      </c>
      <c r="D2731" s="4">
        <f>+VLOOKUP(A2731,Portfolio!$G$3:$I$6,3)</f>
        <v>1</v>
      </c>
      <c r="E2731">
        <f t="shared" si="42"/>
        <v>82750</v>
      </c>
    </row>
    <row r="2732" spans="1:5" x14ac:dyDescent="0.25">
      <c r="A2732" t="s">
        <v>1</v>
      </c>
      <c r="B2732">
        <v>1230503</v>
      </c>
      <c r="C2732">
        <v>83381.25</v>
      </c>
      <c r="D2732" s="4">
        <f>+VLOOKUP(A2732,Portfolio!$G$3:$I$6,3)</f>
        <v>1</v>
      </c>
      <c r="E2732">
        <f t="shared" si="42"/>
        <v>83381.25</v>
      </c>
    </row>
    <row r="2733" spans="1:5" x14ac:dyDescent="0.25">
      <c r="A2733" t="s">
        <v>1</v>
      </c>
      <c r="B2733">
        <v>1230504</v>
      </c>
      <c r="C2733">
        <v>84412.5</v>
      </c>
      <c r="D2733" s="4">
        <f>+VLOOKUP(A2733,Portfolio!$G$3:$I$6,3)</f>
        <v>1</v>
      </c>
      <c r="E2733">
        <f t="shared" si="42"/>
        <v>84412.5</v>
      </c>
    </row>
    <row r="2734" spans="1:5" x14ac:dyDescent="0.25">
      <c r="A2734" t="s">
        <v>1</v>
      </c>
      <c r="B2734">
        <v>1230505</v>
      </c>
      <c r="C2734">
        <v>84156.25</v>
      </c>
      <c r="D2734" s="4">
        <f>+VLOOKUP(A2734,Portfolio!$G$3:$I$6,3)</f>
        <v>1</v>
      </c>
      <c r="E2734">
        <f t="shared" si="42"/>
        <v>84156.25</v>
      </c>
    </row>
    <row r="2735" spans="1:5" x14ac:dyDescent="0.25">
      <c r="A2735" t="s">
        <v>1</v>
      </c>
      <c r="B2735">
        <v>1230507</v>
      </c>
      <c r="C2735">
        <v>84468.75</v>
      </c>
      <c r="D2735" s="4">
        <f>+VLOOKUP(A2735,Portfolio!$G$3:$I$6,3)</f>
        <v>1</v>
      </c>
      <c r="E2735">
        <f t="shared" si="42"/>
        <v>84468.75</v>
      </c>
    </row>
    <row r="2736" spans="1:5" x14ac:dyDescent="0.25">
      <c r="A2736" t="s">
        <v>1</v>
      </c>
      <c r="B2736">
        <v>1230508</v>
      </c>
      <c r="C2736">
        <v>84250</v>
      </c>
      <c r="D2736" s="4">
        <f>+VLOOKUP(A2736,Portfolio!$G$3:$I$6,3)</f>
        <v>1</v>
      </c>
      <c r="E2736">
        <f t="shared" si="42"/>
        <v>84250</v>
      </c>
    </row>
    <row r="2737" spans="1:5" x14ac:dyDescent="0.25">
      <c r="A2737" t="s">
        <v>1</v>
      </c>
      <c r="B2737">
        <v>1230509</v>
      </c>
      <c r="C2737">
        <v>84012.5</v>
      </c>
      <c r="D2737" s="4">
        <f>+VLOOKUP(A2737,Portfolio!$G$3:$I$6,3)</f>
        <v>1</v>
      </c>
      <c r="E2737">
        <f t="shared" si="42"/>
        <v>84012.5</v>
      </c>
    </row>
    <row r="2738" spans="1:5" x14ac:dyDescent="0.25">
      <c r="A2738" t="s">
        <v>1</v>
      </c>
      <c r="B2738">
        <v>1230510</v>
      </c>
      <c r="C2738">
        <v>83743.75</v>
      </c>
      <c r="D2738" s="4">
        <f>+VLOOKUP(A2738,Portfolio!$G$3:$I$6,3)</f>
        <v>1</v>
      </c>
      <c r="E2738">
        <f t="shared" si="42"/>
        <v>83743.75</v>
      </c>
    </row>
    <row r="2739" spans="1:5" x14ac:dyDescent="0.25">
      <c r="A2739" t="s">
        <v>1</v>
      </c>
      <c r="B2739">
        <v>1230511</v>
      </c>
      <c r="C2739">
        <v>84237.5</v>
      </c>
      <c r="D2739" s="4">
        <f>+VLOOKUP(A2739,Portfolio!$G$3:$I$6,3)</f>
        <v>1</v>
      </c>
      <c r="E2739">
        <f t="shared" si="42"/>
        <v>84237.5</v>
      </c>
    </row>
    <row r="2740" spans="1:5" x14ac:dyDescent="0.25">
      <c r="A2740" t="s">
        <v>1</v>
      </c>
      <c r="B2740">
        <v>1230512</v>
      </c>
      <c r="C2740">
        <v>83993.75</v>
      </c>
      <c r="D2740" s="4">
        <f>+VLOOKUP(A2740,Portfolio!$G$3:$I$6,3)</f>
        <v>1</v>
      </c>
      <c r="E2740">
        <f t="shared" si="42"/>
        <v>83993.75</v>
      </c>
    </row>
    <row r="2741" spans="1:5" x14ac:dyDescent="0.25">
      <c r="A2741" t="s">
        <v>1</v>
      </c>
      <c r="B2741">
        <v>1230514</v>
      </c>
      <c r="C2741">
        <v>84375</v>
      </c>
      <c r="D2741" s="4">
        <f>+VLOOKUP(A2741,Portfolio!$G$3:$I$6,3)</f>
        <v>1</v>
      </c>
      <c r="E2741">
        <f t="shared" si="42"/>
        <v>84375</v>
      </c>
    </row>
    <row r="2742" spans="1:5" x14ac:dyDescent="0.25">
      <c r="A2742" t="s">
        <v>1</v>
      </c>
      <c r="B2742">
        <v>1230515</v>
      </c>
      <c r="C2742">
        <v>84587.5</v>
      </c>
      <c r="D2742" s="4">
        <f>+VLOOKUP(A2742,Portfolio!$G$3:$I$6,3)</f>
        <v>1</v>
      </c>
      <c r="E2742">
        <f t="shared" si="42"/>
        <v>84587.5</v>
      </c>
    </row>
    <row r="2743" spans="1:5" x14ac:dyDescent="0.25">
      <c r="A2743" t="s">
        <v>1</v>
      </c>
      <c r="B2743">
        <v>1230516</v>
      </c>
      <c r="C2743">
        <v>84287.5</v>
      </c>
      <c r="D2743" s="4">
        <f>+VLOOKUP(A2743,Portfolio!$G$3:$I$6,3)</f>
        <v>1</v>
      </c>
      <c r="E2743">
        <f t="shared" si="42"/>
        <v>84287.5</v>
      </c>
    </row>
    <row r="2744" spans="1:5" x14ac:dyDescent="0.25">
      <c r="A2744" t="s">
        <v>1</v>
      </c>
      <c r="B2744">
        <v>1230517</v>
      </c>
      <c r="C2744">
        <v>84825</v>
      </c>
      <c r="D2744" s="4">
        <f>+VLOOKUP(A2744,Portfolio!$G$3:$I$6,3)</f>
        <v>1</v>
      </c>
      <c r="E2744">
        <f t="shared" si="42"/>
        <v>84825</v>
      </c>
    </row>
    <row r="2745" spans="1:5" x14ac:dyDescent="0.25">
      <c r="A2745" t="s">
        <v>1</v>
      </c>
      <c r="B2745">
        <v>1230518</v>
      </c>
      <c r="C2745">
        <v>85550</v>
      </c>
      <c r="D2745" s="4">
        <f>+VLOOKUP(A2745,Portfolio!$G$3:$I$6,3)</f>
        <v>1</v>
      </c>
      <c r="E2745">
        <f t="shared" si="42"/>
        <v>85550</v>
      </c>
    </row>
    <row r="2746" spans="1:5" x14ac:dyDescent="0.25">
      <c r="A2746" t="s">
        <v>1</v>
      </c>
      <c r="B2746">
        <v>1230519</v>
      </c>
      <c r="C2746">
        <v>86125</v>
      </c>
      <c r="D2746" s="4">
        <f>+VLOOKUP(A2746,Portfolio!$G$3:$I$6,3)</f>
        <v>1</v>
      </c>
      <c r="E2746">
        <f t="shared" si="42"/>
        <v>86125</v>
      </c>
    </row>
    <row r="2747" spans="1:5" x14ac:dyDescent="0.25">
      <c r="A2747" t="s">
        <v>1</v>
      </c>
      <c r="B2747">
        <v>1230521</v>
      </c>
      <c r="C2747">
        <v>85987.5</v>
      </c>
      <c r="D2747" s="4">
        <f>+VLOOKUP(A2747,Portfolio!$G$3:$I$6,3)</f>
        <v>1</v>
      </c>
      <c r="E2747">
        <f t="shared" si="42"/>
        <v>85987.5</v>
      </c>
    </row>
    <row r="2748" spans="1:5" x14ac:dyDescent="0.25">
      <c r="A2748" t="s">
        <v>1</v>
      </c>
      <c r="B2748">
        <v>1230522</v>
      </c>
      <c r="C2748">
        <v>85925</v>
      </c>
      <c r="D2748" s="4">
        <f>+VLOOKUP(A2748,Portfolio!$G$3:$I$6,3)</f>
        <v>1</v>
      </c>
      <c r="E2748">
        <f t="shared" si="42"/>
        <v>85925</v>
      </c>
    </row>
    <row r="2749" spans="1:5" x14ac:dyDescent="0.25">
      <c r="A2749" t="s">
        <v>1</v>
      </c>
      <c r="B2749">
        <v>1230523</v>
      </c>
      <c r="C2749">
        <v>86062.5</v>
      </c>
      <c r="D2749" s="4">
        <f>+VLOOKUP(A2749,Portfolio!$G$3:$I$6,3)</f>
        <v>1</v>
      </c>
      <c r="E2749">
        <f t="shared" si="42"/>
        <v>86062.5</v>
      </c>
    </row>
    <row r="2750" spans="1:5" x14ac:dyDescent="0.25">
      <c r="A2750" t="s">
        <v>1</v>
      </c>
      <c r="B2750">
        <v>1230524</v>
      </c>
      <c r="C2750">
        <v>86081.25</v>
      </c>
      <c r="D2750" s="4">
        <f>+VLOOKUP(A2750,Portfolio!$G$3:$I$6,3)</f>
        <v>1</v>
      </c>
      <c r="E2750">
        <f t="shared" si="42"/>
        <v>86081.25</v>
      </c>
    </row>
    <row r="2751" spans="1:5" x14ac:dyDescent="0.25">
      <c r="A2751" t="s">
        <v>1</v>
      </c>
      <c r="B2751">
        <v>1230525</v>
      </c>
      <c r="C2751">
        <v>86456.25</v>
      </c>
      <c r="D2751" s="4">
        <f>+VLOOKUP(A2751,Portfolio!$G$3:$I$6,3)</f>
        <v>1</v>
      </c>
      <c r="E2751">
        <f t="shared" si="42"/>
        <v>86456.25</v>
      </c>
    </row>
    <row r="2752" spans="1:5" x14ac:dyDescent="0.25">
      <c r="A2752" t="s">
        <v>1</v>
      </c>
      <c r="B2752">
        <v>1230526</v>
      </c>
      <c r="C2752">
        <v>86118.75</v>
      </c>
      <c r="D2752" s="4">
        <f>+VLOOKUP(A2752,Portfolio!$G$3:$I$6,3)</f>
        <v>1</v>
      </c>
      <c r="E2752">
        <f t="shared" si="42"/>
        <v>86118.75</v>
      </c>
    </row>
    <row r="2753" spans="1:5" x14ac:dyDescent="0.25">
      <c r="A2753" t="s">
        <v>1</v>
      </c>
      <c r="B2753">
        <v>1230528</v>
      </c>
      <c r="C2753">
        <v>86812.5</v>
      </c>
      <c r="D2753" s="4">
        <f>+VLOOKUP(A2753,Portfolio!$G$3:$I$6,3)</f>
        <v>1</v>
      </c>
      <c r="E2753">
        <f t="shared" si="42"/>
        <v>86812.5</v>
      </c>
    </row>
    <row r="2754" spans="1:5" x14ac:dyDescent="0.25">
      <c r="A2754" t="s">
        <v>1</v>
      </c>
      <c r="B2754">
        <v>1230529</v>
      </c>
      <c r="C2754">
        <v>86581.25</v>
      </c>
      <c r="D2754" s="4">
        <f>+VLOOKUP(A2754,Portfolio!$G$3:$I$6,3)</f>
        <v>1</v>
      </c>
      <c r="E2754">
        <f t="shared" si="42"/>
        <v>86581.25</v>
      </c>
    </row>
    <row r="2755" spans="1:5" x14ac:dyDescent="0.25">
      <c r="A2755" t="s">
        <v>1</v>
      </c>
      <c r="B2755">
        <v>1230530</v>
      </c>
      <c r="C2755">
        <v>85875</v>
      </c>
      <c r="D2755" s="4">
        <f>+VLOOKUP(A2755,Portfolio!$G$3:$I$6,3)</f>
        <v>1</v>
      </c>
      <c r="E2755">
        <f t="shared" ref="E2755:E2818" si="43">+C2755*D2755</f>
        <v>85875</v>
      </c>
    </row>
    <row r="2756" spans="1:5" x14ac:dyDescent="0.25">
      <c r="A2756" t="s">
        <v>1</v>
      </c>
      <c r="B2756">
        <v>1230531</v>
      </c>
      <c r="C2756">
        <v>86187.5</v>
      </c>
      <c r="D2756" s="4">
        <f>+VLOOKUP(A2756,Portfolio!$G$3:$I$6,3)</f>
        <v>1</v>
      </c>
      <c r="E2756">
        <f t="shared" si="43"/>
        <v>86187.5</v>
      </c>
    </row>
    <row r="2757" spans="1:5" x14ac:dyDescent="0.25">
      <c r="A2757" t="s">
        <v>1</v>
      </c>
      <c r="B2757">
        <v>1230601</v>
      </c>
      <c r="C2757">
        <v>85625</v>
      </c>
      <c r="D2757" s="4">
        <f>+VLOOKUP(A2757,Portfolio!$G$3:$I$6,3)</f>
        <v>1</v>
      </c>
      <c r="E2757">
        <f t="shared" si="43"/>
        <v>85625</v>
      </c>
    </row>
    <row r="2758" spans="1:5" x14ac:dyDescent="0.25">
      <c r="A2758" t="s">
        <v>1</v>
      </c>
      <c r="B2758">
        <v>1230602</v>
      </c>
      <c r="C2758">
        <v>85400</v>
      </c>
      <c r="D2758" s="4">
        <f>+VLOOKUP(A2758,Portfolio!$G$3:$I$6,3)</f>
        <v>1</v>
      </c>
      <c r="E2758">
        <f t="shared" si="43"/>
        <v>85400</v>
      </c>
    </row>
    <row r="2759" spans="1:5" x14ac:dyDescent="0.25">
      <c r="A2759" t="s">
        <v>1</v>
      </c>
      <c r="B2759">
        <v>1230604</v>
      </c>
      <c r="C2759">
        <v>85868.75</v>
      </c>
      <c r="D2759" s="4">
        <f>+VLOOKUP(A2759,Portfolio!$G$3:$I$6,3)</f>
        <v>1</v>
      </c>
      <c r="E2759">
        <f t="shared" si="43"/>
        <v>85868.75</v>
      </c>
    </row>
    <row r="2760" spans="1:5" x14ac:dyDescent="0.25">
      <c r="A2760" t="s">
        <v>1</v>
      </c>
      <c r="B2760">
        <v>1230605</v>
      </c>
      <c r="C2760">
        <v>85887.5</v>
      </c>
      <c r="D2760" s="4">
        <f>+VLOOKUP(A2760,Portfolio!$G$3:$I$6,3)</f>
        <v>1</v>
      </c>
      <c r="E2760">
        <f t="shared" si="43"/>
        <v>85887.5</v>
      </c>
    </row>
    <row r="2761" spans="1:5" x14ac:dyDescent="0.25">
      <c r="A2761" t="s">
        <v>1</v>
      </c>
      <c r="B2761">
        <v>1230606</v>
      </c>
      <c r="C2761">
        <v>86425</v>
      </c>
      <c r="D2761" s="4">
        <f>+VLOOKUP(A2761,Portfolio!$G$3:$I$6,3)</f>
        <v>1</v>
      </c>
      <c r="E2761">
        <f t="shared" si="43"/>
        <v>86425</v>
      </c>
    </row>
    <row r="2762" spans="1:5" x14ac:dyDescent="0.25">
      <c r="A2762" t="s">
        <v>1</v>
      </c>
      <c r="B2762">
        <v>1230607</v>
      </c>
      <c r="C2762">
        <v>86300</v>
      </c>
      <c r="D2762" s="4">
        <f>+VLOOKUP(A2762,Portfolio!$G$3:$I$6,3)</f>
        <v>1</v>
      </c>
      <c r="E2762">
        <f t="shared" si="43"/>
        <v>86300</v>
      </c>
    </row>
    <row r="2763" spans="1:5" x14ac:dyDescent="0.25">
      <c r="A2763" t="s">
        <v>1</v>
      </c>
      <c r="B2763">
        <v>1230608</v>
      </c>
      <c r="C2763">
        <v>86256.25</v>
      </c>
      <c r="D2763" s="4">
        <f>+VLOOKUP(A2763,Portfolio!$G$3:$I$6,3)</f>
        <v>1</v>
      </c>
      <c r="E2763">
        <f t="shared" si="43"/>
        <v>86256.25</v>
      </c>
    </row>
    <row r="2764" spans="1:5" x14ac:dyDescent="0.25">
      <c r="A2764" t="s">
        <v>1</v>
      </c>
      <c r="B2764">
        <v>1230609</v>
      </c>
      <c r="C2764">
        <v>86400</v>
      </c>
      <c r="D2764" s="4">
        <f>+VLOOKUP(A2764,Portfolio!$G$3:$I$6,3)</f>
        <v>1</v>
      </c>
      <c r="E2764">
        <f t="shared" si="43"/>
        <v>86400</v>
      </c>
    </row>
    <row r="2765" spans="1:5" x14ac:dyDescent="0.25">
      <c r="A2765" t="s">
        <v>1</v>
      </c>
      <c r="B2765">
        <v>1230611</v>
      </c>
      <c r="C2765">
        <v>86287.5</v>
      </c>
      <c r="D2765" s="4">
        <f>+VLOOKUP(A2765,Portfolio!$G$3:$I$6,3)</f>
        <v>1</v>
      </c>
      <c r="E2765">
        <f t="shared" si="43"/>
        <v>86287.5</v>
      </c>
    </row>
    <row r="2766" spans="1:5" x14ac:dyDescent="0.25">
      <c r="A2766" t="s">
        <v>1</v>
      </c>
      <c r="B2766">
        <v>1230612</v>
      </c>
      <c r="C2766">
        <v>86262.5</v>
      </c>
      <c r="D2766" s="4">
        <f>+VLOOKUP(A2766,Portfolio!$G$3:$I$6,3)</f>
        <v>1</v>
      </c>
      <c r="E2766">
        <f t="shared" si="43"/>
        <v>86262.5</v>
      </c>
    </row>
    <row r="2767" spans="1:5" x14ac:dyDescent="0.25">
      <c r="A2767" t="s">
        <v>1</v>
      </c>
      <c r="B2767">
        <v>1230613</v>
      </c>
      <c r="C2767">
        <v>86075</v>
      </c>
      <c r="D2767" s="4">
        <f>+VLOOKUP(A2767,Portfolio!$G$3:$I$6,3)</f>
        <v>1</v>
      </c>
      <c r="E2767">
        <f t="shared" si="43"/>
        <v>86075</v>
      </c>
    </row>
    <row r="2768" spans="1:5" x14ac:dyDescent="0.25">
      <c r="A2768" t="s">
        <v>1</v>
      </c>
      <c r="B2768">
        <v>1230614</v>
      </c>
      <c r="C2768">
        <v>86262.5</v>
      </c>
      <c r="D2768" s="4">
        <f>+VLOOKUP(A2768,Portfolio!$G$3:$I$6,3)</f>
        <v>1</v>
      </c>
      <c r="E2768">
        <f t="shared" si="43"/>
        <v>86262.5</v>
      </c>
    </row>
    <row r="2769" spans="1:5" x14ac:dyDescent="0.25">
      <c r="A2769" t="s">
        <v>1</v>
      </c>
      <c r="B2769">
        <v>1230615</v>
      </c>
      <c r="C2769">
        <v>86200</v>
      </c>
      <c r="D2769" s="4">
        <f>+VLOOKUP(A2769,Portfolio!$G$3:$I$6,3)</f>
        <v>1</v>
      </c>
      <c r="E2769">
        <f t="shared" si="43"/>
        <v>86200</v>
      </c>
    </row>
    <row r="2770" spans="1:5" x14ac:dyDescent="0.25">
      <c r="A2770" t="s">
        <v>1</v>
      </c>
      <c r="B2770">
        <v>1230616</v>
      </c>
      <c r="C2770">
        <v>86100</v>
      </c>
      <c r="D2770" s="4">
        <f>+VLOOKUP(A2770,Portfolio!$G$3:$I$6,3)</f>
        <v>1</v>
      </c>
      <c r="E2770">
        <f t="shared" si="43"/>
        <v>86100</v>
      </c>
    </row>
    <row r="2771" spans="1:5" x14ac:dyDescent="0.25">
      <c r="A2771" t="s">
        <v>1</v>
      </c>
      <c r="B2771">
        <v>1230618</v>
      </c>
      <c r="C2771">
        <v>85906.25</v>
      </c>
      <c r="D2771" s="4">
        <f>+VLOOKUP(A2771,Portfolio!$G$3:$I$6,3)</f>
        <v>1</v>
      </c>
      <c r="E2771">
        <f t="shared" si="43"/>
        <v>85906.25</v>
      </c>
    </row>
    <row r="2772" spans="1:5" x14ac:dyDescent="0.25">
      <c r="A2772" t="s">
        <v>1</v>
      </c>
      <c r="B2772">
        <v>1230619</v>
      </c>
      <c r="C2772">
        <v>85681.25</v>
      </c>
      <c r="D2772" s="4">
        <f>+VLOOKUP(A2772,Portfolio!$G$3:$I$6,3)</f>
        <v>1</v>
      </c>
      <c r="E2772">
        <f t="shared" si="43"/>
        <v>85681.25</v>
      </c>
    </row>
    <row r="2773" spans="1:5" x14ac:dyDescent="0.25">
      <c r="A2773" t="s">
        <v>1</v>
      </c>
      <c r="B2773">
        <v>1230620</v>
      </c>
      <c r="C2773">
        <v>85562.5</v>
      </c>
      <c r="D2773" s="4">
        <f>+VLOOKUP(A2773,Portfolio!$G$3:$I$6,3)</f>
        <v>1</v>
      </c>
      <c r="E2773">
        <f t="shared" si="43"/>
        <v>85562.5</v>
      </c>
    </row>
    <row r="2774" spans="1:5" x14ac:dyDescent="0.25">
      <c r="A2774" t="s">
        <v>1</v>
      </c>
      <c r="B2774">
        <v>1230621</v>
      </c>
      <c r="C2774">
        <v>84837.5</v>
      </c>
      <c r="D2774" s="4">
        <f>+VLOOKUP(A2774,Portfolio!$G$3:$I$6,3)</f>
        <v>1</v>
      </c>
      <c r="E2774">
        <f t="shared" si="43"/>
        <v>84837.5</v>
      </c>
    </row>
    <row r="2775" spans="1:5" x14ac:dyDescent="0.25">
      <c r="A2775" t="s">
        <v>1</v>
      </c>
      <c r="B2775">
        <v>1230622</v>
      </c>
      <c r="C2775">
        <v>84268.75</v>
      </c>
      <c r="D2775" s="4">
        <f>+VLOOKUP(A2775,Portfolio!$G$3:$I$6,3)</f>
        <v>1</v>
      </c>
      <c r="E2775">
        <f t="shared" si="43"/>
        <v>84268.75</v>
      </c>
    </row>
    <row r="2776" spans="1:5" x14ac:dyDescent="0.25">
      <c r="A2776" t="s">
        <v>1</v>
      </c>
      <c r="B2776">
        <v>1230623</v>
      </c>
      <c r="C2776">
        <v>84681.25</v>
      </c>
      <c r="D2776" s="4">
        <f>+VLOOKUP(A2776,Portfolio!$G$3:$I$6,3)</f>
        <v>1</v>
      </c>
      <c r="E2776">
        <f t="shared" si="43"/>
        <v>84681.25</v>
      </c>
    </row>
    <row r="2777" spans="1:5" x14ac:dyDescent="0.25">
      <c r="A2777" t="s">
        <v>1</v>
      </c>
      <c r="B2777">
        <v>1230625</v>
      </c>
      <c r="C2777">
        <v>84106.25</v>
      </c>
      <c r="D2777" s="4">
        <f>+VLOOKUP(A2777,Portfolio!$G$3:$I$6,3)</f>
        <v>1</v>
      </c>
      <c r="E2777">
        <f t="shared" si="43"/>
        <v>84106.25</v>
      </c>
    </row>
    <row r="2778" spans="1:5" x14ac:dyDescent="0.25">
      <c r="A2778" t="s">
        <v>1</v>
      </c>
      <c r="B2778">
        <v>1230626</v>
      </c>
      <c r="C2778">
        <v>84050</v>
      </c>
      <c r="D2778" s="4">
        <f>+VLOOKUP(A2778,Portfolio!$G$3:$I$6,3)</f>
        <v>1</v>
      </c>
      <c r="E2778">
        <f t="shared" si="43"/>
        <v>84050</v>
      </c>
    </row>
    <row r="2779" spans="1:5" x14ac:dyDescent="0.25">
      <c r="A2779" t="s">
        <v>1</v>
      </c>
      <c r="B2779">
        <v>1230627</v>
      </c>
      <c r="C2779">
        <v>84137.5</v>
      </c>
      <c r="D2779" s="4">
        <f>+VLOOKUP(A2779,Portfolio!$G$3:$I$6,3)</f>
        <v>1</v>
      </c>
      <c r="E2779">
        <f t="shared" si="43"/>
        <v>84137.5</v>
      </c>
    </row>
    <row r="2780" spans="1:5" x14ac:dyDescent="0.25">
      <c r="A2780" t="s">
        <v>1</v>
      </c>
      <c r="B2780">
        <v>1230628</v>
      </c>
      <c r="C2780">
        <v>83793.75</v>
      </c>
      <c r="D2780" s="4">
        <f>+VLOOKUP(A2780,Portfolio!$G$3:$I$6,3)</f>
        <v>1</v>
      </c>
      <c r="E2780">
        <f t="shared" si="43"/>
        <v>83793.75</v>
      </c>
    </row>
    <row r="2781" spans="1:5" x14ac:dyDescent="0.25">
      <c r="A2781" t="s">
        <v>1</v>
      </c>
      <c r="B2781">
        <v>1230629</v>
      </c>
      <c r="C2781">
        <v>84200</v>
      </c>
      <c r="D2781" s="4">
        <f>+VLOOKUP(A2781,Portfolio!$G$3:$I$6,3)</f>
        <v>1</v>
      </c>
      <c r="E2781">
        <f t="shared" si="43"/>
        <v>84200</v>
      </c>
    </row>
    <row r="2782" spans="1:5" x14ac:dyDescent="0.25">
      <c r="A2782" t="s">
        <v>1</v>
      </c>
      <c r="B2782">
        <v>1230630</v>
      </c>
      <c r="C2782">
        <v>83643.75</v>
      </c>
      <c r="D2782" s="4">
        <f>+VLOOKUP(A2782,Portfolio!$G$3:$I$6,3)</f>
        <v>1</v>
      </c>
      <c r="E2782">
        <f t="shared" si="43"/>
        <v>83643.75</v>
      </c>
    </row>
    <row r="2783" spans="1:5" x14ac:dyDescent="0.25">
      <c r="A2783" t="s">
        <v>1</v>
      </c>
      <c r="B2783">
        <v>1230702</v>
      </c>
      <c r="C2783">
        <v>83668.75</v>
      </c>
      <c r="D2783" s="4">
        <f>+VLOOKUP(A2783,Portfolio!$G$3:$I$6,3)</f>
        <v>1</v>
      </c>
      <c r="E2783">
        <f t="shared" si="43"/>
        <v>83668.75</v>
      </c>
    </row>
    <row r="2784" spans="1:5" x14ac:dyDescent="0.25">
      <c r="A2784" t="s">
        <v>1</v>
      </c>
      <c r="B2784">
        <v>1230703</v>
      </c>
      <c r="C2784">
        <v>83612.5</v>
      </c>
      <c r="D2784" s="4">
        <f>+VLOOKUP(A2784,Portfolio!$G$3:$I$6,3)</f>
        <v>1</v>
      </c>
      <c r="E2784">
        <f t="shared" si="43"/>
        <v>83612.5</v>
      </c>
    </row>
    <row r="2785" spans="1:5" x14ac:dyDescent="0.25">
      <c r="A2785" t="s">
        <v>1</v>
      </c>
      <c r="B2785">
        <v>1230704</v>
      </c>
      <c r="C2785">
        <v>83050</v>
      </c>
      <c r="D2785" s="4">
        <f>+VLOOKUP(A2785,Portfolio!$G$3:$I$6,3)</f>
        <v>1</v>
      </c>
      <c r="E2785">
        <f t="shared" si="43"/>
        <v>83050</v>
      </c>
    </row>
    <row r="2786" spans="1:5" x14ac:dyDescent="0.25">
      <c r="A2786" t="s">
        <v>1</v>
      </c>
      <c r="B2786">
        <v>1230705</v>
      </c>
      <c r="C2786">
        <v>83118.75</v>
      </c>
      <c r="D2786" s="4">
        <f>+VLOOKUP(A2786,Portfolio!$G$3:$I$6,3)</f>
        <v>1</v>
      </c>
      <c r="E2786">
        <f t="shared" si="43"/>
        <v>83118.75</v>
      </c>
    </row>
    <row r="2787" spans="1:5" x14ac:dyDescent="0.25">
      <c r="A2787" t="s">
        <v>1</v>
      </c>
      <c r="B2787">
        <v>1230706</v>
      </c>
      <c r="C2787">
        <v>83043.75</v>
      </c>
      <c r="D2787" s="4">
        <f>+VLOOKUP(A2787,Portfolio!$G$3:$I$6,3)</f>
        <v>1</v>
      </c>
      <c r="E2787">
        <f t="shared" si="43"/>
        <v>83043.75</v>
      </c>
    </row>
    <row r="2788" spans="1:5" x14ac:dyDescent="0.25">
      <c r="A2788" t="s">
        <v>1</v>
      </c>
      <c r="B2788">
        <v>1230707</v>
      </c>
      <c r="C2788">
        <v>82775</v>
      </c>
      <c r="D2788" s="4">
        <f>+VLOOKUP(A2788,Portfolio!$G$3:$I$6,3)</f>
        <v>1</v>
      </c>
      <c r="E2788">
        <f t="shared" si="43"/>
        <v>82775</v>
      </c>
    </row>
    <row r="2789" spans="1:5" x14ac:dyDescent="0.25">
      <c r="A2789" t="s">
        <v>1</v>
      </c>
      <c r="B2789">
        <v>1230709</v>
      </c>
      <c r="C2789">
        <v>82587.5</v>
      </c>
      <c r="D2789" s="4">
        <f>+VLOOKUP(A2789,Portfolio!$G$3:$I$6,3)</f>
        <v>1</v>
      </c>
      <c r="E2789">
        <f t="shared" si="43"/>
        <v>82587.5</v>
      </c>
    </row>
    <row r="2790" spans="1:5" x14ac:dyDescent="0.25">
      <c r="A2790" t="s">
        <v>1</v>
      </c>
      <c r="B2790">
        <v>1230710</v>
      </c>
      <c r="C2790">
        <v>82100</v>
      </c>
      <c r="D2790" s="4">
        <f>+VLOOKUP(A2790,Portfolio!$G$3:$I$6,3)</f>
        <v>1</v>
      </c>
      <c r="E2790">
        <f t="shared" si="43"/>
        <v>82100</v>
      </c>
    </row>
    <row r="2791" spans="1:5" x14ac:dyDescent="0.25">
      <c r="A2791" t="s">
        <v>1</v>
      </c>
      <c r="B2791">
        <v>1230711</v>
      </c>
      <c r="C2791">
        <v>83487.5</v>
      </c>
      <c r="D2791" s="4">
        <f>+VLOOKUP(A2791,Portfolio!$G$3:$I$6,3)</f>
        <v>1</v>
      </c>
      <c r="E2791">
        <f t="shared" si="43"/>
        <v>83487.5</v>
      </c>
    </row>
    <row r="2792" spans="1:5" x14ac:dyDescent="0.25">
      <c r="A2792" t="s">
        <v>1</v>
      </c>
      <c r="B2792">
        <v>1230712</v>
      </c>
      <c r="C2792">
        <v>83431.25</v>
      </c>
      <c r="D2792" s="4">
        <f>+VLOOKUP(A2792,Portfolio!$G$3:$I$6,3)</f>
        <v>1</v>
      </c>
      <c r="E2792">
        <f t="shared" si="43"/>
        <v>83431.25</v>
      </c>
    </row>
    <row r="2793" spans="1:5" x14ac:dyDescent="0.25">
      <c r="A2793" t="s">
        <v>1</v>
      </c>
      <c r="B2793">
        <v>1230713</v>
      </c>
      <c r="C2793">
        <v>84018.75</v>
      </c>
      <c r="D2793" s="4">
        <f>+VLOOKUP(A2793,Portfolio!$G$3:$I$6,3)</f>
        <v>1</v>
      </c>
      <c r="E2793">
        <f t="shared" si="43"/>
        <v>84018.75</v>
      </c>
    </row>
    <row r="2794" spans="1:5" x14ac:dyDescent="0.25">
      <c r="A2794" t="s">
        <v>1</v>
      </c>
      <c r="B2794">
        <v>1230714</v>
      </c>
      <c r="C2794">
        <v>84037.5</v>
      </c>
      <c r="D2794" s="4">
        <f>+VLOOKUP(A2794,Portfolio!$G$3:$I$6,3)</f>
        <v>1</v>
      </c>
      <c r="E2794">
        <f t="shared" si="43"/>
        <v>84037.5</v>
      </c>
    </row>
    <row r="2795" spans="1:5" x14ac:dyDescent="0.25">
      <c r="A2795" t="s">
        <v>1</v>
      </c>
      <c r="B2795">
        <v>1230716</v>
      </c>
      <c r="C2795">
        <v>83231.25</v>
      </c>
      <c r="D2795" s="4">
        <f>+VLOOKUP(A2795,Portfolio!$G$3:$I$6,3)</f>
        <v>1</v>
      </c>
      <c r="E2795">
        <f t="shared" si="43"/>
        <v>83231.25</v>
      </c>
    </row>
    <row r="2796" spans="1:5" x14ac:dyDescent="0.25">
      <c r="A2796" t="s">
        <v>1</v>
      </c>
      <c r="B2796">
        <v>1230717</v>
      </c>
      <c r="C2796">
        <v>83143.75</v>
      </c>
      <c r="D2796" s="4">
        <f>+VLOOKUP(A2796,Portfolio!$G$3:$I$6,3)</f>
        <v>1</v>
      </c>
      <c r="E2796">
        <f t="shared" si="43"/>
        <v>83143.75</v>
      </c>
    </row>
    <row r="2797" spans="1:5" x14ac:dyDescent="0.25">
      <c r="A2797" t="s">
        <v>1</v>
      </c>
      <c r="B2797">
        <v>1230718</v>
      </c>
      <c r="C2797">
        <v>83043.75</v>
      </c>
      <c r="D2797" s="4">
        <f>+VLOOKUP(A2797,Portfolio!$G$3:$I$6,3)</f>
        <v>1</v>
      </c>
      <c r="E2797">
        <f t="shared" si="43"/>
        <v>83043.75</v>
      </c>
    </row>
    <row r="2798" spans="1:5" x14ac:dyDescent="0.25">
      <c r="A2798" t="s">
        <v>1</v>
      </c>
      <c r="B2798">
        <v>1230719</v>
      </c>
      <c r="C2798">
        <v>83243.75</v>
      </c>
      <c r="D2798" s="4">
        <f>+VLOOKUP(A2798,Portfolio!$G$3:$I$6,3)</f>
        <v>1</v>
      </c>
      <c r="E2798">
        <f t="shared" si="43"/>
        <v>83243.75</v>
      </c>
    </row>
    <row r="2799" spans="1:5" x14ac:dyDescent="0.25">
      <c r="A2799" t="s">
        <v>1</v>
      </c>
      <c r="B2799">
        <v>1230720</v>
      </c>
      <c r="C2799">
        <v>82993.75</v>
      </c>
      <c r="D2799" s="4">
        <f>+VLOOKUP(A2799,Portfolio!$G$3:$I$6,3)</f>
        <v>1</v>
      </c>
      <c r="E2799">
        <f t="shared" si="43"/>
        <v>82993.75</v>
      </c>
    </row>
    <row r="2800" spans="1:5" x14ac:dyDescent="0.25">
      <c r="A2800" t="s">
        <v>1</v>
      </c>
      <c r="B2800">
        <v>1230721</v>
      </c>
      <c r="C2800">
        <v>83075</v>
      </c>
      <c r="D2800" s="4">
        <f>+VLOOKUP(A2800,Portfolio!$G$3:$I$6,3)</f>
        <v>1</v>
      </c>
      <c r="E2800">
        <f t="shared" si="43"/>
        <v>83075</v>
      </c>
    </row>
    <row r="2801" spans="1:5" x14ac:dyDescent="0.25">
      <c r="A2801" t="s">
        <v>1</v>
      </c>
      <c r="B2801">
        <v>1230723</v>
      </c>
      <c r="C2801">
        <v>84131.25</v>
      </c>
      <c r="D2801" s="4">
        <f>+VLOOKUP(A2801,Portfolio!$G$3:$I$6,3)</f>
        <v>1</v>
      </c>
      <c r="E2801">
        <f t="shared" si="43"/>
        <v>84131.25</v>
      </c>
    </row>
    <row r="2802" spans="1:5" x14ac:dyDescent="0.25">
      <c r="A2802" t="s">
        <v>1</v>
      </c>
      <c r="B2802">
        <v>1230724</v>
      </c>
      <c r="C2802">
        <v>83937.5</v>
      </c>
      <c r="D2802" s="4">
        <f>+VLOOKUP(A2802,Portfolio!$G$3:$I$6,3)</f>
        <v>1</v>
      </c>
      <c r="E2802">
        <f t="shared" si="43"/>
        <v>83937.5</v>
      </c>
    </row>
    <row r="2803" spans="1:5" x14ac:dyDescent="0.25">
      <c r="A2803" t="s">
        <v>1</v>
      </c>
      <c r="B2803">
        <v>1230725</v>
      </c>
      <c r="C2803">
        <v>83268.75</v>
      </c>
      <c r="D2803" s="4">
        <f>+VLOOKUP(A2803,Portfolio!$G$3:$I$6,3)</f>
        <v>1</v>
      </c>
      <c r="E2803">
        <f t="shared" si="43"/>
        <v>83268.75</v>
      </c>
    </row>
    <row r="2804" spans="1:5" x14ac:dyDescent="0.25">
      <c r="A2804" t="s">
        <v>1</v>
      </c>
      <c r="B2804">
        <v>1230726</v>
      </c>
      <c r="C2804">
        <v>82750</v>
      </c>
      <c r="D2804" s="4">
        <f>+VLOOKUP(A2804,Portfolio!$G$3:$I$6,3)</f>
        <v>1</v>
      </c>
      <c r="E2804">
        <f t="shared" si="43"/>
        <v>82750</v>
      </c>
    </row>
    <row r="2805" spans="1:5" x14ac:dyDescent="0.25">
      <c r="A2805" t="s">
        <v>1</v>
      </c>
      <c r="B2805">
        <v>1230727</v>
      </c>
      <c r="C2805">
        <v>83375</v>
      </c>
      <c r="D2805" s="4">
        <f>+VLOOKUP(A2805,Portfolio!$G$3:$I$6,3)</f>
        <v>1</v>
      </c>
      <c r="E2805">
        <f t="shared" si="43"/>
        <v>83375</v>
      </c>
    </row>
    <row r="2806" spans="1:5" x14ac:dyDescent="0.25">
      <c r="A2806" t="s">
        <v>1</v>
      </c>
      <c r="B2806">
        <v>1230728</v>
      </c>
      <c r="C2806">
        <v>83062.5</v>
      </c>
      <c r="D2806" s="4">
        <f>+VLOOKUP(A2806,Portfolio!$G$3:$I$6,3)</f>
        <v>1</v>
      </c>
      <c r="E2806">
        <f t="shared" si="43"/>
        <v>83062.5</v>
      </c>
    </row>
    <row r="2807" spans="1:5" x14ac:dyDescent="0.25">
      <c r="A2807" t="s">
        <v>1</v>
      </c>
      <c r="B2807">
        <v>1230730</v>
      </c>
      <c r="C2807">
        <v>82700</v>
      </c>
      <c r="D2807" s="4">
        <f>+VLOOKUP(A2807,Portfolio!$G$3:$I$6,3)</f>
        <v>1</v>
      </c>
      <c r="E2807">
        <f t="shared" si="43"/>
        <v>82700</v>
      </c>
    </row>
    <row r="2808" spans="1:5" x14ac:dyDescent="0.25">
      <c r="A2808" t="s">
        <v>1</v>
      </c>
      <c r="B2808">
        <v>1230731</v>
      </c>
      <c r="C2808">
        <v>83362.5</v>
      </c>
      <c r="D2808" s="4">
        <f>+VLOOKUP(A2808,Portfolio!$G$3:$I$6,3)</f>
        <v>1</v>
      </c>
      <c r="E2808">
        <f t="shared" si="43"/>
        <v>83362.5</v>
      </c>
    </row>
    <row r="2809" spans="1:5" x14ac:dyDescent="0.25">
      <c r="A2809" t="s">
        <v>1</v>
      </c>
      <c r="B2809">
        <v>1230801</v>
      </c>
      <c r="C2809">
        <v>83900</v>
      </c>
      <c r="D2809" s="4">
        <f>+VLOOKUP(A2809,Portfolio!$G$3:$I$6,3)</f>
        <v>1</v>
      </c>
      <c r="E2809">
        <f t="shared" si="43"/>
        <v>83900</v>
      </c>
    </row>
    <row r="2810" spans="1:5" x14ac:dyDescent="0.25">
      <c r="A2810" t="s">
        <v>1</v>
      </c>
      <c r="B2810">
        <v>1230802</v>
      </c>
      <c r="C2810">
        <v>84081.25</v>
      </c>
      <c r="D2810" s="4">
        <f>+VLOOKUP(A2810,Portfolio!$G$3:$I$6,3)</f>
        <v>1</v>
      </c>
      <c r="E2810">
        <f t="shared" si="43"/>
        <v>84081.25</v>
      </c>
    </row>
    <row r="2811" spans="1:5" x14ac:dyDescent="0.25">
      <c r="A2811" t="s">
        <v>1</v>
      </c>
      <c r="B2811">
        <v>1230803</v>
      </c>
      <c r="C2811">
        <v>84550</v>
      </c>
      <c r="D2811" s="4">
        <f>+VLOOKUP(A2811,Portfolio!$G$3:$I$6,3)</f>
        <v>1</v>
      </c>
      <c r="E2811">
        <f t="shared" si="43"/>
        <v>84550</v>
      </c>
    </row>
    <row r="2812" spans="1:5" x14ac:dyDescent="0.25">
      <c r="A2812" t="s">
        <v>1</v>
      </c>
      <c r="B2812">
        <v>1230804</v>
      </c>
      <c r="C2812">
        <v>84131.25</v>
      </c>
      <c r="D2812" s="4">
        <f>+VLOOKUP(A2812,Portfolio!$G$3:$I$6,3)</f>
        <v>1</v>
      </c>
      <c r="E2812">
        <f t="shared" si="43"/>
        <v>84131.25</v>
      </c>
    </row>
    <row r="2813" spans="1:5" x14ac:dyDescent="0.25">
      <c r="A2813" t="s">
        <v>1</v>
      </c>
      <c r="B2813">
        <v>1230806</v>
      </c>
      <c r="C2813">
        <v>84087.5</v>
      </c>
      <c r="D2813" s="4">
        <f>+VLOOKUP(A2813,Portfolio!$G$3:$I$6,3)</f>
        <v>1</v>
      </c>
      <c r="E2813">
        <f t="shared" si="43"/>
        <v>84087.5</v>
      </c>
    </row>
    <row r="2814" spans="1:5" x14ac:dyDescent="0.25">
      <c r="A2814" t="s">
        <v>1</v>
      </c>
      <c r="B2814">
        <v>1230807</v>
      </c>
      <c r="C2814">
        <v>83906.25</v>
      </c>
      <c r="D2814" s="4">
        <f>+VLOOKUP(A2814,Portfolio!$G$3:$I$6,3)</f>
        <v>1</v>
      </c>
      <c r="E2814">
        <f t="shared" si="43"/>
        <v>83906.25</v>
      </c>
    </row>
    <row r="2815" spans="1:5" x14ac:dyDescent="0.25">
      <c r="A2815" t="s">
        <v>1</v>
      </c>
      <c r="B2815">
        <v>1230808</v>
      </c>
      <c r="C2815">
        <v>84193.75</v>
      </c>
      <c r="D2815" s="4">
        <f>+VLOOKUP(A2815,Portfolio!$G$3:$I$6,3)</f>
        <v>1</v>
      </c>
      <c r="E2815">
        <f t="shared" si="43"/>
        <v>84193.75</v>
      </c>
    </row>
    <row r="2816" spans="1:5" x14ac:dyDescent="0.25">
      <c r="A2816" t="s">
        <v>1</v>
      </c>
      <c r="B2816">
        <v>1230809</v>
      </c>
      <c r="C2816">
        <v>84225</v>
      </c>
      <c r="D2816" s="4">
        <f>+VLOOKUP(A2816,Portfolio!$G$3:$I$6,3)</f>
        <v>1</v>
      </c>
      <c r="E2816">
        <f t="shared" si="43"/>
        <v>84225</v>
      </c>
    </row>
    <row r="2817" spans="1:5" x14ac:dyDescent="0.25">
      <c r="A2817" t="s">
        <v>1</v>
      </c>
      <c r="B2817">
        <v>1230810</v>
      </c>
      <c r="C2817">
        <v>84750</v>
      </c>
      <c r="D2817" s="4">
        <f>+VLOOKUP(A2817,Portfolio!$G$3:$I$6,3)</f>
        <v>1</v>
      </c>
      <c r="E2817">
        <f t="shared" si="43"/>
        <v>84750</v>
      </c>
    </row>
    <row r="2818" spans="1:5" x14ac:dyDescent="0.25">
      <c r="A2818" t="s">
        <v>1</v>
      </c>
      <c r="B2818">
        <v>1230811</v>
      </c>
      <c r="C2818">
        <v>84868.75</v>
      </c>
      <c r="D2818" s="4">
        <f>+VLOOKUP(A2818,Portfolio!$G$3:$I$6,3)</f>
        <v>1</v>
      </c>
      <c r="E2818">
        <f t="shared" si="43"/>
        <v>84868.75</v>
      </c>
    </row>
    <row r="2819" spans="1:5" x14ac:dyDescent="0.25">
      <c r="A2819" t="s">
        <v>1</v>
      </c>
      <c r="B2819">
        <v>1230813</v>
      </c>
      <c r="C2819">
        <v>84500</v>
      </c>
      <c r="D2819" s="4">
        <f>+VLOOKUP(A2819,Portfolio!$G$3:$I$6,3)</f>
        <v>1</v>
      </c>
      <c r="E2819">
        <f t="shared" ref="E2819:E2882" si="44">+C2819*D2819</f>
        <v>84500</v>
      </c>
    </row>
    <row r="2820" spans="1:5" x14ac:dyDescent="0.25">
      <c r="A2820" t="s">
        <v>1</v>
      </c>
      <c r="B2820">
        <v>1230814</v>
      </c>
      <c r="C2820">
        <v>84487.5</v>
      </c>
      <c r="D2820" s="4">
        <f>+VLOOKUP(A2820,Portfolio!$G$3:$I$6,3)</f>
        <v>1</v>
      </c>
      <c r="E2820">
        <f t="shared" si="44"/>
        <v>84487.5</v>
      </c>
    </row>
    <row r="2821" spans="1:5" x14ac:dyDescent="0.25">
      <c r="A2821" t="s">
        <v>1</v>
      </c>
      <c r="B2821">
        <v>1230815</v>
      </c>
      <c r="C2821">
        <v>84875</v>
      </c>
      <c r="D2821" s="4">
        <f>+VLOOKUP(A2821,Portfolio!$G$3:$I$6,3)</f>
        <v>1</v>
      </c>
      <c r="E2821">
        <f t="shared" si="44"/>
        <v>84875</v>
      </c>
    </row>
    <row r="2822" spans="1:5" x14ac:dyDescent="0.25">
      <c r="A2822" t="s">
        <v>1</v>
      </c>
      <c r="B2822">
        <v>1230816</v>
      </c>
      <c r="C2822">
        <v>84881.25</v>
      </c>
      <c r="D2822" s="4">
        <f>+VLOOKUP(A2822,Portfolio!$G$3:$I$6,3)</f>
        <v>1</v>
      </c>
      <c r="E2822">
        <f t="shared" si="44"/>
        <v>84881.25</v>
      </c>
    </row>
    <row r="2823" spans="1:5" x14ac:dyDescent="0.25">
      <c r="A2823" t="s">
        <v>1</v>
      </c>
      <c r="B2823">
        <v>1230817</v>
      </c>
      <c r="C2823">
        <v>85231.25</v>
      </c>
      <c r="D2823" s="4">
        <f>+VLOOKUP(A2823,Portfolio!$G$3:$I$6,3)</f>
        <v>1</v>
      </c>
      <c r="E2823">
        <f t="shared" si="44"/>
        <v>85231.25</v>
      </c>
    </row>
    <row r="2824" spans="1:5" x14ac:dyDescent="0.25">
      <c r="A2824" t="s">
        <v>1</v>
      </c>
      <c r="B2824">
        <v>1230818</v>
      </c>
      <c r="C2824">
        <v>85193.75</v>
      </c>
      <c r="D2824" s="4">
        <f>+VLOOKUP(A2824,Portfolio!$G$3:$I$6,3)</f>
        <v>1</v>
      </c>
      <c r="E2824">
        <f t="shared" si="44"/>
        <v>85193.75</v>
      </c>
    </row>
    <row r="2825" spans="1:5" x14ac:dyDescent="0.25">
      <c r="A2825" t="s">
        <v>1</v>
      </c>
      <c r="B2825">
        <v>1230820</v>
      </c>
      <c r="C2825">
        <v>84706.25</v>
      </c>
      <c r="D2825" s="4">
        <f>+VLOOKUP(A2825,Portfolio!$G$3:$I$6,3)</f>
        <v>1</v>
      </c>
      <c r="E2825">
        <f t="shared" si="44"/>
        <v>84706.25</v>
      </c>
    </row>
    <row r="2826" spans="1:5" x14ac:dyDescent="0.25">
      <c r="A2826" t="s">
        <v>1</v>
      </c>
      <c r="B2826">
        <v>1230821</v>
      </c>
      <c r="C2826">
        <v>84375</v>
      </c>
      <c r="D2826" s="4">
        <f>+VLOOKUP(A2826,Portfolio!$G$3:$I$6,3)</f>
        <v>1</v>
      </c>
      <c r="E2826">
        <f t="shared" si="44"/>
        <v>84375</v>
      </c>
    </row>
    <row r="2827" spans="1:5" x14ac:dyDescent="0.25">
      <c r="A2827" t="s">
        <v>1</v>
      </c>
      <c r="B2827">
        <v>1230822</v>
      </c>
      <c r="C2827">
        <v>84756.25</v>
      </c>
      <c r="D2827" s="4">
        <f>+VLOOKUP(A2827,Portfolio!$G$3:$I$6,3)</f>
        <v>1</v>
      </c>
      <c r="E2827">
        <f t="shared" si="44"/>
        <v>84756.25</v>
      </c>
    </row>
    <row r="2828" spans="1:5" x14ac:dyDescent="0.25">
      <c r="A2828" t="s">
        <v>1</v>
      </c>
      <c r="B2828">
        <v>1230823</v>
      </c>
      <c r="C2828">
        <v>84556.25</v>
      </c>
      <c r="D2828" s="4">
        <f>+VLOOKUP(A2828,Portfolio!$G$3:$I$6,3)</f>
        <v>1</v>
      </c>
      <c r="E2828">
        <f t="shared" si="44"/>
        <v>84556.25</v>
      </c>
    </row>
    <row r="2829" spans="1:5" x14ac:dyDescent="0.25">
      <c r="A2829" t="s">
        <v>1</v>
      </c>
      <c r="B2829">
        <v>1230824</v>
      </c>
      <c r="C2829">
        <v>84337.5</v>
      </c>
      <c r="D2829" s="4">
        <f>+VLOOKUP(A2829,Portfolio!$G$3:$I$6,3)</f>
        <v>1</v>
      </c>
      <c r="E2829">
        <f t="shared" si="44"/>
        <v>84337.5</v>
      </c>
    </row>
    <row r="2830" spans="1:5" x14ac:dyDescent="0.25">
      <c r="A2830" t="s">
        <v>1</v>
      </c>
      <c r="B2830">
        <v>1230825</v>
      </c>
      <c r="C2830">
        <v>84506.25</v>
      </c>
      <c r="D2830" s="4">
        <f>+VLOOKUP(A2830,Portfolio!$G$3:$I$6,3)</f>
        <v>1</v>
      </c>
      <c r="E2830">
        <f t="shared" si="44"/>
        <v>84506.25</v>
      </c>
    </row>
    <row r="2831" spans="1:5" x14ac:dyDescent="0.25">
      <c r="A2831" t="s">
        <v>1</v>
      </c>
      <c r="B2831">
        <v>1230827</v>
      </c>
      <c r="C2831">
        <v>84231.25</v>
      </c>
      <c r="D2831" s="4">
        <f>+VLOOKUP(A2831,Portfolio!$G$3:$I$6,3)</f>
        <v>1</v>
      </c>
      <c r="E2831">
        <f t="shared" si="44"/>
        <v>84231.25</v>
      </c>
    </row>
    <row r="2832" spans="1:5" x14ac:dyDescent="0.25">
      <c r="A2832" t="s">
        <v>1</v>
      </c>
      <c r="B2832">
        <v>1230828</v>
      </c>
      <c r="C2832">
        <v>84187.5</v>
      </c>
      <c r="D2832" s="4">
        <f>+VLOOKUP(A2832,Portfolio!$G$3:$I$6,3)</f>
        <v>1</v>
      </c>
      <c r="E2832">
        <f t="shared" si="44"/>
        <v>84187.5</v>
      </c>
    </row>
    <row r="2833" spans="1:5" x14ac:dyDescent="0.25">
      <c r="A2833" t="s">
        <v>1</v>
      </c>
      <c r="B2833">
        <v>1230829</v>
      </c>
      <c r="C2833">
        <v>84212.5</v>
      </c>
      <c r="D2833" s="4">
        <f>+VLOOKUP(A2833,Portfolio!$G$3:$I$6,3)</f>
        <v>1</v>
      </c>
      <c r="E2833">
        <f t="shared" si="44"/>
        <v>84212.5</v>
      </c>
    </row>
    <row r="2834" spans="1:5" x14ac:dyDescent="0.25">
      <c r="A2834" t="s">
        <v>1</v>
      </c>
      <c r="B2834">
        <v>1230830</v>
      </c>
      <c r="C2834">
        <v>84187.5</v>
      </c>
      <c r="D2834" s="4">
        <f>+VLOOKUP(A2834,Portfolio!$G$3:$I$6,3)</f>
        <v>1</v>
      </c>
      <c r="E2834">
        <f t="shared" si="44"/>
        <v>84187.5</v>
      </c>
    </row>
    <row r="2835" spans="1:5" x14ac:dyDescent="0.25">
      <c r="A2835" t="s">
        <v>1</v>
      </c>
      <c r="B2835">
        <v>1230831</v>
      </c>
      <c r="C2835">
        <v>84337.5</v>
      </c>
      <c r="D2835" s="4">
        <f>+VLOOKUP(A2835,Portfolio!$G$3:$I$6,3)</f>
        <v>1</v>
      </c>
      <c r="E2835">
        <f t="shared" si="44"/>
        <v>84337.5</v>
      </c>
    </row>
    <row r="2836" spans="1:5" x14ac:dyDescent="0.25">
      <c r="A2836" t="s">
        <v>1</v>
      </c>
      <c r="B2836">
        <v>1230901</v>
      </c>
      <c r="C2836">
        <v>84175</v>
      </c>
      <c r="D2836" s="4">
        <f>+VLOOKUP(A2836,Portfolio!$G$3:$I$6,3)</f>
        <v>1</v>
      </c>
      <c r="E2836">
        <f t="shared" si="44"/>
        <v>84175</v>
      </c>
    </row>
    <row r="2837" spans="1:5" x14ac:dyDescent="0.25">
      <c r="A2837" t="s">
        <v>1</v>
      </c>
      <c r="B2837">
        <v>1230903</v>
      </c>
      <c r="C2837">
        <v>84293.75</v>
      </c>
      <c r="D2837" s="4">
        <f>+VLOOKUP(A2837,Portfolio!$G$3:$I$6,3)</f>
        <v>1</v>
      </c>
      <c r="E2837">
        <f t="shared" si="44"/>
        <v>84293.75</v>
      </c>
    </row>
    <row r="2838" spans="1:5" x14ac:dyDescent="0.25">
      <c r="A2838" t="s">
        <v>1</v>
      </c>
      <c r="B2838">
        <v>1230904</v>
      </c>
      <c r="C2838">
        <v>84287.5</v>
      </c>
      <c r="D2838" s="4">
        <f>+VLOOKUP(A2838,Portfolio!$G$3:$I$6,3)</f>
        <v>1</v>
      </c>
      <c r="E2838">
        <f t="shared" si="44"/>
        <v>84287.5</v>
      </c>
    </row>
    <row r="2839" spans="1:5" x14ac:dyDescent="0.25">
      <c r="A2839" t="s">
        <v>1</v>
      </c>
      <c r="B2839">
        <v>1230905</v>
      </c>
      <c r="C2839">
        <v>84606.25</v>
      </c>
      <c r="D2839" s="4">
        <f>+VLOOKUP(A2839,Portfolio!$G$3:$I$6,3)</f>
        <v>1</v>
      </c>
      <c r="E2839">
        <f t="shared" si="44"/>
        <v>84606.25</v>
      </c>
    </row>
    <row r="2840" spans="1:5" x14ac:dyDescent="0.25">
      <c r="A2840" t="s">
        <v>1</v>
      </c>
      <c r="B2840">
        <v>1230906</v>
      </c>
      <c r="C2840">
        <v>85043.75</v>
      </c>
      <c r="D2840" s="4">
        <f>+VLOOKUP(A2840,Portfolio!$G$3:$I$6,3)</f>
        <v>1</v>
      </c>
      <c r="E2840">
        <f t="shared" si="44"/>
        <v>85043.75</v>
      </c>
    </row>
    <row r="2841" spans="1:5" x14ac:dyDescent="0.25">
      <c r="A2841" t="s">
        <v>1</v>
      </c>
      <c r="B2841">
        <v>1230907</v>
      </c>
      <c r="C2841">
        <v>84762.5</v>
      </c>
      <c r="D2841" s="4">
        <f>+VLOOKUP(A2841,Portfolio!$G$3:$I$6,3)</f>
        <v>1</v>
      </c>
      <c r="E2841">
        <f t="shared" si="44"/>
        <v>84762.5</v>
      </c>
    </row>
    <row r="2842" spans="1:5" x14ac:dyDescent="0.25">
      <c r="A2842" t="s">
        <v>1</v>
      </c>
      <c r="B2842">
        <v>1230908</v>
      </c>
      <c r="C2842">
        <v>84456.25</v>
      </c>
      <c r="D2842" s="4">
        <f>+VLOOKUP(A2842,Portfolio!$G$3:$I$6,3)</f>
        <v>1</v>
      </c>
      <c r="E2842">
        <f t="shared" si="44"/>
        <v>84456.25</v>
      </c>
    </row>
    <row r="2843" spans="1:5" x14ac:dyDescent="0.25">
      <c r="A2843" t="s">
        <v>1</v>
      </c>
      <c r="B2843">
        <v>1230910</v>
      </c>
      <c r="C2843">
        <v>83675</v>
      </c>
      <c r="D2843" s="4">
        <f>+VLOOKUP(A2843,Portfolio!$G$3:$I$6,3)</f>
        <v>1</v>
      </c>
      <c r="E2843">
        <f t="shared" si="44"/>
        <v>83675</v>
      </c>
    </row>
    <row r="2844" spans="1:5" x14ac:dyDescent="0.25">
      <c r="A2844" t="s">
        <v>1</v>
      </c>
      <c r="B2844">
        <v>1230911</v>
      </c>
      <c r="C2844">
        <v>84212.5</v>
      </c>
      <c r="D2844" s="4">
        <f>+VLOOKUP(A2844,Portfolio!$G$3:$I$6,3)</f>
        <v>1</v>
      </c>
      <c r="E2844">
        <f t="shared" si="44"/>
        <v>84212.5</v>
      </c>
    </row>
    <row r="2845" spans="1:5" x14ac:dyDescent="0.25">
      <c r="A2845" t="s">
        <v>1</v>
      </c>
      <c r="B2845">
        <v>1230912</v>
      </c>
      <c r="C2845">
        <v>83668.75</v>
      </c>
      <c r="D2845" s="4">
        <f>+VLOOKUP(A2845,Portfolio!$G$3:$I$6,3)</f>
        <v>1</v>
      </c>
      <c r="E2845">
        <f t="shared" si="44"/>
        <v>83668.75</v>
      </c>
    </row>
    <row r="2846" spans="1:5" x14ac:dyDescent="0.25">
      <c r="A2846" t="s">
        <v>1</v>
      </c>
      <c r="B2846">
        <v>1230913</v>
      </c>
      <c r="C2846">
        <v>84062.5</v>
      </c>
      <c r="D2846" s="4">
        <f>+VLOOKUP(A2846,Portfolio!$G$3:$I$6,3)</f>
        <v>1</v>
      </c>
      <c r="E2846">
        <f t="shared" si="44"/>
        <v>84062.5</v>
      </c>
    </row>
    <row r="2847" spans="1:5" x14ac:dyDescent="0.25">
      <c r="A2847" t="s">
        <v>1</v>
      </c>
      <c r="B2847">
        <v>1230914</v>
      </c>
      <c r="C2847">
        <v>83406.25</v>
      </c>
      <c r="D2847" s="4">
        <f>+VLOOKUP(A2847,Portfolio!$G$3:$I$6,3)</f>
        <v>1</v>
      </c>
      <c r="E2847">
        <f t="shared" si="44"/>
        <v>83406.25</v>
      </c>
    </row>
    <row r="2848" spans="1:5" x14ac:dyDescent="0.25">
      <c r="A2848" t="s">
        <v>1</v>
      </c>
      <c r="B2848">
        <v>1230915</v>
      </c>
      <c r="C2848">
        <v>82525</v>
      </c>
      <c r="D2848" s="4">
        <f>+VLOOKUP(A2848,Portfolio!$G$3:$I$6,3)</f>
        <v>1</v>
      </c>
      <c r="E2848">
        <f t="shared" si="44"/>
        <v>82525</v>
      </c>
    </row>
    <row r="2849" spans="1:5" x14ac:dyDescent="0.25">
      <c r="A2849" t="s">
        <v>1</v>
      </c>
      <c r="B2849">
        <v>1230917</v>
      </c>
      <c r="C2849">
        <v>82512.5</v>
      </c>
      <c r="D2849" s="4">
        <f>+VLOOKUP(A2849,Portfolio!$G$3:$I$6,3)</f>
        <v>1</v>
      </c>
      <c r="E2849">
        <f t="shared" si="44"/>
        <v>82512.5</v>
      </c>
    </row>
    <row r="2850" spans="1:5" x14ac:dyDescent="0.25">
      <c r="A2850" t="s">
        <v>1</v>
      </c>
      <c r="B2850">
        <v>1230918</v>
      </c>
      <c r="C2850">
        <v>82600</v>
      </c>
      <c r="D2850" s="4">
        <f>+VLOOKUP(A2850,Portfolio!$G$3:$I$6,3)</f>
        <v>1</v>
      </c>
      <c r="E2850">
        <f t="shared" si="44"/>
        <v>82600</v>
      </c>
    </row>
    <row r="2851" spans="1:5" x14ac:dyDescent="0.25">
      <c r="A2851" t="s">
        <v>1</v>
      </c>
      <c r="B2851">
        <v>1230919</v>
      </c>
      <c r="C2851">
        <v>81825</v>
      </c>
      <c r="D2851" s="4">
        <f>+VLOOKUP(A2851,Portfolio!$G$3:$I$6,3)</f>
        <v>1</v>
      </c>
      <c r="E2851">
        <f t="shared" si="44"/>
        <v>81825</v>
      </c>
    </row>
    <row r="2852" spans="1:5" x14ac:dyDescent="0.25">
      <c r="A2852" t="s">
        <v>1</v>
      </c>
      <c r="B2852">
        <v>1230920</v>
      </c>
      <c r="C2852">
        <v>81881.25</v>
      </c>
      <c r="D2852" s="4">
        <f>+VLOOKUP(A2852,Portfolio!$G$3:$I$6,3)</f>
        <v>1</v>
      </c>
      <c r="E2852">
        <f t="shared" si="44"/>
        <v>81881.25</v>
      </c>
    </row>
    <row r="2853" spans="1:5" x14ac:dyDescent="0.25">
      <c r="A2853" t="s">
        <v>1</v>
      </c>
      <c r="B2853">
        <v>1230921</v>
      </c>
      <c r="C2853">
        <v>81800</v>
      </c>
      <c r="D2853" s="4">
        <f>+VLOOKUP(A2853,Portfolio!$G$3:$I$6,3)</f>
        <v>1</v>
      </c>
      <c r="E2853">
        <f t="shared" si="44"/>
        <v>81800</v>
      </c>
    </row>
    <row r="2854" spans="1:5" x14ac:dyDescent="0.25">
      <c r="A2854" t="s">
        <v>1</v>
      </c>
      <c r="B2854">
        <v>1230922</v>
      </c>
      <c r="C2854">
        <v>81256.25</v>
      </c>
      <c r="D2854" s="4">
        <f>+VLOOKUP(A2854,Portfolio!$G$3:$I$6,3)</f>
        <v>1</v>
      </c>
      <c r="E2854">
        <f t="shared" si="44"/>
        <v>81256.25</v>
      </c>
    </row>
    <row r="2855" spans="1:5" x14ac:dyDescent="0.25">
      <c r="A2855" t="s">
        <v>1</v>
      </c>
      <c r="B2855">
        <v>1230924</v>
      </c>
      <c r="C2855">
        <v>81006.25</v>
      </c>
      <c r="D2855" s="4">
        <f>+VLOOKUP(A2855,Portfolio!$G$3:$I$6,3)</f>
        <v>1</v>
      </c>
      <c r="E2855">
        <f t="shared" si="44"/>
        <v>81006.25</v>
      </c>
    </row>
    <row r="2856" spans="1:5" x14ac:dyDescent="0.25">
      <c r="A2856" t="s">
        <v>1</v>
      </c>
      <c r="B2856">
        <v>1230925</v>
      </c>
      <c r="C2856">
        <v>80987.5</v>
      </c>
      <c r="D2856" s="4">
        <f>+VLOOKUP(A2856,Portfolio!$G$3:$I$6,3)</f>
        <v>1</v>
      </c>
      <c r="E2856">
        <f t="shared" si="44"/>
        <v>80987.5</v>
      </c>
    </row>
    <row r="2857" spans="1:5" x14ac:dyDescent="0.25">
      <c r="A2857" t="s">
        <v>1</v>
      </c>
      <c r="B2857">
        <v>1230926</v>
      </c>
      <c r="C2857">
        <v>81300</v>
      </c>
      <c r="D2857" s="4">
        <f>+VLOOKUP(A2857,Portfolio!$G$3:$I$6,3)</f>
        <v>1</v>
      </c>
      <c r="E2857">
        <f t="shared" si="44"/>
        <v>81300</v>
      </c>
    </row>
    <row r="2858" spans="1:5" x14ac:dyDescent="0.25">
      <c r="A2858" t="s">
        <v>1</v>
      </c>
      <c r="B2858">
        <v>1230927</v>
      </c>
      <c r="C2858">
        <v>81393.75</v>
      </c>
      <c r="D2858" s="4">
        <f>+VLOOKUP(A2858,Portfolio!$G$3:$I$6,3)</f>
        <v>1</v>
      </c>
      <c r="E2858">
        <f t="shared" si="44"/>
        <v>81393.75</v>
      </c>
    </row>
    <row r="2859" spans="1:5" x14ac:dyDescent="0.25">
      <c r="A2859" t="s">
        <v>1</v>
      </c>
      <c r="B2859">
        <v>1230928</v>
      </c>
      <c r="C2859">
        <v>81606.25</v>
      </c>
      <c r="D2859" s="4">
        <f>+VLOOKUP(A2859,Portfolio!$G$3:$I$6,3)</f>
        <v>1</v>
      </c>
      <c r="E2859">
        <f t="shared" si="44"/>
        <v>81606.25</v>
      </c>
    </row>
    <row r="2860" spans="1:5" x14ac:dyDescent="0.25">
      <c r="A2860" t="s">
        <v>1</v>
      </c>
      <c r="B2860">
        <v>1230929</v>
      </c>
      <c r="C2860">
        <v>81118.75</v>
      </c>
      <c r="D2860" s="4">
        <f>+VLOOKUP(A2860,Portfolio!$G$3:$I$6,3)</f>
        <v>1</v>
      </c>
      <c r="E2860">
        <f t="shared" si="44"/>
        <v>81118.75</v>
      </c>
    </row>
    <row r="2861" spans="1:5" x14ac:dyDescent="0.25">
      <c r="A2861" t="s">
        <v>1</v>
      </c>
      <c r="B2861">
        <v>1231001</v>
      </c>
      <c r="C2861">
        <v>81256.25</v>
      </c>
      <c r="D2861" s="4">
        <f>+VLOOKUP(A2861,Portfolio!$G$3:$I$6,3)</f>
        <v>1</v>
      </c>
      <c r="E2861">
        <f t="shared" si="44"/>
        <v>81256.25</v>
      </c>
    </row>
    <row r="2862" spans="1:5" x14ac:dyDescent="0.25">
      <c r="A2862" t="s">
        <v>1</v>
      </c>
      <c r="B2862">
        <v>1231002</v>
      </c>
      <c r="C2862">
        <v>81331.25</v>
      </c>
      <c r="D2862" s="4">
        <f>+VLOOKUP(A2862,Portfolio!$G$3:$I$6,3)</f>
        <v>1</v>
      </c>
      <c r="E2862">
        <f t="shared" si="44"/>
        <v>81331.25</v>
      </c>
    </row>
    <row r="2863" spans="1:5" x14ac:dyDescent="0.25">
      <c r="A2863" t="s">
        <v>1</v>
      </c>
      <c r="B2863">
        <v>1231003</v>
      </c>
      <c r="C2863">
        <v>81431.25</v>
      </c>
      <c r="D2863" s="4">
        <f>+VLOOKUP(A2863,Portfolio!$G$3:$I$6,3)</f>
        <v>1</v>
      </c>
      <c r="E2863">
        <f t="shared" si="44"/>
        <v>81431.25</v>
      </c>
    </row>
    <row r="2864" spans="1:5" x14ac:dyDescent="0.25">
      <c r="A2864" t="s">
        <v>1</v>
      </c>
      <c r="B2864">
        <v>1231004</v>
      </c>
      <c r="C2864">
        <v>80581.25</v>
      </c>
      <c r="D2864" s="4">
        <f>+VLOOKUP(A2864,Portfolio!$G$3:$I$6,3)</f>
        <v>1</v>
      </c>
      <c r="E2864">
        <f t="shared" si="44"/>
        <v>80581.25</v>
      </c>
    </row>
    <row r="2865" spans="1:5" x14ac:dyDescent="0.25">
      <c r="A2865" t="s">
        <v>1</v>
      </c>
      <c r="B2865">
        <v>1231005</v>
      </c>
      <c r="C2865">
        <v>80881.25</v>
      </c>
      <c r="D2865" s="4">
        <f>+VLOOKUP(A2865,Portfolio!$G$3:$I$6,3)</f>
        <v>1</v>
      </c>
      <c r="E2865">
        <f t="shared" si="44"/>
        <v>80881.25</v>
      </c>
    </row>
    <row r="2866" spans="1:5" x14ac:dyDescent="0.25">
      <c r="A2866" t="s">
        <v>1</v>
      </c>
      <c r="B2866">
        <v>1231006</v>
      </c>
      <c r="C2866">
        <v>80362.5</v>
      </c>
      <c r="D2866" s="4">
        <f>+VLOOKUP(A2866,Portfolio!$G$3:$I$6,3)</f>
        <v>1</v>
      </c>
      <c r="E2866">
        <f t="shared" si="44"/>
        <v>80362.5</v>
      </c>
    </row>
    <row r="2867" spans="1:5" x14ac:dyDescent="0.25">
      <c r="A2867" t="s">
        <v>1</v>
      </c>
      <c r="B2867">
        <v>1231008</v>
      </c>
      <c r="C2867">
        <v>80231.25</v>
      </c>
      <c r="D2867" s="4">
        <f>+VLOOKUP(A2867,Portfolio!$G$3:$I$6,3)</f>
        <v>1</v>
      </c>
      <c r="E2867">
        <f t="shared" si="44"/>
        <v>80231.25</v>
      </c>
    </row>
    <row r="2868" spans="1:5" x14ac:dyDescent="0.25">
      <c r="A2868" t="s">
        <v>1</v>
      </c>
      <c r="B2868">
        <v>1231009</v>
      </c>
      <c r="C2868">
        <v>80243.75</v>
      </c>
      <c r="D2868" s="4">
        <f>+VLOOKUP(A2868,Portfolio!$G$3:$I$6,3)</f>
        <v>1</v>
      </c>
      <c r="E2868">
        <f t="shared" si="44"/>
        <v>80243.75</v>
      </c>
    </row>
    <row r="2869" spans="1:5" x14ac:dyDescent="0.25">
      <c r="A2869" t="s">
        <v>1</v>
      </c>
      <c r="B2869">
        <v>1231010</v>
      </c>
      <c r="C2869">
        <v>80356.25</v>
      </c>
      <c r="D2869" s="4">
        <f>+VLOOKUP(A2869,Portfolio!$G$3:$I$6,3)</f>
        <v>1</v>
      </c>
      <c r="E2869">
        <f t="shared" si="44"/>
        <v>80356.25</v>
      </c>
    </row>
    <row r="2870" spans="1:5" x14ac:dyDescent="0.25">
      <c r="A2870" t="s">
        <v>1</v>
      </c>
      <c r="B2870">
        <v>1231011</v>
      </c>
      <c r="C2870">
        <v>79875</v>
      </c>
      <c r="D2870" s="4">
        <f>+VLOOKUP(A2870,Portfolio!$G$3:$I$6,3)</f>
        <v>1</v>
      </c>
      <c r="E2870">
        <f t="shared" si="44"/>
        <v>79875</v>
      </c>
    </row>
    <row r="2871" spans="1:5" x14ac:dyDescent="0.25">
      <c r="A2871" t="s">
        <v>1</v>
      </c>
      <c r="B2871">
        <v>1231012</v>
      </c>
      <c r="C2871">
        <v>80000</v>
      </c>
      <c r="D2871" s="4">
        <f>+VLOOKUP(A2871,Portfolio!$G$3:$I$6,3)</f>
        <v>1</v>
      </c>
      <c r="E2871">
        <f t="shared" si="44"/>
        <v>80000</v>
      </c>
    </row>
    <row r="2872" spans="1:5" x14ac:dyDescent="0.25">
      <c r="A2872" t="s">
        <v>1</v>
      </c>
      <c r="B2872">
        <v>1231013</v>
      </c>
      <c r="C2872">
        <v>80112.5</v>
      </c>
      <c r="D2872" s="4">
        <f>+VLOOKUP(A2872,Portfolio!$G$3:$I$6,3)</f>
        <v>1</v>
      </c>
      <c r="E2872">
        <f t="shared" si="44"/>
        <v>80112.5</v>
      </c>
    </row>
    <row r="2873" spans="1:5" x14ac:dyDescent="0.25">
      <c r="A2873" t="s">
        <v>1</v>
      </c>
      <c r="B2873">
        <v>1231015</v>
      </c>
      <c r="C2873">
        <v>80037.5</v>
      </c>
      <c r="D2873" s="4">
        <f>+VLOOKUP(A2873,Portfolio!$G$3:$I$6,3)</f>
        <v>1</v>
      </c>
      <c r="E2873">
        <f t="shared" si="44"/>
        <v>80037.5</v>
      </c>
    </row>
    <row r="2874" spans="1:5" x14ac:dyDescent="0.25">
      <c r="A2874" t="s">
        <v>1</v>
      </c>
      <c r="B2874">
        <v>1231016</v>
      </c>
      <c r="C2874">
        <v>80131.25</v>
      </c>
      <c r="D2874" s="4">
        <f>+VLOOKUP(A2874,Portfolio!$G$3:$I$6,3)</f>
        <v>1</v>
      </c>
      <c r="E2874">
        <f t="shared" si="44"/>
        <v>80131.25</v>
      </c>
    </row>
    <row r="2875" spans="1:5" x14ac:dyDescent="0.25">
      <c r="A2875" t="s">
        <v>1</v>
      </c>
      <c r="B2875">
        <v>1231017</v>
      </c>
      <c r="C2875">
        <v>80000</v>
      </c>
      <c r="D2875" s="4">
        <f>+VLOOKUP(A2875,Portfolio!$G$3:$I$6,3)</f>
        <v>1</v>
      </c>
      <c r="E2875">
        <f t="shared" si="44"/>
        <v>80000</v>
      </c>
    </row>
    <row r="2876" spans="1:5" x14ac:dyDescent="0.25">
      <c r="A2876" t="s">
        <v>1</v>
      </c>
      <c r="B2876">
        <v>1231018</v>
      </c>
      <c r="C2876">
        <v>80087.5</v>
      </c>
      <c r="D2876" s="4">
        <f>+VLOOKUP(A2876,Portfolio!$G$3:$I$6,3)</f>
        <v>1</v>
      </c>
      <c r="E2876">
        <f t="shared" si="44"/>
        <v>80087.5</v>
      </c>
    </row>
    <row r="2877" spans="1:5" x14ac:dyDescent="0.25">
      <c r="A2877" t="s">
        <v>1</v>
      </c>
      <c r="B2877">
        <v>1231019</v>
      </c>
      <c r="C2877">
        <v>80206.25</v>
      </c>
      <c r="D2877" s="4">
        <f>+VLOOKUP(A2877,Portfolio!$G$3:$I$6,3)</f>
        <v>1</v>
      </c>
      <c r="E2877">
        <f t="shared" si="44"/>
        <v>80206.25</v>
      </c>
    </row>
    <row r="2878" spans="1:5" x14ac:dyDescent="0.25">
      <c r="A2878" t="s">
        <v>1</v>
      </c>
      <c r="B2878">
        <v>1231020</v>
      </c>
      <c r="C2878">
        <v>80081.25</v>
      </c>
      <c r="D2878" s="4">
        <f>+VLOOKUP(A2878,Portfolio!$G$3:$I$6,3)</f>
        <v>1</v>
      </c>
      <c r="E2878">
        <f t="shared" si="44"/>
        <v>80081.25</v>
      </c>
    </row>
    <row r="2879" spans="1:5" x14ac:dyDescent="0.25">
      <c r="A2879" t="s">
        <v>1</v>
      </c>
      <c r="B2879">
        <v>1231022</v>
      </c>
      <c r="C2879">
        <v>80087.5</v>
      </c>
      <c r="D2879" s="4">
        <f>+VLOOKUP(A2879,Portfolio!$G$3:$I$6,3)</f>
        <v>1</v>
      </c>
      <c r="E2879">
        <f t="shared" si="44"/>
        <v>80087.5</v>
      </c>
    </row>
    <row r="2880" spans="1:5" x14ac:dyDescent="0.25">
      <c r="A2880" t="s">
        <v>1</v>
      </c>
      <c r="B2880">
        <v>1231023</v>
      </c>
      <c r="C2880">
        <v>80131.25</v>
      </c>
      <c r="D2880" s="4">
        <f>+VLOOKUP(A2880,Portfolio!$G$3:$I$6,3)</f>
        <v>1</v>
      </c>
      <c r="E2880">
        <f t="shared" si="44"/>
        <v>80131.25</v>
      </c>
    </row>
    <row r="2881" spans="1:5" x14ac:dyDescent="0.25">
      <c r="A2881" t="s">
        <v>1</v>
      </c>
      <c r="B2881">
        <v>1231024</v>
      </c>
      <c r="C2881">
        <v>80193.75</v>
      </c>
      <c r="D2881" s="4">
        <f>+VLOOKUP(A2881,Portfolio!$G$3:$I$6,3)</f>
        <v>1</v>
      </c>
      <c r="E2881">
        <f t="shared" si="44"/>
        <v>80193.75</v>
      </c>
    </row>
    <row r="2882" spans="1:5" x14ac:dyDescent="0.25">
      <c r="A2882" t="s">
        <v>1</v>
      </c>
      <c r="B2882">
        <v>1231025</v>
      </c>
      <c r="C2882">
        <v>80131.25</v>
      </c>
      <c r="D2882" s="4">
        <f>+VLOOKUP(A2882,Portfolio!$G$3:$I$6,3)</f>
        <v>1</v>
      </c>
      <c r="E2882">
        <f t="shared" si="44"/>
        <v>80131.25</v>
      </c>
    </row>
    <row r="2883" spans="1:5" x14ac:dyDescent="0.25">
      <c r="A2883" t="s">
        <v>1</v>
      </c>
      <c r="B2883">
        <v>1231026</v>
      </c>
      <c r="C2883">
        <v>80400</v>
      </c>
      <c r="D2883" s="4">
        <f>+VLOOKUP(A2883,Portfolio!$G$3:$I$6,3)</f>
        <v>1</v>
      </c>
      <c r="E2883">
        <f t="shared" ref="E2883:E2946" si="45">+C2883*D2883</f>
        <v>80400</v>
      </c>
    </row>
    <row r="2884" spans="1:5" x14ac:dyDescent="0.25">
      <c r="A2884" t="s">
        <v>1</v>
      </c>
      <c r="B2884">
        <v>1231027</v>
      </c>
      <c r="C2884">
        <v>80268.75</v>
      </c>
      <c r="D2884" s="4">
        <f>+VLOOKUP(A2884,Portfolio!$G$3:$I$6,3)</f>
        <v>1</v>
      </c>
      <c r="E2884">
        <f t="shared" si="45"/>
        <v>80268.75</v>
      </c>
    </row>
    <row r="2885" spans="1:5" x14ac:dyDescent="0.25">
      <c r="A2885" t="s">
        <v>1</v>
      </c>
      <c r="B2885">
        <v>1231029</v>
      </c>
      <c r="C2885">
        <v>80518.75</v>
      </c>
      <c r="D2885" s="4">
        <f>+VLOOKUP(A2885,Portfolio!$G$3:$I$6,3)</f>
        <v>1</v>
      </c>
      <c r="E2885">
        <f t="shared" si="45"/>
        <v>80518.75</v>
      </c>
    </row>
    <row r="2886" spans="1:5" x14ac:dyDescent="0.25">
      <c r="A2886" t="s">
        <v>1</v>
      </c>
      <c r="B2886">
        <v>1231030</v>
      </c>
      <c r="C2886">
        <v>80600</v>
      </c>
      <c r="D2886" s="4">
        <f>+VLOOKUP(A2886,Portfolio!$G$3:$I$6,3)</f>
        <v>1</v>
      </c>
      <c r="E2886">
        <f t="shared" si="45"/>
        <v>80600</v>
      </c>
    </row>
    <row r="2887" spans="1:5" x14ac:dyDescent="0.25">
      <c r="A2887" t="s">
        <v>1</v>
      </c>
      <c r="B2887">
        <v>1231031</v>
      </c>
      <c r="C2887">
        <v>80318.75</v>
      </c>
      <c r="D2887" s="4">
        <f>+VLOOKUP(A2887,Portfolio!$G$3:$I$6,3)</f>
        <v>1</v>
      </c>
      <c r="E2887">
        <f t="shared" si="45"/>
        <v>80318.75</v>
      </c>
    </row>
    <row r="2888" spans="1:5" x14ac:dyDescent="0.25">
      <c r="A2888" t="s">
        <v>1</v>
      </c>
      <c r="B2888">
        <v>1231101</v>
      </c>
      <c r="C2888">
        <v>81025</v>
      </c>
      <c r="D2888" s="4">
        <f>+VLOOKUP(A2888,Portfolio!$G$3:$I$6,3)</f>
        <v>1</v>
      </c>
      <c r="E2888">
        <f t="shared" si="45"/>
        <v>81025</v>
      </c>
    </row>
    <row r="2889" spans="1:5" x14ac:dyDescent="0.25">
      <c r="A2889" t="s">
        <v>1</v>
      </c>
      <c r="B2889">
        <v>1231102</v>
      </c>
      <c r="C2889">
        <v>81300</v>
      </c>
      <c r="D2889" s="4">
        <f>+VLOOKUP(A2889,Portfolio!$G$3:$I$6,3)</f>
        <v>1</v>
      </c>
      <c r="E2889">
        <f t="shared" si="45"/>
        <v>81300</v>
      </c>
    </row>
    <row r="2890" spans="1:5" x14ac:dyDescent="0.25">
      <c r="A2890" t="s">
        <v>1</v>
      </c>
      <c r="B2890">
        <v>1231103</v>
      </c>
      <c r="C2890">
        <v>81387.5</v>
      </c>
      <c r="D2890" s="4">
        <f>+VLOOKUP(A2890,Portfolio!$G$3:$I$6,3)</f>
        <v>1</v>
      </c>
      <c r="E2890">
        <f t="shared" si="45"/>
        <v>81387.5</v>
      </c>
    </row>
    <row r="2891" spans="1:5" x14ac:dyDescent="0.25">
      <c r="A2891" t="s">
        <v>1</v>
      </c>
      <c r="B2891">
        <v>1231105</v>
      </c>
      <c r="C2891">
        <v>81831.25</v>
      </c>
      <c r="D2891" s="4">
        <f>+VLOOKUP(A2891,Portfolio!$G$3:$I$6,3)</f>
        <v>1</v>
      </c>
      <c r="E2891">
        <f t="shared" si="45"/>
        <v>81831.25</v>
      </c>
    </row>
    <row r="2892" spans="1:5" x14ac:dyDescent="0.25">
      <c r="A2892" t="s">
        <v>1</v>
      </c>
      <c r="B2892">
        <v>1231106</v>
      </c>
      <c r="C2892">
        <v>81787.5</v>
      </c>
      <c r="D2892" s="4">
        <f>+VLOOKUP(A2892,Portfolio!$G$3:$I$6,3)</f>
        <v>1</v>
      </c>
      <c r="E2892">
        <f t="shared" si="45"/>
        <v>81787.5</v>
      </c>
    </row>
    <row r="2893" spans="1:5" x14ac:dyDescent="0.25">
      <c r="A2893" t="s">
        <v>1</v>
      </c>
      <c r="B2893">
        <v>1231107</v>
      </c>
      <c r="C2893">
        <v>82006.25</v>
      </c>
      <c r="D2893" s="4">
        <f>+VLOOKUP(A2893,Portfolio!$G$3:$I$6,3)</f>
        <v>1</v>
      </c>
      <c r="E2893">
        <f t="shared" si="45"/>
        <v>82006.25</v>
      </c>
    </row>
    <row r="2894" spans="1:5" x14ac:dyDescent="0.25">
      <c r="A2894" t="s">
        <v>1</v>
      </c>
      <c r="B2894">
        <v>1231108</v>
      </c>
      <c r="C2894">
        <v>82218.75</v>
      </c>
      <c r="D2894" s="4">
        <f>+VLOOKUP(A2894,Portfolio!$G$3:$I$6,3)</f>
        <v>1</v>
      </c>
      <c r="E2894">
        <f t="shared" si="45"/>
        <v>82218.75</v>
      </c>
    </row>
    <row r="2895" spans="1:5" x14ac:dyDescent="0.25">
      <c r="A2895" t="s">
        <v>1</v>
      </c>
      <c r="B2895">
        <v>1231109</v>
      </c>
      <c r="C2895">
        <v>82481.25</v>
      </c>
      <c r="D2895" s="4">
        <f>+VLOOKUP(A2895,Portfolio!$G$3:$I$6,3)</f>
        <v>1</v>
      </c>
      <c r="E2895">
        <f t="shared" si="45"/>
        <v>82481.25</v>
      </c>
    </row>
    <row r="2896" spans="1:5" x14ac:dyDescent="0.25">
      <c r="A2896" t="s">
        <v>1</v>
      </c>
      <c r="B2896">
        <v>1231110</v>
      </c>
      <c r="C2896">
        <v>82337.5</v>
      </c>
      <c r="D2896" s="4">
        <f>+VLOOKUP(A2896,Portfolio!$G$3:$I$6,3)</f>
        <v>1</v>
      </c>
      <c r="E2896">
        <f t="shared" si="45"/>
        <v>82337.5</v>
      </c>
    </row>
    <row r="2897" spans="1:5" x14ac:dyDescent="0.25">
      <c r="A2897" t="s">
        <v>1</v>
      </c>
      <c r="B2897">
        <v>1231112</v>
      </c>
      <c r="C2897">
        <v>82200</v>
      </c>
      <c r="D2897" s="4">
        <f>+VLOOKUP(A2897,Portfolio!$G$3:$I$6,3)</f>
        <v>1</v>
      </c>
      <c r="E2897">
        <f t="shared" si="45"/>
        <v>82200</v>
      </c>
    </row>
    <row r="2898" spans="1:5" x14ac:dyDescent="0.25">
      <c r="A2898" t="s">
        <v>1</v>
      </c>
      <c r="B2898">
        <v>1231113</v>
      </c>
      <c r="C2898">
        <v>82368.75</v>
      </c>
      <c r="D2898" s="4">
        <f>+VLOOKUP(A2898,Portfolio!$G$3:$I$6,3)</f>
        <v>1</v>
      </c>
      <c r="E2898">
        <f t="shared" si="45"/>
        <v>82368.75</v>
      </c>
    </row>
    <row r="2899" spans="1:5" x14ac:dyDescent="0.25">
      <c r="A2899" t="s">
        <v>1</v>
      </c>
      <c r="B2899">
        <v>1231114</v>
      </c>
      <c r="C2899">
        <v>82293.75</v>
      </c>
      <c r="D2899" s="4">
        <f>+VLOOKUP(A2899,Portfolio!$G$3:$I$6,3)</f>
        <v>1</v>
      </c>
      <c r="E2899">
        <f t="shared" si="45"/>
        <v>82293.75</v>
      </c>
    </row>
    <row r="2900" spans="1:5" x14ac:dyDescent="0.25">
      <c r="A2900" t="s">
        <v>1</v>
      </c>
      <c r="B2900">
        <v>1231115</v>
      </c>
      <c r="C2900">
        <v>82706.25</v>
      </c>
      <c r="D2900" s="4">
        <f>+VLOOKUP(A2900,Portfolio!$G$3:$I$6,3)</f>
        <v>1</v>
      </c>
      <c r="E2900">
        <f t="shared" si="45"/>
        <v>82706.25</v>
      </c>
    </row>
    <row r="2901" spans="1:5" x14ac:dyDescent="0.25">
      <c r="A2901" t="s">
        <v>1</v>
      </c>
      <c r="B2901">
        <v>1231116</v>
      </c>
      <c r="C2901">
        <v>83056.25</v>
      </c>
      <c r="D2901" s="4">
        <f>+VLOOKUP(A2901,Portfolio!$G$3:$I$6,3)</f>
        <v>1</v>
      </c>
      <c r="E2901">
        <f t="shared" si="45"/>
        <v>83056.25</v>
      </c>
    </row>
    <row r="2902" spans="1:5" x14ac:dyDescent="0.25">
      <c r="A2902" t="s">
        <v>1</v>
      </c>
      <c r="B2902">
        <v>1231117</v>
      </c>
      <c r="C2902">
        <v>83237.5</v>
      </c>
      <c r="D2902" s="4">
        <f>+VLOOKUP(A2902,Portfolio!$G$3:$I$6,3)</f>
        <v>1</v>
      </c>
      <c r="E2902">
        <f t="shared" si="45"/>
        <v>83237.5</v>
      </c>
    </row>
    <row r="2903" spans="1:5" x14ac:dyDescent="0.25">
      <c r="A2903" t="s">
        <v>1</v>
      </c>
      <c r="B2903">
        <v>1231119</v>
      </c>
      <c r="C2903">
        <v>83600</v>
      </c>
      <c r="D2903" s="4">
        <f>+VLOOKUP(A2903,Portfolio!$G$3:$I$6,3)</f>
        <v>1</v>
      </c>
      <c r="E2903">
        <f t="shared" si="45"/>
        <v>83600</v>
      </c>
    </row>
    <row r="2904" spans="1:5" x14ac:dyDescent="0.25">
      <c r="A2904" t="s">
        <v>1</v>
      </c>
      <c r="B2904">
        <v>1231120</v>
      </c>
      <c r="C2904">
        <v>84100</v>
      </c>
      <c r="D2904" s="4">
        <f>+VLOOKUP(A2904,Portfolio!$G$3:$I$6,3)</f>
        <v>1</v>
      </c>
      <c r="E2904">
        <f t="shared" si="45"/>
        <v>84100</v>
      </c>
    </row>
    <row r="2905" spans="1:5" x14ac:dyDescent="0.25">
      <c r="A2905" t="s">
        <v>1</v>
      </c>
      <c r="B2905">
        <v>1231121</v>
      </c>
      <c r="C2905">
        <v>84812.5</v>
      </c>
      <c r="D2905" s="4">
        <f>+VLOOKUP(A2905,Portfolio!$G$3:$I$6,3)</f>
        <v>1</v>
      </c>
      <c r="E2905">
        <f t="shared" si="45"/>
        <v>84812.5</v>
      </c>
    </row>
    <row r="2906" spans="1:5" x14ac:dyDescent="0.25">
      <c r="A2906" t="s">
        <v>1</v>
      </c>
      <c r="B2906">
        <v>1231122</v>
      </c>
      <c r="C2906">
        <v>85387.5</v>
      </c>
      <c r="D2906" s="4">
        <f>+VLOOKUP(A2906,Portfolio!$G$3:$I$6,3)</f>
        <v>1</v>
      </c>
      <c r="E2906">
        <f t="shared" si="45"/>
        <v>85387.5</v>
      </c>
    </row>
    <row r="2907" spans="1:5" x14ac:dyDescent="0.25">
      <c r="A2907" t="s">
        <v>1</v>
      </c>
      <c r="B2907">
        <v>1231123</v>
      </c>
      <c r="C2907">
        <v>84781.25</v>
      </c>
      <c r="D2907" s="4">
        <f>+VLOOKUP(A2907,Portfolio!$G$3:$I$6,3)</f>
        <v>1</v>
      </c>
      <c r="E2907">
        <f t="shared" si="45"/>
        <v>84781.25</v>
      </c>
    </row>
    <row r="2908" spans="1:5" x14ac:dyDescent="0.25">
      <c r="A2908" t="s">
        <v>1</v>
      </c>
      <c r="B2908">
        <v>1231124</v>
      </c>
      <c r="C2908">
        <v>84943.75</v>
      </c>
      <c r="D2908" s="4">
        <f>+VLOOKUP(A2908,Portfolio!$G$3:$I$6,3)</f>
        <v>1</v>
      </c>
      <c r="E2908">
        <f t="shared" si="45"/>
        <v>84943.75</v>
      </c>
    </row>
    <row r="2909" spans="1:5" x14ac:dyDescent="0.25">
      <c r="A2909" t="s">
        <v>1</v>
      </c>
      <c r="B2909">
        <v>1231126</v>
      </c>
      <c r="C2909">
        <v>85143.75</v>
      </c>
      <c r="D2909" s="4">
        <f>+VLOOKUP(A2909,Portfolio!$G$3:$I$6,3)</f>
        <v>1</v>
      </c>
      <c r="E2909">
        <f t="shared" si="45"/>
        <v>85143.75</v>
      </c>
    </row>
    <row r="2910" spans="1:5" x14ac:dyDescent="0.25">
      <c r="A2910" t="s">
        <v>1</v>
      </c>
      <c r="B2910">
        <v>1231127</v>
      </c>
      <c r="C2910">
        <v>85137.5</v>
      </c>
      <c r="D2910" s="4">
        <f>+VLOOKUP(A2910,Portfolio!$G$3:$I$6,3)</f>
        <v>1</v>
      </c>
      <c r="E2910">
        <f t="shared" si="45"/>
        <v>85137.5</v>
      </c>
    </row>
    <row r="2911" spans="1:5" x14ac:dyDescent="0.25">
      <c r="A2911" t="s">
        <v>1</v>
      </c>
      <c r="B2911">
        <v>1231128</v>
      </c>
      <c r="C2911">
        <v>85600</v>
      </c>
      <c r="D2911" s="4">
        <f>+VLOOKUP(A2911,Portfolio!$G$3:$I$6,3)</f>
        <v>1</v>
      </c>
      <c r="E2911">
        <f t="shared" si="45"/>
        <v>85600</v>
      </c>
    </row>
    <row r="2912" spans="1:5" x14ac:dyDescent="0.25">
      <c r="A2912" t="s">
        <v>1</v>
      </c>
      <c r="B2912">
        <v>1231129</v>
      </c>
      <c r="C2912">
        <v>86243.75</v>
      </c>
      <c r="D2912" s="4">
        <f>+VLOOKUP(A2912,Portfolio!$G$3:$I$6,3)</f>
        <v>1</v>
      </c>
      <c r="E2912">
        <f t="shared" si="45"/>
        <v>86243.75</v>
      </c>
    </row>
    <row r="2913" spans="1:5" x14ac:dyDescent="0.25">
      <c r="A2913" t="s">
        <v>1</v>
      </c>
      <c r="B2913">
        <v>1231130</v>
      </c>
      <c r="C2913">
        <v>85525</v>
      </c>
      <c r="D2913" s="4">
        <f>+VLOOKUP(A2913,Portfolio!$G$3:$I$6,3)</f>
        <v>1</v>
      </c>
      <c r="E2913">
        <f t="shared" si="45"/>
        <v>85525</v>
      </c>
    </row>
    <row r="2914" spans="1:5" x14ac:dyDescent="0.25">
      <c r="A2914" t="s">
        <v>1</v>
      </c>
      <c r="B2914">
        <v>1231201</v>
      </c>
      <c r="C2914">
        <v>85281.25</v>
      </c>
      <c r="D2914" s="4">
        <f>+VLOOKUP(A2914,Portfolio!$G$3:$I$6,3)</f>
        <v>1</v>
      </c>
      <c r="E2914">
        <f t="shared" si="45"/>
        <v>85281.25</v>
      </c>
    </row>
    <row r="2915" spans="1:5" x14ac:dyDescent="0.25">
      <c r="A2915" t="s">
        <v>1</v>
      </c>
      <c r="B2915">
        <v>1231203</v>
      </c>
      <c r="C2915">
        <v>85818.75</v>
      </c>
      <c r="D2915" s="4">
        <f>+VLOOKUP(A2915,Portfolio!$G$3:$I$6,3)</f>
        <v>1</v>
      </c>
      <c r="E2915">
        <f t="shared" si="45"/>
        <v>85818.75</v>
      </c>
    </row>
    <row r="2916" spans="1:5" x14ac:dyDescent="0.25">
      <c r="A2916" t="s">
        <v>1</v>
      </c>
      <c r="B2916">
        <v>1231204</v>
      </c>
      <c r="C2916">
        <v>85562.5</v>
      </c>
      <c r="D2916" s="4">
        <f>+VLOOKUP(A2916,Portfolio!$G$3:$I$6,3)</f>
        <v>1</v>
      </c>
      <c r="E2916">
        <f t="shared" si="45"/>
        <v>85562.5</v>
      </c>
    </row>
    <row r="2917" spans="1:5" x14ac:dyDescent="0.25">
      <c r="A2917" t="s">
        <v>1</v>
      </c>
      <c r="B2917">
        <v>1231205</v>
      </c>
      <c r="C2917">
        <v>85343.75</v>
      </c>
      <c r="D2917" s="4">
        <f>+VLOOKUP(A2917,Portfolio!$G$3:$I$6,3)</f>
        <v>1</v>
      </c>
      <c r="E2917">
        <f t="shared" si="45"/>
        <v>85343.75</v>
      </c>
    </row>
    <row r="2918" spans="1:5" x14ac:dyDescent="0.25">
      <c r="A2918" t="s">
        <v>1</v>
      </c>
      <c r="B2918">
        <v>1231206</v>
      </c>
      <c r="C2918">
        <v>84862.5</v>
      </c>
      <c r="D2918" s="4">
        <f>+VLOOKUP(A2918,Portfolio!$G$3:$I$6,3)</f>
        <v>1</v>
      </c>
      <c r="E2918">
        <f t="shared" si="45"/>
        <v>84862.5</v>
      </c>
    </row>
    <row r="2919" spans="1:5" x14ac:dyDescent="0.25">
      <c r="A2919" t="s">
        <v>1</v>
      </c>
      <c r="B2919">
        <v>1231207</v>
      </c>
      <c r="C2919">
        <v>84881.25</v>
      </c>
      <c r="D2919" s="4">
        <f>+VLOOKUP(A2919,Portfolio!$G$3:$I$6,3)</f>
        <v>1</v>
      </c>
      <c r="E2919">
        <f t="shared" si="45"/>
        <v>84881.25</v>
      </c>
    </row>
    <row r="2920" spans="1:5" x14ac:dyDescent="0.25">
      <c r="A2920" t="s">
        <v>1</v>
      </c>
      <c r="B2920">
        <v>1231208</v>
      </c>
      <c r="C2920">
        <v>86412.5</v>
      </c>
      <c r="D2920" s="4">
        <f>+VLOOKUP(A2920,Portfolio!$G$3:$I$6,3)</f>
        <v>1</v>
      </c>
      <c r="E2920">
        <f t="shared" si="45"/>
        <v>86412.5</v>
      </c>
    </row>
    <row r="2921" spans="1:5" x14ac:dyDescent="0.25">
      <c r="A2921" t="s">
        <v>1</v>
      </c>
      <c r="B2921">
        <v>1231210</v>
      </c>
      <c r="C2921">
        <v>86168.75</v>
      </c>
      <c r="D2921" s="4">
        <f>+VLOOKUP(A2921,Portfolio!$G$3:$I$6,3)</f>
        <v>1</v>
      </c>
      <c r="E2921">
        <f t="shared" si="45"/>
        <v>86168.75</v>
      </c>
    </row>
    <row r="2922" spans="1:5" x14ac:dyDescent="0.25">
      <c r="A2922" t="s">
        <v>1</v>
      </c>
      <c r="B2922">
        <v>1231211</v>
      </c>
      <c r="C2922">
        <v>86512.5</v>
      </c>
      <c r="D2922" s="4">
        <f>+VLOOKUP(A2922,Portfolio!$G$3:$I$6,3)</f>
        <v>1</v>
      </c>
      <c r="E2922">
        <f t="shared" si="45"/>
        <v>86512.5</v>
      </c>
    </row>
    <row r="2923" spans="1:5" x14ac:dyDescent="0.25">
      <c r="A2923" t="s">
        <v>1</v>
      </c>
      <c r="B2923">
        <v>1231212</v>
      </c>
      <c r="C2923">
        <v>87100</v>
      </c>
      <c r="D2923" s="4">
        <f>+VLOOKUP(A2923,Portfolio!$G$3:$I$6,3)</f>
        <v>1</v>
      </c>
      <c r="E2923">
        <f t="shared" si="45"/>
        <v>87100</v>
      </c>
    </row>
    <row r="2924" spans="1:5" x14ac:dyDescent="0.25">
      <c r="A2924" t="s">
        <v>1</v>
      </c>
      <c r="B2924">
        <v>1231213</v>
      </c>
      <c r="C2924">
        <v>86925</v>
      </c>
      <c r="D2924" s="4">
        <f>+VLOOKUP(A2924,Portfolio!$G$3:$I$6,3)</f>
        <v>1</v>
      </c>
      <c r="E2924">
        <f t="shared" si="45"/>
        <v>86925</v>
      </c>
    </row>
    <row r="2925" spans="1:5" x14ac:dyDescent="0.25">
      <c r="A2925" t="s">
        <v>1</v>
      </c>
      <c r="B2925">
        <v>1231214</v>
      </c>
      <c r="C2925">
        <v>89468.75</v>
      </c>
      <c r="D2925" s="4">
        <f>+VLOOKUP(A2925,Portfolio!$G$3:$I$6,3)</f>
        <v>1</v>
      </c>
      <c r="E2925">
        <f t="shared" si="45"/>
        <v>89468.75</v>
      </c>
    </row>
    <row r="2926" spans="1:5" x14ac:dyDescent="0.25">
      <c r="A2926" t="s">
        <v>1</v>
      </c>
      <c r="B2926">
        <v>1231215</v>
      </c>
      <c r="C2926">
        <v>88962.5</v>
      </c>
      <c r="D2926" s="4">
        <f>+VLOOKUP(A2926,Portfolio!$G$3:$I$6,3)</f>
        <v>1</v>
      </c>
      <c r="E2926">
        <f t="shared" si="45"/>
        <v>88962.5</v>
      </c>
    </row>
    <row r="2927" spans="1:5" x14ac:dyDescent="0.25">
      <c r="A2927" t="s">
        <v>1</v>
      </c>
      <c r="B2927">
        <v>1231217</v>
      </c>
      <c r="C2927">
        <v>88506.25</v>
      </c>
      <c r="D2927" s="4">
        <f>+VLOOKUP(A2927,Portfolio!$G$3:$I$6,3)</f>
        <v>1</v>
      </c>
      <c r="E2927">
        <f t="shared" si="45"/>
        <v>88506.25</v>
      </c>
    </row>
    <row r="2928" spans="1:5" x14ac:dyDescent="0.25">
      <c r="A2928" t="s">
        <v>1</v>
      </c>
      <c r="B2928">
        <v>1231218</v>
      </c>
      <c r="C2928">
        <v>88418.75</v>
      </c>
      <c r="D2928" s="4">
        <f>+VLOOKUP(A2928,Portfolio!$G$3:$I$6,3)</f>
        <v>1</v>
      </c>
      <c r="E2928">
        <f t="shared" si="45"/>
        <v>88418.75</v>
      </c>
    </row>
    <row r="2929" spans="1:5" x14ac:dyDescent="0.25">
      <c r="A2929" t="s">
        <v>1</v>
      </c>
      <c r="B2929">
        <v>1231219</v>
      </c>
      <c r="C2929">
        <v>89243.75</v>
      </c>
      <c r="D2929" s="4">
        <f>+VLOOKUP(A2929,Portfolio!$G$3:$I$6,3)</f>
        <v>1</v>
      </c>
      <c r="E2929">
        <f t="shared" si="45"/>
        <v>89243.75</v>
      </c>
    </row>
    <row r="2930" spans="1:5" x14ac:dyDescent="0.25">
      <c r="A2930" t="s">
        <v>1</v>
      </c>
      <c r="B2930">
        <v>1231220</v>
      </c>
      <c r="C2930">
        <v>89987.5</v>
      </c>
      <c r="D2930" s="4">
        <f>+VLOOKUP(A2930,Portfolio!$G$3:$I$6,3)</f>
        <v>1</v>
      </c>
      <c r="E2930">
        <f t="shared" si="45"/>
        <v>89987.5</v>
      </c>
    </row>
    <row r="2931" spans="1:5" x14ac:dyDescent="0.25">
      <c r="A2931" t="s">
        <v>1</v>
      </c>
      <c r="B2931">
        <v>1231221</v>
      </c>
      <c r="C2931">
        <v>89837.5</v>
      </c>
      <c r="D2931" s="4">
        <f>+VLOOKUP(A2931,Portfolio!$G$3:$I$6,3)</f>
        <v>1</v>
      </c>
      <c r="E2931">
        <f t="shared" si="45"/>
        <v>89837.5</v>
      </c>
    </row>
    <row r="2932" spans="1:5" x14ac:dyDescent="0.25">
      <c r="A2932" t="s">
        <v>1</v>
      </c>
      <c r="B2932">
        <v>1231222</v>
      </c>
      <c r="C2932">
        <v>90187.5</v>
      </c>
      <c r="D2932" s="4">
        <f>+VLOOKUP(A2932,Portfolio!$G$3:$I$6,3)</f>
        <v>1</v>
      </c>
      <c r="E2932">
        <f t="shared" si="45"/>
        <v>90187.5</v>
      </c>
    </row>
    <row r="2933" spans="1:5" x14ac:dyDescent="0.25">
      <c r="A2933" t="s">
        <v>1</v>
      </c>
      <c r="B2933">
        <v>1231225</v>
      </c>
      <c r="C2933">
        <v>89575</v>
      </c>
      <c r="D2933" s="4">
        <f>+VLOOKUP(A2933,Portfolio!$G$3:$I$6,3)</f>
        <v>1</v>
      </c>
      <c r="E2933">
        <f t="shared" si="45"/>
        <v>89575</v>
      </c>
    </row>
    <row r="2934" spans="1:5" x14ac:dyDescent="0.25">
      <c r="A2934" t="s">
        <v>1</v>
      </c>
      <c r="B2934">
        <v>1231226</v>
      </c>
      <c r="C2934">
        <v>89606.25</v>
      </c>
      <c r="D2934" s="4">
        <f>+VLOOKUP(A2934,Portfolio!$G$3:$I$6,3)</f>
        <v>1</v>
      </c>
      <c r="E2934">
        <f t="shared" si="45"/>
        <v>89606.25</v>
      </c>
    </row>
    <row r="2935" spans="1:5" x14ac:dyDescent="0.25">
      <c r="A2935" t="s">
        <v>1</v>
      </c>
      <c r="B2935">
        <v>1231227</v>
      </c>
      <c r="C2935">
        <v>89293.75</v>
      </c>
      <c r="D2935" s="4">
        <f>+VLOOKUP(A2935,Portfolio!$G$3:$I$6,3)</f>
        <v>1</v>
      </c>
      <c r="E2935">
        <f t="shared" si="45"/>
        <v>89293.75</v>
      </c>
    </row>
    <row r="2936" spans="1:5" x14ac:dyDescent="0.25">
      <c r="A2936" t="s">
        <v>1</v>
      </c>
      <c r="B2936">
        <v>1231228</v>
      </c>
      <c r="C2936">
        <v>89943.75</v>
      </c>
      <c r="D2936" s="4">
        <f>+VLOOKUP(A2936,Portfolio!$G$3:$I$6,3)</f>
        <v>1</v>
      </c>
      <c r="E2936">
        <f t="shared" si="45"/>
        <v>89943.75</v>
      </c>
    </row>
    <row r="2937" spans="1:5" x14ac:dyDescent="0.25">
      <c r="A2937" t="s">
        <v>1</v>
      </c>
      <c r="B2937">
        <v>1231229</v>
      </c>
      <c r="C2937">
        <v>89612.5</v>
      </c>
      <c r="D2937" s="4">
        <f>+VLOOKUP(A2937,Portfolio!$G$3:$I$6,3)</f>
        <v>1</v>
      </c>
      <c r="E2937">
        <f t="shared" si="45"/>
        <v>89612.5</v>
      </c>
    </row>
    <row r="2938" spans="1:5" x14ac:dyDescent="0.25">
      <c r="A2938" t="s">
        <v>1</v>
      </c>
      <c r="B2938">
        <v>1240101</v>
      </c>
      <c r="C2938">
        <v>89762.5</v>
      </c>
      <c r="D2938" s="4">
        <f>+VLOOKUP(A2938,Portfolio!$G$3:$I$6,3)</f>
        <v>1</v>
      </c>
      <c r="E2938">
        <f t="shared" si="45"/>
        <v>89762.5</v>
      </c>
    </row>
    <row r="2939" spans="1:5" x14ac:dyDescent="0.25">
      <c r="A2939" t="s">
        <v>1</v>
      </c>
      <c r="B2939">
        <v>1240102</v>
      </c>
      <c r="C2939">
        <v>89606.25</v>
      </c>
      <c r="D2939" s="4">
        <f>+VLOOKUP(A2939,Portfolio!$G$3:$I$6,3)</f>
        <v>1</v>
      </c>
      <c r="E2939">
        <f t="shared" si="45"/>
        <v>89606.25</v>
      </c>
    </row>
    <row r="2940" spans="1:5" x14ac:dyDescent="0.25">
      <c r="A2940" t="s">
        <v>1</v>
      </c>
      <c r="B2940">
        <v>1240103</v>
      </c>
      <c r="C2940">
        <v>89425</v>
      </c>
      <c r="D2940" s="4">
        <f>+VLOOKUP(A2940,Portfolio!$G$3:$I$6,3)</f>
        <v>1</v>
      </c>
      <c r="E2940">
        <f t="shared" si="45"/>
        <v>89425</v>
      </c>
    </row>
    <row r="2941" spans="1:5" x14ac:dyDescent="0.25">
      <c r="A2941" t="s">
        <v>1</v>
      </c>
      <c r="B2941">
        <v>1240104</v>
      </c>
      <c r="C2941">
        <v>90506.25</v>
      </c>
      <c r="D2941" s="4">
        <f>+VLOOKUP(A2941,Portfolio!$G$3:$I$6,3)</f>
        <v>1</v>
      </c>
      <c r="E2941">
        <f t="shared" si="45"/>
        <v>90506.25</v>
      </c>
    </row>
    <row r="2942" spans="1:5" x14ac:dyDescent="0.25">
      <c r="A2942" t="s">
        <v>1</v>
      </c>
      <c r="B2942">
        <v>1240105</v>
      </c>
      <c r="C2942">
        <v>91100</v>
      </c>
      <c r="D2942" s="4">
        <f>+VLOOKUP(A2942,Portfolio!$G$3:$I$6,3)</f>
        <v>1</v>
      </c>
      <c r="E2942">
        <f t="shared" si="45"/>
        <v>91100</v>
      </c>
    </row>
    <row r="2943" spans="1:5" x14ac:dyDescent="0.25">
      <c r="A2943" t="s">
        <v>1</v>
      </c>
      <c r="B2943">
        <v>1240107</v>
      </c>
      <c r="C2943">
        <v>91250</v>
      </c>
      <c r="D2943" s="4">
        <f>+VLOOKUP(A2943,Portfolio!$G$3:$I$6,3)</f>
        <v>1</v>
      </c>
      <c r="E2943">
        <f t="shared" si="45"/>
        <v>91250</v>
      </c>
    </row>
    <row r="2944" spans="1:5" x14ac:dyDescent="0.25">
      <c r="A2944" t="s">
        <v>1</v>
      </c>
      <c r="B2944">
        <v>1240108</v>
      </c>
      <c r="C2944">
        <v>91475</v>
      </c>
      <c r="D2944" s="4">
        <f>+VLOOKUP(A2944,Portfolio!$G$3:$I$6,3)</f>
        <v>1</v>
      </c>
      <c r="E2944">
        <f t="shared" si="45"/>
        <v>91475</v>
      </c>
    </row>
    <row r="2945" spans="1:5" x14ac:dyDescent="0.25">
      <c r="A2945" t="s">
        <v>1</v>
      </c>
      <c r="B2945">
        <v>1240109</v>
      </c>
      <c r="C2945">
        <v>91287.5</v>
      </c>
      <c r="D2945" s="4">
        <f>+VLOOKUP(A2945,Portfolio!$G$3:$I$6,3)</f>
        <v>1</v>
      </c>
      <c r="E2945">
        <f t="shared" si="45"/>
        <v>91287.5</v>
      </c>
    </row>
    <row r="2946" spans="1:5" x14ac:dyDescent="0.25">
      <c r="A2946" t="s">
        <v>1</v>
      </c>
      <c r="B2946">
        <v>1240110</v>
      </c>
      <c r="C2946">
        <v>91262.5</v>
      </c>
      <c r="D2946" s="4">
        <f>+VLOOKUP(A2946,Portfolio!$G$3:$I$6,3)</f>
        <v>1</v>
      </c>
      <c r="E2946">
        <f t="shared" si="45"/>
        <v>91262.5</v>
      </c>
    </row>
    <row r="2947" spans="1:5" x14ac:dyDescent="0.25">
      <c r="A2947" t="s">
        <v>1</v>
      </c>
      <c r="B2947">
        <v>1240111</v>
      </c>
      <c r="C2947">
        <v>91737.5</v>
      </c>
      <c r="D2947" s="4">
        <f>+VLOOKUP(A2947,Portfolio!$G$3:$I$6,3)</f>
        <v>1</v>
      </c>
      <c r="E2947">
        <f t="shared" ref="E2947:E3010" si="46">+C2947*D2947</f>
        <v>91737.5</v>
      </c>
    </row>
    <row r="2948" spans="1:5" x14ac:dyDescent="0.25">
      <c r="A2948" t="s">
        <v>1</v>
      </c>
      <c r="B2948">
        <v>1240112</v>
      </c>
      <c r="C2948">
        <v>91381.25</v>
      </c>
      <c r="D2948" s="4">
        <f>+VLOOKUP(A2948,Portfolio!$G$3:$I$6,3)</f>
        <v>1</v>
      </c>
      <c r="E2948">
        <f t="shared" si="46"/>
        <v>91381.25</v>
      </c>
    </row>
    <row r="2949" spans="1:5" x14ac:dyDescent="0.25">
      <c r="A2949" t="s">
        <v>1</v>
      </c>
      <c r="B2949">
        <v>1240114</v>
      </c>
      <c r="C2949">
        <v>90925</v>
      </c>
      <c r="D2949" s="4">
        <f>+VLOOKUP(A2949,Portfolio!$G$3:$I$6,3)</f>
        <v>1</v>
      </c>
      <c r="E2949">
        <f t="shared" si="46"/>
        <v>90925</v>
      </c>
    </row>
    <row r="2950" spans="1:5" x14ac:dyDescent="0.25">
      <c r="A2950" t="s">
        <v>1</v>
      </c>
      <c r="B2950">
        <v>1240115</v>
      </c>
      <c r="C2950">
        <v>90875</v>
      </c>
      <c r="D2950" s="4">
        <f>+VLOOKUP(A2950,Portfolio!$G$3:$I$6,3)</f>
        <v>1</v>
      </c>
      <c r="E2950">
        <f t="shared" si="46"/>
        <v>90875</v>
      </c>
    </row>
    <row r="2951" spans="1:5" x14ac:dyDescent="0.25">
      <c r="A2951" t="s">
        <v>1</v>
      </c>
      <c r="B2951">
        <v>1240116</v>
      </c>
      <c r="C2951">
        <v>91418.75</v>
      </c>
      <c r="D2951" s="4">
        <f>+VLOOKUP(A2951,Portfolio!$G$3:$I$6,3)</f>
        <v>1</v>
      </c>
      <c r="E2951">
        <f t="shared" si="46"/>
        <v>91418.75</v>
      </c>
    </row>
    <row r="2952" spans="1:5" x14ac:dyDescent="0.25">
      <c r="A2952" t="s">
        <v>1</v>
      </c>
      <c r="B2952">
        <v>1240117</v>
      </c>
      <c r="C2952">
        <v>92262.5</v>
      </c>
      <c r="D2952" s="4">
        <f>+VLOOKUP(A2952,Portfolio!$G$3:$I$6,3)</f>
        <v>1</v>
      </c>
      <c r="E2952">
        <f t="shared" si="46"/>
        <v>92262.5</v>
      </c>
    </row>
    <row r="2953" spans="1:5" x14ac:dyDescent="0.25">
      <c r="A2953" t="s">
        <v>1</v>
      </c>
      <c r="B2953">
        <v>1240118</v>
      </c>
      <c r="C2953">
        <v>92475</v>
      </c>
      <c r="D2953" s="4">
        <f>+VLOOKUP(A2953,Portfolio!$G$3:$I$6,3)</f>
        <v>1</v>
      </c>
      <c r="E2953">
        <f t="shared" si="46"/>
        <v>92475</v>
      </c>
    </row>
    <row r="2954" spans="1:5" x14ac:dyDescent="0.25">
      <c r="A2954" t="s">
        <v>1</v>
      </c>
      <c r="B2954">
        <v>1240119</v>
      </c>
      <c r="C2954">
        <v>92931.25</v>
      </c>
      <c r="D2954" s="4">
        <f>+VLOOKUP(A2954,Portfolio!$G$3:$I$6,3)</f>
        <v>1</v>
      </c>
      <c r="E2954">
        <f t="shared" si="46"/>
        <v>92931.25</v>
      </c>
    </row>
    <row r="2955" spans="1:5" x14ac:dyDescent="0.25">
      <c r="A2955" t="s">
        <v>1</v>
      </c>
      <c r="B2955">
        <v>1240121</v>
      </c>
      <c r="C2955">
        <v>92650</v>
      </c>
      <c r="D2955" s="4">
        <f>+VLOOKUP(A2955,Portfolio!$G$3:$I$6,3)</f>
        <v>1</v>
      </c>
      <c r="E2955">
        <f t="shared" si="46"/>
        <v>92650</v>
      </c>
    </row>
    <row r="2956" spans="1:5" x14ac:dyDescent="0.25">
      <c r="A2956" t="s">
        <v>1</v>
      </c>
      <c r="B2956">
        <v>1240122</v>
      </c>
      <c r="C2956">
        <v>92331.25</v>
      </c>
      <c r="D2956" s="4">
        <f>+VLOOKUP(A2956,Portfolio!$G$3:$I$6,3)</f>
        <v>1</v>
      </c>
      <c r="E2956">
        <f t="shared" si="46"/>
        <v>92331.25</v>
      </c>
    </row>
    <row r="2957" spans="1:5" x14ac:dyDescent="0.25">
      <c r="A2957" t="s">
        <v>1</v>
      </c>
      <c r="B2957">
        <v>1240123</v>
      </c>
      <c r="C2957">
        <v>91968.75</v>
      </c>
      <c r="D2957" s="4">
        <f>+VLOOKUP(A2957,Portfolio!$G$3:$I$6,3)</f>
        <v>1</v>
      </c>
      <c r="E2957">
        <f t="shared" si="46"/>
        <v>91968.75</v>
      </c>
    </row>
    <row r="2958" spans="1:5" x14ac:dyDescent="0.25">
      <c r="A2958" t="s">
        <v>1</v>
      </c>
      <c r="B2958">
        <v>1240124</v>
      </c>
      <c r="C2958">
        <v>91956.25</v>
      </c>
      <c r="D2958" s="4">
        <f>+VLOOKUP(A2958,Portfolio!$G$3:$I$6,3)</f>
        <v>1</v>
      </c>
      <c r="E2958">
        <f t="shared" si="46"/>
        <v>91956.25</v>
      </c>
    </row>
    <row r="2959" spans="1:5" x14ac:dyDescent="0.25">
      <c r="A2959" t="s">
        <v>1</v>
      </c>
      <c r="B2959">
        <v>1240125</v>
      </c>
      <c r="C2959">
        <v>91462.5</v>
      </c>
      <c r="D2959" s="4">
        <f>+VLOOKUP(A2959,Portfolio!$G$3:$I$6,3)</f>
        <v>1</v>
      </c>
      <c r="E2959">
        <f t="shared" si="46"/>
        <v>91462.5</v>
      </c>
    </row>
    <row r="2960" spans="1:5" x14ac:dyDescent="0.25">
      <c r="A2960" t="s">
        <v>1</v>
      </c>
      <c r="B2960">
        <v>1240126</v>
      </c>
      <c r="C2960">
        <v>91018.75</v>
      </c>
      <c r="D2960" s="4">
        <f>+VLOOKUP(A2960,Portfolio!$G$3:$I$6,3)</f>
        <v>1</v>
      </c>
      <c r="E2960">
        <f t="shared" si="46"/>
        <v>91018.75</v>
      </c>
    </row>
    <row r="2961" spans="1:5" x14ac:dyDescent="0.25">
      <c r="A2961" t="s">
        <v>1</v>
      </c>
      <c r="B2961">
        <v>1240128</v>
      </c>
      <c r="C2961">
        <v>90700</v>
      </c>
      <c r="D2961" s="4">
        <f>+VLOOKUP(A2961,Portfolio!$G$3:$I$6,3)</f>
        <v>1</v>
      </c>
      <c r="E2961">
        <f t="shared" si="46"/>
        <v>90700</v>
      </c>
    </row>
    <row r="2962" spans="1:5" x14ac:dyDescent="0.25">
      <c r="A2962" t="s">
        <v>1</v>
      </c>
      <c r="B2962">
        <v>1240129</v>
      </c>
      <c r="C2962">
        <v>90612.5</v>
      </c>
      <c r="D2962" s="4">
        <f>+VLOOKUP(A2962,Portfolio!$G$3:$I$6,3)</f>
        <v>1</v>
      </c>
      <c r="E2962">
        <f t="shared" si="46"/>
        <v>90612.5</v>
      </c>
    </row>
    <row r="2963" spans="1:5" x14ac:dyDescent="0.25">
      <c r="A2963" t="s">
        <v>1</v>
      </c>
      <c r="B2963">
        <v>1240130</v>
      </c>
      <c r="C2963">
        <v>90600</v>
      </c>
      <c r="D2963" s="4">
        <f>+VLOOKUP(A2963,Portfolio!$G$3:$I$6,3)</f>
        <v>1</v>
      </c>
      <c r="E2963">
        <f t="shared" si="46"/>
        <v>90600</v>
      </c>
    </row>
    <row r="2964" spans="1:5" x14ac:dyDescent="0.25">
      <c r="A2964" t="s">
        <v>1</v>
      </c>
      <c r="B2964">
        <v>1240131</v>
      </c>
      <c r="C2964">
        <v>90212.5</v>
      </c>
      <c r="D2964" s="4">
        <f>+VLOOKUP(A2964,Portfolio!$G$3:$I$6,3)</f>
        <v>1</v>
      </c>
      <c r="E2964">
        <f t="shared" si="46"/>
        <v>90212.5</v>
      </c>
    </row>
    <row r="2965" spans="1:5" x14ac:dyDescent="0.25">
      <c r="A2965" t="s">
        <v>1</v>
      </c>
      <c r="B2965">
        <v>1240201</v>
      </c>
      <c r="C2965">
        <v>90306.25</v>
      </c>
      <c r="D2965" s="4">
        <f>+VLOOKUP(A2965,Portfolio!$G$3:$I$6,3)</f>
        <v>1</v>
      </c>
      <c r="E2965">
        <f t="shared" si="46"/>
        <v>90306.25</v>
      </c>
    </row>
    <row r="2966" spans="1:5" x14ac:dyDescent="0.25">
      <c r="A2966" t="s">
        <v>1</v>
      </c>
      <c r="B2966">
        <v>1240202</v>
      </c>
      <c r="C2966">
        <v>90168.75</v>
      </c>
      <c r="D2966" s="4">
        <f>+VLOOKUP(A2966,Portfolio!$G$3:$I$6,3)</f>
        <v>1</v>
      </c>
      <c r="E2966">
        <f t="shared" si="46"/>
        <v>90168.75</v>
      </c>
    </row>
    <row r="2967" spans="1:5" x14ac:dyDescent="0.25">
      <c r="A2967" t="s">
        <v>1</v>
      </c>
      <c r="B2967">
        <v>1240204</v>
      </c>
      <c r="C2967">
        <v>90950</v>
      </c>
      <c r="D2967" s="4">
        <f>+VLOOKUP(A2967,Portfolio!$G$3:$I$6,3)</f>
        <v>1</v>
      </c>
      <c r="E2967">
        <f t="shared" si="46"/>
        <v>90950</v>
      </c>
    </row>
    <row r="2968" spans="1:5" x14ac:dyDescent="0.25">
      <c r="A2968" t="s">
        <v>1</v>
      </c>
      <c r="B2968">
        <v>1240205</v>
      </c>
      <c r="C2968">
        <v>90856.25</v>
      </c>
      <c r="D2968" s="4">
        <f>+VLOOKUP(A2968,Portfolio!$G$3:$I$6,3)</f>
        <v>1</v>
      </c>
      <c r="E2968">
        <f t="shared" si="46"/>
        <v>90856.25</v>
      </c>
    </row>
    <row r="2969" spans="1:5" x14ac:dyDescent="0.25">
      <c r="A2969" t="s">
        <v>1</v>
      </c>
      <c r="B2969">
        <v>1240206</v>
      </c>
      <c r="C2969">
        <v>90925</v>
      </c>
      <c r="D2969" s="4">
        <f>+VLOOKUP(A2969,Portfolio!$G$3:$I$6,3)</f>
        <v>1</v>
      </c>
      <c r="E2969">
        <f t="shared" si="46"/>
        <v>90925</v>
      </c>
    </row>
    <row r="2970" spans="1:5" x14ac:dyDescent="0.25">
      <c r="A2970" t="s">
        <v>1</v>
      </c>
      <c r="B2970">
        <v>1240207</v>
      </c>
      <c r="C2970">
        <v>91262.5</v>
      </c>
      <c r="D2970" s="4">
        <f>+VLOOKUP(A2970,Portfolio!$G$3:$I$6,3)</f>
        <v>1</v>
      </c>
      <c r="E2970">
        <f t="shared" si="46"/>
        <v>91262.5</v>
      </c>
    </row>
    <row r="2971" spans="1:5" x14ac:dyDescent="0.25">
      <c r="A2971" t="s">
        <v>1</v>
      </c>
      <c r="B2971">
        <v>1240208</v>
      </c>
      <c r="C2971">
        <v>91050</v>
      </c>
      <c r="D2971" s="4">
        <f>+VLOOKUP(A2971,Portfolio!$G$3:$I$6,3)</f>
        <v>1</v>
      </c>
      <c r="E2971">
        <f t="shared" si="46"/>
        <v>91050</v>
      </c>
    </row>
    <row r="2972" spans="1:5" x14ac:dyDescent="0.25">
      <c r="A2972" t="s">
        <v>1</v>
      </c>
      <c r="B2972">
        <v>1240209</v>
      </c>
      <c r="C2972">
        <v>91525</v>
      </c>
      <c r="D2972" s="4">
        <f>+VLOOKUP(A2972,Portfolio!$G$3:$I$6,3)</f>
        <v>1</v>
      </c>
      <c r="E2972">
        <f t="shared" si="46"/>
        <v>91525</v>
      </c>
    </row>
    <row r="2973" spans="1:5" x14ac:dyDescent="0.25">
      <c r="A2973" t="s">
        <v>1</v>
      </c>
      <c r="B2973">
        <v>1240211</v>
      </c>
      <c r="C2973">
        <v>91493.75</v>
      </c>
      <c r="D2973" s="4">
        <f>+VLOOKUP(A2973,Portfolio!$G$3:$I$6,3)</f>
        <v>1</v>
      </c>
      <c r="E2973">
        <f t="shared" si="46"/>
        <v>91493.75</v>
      </c>
    </row>
    <row r="2974" spans="1:5" x14ac:dyDescent="0.25">
      <c r="A2974" t="s">
        <v>1</v>
      </c>
      <c r="B2974">
        <v>1240212</v>
      </c>
      <c r="C2974">
        <v>91487.5</v>
      </c>
      <c r="D2974" s="4">
        <f>+VLOOKUP(A2974,Portfolio!$G$3:$I$6,3)</f>
        <v>1</v>
      </c>
      <c r="E2974">
        <f t="shared" si="46"/>
        <v>91487.5</v>
      </c>
    </row>
    <row r="2975" spans="1:5" x14ac:dyDescent="0.25">
      <c r="A2975" t="s">
        <v>1</v>
      </c>
      <c r="B2975">
        <v>1240213</v>
      </c>
      <c r="C2975">
        <v>91700</v>
      </c>
      <c r="D2975" s="4">
        <f>+VLOOKUP(A2975,Portfolio!$G$3:$I$6,3)</f>
        <v>1</v>
      </c>
      <c r="E2975">
        <f t="shared" si="46"/>
        <v>91700</v>
      </c>
    </row>
    <row r="2976" spans="1:5" x14ac:dyDescent="0.25">
      <c r="A2976" t="s">
        <v>1</v>
      </c>
      <c r="B2976">
        <v>1240214</v>
      </c>
      <c r="C2976">
        <v>91887.5</v>
      </c>
      <c r="D2976" s="4">
        <f>+VLOOKUP(A2976,Portfolio!$G$3:$I$6,3)</f>
        <v>1</v>
      </c>
      <c r="E2976">
        <f t="shared" si="46"/>
        <v>91887.5</v>
      </c>
    </row>
    <row r="2977" spans="1:5" x14ac:dyDescent="0.25">
      <c r="A2977" t="s">
        <v>1</v>
      </c>
      <c r="B2977">
        <v>1240215</v>
      </c>
      <c r="C2977">
        <v>91887.5</v>
      </c>
      <c r="D2977" s="4">
        <f>+VLOOKUP(A2977,Portfolio!$G$3:$I$6,3)</f>
        <v>1</v>
      </c>
      <c r="E2977">
        <f t="shared" si="46"/>
        <v>91887.5</v>
      </c>
    </row>
    <row r="2978" spans="1:5" x14ac:dyDescent="0.25">
      <c r="A2978" t="s">
        <v>1</v>
      </c>
      <c r="B2978">
        <v>1240216</v>
      </c>
      <c r="C2978">
        <v>91537.5</v>
      </c>
      <c r="D2978" s="4">
        <f>+VLOOKUP(A2978,Portfolio!$G$3:$I$6,3)</f>
        <v>1</v>
      </c>
      <c r="E2978">
        <f t="shared" si="46"/>
        <v>91537.5</v>
      </c>
    </row>
    <row r="2979" spans="1:5" x14ac:dyDescent="0.25">
      <c r="A2979" t="s">
        <v>1</v>
      </c>
      <c r="B2979">
        <v>1240218</v>
      </c>
      <c r="C2979">
        <v>91318.75</v>
      </c>
      <c r="D2979" s="4">
        <f>+VLOOKUP(A2979,Portfolio!$G$3:$I$6,3)</f>
        <v>1</v>
      </c>
      <c r="E2979">
        <f t="shared" si="46"/>
        <v>91318.75</v>
      </c>
    </row>
    <row r="2980" spans="1:5" x14ac:dyDescent="0.25">
      <c r="A2980" t="s">
        <v>1</v>
      </c>
      <c r="B2980">
        <v>1240219</v>
      </c>
      <c r="C2980">
        <v>91387.5</v>
      </c>
      <c r="D2980" s="4">
        <f>+VLOOKUP(A2980,Portfolio!$G$3:$I$6,3)</f>
        <v>1</v>
      </c>
      <c r="E2980">
        <f t="shared" si="46"/>
        <v>91387.5</v>
      </c>
    </row>
    <row r="2981" spans="1:5" x14ac:dyDescent="0.25">
      <c r="A2981" t="s">
        <v>1</v>
      </c>
      <c r="B2981">
        <v>1240220</v>
      </c>
      <c r="C2981">
        <v>91650</v>
      </c>
      <c r="D2981" s="4">
        <f>+VLOOKUP(A2981,Portfolio!$G$3:$I$6,3)</f>
        <v>1</v>
      </c>
      <c r="E2981">
        <f t="shared" si="46"/>
        <v>91650</v>
      </c>
    </row>
    <row r="2982" spans="1:5" x14ac:dyDescent="0.25">
      <c r="A2982" t="s">
        <v>1</v>
      </c>
      <c r="B2982">
        <v>1240221</v>
      </c>
      <c r="C2982">
        <v>91493.75</v>
      </c>
      <c r="D2982" s="4">
        <f>+VLOOKUP(A2982,Portfolio!$G$3:$I$6,3)</f>
        <v>1</v>
      </c>
      <c r="E2982">
        <f t="shared" si="46"/>
        <v>91493.75</v>
      </c>
    </row>
    <row r="2983" spans="1:5" x14ac:dyDescent="0.25">
      <c r="A2983" t="s">
        <v>1</v>
      </c>
      <c r="B2983">
        <v>1240222</v>
      </c>
      <c r="C2983">
        <v>91431.25</v>
      </c>
      <c r="D2983" s="4">
        <f>+VLOOKUP(A2983,Portfolio!$G$3:$I$6,3)</f>
        <v>1</v>
      </c>
      <c r="E2983">
        <f t="shared" si="46"/>
        <v>91431.25</v>
      </c>
    </row>
    <row r="2984" spans="1:5" x14ac:dyDescent="0.25">
      <c r="A2984" t="s">
        <v>1</v>
      </c>
      <c r="B2984">
        <v>1240223</v>
      </c>
      <c r="C2984">
        <v>91612.5</v>
      </c>
      <c r="D2984" s="4">
        <f>+VLOOKUP(A2984,Portfolio!$G$3:$I$6,3)</f>
        <v>1</v>
      </c>
      <c r="E2984">
        <f t="shared" si="46"/>
        <v>91612.5</v>
      </c>
    </row>
    <row r="2985" spans="1:5" x14ac:dyDescent="0.25">
      <c r="A2985" t="s">
        <v>1</v>
      </c>
      <c r="B2985">
        <v>1240225</v>
      </c>
      <c r="C2985">
        <v>91581.25</v>
      </c>
      <c r="D2985" s="4">
        <f>+VLOOKUP(A2985,Portfolio!$G$3:$I$6,3)</f>
        <v>1</v>
      </c>
      <c r="E2985">
        <f t="shared" si="46"/>
        <v>91581.25</v>
      </c>
    </row>
    <row r="2986" spans="1:5" x14ac:dyDescent="0.25">
      <c r="A2986" t="s">
        <v>1</v>
      </c>
      <c r="B2986">
        <v>1240226</v>
      </c>
      <c r="C2986">
        <v>91618.75</v>
      </c>
      <c r="D2986" s="4">
        <f>+VLOOKUP(A2986,Portfolio!$G$3:$I$6,3)</f>
        <v>1</v>
      </c>
      <c r="E2986">
        <f t="shared" si="46"/>
        <v>91618.75</v>
      </c>
    </row>
    <row r="2987" spans="1:5" x14ac:dyDescent="0.25">
      <c r="A2987" t="s">
        <v>1</v>
      </c>
      <c r="B2987">
        <v>1240227</v>
      </c>
      <c r="C2987">
        <v>91375</v>
      </c>
      <c r="D2987" s="4">
        <f>+VLOOKUP(A2987,Portfolio!$G$3:$I$6,3)</f>
        <v>1</v>
      </c>
      <c r="E2987">
        <f t="shared" si="46"/>
        <v>91375</v>
      </c>
    </row>
    <row r="2988" spans="1:5" x14ac:dyDescent="0.25">
      <c r="A2988" t="s">
        <v>1</v>
      </c>
      <c r="B2988">
        <v>1240228</v>
      </c>
      <c r="C2988">
        <v>91150</v>
      </c>
      <c r="D2988" s="4">
        <f>+VLOOKUP(A2988,Portfolio!$G$3:$I$6,3)</f>
        <v>1</v>
      </c>
      <c r="E2988">
        <f t="shared" si="46"/>
        <v>91150</v>
      </c>
    </row>
    <row r="2989" spans="1:5" x14ac:dyDescent="0.25">
      <c r="A2989" t="s">
        <v>1</v>
      </c>
      <c r="B2989">
        <v>1240229</v>
      </c>
      <c r="C2989">
        <v>91268.75</v>
      </c>
      <c r="D2989" s="4">
        <f>+VLOOKUP(A2989,Portfolio!$G$3:$I$6,3)</f>
        <v>1</v>
      </c>
      <c r="E2989">
        <f t="shared" si="46"/>
        <v>91268.75</v>
      </c>
    </row>
    <row r="2990" spans="1:5" x14ac:dyDescent="0.25">
      <c r="A2990" t="s">
        <v>1</v>
      </c>
      <c r="B2990">
        <v>1240301</v>
      </c>
      <c r="C2990">
        <v>90762.5</v>
      </c>
      <c r="D2990" s="4">
        <f>+VLOOKUP(A2990,Portfolio!$G$3:$I$6,3)</f>
        <v>1</v>
      </c>
      <c r="E2990">
        <f t="shared" si="46"/>
        <v>90762.5</v>
      </c>
    </row>
    <row r="2991" spans="1:5" x14ac:dyDescent="0.25">
      <c r="A2991" t="s">
        <v>1</v>
      </c>
      <c r="B2991">
        <v>1240303</v>
      </c>
      <c r="C2991">
        <v>90768.75</v>
      </c>
      <c r="D2991" s="4">
        <f>+VLOOKUP(A2991,Portfolio!$G$3:$I$6,3)</f>
        <v>1</v>
      </c>
      <c r="E2991">
        <f t="shared" si="46"/>
        <v>90768.75</v>
      </c>
    </row>
    <row r="2992" spans="1:5" x14ac:dyDescent="0.25">
      <c r="A2992" t="s">
        <v>1</v>
      </c>
      <c r="B2992">
        <v>1240304</v>
      </c>
      <c r="C2992">
        <v>90675</v>
      </c>
      <c r="D2992" s="4">
        <f>+VLOOKUP(A2992,Portfolio!$G$3:$I$6,3)</f>
        <v>1</v>
      </c>
      <c r="E2992">
        <f t="shared" si="46"/>
        <v>90675</v>
      </c>
    </row>
    <row r="2993" spans="1:5" x14ac:dyDescent="0.25">
      <c r="A2993" t="s">
        <v>1</v>
      </c>
      <c r="B2993">
        <v>1240305</v>
      </c>
      <c r="C2993">
        <v>90606.25</v>
      </c>
      <c r="D2993" s="4">
        <f>+VLOOKUP(A2993,Portfolio!$G$3:$I$6,3)</f>
        <v>1</v>
      </c>
      <c r="E2993">
        <f t="shared" si="46"/>
        <v>90606.25</v>
      </c>
    </row>
    <row r="2994" spans="1:5" x14ac:dyDescent="0.25">
      <c r="A2994" t="s">
        <v>1</v>
      </c>
      <c r="B2994">
        <v>1240306</v>
      </c>
      <c r="C2994">
        <v>90756.25</v>
      </c>
      <c r="D2994" s="4">
        <f>+VLOOKUP(A2994,Portfolio!$G$3:$I$6,3)</f>
        <v>1</v>
      </c>
      <c r="E2994">
        <f t="shared" si="46"/>
        <v>90756.25</v>
      </c>
    </row>
    <row r="2995" spans="1:5" x14ac:dyDescent="0.25">
      <c r="A2995" t="s">
        <v>1</v>
      </c>
      <c r="B2995">
        <v>1240307</v>
      </c>
      <c r="C2995">
        <v>91437.5</v>
      </c>
      <c r="D2995" s="4">
        <f>+VLOOKUP(A2995,Portfolio!$G$3:$I$6,3)</f>
        <v>1</v>
      </c>
      <c r="E2995">
        <f t="shared" si="46"/>
        <v>91437.5</v>
      </c>
    </row>
    <row r="2996" spans="1:5" x14ac:dyDescent="0.25">
      <c r="A2996" t="s">
        <v>1</v>
      </c>
      <c r="B2996">
        <v>1240308</v>
      </c>
      <c r="C2996">
        <v>91187.5</v>
      </c>
      <c r="D2996" s="4">
        <f>+VLOOKUP(A2996,Portfolio!$G$3:$I$6,3)</f>
        <v>1</v>
      </c>
      <c r="E2996">
        <f t="shared" si="46"/>
        <v>91187.5</v>
      </c>
    </row>
    <row r="2997" spans="1:5" x14ac:dyDescent="0.25">
      <c r="A2997" t="s">
        <v>1</v>
      </c>
      <c r="B2997">
        <v>1240310</v>
      </c>
      <c r="C2997">
        <v>90543.75</v>
      </c>
      <c r="D2997" s="4">
        <f>+VLOOKUP(A2997,Portfolio!$G$3:$I$6,3)</f>
        <v>1</v>
      </c>
      <c r="E2997">
        <f t="shared" si="46"/>
        <v>90543.75</v>
      </c>
    </row>
    <row r="2998" spans="1:5" x14ac:dyDescent="0.25">
      <c r="A2998" t="s">
        <v>1</v>
      </c>
      <c r="B2998">
        <v>1240311</v>
      </c>
      <c r="C2998">
        <v>90618.75</v>
      </c>
      <c r="D2998" s="4">
        <f>+VLOOKUP(A2998,Portfolio!$G$3:$I$6,3)</f>
        <v>1</v>
      </c>
      <c r="E2998">
        <f t="shared" si="46"/>
        <v>90618.75</v>
      </c>
    </row>
    <row r="2999" spans="1:5" x14ac:dyDescent="0.25">
      <c r="A2999" t="s">
        <v>1</v>
      </c>
      <c r="B2999">
        <v>1240312</v>
      </c>
      <c r="C2999">
        <v>90775</v>
      </c>
      <c r="D2999" s="4">
        <f>+VLOOKUP(A2999,Portfolio!$G$3:$I$6,3)</f>
        <v>1</v>
      </c>
      <c r="E2999">
        <f t="shared" si="46"/>
        <v>90775</v>
      </c>
    </row>
    <row r="3000" spans="1:5" x14ac:dyDescent="0.25">
      <c r="A3000" t="s">
        <v>1</v>
      </c>
      <c r="B3000">
        <v>1240313</v>
      </c>
      <c r="C3000">
        <v>90218.75</v>
      </c>
      <c r="D3000" s="4">
        <f>+VLOOKUP(A3000,Portfolio!$G$3:$I$6,3)</f>
        <v>1</v>
      </c>
      <c r="E3000">
        <f t="shared" si="46"/>
        <v>90218.75</v>
      </c>
    </row>
    <row r="3001" spans="1:5" x14ac:dyDescent="0.25">
      <c r="A3001" t="s">
        <v>1</v>
      </c>
      <c r="B3001">
        <v>1240314</v>
      </c>
      <c r="C3001">
        <v>89912.5</v>
      </c>
      <c r="D3001" s="4">
        <f>+VLOOKUP(A3001,Portfolio!$G$3:$I$6,3)</f>
        <v>1</v>
      </c>
      <c r="E3001">
        <f t="shared" si="46"/>
        <v>89912.5</v>
      </c>
    </row>
    <row r="3002" spans="1:5" x14ac:dyDescent="0.25">
      <c r="A3002" t="s">
        <v>1</v>
      </c>
      <c r="B3002">
        <v>1240315</v>
      </c>
      <c r="C3002">
        <v>89581.25</v>
      </c>
      <c r="D3002" s="4">
        <f>+VLOOKUP(A3002,Portfolio!$G$3:$I$6,3)</f>
        <v>1</v>
      </c>
      <c r="E3002">
        <f t="shared" si="46"/>
        <v>89581.25</v>
      </c>
    </row>
    <row r="3003" spans="1:5" x14ac:dyDescent="0.25">
      <c r="A3003" t="s">
        <v>1</v>
      </c>
      <c r="B3003">
        <v>1240317</v>
      </c>
      <c r="C3003">
        <v>89993.75</v>
      </c>
      <c r="D3003" s="4">
        <f>+VLOOKUP(A3003,Portfolio!$G$3:$I$6,3)</f>
        <v>1</v>
      </c>
      <c r="E3003">
        <f t="shared" si="46"/>
        <v>89993.75</v>
      </c>
    </row>
    <row r="3004" spans="1:5" x14ac:dyDescent="0.25">
      <c r="A3004" t="s">
        <v>1</v>
      </c>
      <c r="B3004">
        <v>1240318</v>
      </c>
      <c r="C3004">
        <v>90068.75</v>
      </c>
      <c r="D3004" s="4">
        <f>+VLOOKUP(A3004,Portfolio!$G$3:$I$6,3)</f>
        <v>1</v>
      </c>
      <c r="E3004">
        <f t="shared" si="46"/>
        <v>90068.75</v>
      </c>
    </row>
    <row r="3005" spans="1:5" x14ac:dyDescent="0.25">
      <c r="A3005" t="s">
        <v>1</v>
      </c>
      <c r="B3005">
        <v>1240319</v>
      </c>
      <c r="C3005">
        <v>89968.75</v>
      </c>
      <c r="D3005" s="4">
        <f>+VLOOKUP(A3005,Portfolio!$G$3:$I$6,3)</f>
        <v>1</v>
      </c>
      <c r="E3005">
        <f t="shared" si="46"/>
        <v>89968.75</v>
      </c>
    </row>
    <row r="3006" spans="1:5" x14ac:dyDescent="0.25">
      <c r="A3006" t="s">
        <v>1</v>
      </c>
      <c r="B3006">
        <v>1240320</v>
      </c>
      <c r="C3006">
        <v>90825</v>
      </c>
      <c r="D3006" s="4">
        <f>+VLOOKUP(A3006,Portfolio!$G$3:$I$6,3)</f>
        <v>1</v>
      </c>
      <c r="E3006">
        <f t="shared" si="46"/>
        <v>90825</v>
      </c>
    </row>
    <row r="3007" spans="1:5" x14ac:dyDescent="0.25">
      <c r="A3007" t="s">
        <v>1</v>
      </c>
      <c r="B3007">
        <v>1240321</v>
      </c>
      <c r="C3007">
        <v>91025</v>
      </c>
      <c r="D3007" s="4">
        <f>+VLOOKUP(A3007,Portfolio!$G$3:$I$6,3)</f>
        <v>1</v>
      </c>
      <c r="E3007">
        <f t="shared" si="46"/>
        <v>91025</v>
      </c>
    </row>
    <row r="3008" spans="1:5" x14ac:dyDescent="0.25">
      <c r="A3008" t="s">
        <v>1</v>
      </c>
      <c r="B3008">
        <v>1240322</v>
      </c>
      <c r="C3008">
        <v>90718.75</v>
      </c>
      <c r="D3008" s="4">
        <f>+VLOOKUP(A3008,Portfolio!$G$3:$I$6,3)</f>
        <v>1</v>
      </c>
      <c r="E3008">
        <f t="shared" si="46"/>
        <v>90718.75</v>
      </c>
    </row>
    <row r="3009" spans="1:5" x14ac:dyDescent="0.25">
      <c r="A3009" t="s">
        <v>1</v>
      </c>
      <c r="B3009">
        <v>1240324</v>
      </c>
      <c r="C3009">
        <v>90543.75</v>
      </c>
      <c r="D3009" s="4">
        <f>+VLOOKUP(A3009,Portfolio!$G$3:$I$6,3)</f>
        <v>1</v>
      </c>
      <c r="E3009">
        <f t="shared" si="46"/>
        <v>90543.75</v>
      </c>
    </row>
    <row r="3010" spans="1:5" x14ac:dyDescent="0.25">
      <c r="A3010" t="s">
        <v>1</v>
      </c>
      <c r="B3010">
        <v>1240325</v>
      </c>
      <c r="C3010">
        <v>90500</v>
      </c>
      <c r="D3010" s="4">
        <f>+VLOOKUP(A3010,Portfolio!$G$3:$I$6,3)</f>
        <v>1</v>
      </c>
      <c r="E3010">
        <f t="shared" si="46"/>
        <v>90500</v>
      </c>
    </row>
    <row r="3011" spans="1:5" x14ac:dyDescent="0.25">
      <c r="A3011" t="s">
        <v>1</v>
      </c>
      <c r="B3011">
        <v>1240326</v>
      </c>
      <c r="C3011">
        <v>90418.75</v>
      </c>
      <c r="D3011" s="4">
        <f>+VLOOKUP(A3011,Portfolio!$G$3:$I$6,3)</f>
        <v>1</v>
      </c>
      <c r="E3011">
        <f t="shared" ref="E3011:E3074" si="47">+C3011*D3011</f>
        <v>90418.75</v>
      </c>
    </row>
    <row r="3012" spans="1:5" x14ac:dyDescent="0.25">
      <c r="A3012" t="s">
        <v>1</v>
      </c>
      <c r="B3012">
        <v>1240327</v>
      </c>
      <c r="C3012">
        <v>90612.5</v>
      </c>
      <c r="D3012" s="4">
        <f>+VLOOKUP(A3012,Portfolio!$G$3:$I$6,3)</f>
        <v>1</v>
      </c>
      <c r="E3012">
        <f t="shared" si="47"/>
        <v>90612.5</v>
      </c>
    </row>
    <row r="3013" spans="1:5" x14ac:dyDescent="0.25">
      <c r="A3013" t="s">
        <v>1</v>
      </c>
      <c r="B3013">
        <v>1240328</v>
      </c>
      <c r="C3013">
        <v>90043.75</v>
      </c>
      <c r="D3013" s="4">
        <f>+VLOOKUP(A3013,Portfolio!$G$3:$I$6,3)</f>
        <v>1</v>
      </c>
      <c r="E3013">
        <f t="shared" si="47"/>
        <v>90043.75</v>
      </c>
    </row>
    <row r="3014" spans="1:5" x14ac:dyDescent="0.25">
      <c r="A3014" t="s">
        <v>1</v>
      </c>
      <c r="B3014">
        <v>1240331</v>
      </c>
      <c r="C3014">
        <v>90018.75</v>
      </c>
      <c r="D3014" s="4">
        <f>+VLOOKUP(A3014,Portfolio!$G$3:$I$6,3)</f>
        <v>1</v>
      </c>
      <c r="E3014">
        <f t="shared" si="47"/>
        <v>90018.75</v>
      </c>
    </row>
    <row r="3015" spans="1:5" x14ac:dyDescent="0.25">
      <c r="A3015" t="s">
        <v>1</v>
      </c>
      <c r="B3015">
        <v>1240401</v>
      </c>
      <c r="C3015">
        <v>90012.5</v>
      </c>
      <c r="D3015" s="4">
        <f>+VLOOKUP(A3015,Portfolio!$G$3:$I$6,3)</f>
        <v>1</v>
      </c>
      <c r="E3015">
        <f t="shared" si="47"/>
        <v>90012.5</v>
      </c>
    </row>
    <row r="3016" spans="1:5" x14ac:dyDescent="0.25">
      <c r="A3016" t="s">
        <v>1</v>
      </c>
      <c r="B3016">
        <v>1240402</v>
      </c>
      <c r="C3016">
        <v>90193.75</v>
      </c>
      <c r="D3016" s="4">
        <f>+VLOOKUP(A3016,Portfolio!$G$3:$I$6,3)</f>
        <v>1</v>
      </c>
      <c r="E3016">
        <f t="shared" si="47"/>
        <v>90193.75</v>
      </c>
    </row>
    <row r="3017" spans="1:5" x14ac:dyDescent="0.25">
      <c r="A3017" t="s">
        <v>1</v>
      </c>
      <c r="B3017">
        <v>1240403</v>
      </c>
      <c r="C3017">
        <v>89818.75</v>
      </c>
      <c r="D3017" s="4">
        <f>+VLOOKUP(A3017,Portfolio!$G$3:$I$6,3)</f>
        <v>1</v>
      </c>
      <c r="E3017">
        <f t="shared" si="47"/>
        <v>89818.75</v>
      </c>
    </row>
    <row r="3018" spans="1:5" x14ac:dyDescent="0.25">
      <c r="A3018" t="s">
        <v>1</v>
      </c>
      <c r="B3018">
        <v>1240404</v>
      </c>
      <c r="C3018">
        <v>89425</v>
      </c>
      <c r="D3018" s="4">
        <f>+VLOOKUP(A3018,Portfolio!$G$3:$I$6,3)</f>
        <v>1</v>
      </c>
      <c r="E3018">
        <f t="shared" si="47"/>
        <v>89425</v>
      </c>
    </row>
    <row r="3019" spans="1:5" x14ac:dyDescent="0.25">
      <c r="A3019" t="s">
        <v>1</v>
      </c>
      <c r="B3019">
        <v>1240405</v>
      </c>
      <c r="C3019">
        <v>89581.25</v>
      </c>
      <c r="D3019" s="4">
        <f>+VLOOKUP(A3019,Portfolio!$G$3:$I$6,3)</f>
        <v>1</v>
      </c>
      <c r="E3019">
        <f t="shared" si="47"/>
        <v>89581.25</v>
      </c>
    </row>
    <row r="3020" spans="1:5" x14ac:dyDescent="0.25">
      <c r="A3020" t="s">
        <v>1</v>
      </c>
      <c r="B3020">
        <v>1240407</v>
      </c>
      <c r="C3020">
        <v>89593.75</v>
      </c>
      <c r="D3020" s="4">
        <f>+VLOOKUP(A3020,Portfolio!$G$3:$I$6,3)</f>
        <v>1</v>
      </c>
      <c r="E3020">
        <f t="shared" si="47"/>
        <v>89593.75</v>
      </c>
    </row>
    <row r="3021" spans="1:5" x14ac:dyDescent="0.25">
      <c r="A3021" t="s">
        <v>1</v>
      </c>
      <c r="B3021">
        <v>1240408</v>
      </c>
      <c r="C3021">
        <v>89650</v>
      </c>
      <c r="D3021" s="4">
        <f>+VLOOKUP(A3021,Portfolio!$G$3:$I$6,3)</f>
        <v>1</v>
      </c>
      <c r="E3021">
        <f t="shared" si="47"/>
        <v>89650</v>
      </c>
    </row>
    <row r="3022" spans="1:5" x14ac:dyDescent="0.25">
      <c r="A3022" t="s">
        <v>1</v>
      </c>
      <c r="B3022">
        <v>1240409</v>
      </c>
      <c r="C3022">
        <v>89543.75</v>
      </c>
      <c r="D3022" s="4">
        <f>+VLOOKUP(A3022,Portfolio!$G$3:$I$6,3)</f>
        <v>1</v>
      </c>
      <c r="E3022">
        <f t="shared" si="47"/>
        <v>89543.75</v>
      </c>
    </row>
    <row r="3023" spans="1:5" x14ac:dyDescent="0.25">
      <c r="A3023" t="s">
        <v>1</v>
      </c>
      <c r="B3023">
        <v>1240410</v>
      </c>
      <c r="C3023">
        <v>89406.25</v>
      </c>
      <c r="D3023" s="4">
        <f>+VLOOKUP(A3023,Portfolio!$G$3:$I$6,3)</f>
        <v>1</v>
      </c>
      <c r="E3023">
        <f t="shared" si="47"/>
        <v>89406.25</v>
      </c>
    </row>
    <row r="3024" spans="1:5" x14ac:dyDescent="0.25">
      <c r="A3024" t="s">
        <v>1</v>
      </c>
      <c r="B3024">
        <v>1240411</v>
      </c>
      <c r="C3024">
        <v>89931.25</v>
      </c>
      <c r="D3024" s="4">
        <f>+VLOOKUP(A3024,Portfolio!$G$3:$I$6,3)</f>
        <v>1</v>
      </c>
      <c r="E3024">
        <f t="shared" si="47"/>
        <v>89931.25</v>
      </c>
    </row>
    <row r="3025" spans="1:5" x14ac:dyDescent="0.25">
      <c r="A3025" t="s">
        <v>1</v>
      </c>
      <c r="B3025">
        <v>1240412</v>
      </c>
      <c r="C3025">
        <v>89631.25</v>
      </c>
      <c r="D3025" s="4">
        <f>+VLOOKUP(A3025,Portfolio!$G$3:$I$6,3)</f>
        <v>1</v>
      </c>
      <c r="E3025">
        <f t="shared" si="47"/>
        <v>89631.25</v>
      </c>
    </row>
    <row r="3026" spans="1:5" x14ac:dyDescent="0.25">
      <c r="A3026" t="s">
        <v>1</v>
      </c>
      <c r="B3026">
        <v>1240414</v>
      </c>
      <c r="C3026">
        <v>89600</v>
      </c>
      <c r="D3026" s="4">
        <f>+VLOOKUP(A3026,Portfolio!$G$3:$I$6,3)</f>
        <v>1</v>
      </c>
      <c r="E3026">
        <f t="shared" si="47"/>
        <v>89600</v>
      </c>
    </row>
    <row r="3027" spans="1:5" x14ac:dyDescent="0.25">
      <c r="A3027" t="s">
        <v>1</v>
      </c>
      <c r="B3027">
        <v>1240415</v>
      </c>
      <c r="C3027">
        <v>89768.75</v>
      </c>
      <c r="D3027" s="4">
        <f>+VLOOKUP(A3027,Portfolio!$G$3:$I$6,3)</f>
        <v>1</v>
      </c>
      <c r="E3027">
        <f t="shared" si="47"/>
        <v>89768.75</v>
      </c>
    </row>
    <row r="3028" spans="1:5" x14ac:dyDescent="0.25">
      <c r="A3028" t="s">
        <v>1</v>
      </c>
      <c r="B3028">
        <v>1240416</v>
      </c>
      <c r="C3028">
        <v>90043.75</v>
      </c>
      <c r="D3028" s="4">
        <f>+VLOOKUP(A3028,Portfolio!$G$3:$I$6,3)</f>
        <v>1</v>
      </c>
      <c r="E3028">
        <f t="shared" si="47"/>
        <v>90043.75</v>
      </c>
    </row>
    <row r="3029" spans="1:5" x14ac:dyDescent="0.25">
      <c r="A3029" t="s">
        <v>1</v>
      </c>
      <c r="B3029">
        <v>1240417</v>
      </c>
      <c r="C3029">
        <v>89993.75</v>
      </c>
      <c r="D3029" s="4">
        <f>+VLOOKUP(A3029,Portfolio!$G$3:$I$6,3)</f>
        <v>1</v>
      </c>
      <c r="E3029">
        <f t="shared" si="47"/>
        <v>89993.75</v>
      </c>
    </row>
    <row r="3030" spans="1:5" x14ac:dyDescent="0.25">
      <c r="A3030" t="s">
        <v>1</v>
      </c>
      <c r="B3030">
        <v>1240418</v>
      </c>
      <c r="C3030">
        <v>89950</v>
      </c>
      <c r="D3030" s="4">
        <f>+VLOOKUP(A3030,Portfolio!$G$3:$I$6,3)</f>
        <v>1</v>
      </c>
      <c r="E3030">
        <f t="shared" si="47"/>
        <v>89950</v>
      </c>
    </row>
    <row r="3031" spans="1:5" x14ac:dyDescent="0.25">
      <c r="A3031" t="s">
        <v>1</v>
      </c>
      <c r="B3031">
        <v>1240419</v>
      </c>
      <c r="C3031">
        <v>89468.75</v>
      </c>
      <c r="D3031" s="4">
        <f>+VLOOKUP(A3031,Portfolio!$G$3:$I$6,3)</f>
        <v>1</v>
      </c>
      <c r="E3031">
        <f t="shared" si="47"/>
        <v>89468.75</v>
      </c>
    </row>
    <row r="3032" spans="1:5" x14ac:dyDescent="0.25">
      <c r="A3032" t="s">
        <v>1</v>
      </c>
      <c r="B3032">
        <v>1240421</v>
      </c>
      <c r="C3032">
        <v>89650</v>
      </c>
      <c r="D3032" s="4">
        <f>+VLOOKUP(A3032,Portfolio!$G$3:$I$6,3)</f>
        <v>1</v>
      </c>
      <c r="E3032">
        <f t="shared" si="47"/>
        <v>89650</v>
      </c>
    </row>
    <row r="3033" spans="1:5" x14ac:dyDescent="0.25">
      <c r="A3033" t="s">
        <v>1</v>
      </c>
      <c r="B3033">
        <v>1240422</v>
      </c>
      <c r="C3033">
        <v>89693.75</v>
      </c>
      <c r="D3033" s="4">
        <f>+VLOOKUP(A3033,Portfolio!$G$3:$I$6,3)</f>
        <v>1</v>
      </c>
      <c r="E3033">
        <f t="shared" si="47"/>
        <v>89693.75</v>
      </c>
    </row>
    <row r="3034" spans="1:5" x14ac:dyDescent="0.25">
      <c r="A3034" t="s">
        <v>1</v>
      </c>
      <c r="B3034">
        <v>1240423</v>
      </c>
      <c r="C3034">
        <v>89718.75</v>
      </c>
      <c r="D3034" s="4">
        <f>+VLOOKUP(A3034,Portfolio!$G$3:$I$6,3)</f>
        <v>1</v>
      </c>
      <c r="E3034">
        <f t="shared" si="47"/>
        <v>89718.75</v>
      </c>
    </row>
    <row r="3035" spans="1:5" x14ac:dyDescent="0.25">
      <c r="A3035" t="s">
        <v>1</v>
      </c>
      <c r="B3035">
        <v>1240424</v>
      </c>
      <c r="C3035">
        <v>89662.5</v>
      </c>
      <c r="D3035" s="4">
        <f>+VLOOKUP(A3035,Portfolio!$G$3:$I$6,3)</f>
        <v>1</v>
      </c>
      <c r="E3035">
        <f t="shared" si="47"/>
        <v>89662.5</v>
      </c>
    </row>
    <row r="3036" spans="1:5" x14ac:dyDescent="0.25">
      <c r="A3036" t="s">
        <v>1</v>
      </c>
      <c r="B3036">
        <v>1240425</v>
      </c>
      <c r="C3036">
        <v>89875</v>
      </c>
      <c r="D3036" s="4">
        <f>+VLOOKUP(A3036,Portfolio!$G$3:$I$6,3)</f>
        <v>1</v>
      </c>
      <c r="E3036">
        <f t="shared" si="47"/>
        <v>89875</v>
      </c>
    </row>
    <row r="3037" spans="1:5" x14ac:dyDescent="0.25">
      <c r="A3037" t="s">
        <v>1</v>
      </c>
      <c r="B3037">
        <v>1240426</v>
      </c>
      <c r="C3037">
        <v>89831.25</v>
      </c>
      <c r="D3037" s="4">
        <f>+VLOOKUP(A3037,Portfolio!$G$3:$I$6,3)</f>
        <v>1</v>
      </c>
      <c r="E3037">
        <f t="shared" si="47"/>
        <v>89831.25</v>
      </c>
    </row>
    <row r="3038" spans="1:5" x14ac:dyDescent="0.25">
      <c r="A3038" t="s">
        <v>1</v>
      </c>
      <c r="B3038">
        <v>1240428</v>
      </c>
      <c r="C3038">
        <v>90862.5</v>
      </c>
      <c r="D3038" s="4">
        <f>+VLOOKUP(A3038,Portfolio!$G$3:$I$6,3)</f>
        <v>1</v>
      </c>
      <c r="E3038">
        <f t="shared" si="47"/>
        <v>90862.5</v>
      </c>
    </row>
    <row r="3039" spans="1:5" x14ac:dyDescent="0.25">
      <c r="A3039" t="s">
        <v>1</v>
      </c>
      <c r="B3039">
        <v>1240429</v>
      </c>
      <c r="C3039">
        <v>89875</v>
      </c>
      <c r="D3039" s="4">
        <f>+VLOOKUP(A3039,Portfolio!$G$3:$I$6,3)</f>
        <v>1</v>
      </c>
      <c r="E3039">
        <f t="shared" si="47"/>
        <v>89875</v>
      </c>
    </row>
    <row r="3040" spans="1:5" x14ac:dyDescent="0.25">
      <c r="A3040" t="s">
        <v>1</v>
      </c>
      <c r="B3040">
        <v>1240430</v>
      </c>
      <c r="C3040">
        <v>90125</v>
      </c>
      <c r="D3040" s="4">
        <f>+VLOOKUP(A3040,Portfolio!$G$3:$I$6,3)</f>
        <v>1</v>
      </c>
      <c r="E3040">
        <f t="shared" si="47"/>
        <v>90125</v>
      </c>
    </row>
    <row r="3041" spans="1:5" x14ac:dyDescent="0.25">
      <c r="A3041" t="s">
        <v>1</v>
      </c>
      <c r="B3041">
        <v>1240501</v>
      </c>
      <c r="C3041">
        <v>90743.75</v>
      </c>
      <c r="D3041" s="4">
        <f>+VLOOKUP(A3041,Portfolio!$G$3:$I$6,3)</f>
        <v>1</v>
      </c>
      <c r="E3041">
        <f t="shared" si="47"/>
        <v>90743.75</v>
      </c>
    </row>
    <row r="3042" spans="1:5" x14ac:dyDescent="0.25">
      <c r="A3042" t="s">
        <v>1</v>
      </c>
      <c r="B3042">
        <v>1240502</v>
      </c>
      <c r="C3042">
        <v>91775</v>
      </c>
      <c r="D3042" s="4">
        <f>+VLOOKUP(A3042,Portfolio!$G$3:$I$6,3)</f>
        <v>1</v>
      </c>
      <c r="E3042">
        <f t="shared" si="47"/>
        <v>91775</v>
      </c>
    </row>
    <row r="3043" spans="1:5" x14ac:dyDescent="0.25">
      <c r="A3043" t="s">
        <v>1</v>
      </c>
      <c r="B3043">
        <v>1240503</v>
      </c>
      <c r="C3043">
        <v>93318.75</v>
      </c>
      <c r="D3043" s="4">
        <f>+VLOOKUP(A3043,Portfolio!$G$3:$I$6,3)</f>
        <v>1</v>
      </c>
      <c r="E3043">
        <f t="shared" si="47"/>
        <v>93318.75</v>
      </c>
    </row>
    <row r="3044" spans="1:5" x14ac:dyDescent="0.25">
      <c r="A3044" t="s">
        <v>1</v>
      </c>
      <c r="B3044">
        <v>1240505</v>
      </c>
      <c r="C3044">
        <v>93143.75</v>
      </c>
      <c r="D3044" s="4">
        <f>+VLOOKUP(A3044,Portfolio!$G$3:$I$6,3)</f>
        <v>1</v>
      </c>
      <c r="E3044">
        <f t="shared" si="47"/>
        <v>93143.75</v>
      </c>
    </row>
    <row r="3045" spans="1:5" x14ac:dyDescent="0.25">
      <c r="A3045" t="s">
        <v>1</v>
      </c>
      <c r="B3045">
        <v>1240506</v>
      </c>
      <c r="C3045">
        <v>93400</v>
      </c>
      <c r="D3045" s="4">
        <f>+VLOOKUP(A3045,Portfolio!$G$3:$I$6,3)</f>
        <v>1</v>
      </c>
      <c r="E3045">
        <f t="shared" si="47"/>
        <v>93400</v>
      </c>
    </row>
    <row r="3046" spans="1:5" x14ac:dyDescent="0.25">
      <c r="A3046" t="s">
        <v>1</v>
      </c>
      <c r="B3046">
        <v>1240507</v>
      </c>
      <c r="C3046">
        <v>93475</v>
      </c>
      <c r="D3046" s="4">
        <f>+VLOOKUP(A3046,Portfolio!$G$3:$I$6,3)</f>
        <v>1</v>
      </c>
      <c r="E3046">
        <f t="shared" si="47"/>
        <v>93475</v>
      </c>
    </row>
    <row r="3047" spans="1:5" x14ac:dyDescent="0.25">
      <c r="A3047" t="s">
        <v>1</v>
      </c>
      <c r="B3047">
        <v>1240508</v>
      </c>
      <c r="C3047">
        <v>93856.25</v>
      </c>
      <c r="D3047" s="4">
        <f>+VLOOKUP(A3047,Portfolio!$G$3:$I$6,3)</f>
        <v>1</v>
      </c>
      <c r="E3047">
        <f t="shared" si="47"/>
        <v>93856.25</v>
      </c>
    </row>
    <row r="3048" spans="1:5" x14ac:dyDescent="0.25">
      <c r="A3048" t="s">
        <v>1</v>
      </c>
      <c r="B3048">
        <v>1240509</v>
      </c>
      <c r="C3048">
        <v>94100</v>
      </c>
      <c r="D3048" s="4">
        <f>+VLOOKUP(A3048,Portfolio!$G$3:$I$6,3)</f>
        <v>1</v>
      </c>
      <c r="E3048">
        <f t="shared" si="47"/>
        <v>94100</v>
      </c>
    </row>
    <row r="3049" spans="1:5" x14ac:dyDescent="0.25">
      <c r="A3049" t="s">
        <v>1</v>
      </c>
      <c r="B3049">
        <v>1240510</v>
      </c>
      <c r="C3049">
        <v>94187.5</v>
      </c>
      <c r="D3049" s="4">
        <f>+VLOOKUP(A3049,Portfolio!$G$3:$I$6,3)</f>
        <v>1</v>
      </c>
      <c r="E3049">
        <f t="shared" si="47"/>
        <v>94187.5</v>
      </c>
    </row>
    <row r="3050" spans="1:5" x14ac:dyDescent="0.25">
      <c r="A3050" t="s">
        <v>1</v>
      </c>
      <c r="B3050">
        <v>1240512</v>
      </c>
      <c r="C3050">
        <v>93987.5</v>
      </c>
      <c r="D3050" s="4">
        <f>+VLOOKUP(A3050,Portfolio!$G$3:$I$6,3)</f>
        <v>1</v>
      </c>
      <c r="E3050">
        <f t="shared" si="47"/>
        <v>93987.5</v>
      </c>
    </row>
    <row r="3051" spans="1:5" x14ac:dyDescent="0.25">
      <c r="A3051" t="s">
        <v>1</v>
      </c>
      <c r="B3051">
        <v>1240513</v>
      </c>
      <c r="C3051">
        <v>93831.25</v>
      </c>
      <c r="D3051" s="4">
        <f>+VLOOKUP(A3051,Portfolio!$G$3:$I$6,3)</f>
        <v>1</v>
      </c>
      <c r="E3051">
        <f t="shared" si="47"/>
        <v>93831.25</v>
      </c>
    </row>
    <row r="3052" spans="1:5" x14ac:dyDescent="0.25">
      <c r="A3052" t="s">
        <v>1</v>
      </c>
      <c r="B3052">
        <v>1240514</v>
      </c>
      <c r="C3052">
        <v>94018.75</v>
      </c>
      <c r="D3052" s="4">
        <f>+VLOOKUP(A3052,Portfolio!$G$3:$I$6,3)</f>
        <v>1</v>
      </c>
      <c r="E3052">
        <f t="shared" si="47"/>
        <v>94018.75</v>
      </c>
    </row>
    <row r="3053" spans="1:5" x14ac:dyDescent="0.25">
      <c r="A3053" t="s">
        <v>1</v>
      </c>
      <c r="B3053">
        <v>1240515</v>
      </c>
      <c r="C3053">
        <v>93781.25</v>
      </c>
      <c r="D3053" s="4">
        <f>+VLOOKUP(A3053,Portfolio!$G$3:$I$6,3)</f>
        <v>1</v>
      </c>
      <c r="E3053">
        <f t="shared" si="47"/>
        <v>93781.25</v>
      </c>
    </row>
    <row r="3054" spans="1:5" x14ac:dyDescent="0.25">
      <c r="A3054" t="s">
        <v>1</v>
      </c>
      <c r="B3054">
        <v>1240516</v>
      </c>
      <c r="C3054">
        <v>94206.25</v>
      </c>
      <c r="D3054" s="4">
        <f>+VLOOKUP(A3054,Portfolio!$G$3:$I$6,3)</f>
        <v>1</v>
      </c>
      <c r="E3054">
        <f t="shared" si="47"/>
        <v>94206.25</v>
      </c>
    </row>
    <row r="3055" spans="1:5" x14ac:dyDescent="0.25">
      <c r="A3055" t="s">
        <v>1</v>
      </c>
      <c r="B3055">
        <v>1240517</v>
      </c>
      <c r="C3055">
        <v>94268.75</v>
      </c>
      <c r="D3055" s="4">
        <f>+VLOOKUP(A3055,Portfolio!$G$3:$I$6,3)</f>
        <v>1</v>
      </c>
      <c r="E3055">
        <f t="shared" si="47"/>
        <v>94268.75</v>
      </c>
    </row>
    <row r="3056" spans="1:5" x14ac:dyDescent="0.25">
      <c r="A3056" t="s">
        <v>1</v>
      </c>
      <c r="B3056">
        <v>1240519</v>
      </c>
      <c r="C3056">
        <v>94118.75</v>
      </c>
      <c r="D3056" s="4">
        <f>+VLOOKUP(A3056,Portfolio!$G$3:$I$6,3)</f>
        <v>1</v>
      </c>
      <c r="E3056">
        <f t="shared" si="47"/>
        <v>94118.75</v>
      </c>
    </row>
    <row r="3057" spans="1:5" x14ac:dyDescent="0.25">
      <c r="A3057" t="s">
        <v>1</v>
      </c>
      <c r="B3057">
        <v>1240520</v>
      </c>
      <c r="C3057">
        <v>94087.5</v>
      </c>
      <c r="D3057" s="4">
        <f>+VLOOKUP(A3057,Portfolio!$G$3:$I$6,3)</f>
        <v>1</v>
      </c>
      <c r="E3057">
        <f t="shared" si="47"/>
        <v>94087.5</v>
      </c>
    </row>
    <row r="3058" spans="1:5" x14ac:dyDescent="0.25">
      <c r="A3058" t="s">
        <v>1</v>
      </c>
      <c r="B3058">
        <v>1240521</v>
      </c>
      <c r="C3058">
        <v>94425</v>
      </c>
      <c r="D3058" s="4">
        <f>+VLOOKUP(A3058,Portfolio!$G$3:$I$6,3)</f>
        <v>1</v>
      </c>
      <c r="E3058">
        <f t="shared" si="47"/>
        <v>94425</v>
      </c>
    </row>
    <row r="3059" spans="1:5" x14ac:dyDescent="0.25">
      <c r="A3059" t="s">
        <v>1</v>
      </c>
      <c r="B3059">
        <v>1240522</v>
      </c>
      <c r="C3059">
        <v>94118.75</v>
      </c>
      <c r="D3059" s="4">
        <f>+VLOOKUP(A3059,Portfolio!$G$3:$I$6,3)</f>
        <v>1</v>
      </c>
      <c r="E3059">
        <f t="shared" si="47"/>
        <v>94118.75</v>
      </c>
    </row>
    <row r="3060" spans="1:5" x14ac:dyDescent="0.25">
      <c r="A3060" t="s">
        <v>1</v>
      </c>
      <c r="B3060">
        <v>1240523</v>
      </c>
      <c r="C3060">
        <v>94212.5</v>
      </c>
      <c r="D3060" s="4">
        <f>+VLOOKUP(A3060,Portfolio!$G$3:$I$6,3)</f>
        <v>1</v>
      </c>
      <c r="E3060">
        <f t="shared" si="47"/>
        <v>94212.5</v>
      </c>
    </row>
    <row r="3061" spans="1:5" x14ac:dyDescent="0.25">
      <c r="A3061" t="s">
        <v>1</v>
      </c>
      <c r="B3061">
        <v>1240524</v>
      </c>
      <c r="C3061">
        <v>93900</v>
      </c>
      <c r="D3061" s="4">
        <f>+VLOOKUP(A3061,Portfolio!$G$3:$I$6,3)</f>
        <v>1</v>
      </c>
      <c r="E3061">
        <f t="shared" si="47"/>
        <v>93900</v>
      </c>
    </row>
    <row r="3062" spans="1:5" x14ac:dyDescent="0.25">
      <c r="A3062" t="s">
        <v>1</v>
      </c>
      <c r="B3062">
        <v>1240526</v>
      </c>
      <c r="C3062">
        <v>93856.25</v>
      </c>
      <c r="D3062" s="4">
        <f>+VLOOKUP(A3062,Portfolio!$G$3:$I$6,3)</f>
        <v>1</v>
      </c>
      <c r="E3062">
        <f t="shared" si="47"/>
        <v>93856.25</v>
      </c>
    </row>
    <row r="3063" spans="1:5" x14ac:dyDescent="0.25">
      <c r="A3063" t="s">
        <v>1</v>
      </c>
      <c r="B3063">
        <v>1240527</v>
      </c>
      <c r="C3063">
        <v>93900</v>
      </c>
      <c r="D3063" s="4">
        <f>+VLOOKUP(A3063,Portfolio!$G$3:$I$6,3)</f>
        <v>1</v>
      </c>
      <c r="E3063">
        <f t="shared" si="47"/>
        <v>93900</v>
      </c>
    </row>
    <row r="3064" spans="1:5" x14ac:dyDescent="0.25">
      <c r="A3064" t="s">
        <v>1</v>
      </c>
      <c r="B3064">
        <v>1240528</v>
      </c>
      <c r="C3064">
        <v>93781.25</v>
      </c>
      <c r="D3064" s="4">
        <f>+VLOOKUP(A3064,Portfolio!$G$3:$I$6,3)</f>
        <v>1</v>
      </c>
      <c r="E3064">
        <f t="shared" si="47"/>
        <v>93781.25</v>
      </c>
    </row>
    <row r="3065" spans="1:5" x14ac:dyDescent="0.25">
      <c r="A3065" t="s">
        <v>1</v>
      </c>
      <c r="B3065">
        <v>1240529</v>
      </c>
      <c r="C3065">
        <v>93756.25</v>
      </c>
      <c r="D3065" s="4">
        <f>+VLOOKUP(A3065,Portfolio!$G$3:$I$6,3)</f>
        <v>1</v>
      </c>
      <c r="E3065">
        <f t="shared" si="47"/>
        <v>93756.25</v>
      </c>
    </row>
    <row r="3066" spans="1:5" x14ac:dyDescent="0.25">
      <c r="A3066" t="s">
        <v>1</v>
      </c>
      <c r="B3066">
        <v>1240530</v>
      </c>
      <c r="C3066">
        <v>93762.5</v>
      </c>
      <c r="D3066" s="4">
        <f>+VLOOKUP(A3066,Portfolio!$G$3:$I$6,3)</f>
        <v>1</v>
      </c>
      <c r="E3066">
        <f t="shared" si="47"/>
        <v>93762.5</v>
      </c>
    </row>
    <row r="3067" spans="1:5" x14ac:dyDescent="0.25">
      <c r="A3067" t="s">
        <v>1</v>
      </c>
      <c r="B3067">
        <v>1240531</v>
      </c>
      <c r="C3067">
        <v>93325</v>
      </c>
      <c r="D3067" s="4">
        <f>+VLOOKUP(A3067,Portfolio!$G$3:$I$6,3)</f>
        <v>1</v>
      </c>
      <c r="E3067">
        <f t="shared" si="47"/>
        <v>93325</v>
      </c>
    </row>
    <row r="3068" spans="1:5" x14ac:dyDescent="0.25">
      <c r="A3068" t="s">
        <v>1</v>
      </c>
      <c r="B3068">
        <v>1240602</v>
      </c>
      <c r="C3068">
        <v>92968.75</v>
      </c>
      <c r="D3068" s="4">
        <f>+VLOOKUP(A3068,Portfolio!$G$3:$I$6,3)</f>
        <v>1</v>
      </c>
      <c r="E3068">
        <f t="shared" si="47"/>
        <v>92968.75</v>
      </c>
    </row>
    <row r="3069" spans="1:5" x14ac:dyDescent="0.25">
      <c r="A3069" t="s">
        <v>1</v>
      </c>
      <c r="B3069">
        <v>1240603</v>
      </c>
      <c r="C3069">
        <v>93025</v>
      </c>
      <c r="D3069" s="4">
        <f>+VLOOKUP(A3069,Portfolio!$G$3:$I$6,3)</f>
        <v>1</v>
      </c>
      <c r="E3069">
        <f t="shared" si="47"/>
        <v>93025</v>
      </c>
    </row>
    <row r="3070" spans="1:5" x14ac:dyDescent="0.25">
      <c r="A3070" t="s">
        <v>1</v>
      </c>
      <c r="B3070">
        <v>1240604</v>
      </c>
      <c r="C3070">
        <v>92887.5</v>
      </c>
      <c r="D3070" s="4">
        <f>+VLOOKUP(A3070,Portfolio!$G$3:$I$6,3)</f>
        <v>1</v>
      </c>
      <c r="E3070">
        <f t="shared" si="47"/>
        <v>92887.5</v>
      </c>
    </row>
    <row r="3071" spans="1:5" x14ac:dyDescent="0.25">
      <c r="A3071" t="s">
        <v>1</v>
      </c>
      <c r="B3071">
        <v>1240605</v>
      </c>
      <c r="C3071">
        <v>93243.75</v>
      </c>
      <c r="D3071" s="4">
        <f>+VLOOKUP(A3071,Portfolio!$G$3:$I$6,3)</f>
        <v>1</v>
      </c>
      <c r="E3071">
        <f t="shared" si="47"/>
        <v>93243.75</v>
      </c>
    </row>
    <row r="3072" spans="1:5" x14ac:dyDescent="0.25">
      <c r="A3072" t="s">
        <v>1</v>
      </c>
      <c r="B3072">
        <v>1240606</v>
      </c>
      <c r="C3072">
        <v>92675</v>
      </c>
      <c r="D3072" s="4">
        <f>+VLOOKUP(A3072,Portfolio!$G$3:$I$6,3)</f>
        <v>1</v>
      </c>
      <c r="E3072">
        <f t="shared" si="47"/>
        <v>92675</v>
      </c>
    </row>
    <row r="3073" spans="1:5" x14ac:dyDescent="0.25">
      <c r="A3073" t="s">
        <v>1</v>
      </c>
      <c r="B3073">
        <v>1240607</v>
      </c>
      <c r="C3073">
        <v>92256.25</v>
      </c>
      <c r="D3073" s="4">
        <f>+VLOOKUP(A3073,Portfolio!$G$3:$I$6,3)</f>
        <v>1</v>
      </c>
      <c r="E3073">
        <f t="shared" si="47"/>
        <v>92256.25</v>
      </c>
    </row>
    <row r="3074" spans="1:5" x14ac:dyDescent="0.25">
      <c r="A3074" t="s">
        <v>1</v>
      </c>
      <c r="B3074">
        <v>1240609</v>
      </c>
      <c r="C3074">
        <v>92912.5</v>
      </c>
      <c r="D3074" s="4">
        <f>+VLOOKUP(A3074,Portfolio!$G$3:$I$6,3)</f>
        <v>1</v>
      </c>
      <c r="E3074">
        <f t="shared" si="47"/>
        <v>92912.5</v>
      </c>
    </row>
    <row r="3075" spans="1:5" x14ac:dyDescent="0.25">
      <c r="A3075" t="s">
        <v>1</v>
      </c>
      <c r="B3075">
        <v>1240610</v>
      </c>
      <c r="C3075">
        <v>93031.25</v>
      </c>
      <c r="D3075" s="4">
        <f>+VLOOKUP(A3075,Portfolio!$G$3:$I$6,3)</f>
        <v>1</v>
      </c>
      <c r="E3075">
        <f t="shared" ref="E3075:E3138" si="48">+C3075*D3075</f>
        <v>93031.25</v>
      </c>
    </row>
    <row r="3076" spans="1:5" x14ac:dyDescent="0.25">
      <c r="A3076" t="s">
        <v>1</v>
      </c>
      <c r="B3076">
        <v>1240611</v>
      </c>
      <c r="C3076">
        <v>93106.25</v>
      </c>
      <c r="D3076" s="4">
        <f>+VLOOKUP(A3076,Portfolio!$G$3:$I$6,3)</f>
        <v>1</v>
      </c>
      <c r="E3076">
        <f t="shared" si="48"/>
        <v>93106.25</v>
      </c>
    </row>
    <row r="3077" spans="1:5" x14ac:dyDescent="0.25">
      <c r="A3077" t="s">
        <v>1</v>
      </c>
      <c r="B3077">
        <v>1240612</v>
      </c>
      <c r="C3077">
        <v>92593.75</v>
      </c>
      <c r="D3077" s="4">
        <f>+VLOOKUP(A3077,Portfolio!$G$3:$I$6,3)</f>
        <v>1</v>
      </c>
      <c r="E3077">
        <f t="shared" si="48"/>
        <v>92593.75</v>
      </c>
    </row>
    <row r="3078" spans="1:5" x14ac:dyDescent="0.25">
      <c r="A3078" t="s">
        <v>1</v>
      </c>
      <c r="B3078">
        <v>1240613</v>
      </c>
      <c r="C3078">
        <v>92656.25</v>
      </c>
      <c r="D3078" s="4">
        <f>+VLOOKUP(A3078,Portfolio!$G$3:$I$6,3)</f>
        <v>1</v>
      </c>
      <c r="E3078">
        <f t="shared" si="48"/>
        <v>92656.25</v>
      </c>
    </row>
    <row r="3079" spans="1:5" x14ac:dyDescent="0.25">
      <c r="A3079" t="s">
        <v>1</v>
      </c>
      <c r="B3079">
        <v>1240614</v>
      </c>
      <c r="C3079">
        <v>92631.25</v>
      </c>
      <c r="D3079" s="4">
        <f>+VLOOKUP(A3079,Portfolio!$G$3:$I$6,3)</f>
        <v>1</v>
      </c>
      <c r="E3079">
        <f t="shared" si="48"/>
        <v>92631.25</v>
      </c>
    </row>
    <row r="3080" spans="1:5" x14ac:dyDescent="0.25">
      <c r="A3080" t="s">
        <v>1</v>
      </c>
      <c r="B3080">
        <v>1240616</v>
      </c>
      <c r="C3080">
        <v>92425</v>
      </c>
      <c r="D3080" s="4">
        <f>+VLOOKUP(A3080,Portfolio!$G$3:$I$6,3)</f>
        <v>1</v>
      </c>
      <c r="E3080">
        <f t="shared" si="48"/>
        <v>92425</v>
      </c>
    </row>
    <row r="3081" spans="1:5" x14ac:dyDescent="0.25">
      <c r="A3081" t="s">
        <v>1</v>
      </c>
      <c r="B3081">
        <v>1240617</v>
      </c>
      <c r="C3081">
        <v>92362.5</v>
      </c>
      <c r="D3081" s="4">
        <f>+VLOOKUP(A3081,Portfolio!$G$3:$I$6,3)</f>
        <v>1</v>
      </c>
      <c r="E3081">
        <f t="shared" si="48"/>
        <v>92362.5</v>
      </c>
    </row>
    <row r="3082" spans="1:5" x14ac:dyDescent="0.25">
      <c r="A3082" t="s">
        <v>1</v>
      </c>
      <c r="B3082">
        <v>1240618</v>
      </c>
      <c r="C3082">
        <v>92537.5</v>
      </c>
      <c r="D3082" s="4">
        <f>+VLOOKUP(A3082,Portfolio!$G$3:$I$6,3)</f>
        <v>1</v>
      </c>
      <c r="E3082">
        <f t="shared" si="48"/>
        <v>92537.5</v>
      </c>
    </row>
    <row r="3083" spans="1:5" x14ac:dyDescent="0.25">
      <c r="A3083" t="s">
        <v>1</v>
      </c>
      <c r="B3083">
        <v>1240619</v>
      </c>
      <c r="C3083">
        <v>92687.5</v>
      </c>
      <c r="D3083" s="4">
        <f>+VLOOKUP(A3083,Portfolio!$G$3:$I$6,3)</f>
        <v>1</v>
      </c>
      <c r="E3083">
        <f t="shared" si="48"/>
        <v>92687.5</v>
      </c>
    </row>
    <row r="3084" spans="1:5" x14ac:dyDescent="0.25">
      <c r="A3084" t="s">
        <v>1</v>
      </c>
      <c r="B3084">
        <v>1240620</v>
      </c>
      <c r="C3084">
        <v>92806.25</v>
      </c>
      <c r="D3084" s="4">
        <f>+VLOOKUP(A3084,Portfolio!$G$3:$I$6,3)</f>
        <v>1</v>
      </c>
      <c r="E3084">
        <f t="shared" si="48"/>
        <v>92806.25</v>
      </c>
    </row>
    <row r="3085" spans="1:5" x14ac:dyDescent="0.25">
      <c r="A3085" t="s">
        <v>1</v>
      </c>
      <c r="B3085">
        <v>1240621</v>
      </c>
      <c r="C3085">
        <v>93187.5</v>
      </c>
      <c r="D3085" s="4">
        <f>+VLOOKUP(A3085,Portfolio!$G$3:$I$6,3)</f>
        <v>1</v>
      </c>
      <c r="E3085">
        <f t="shared" si="48"/>
        <v>93187.5</v>
      </c>
    </row>
    <row r="3086" spans="1:5" x14ac:dyDescent="0.25">
      <c r="A3086" t="s">
        <v>2</v>
      </c>
      <c r="B3086">
        <v>1190709</v>
      </c>
      <c r="C3086">
        <v>230</v>
      </c>
      <c r="D3086" s="4">
        <f>+VLOOKUP(A3086,Portfolio!$G$3:$I$6,3)</f>
        <v>1</v>
      </c>
      <c r="E3086">
        <f t="shared" si="48"/>
        <v>230</v>
      </c>
    </row>
    <row r="3087" spans="1:5" x14ac:dyDescent="0.25">
      <c r="A3087" t="s">
        <v>2</v>
      </c>
      <c r="B3087">
        <v>1190710</v>
      </c>
      <c r="C3087">
        <v>-50</v>
      </c>
      <c r="D3087" s="4">
        <f>+VLOOKUP(A3087,Portfolio!$G$3:$I$6,3)</f>
        <v>1</v>
      </c>
      <c r="E3087">
        <f t="shared" si="48"/>
        <v>-50</v>
      </c>
    </row>
    <row r="3088" spans="1:5" x14ac:dyDescent="0.25">
      <c r="A3088" t="s">
        <v>2</v>
      </c>
      <c r="B3088">
        <v>1190711</v>
      </c>
      <c r="C3088">
        <v>2720</v>
      </c>
      <c r="D3088" s="4">
        <f>+VLOOKUP(A3088,Portfolio!$G$3:$I$6,3)</f>
        <v>1</v>
      </c>
      <c r="E3088">
        <f t="shared" si="48"/>
        <v>2720</v>
      </c>
    </row>
    <row r="3089" spans="1:5" x14ac:dyDescent="0.25">
      <c r="A3089" t="s">
        <v>2</v>
      </c>
      <c r="B3089">
        <v>1190712</v>
      </c>
      <c r="C3089">
        <v>3700</v>
      </c>
      <c r="D3089" s="4">
        <f>+VLOOKUP(A3089,Portfolio!$G$3:$I$6,3)</f>
        <v>1</v>
      </c>
      <c r="E3089">
        <f t="shared" si="48"/>
        <v>3700</v>
      </c>
    </row>
    <row r="3090" spans="1:5" x14ac:dyDescent="0.25">
      <c r="A3090" t="s">
        <v>2</v>
      </c>
      <c r="B3090">
        <v>1190714</v>
      </c>
      <c r="C3090">
        <v>3900</v>
      </c>
      <c r="D3090" s="4">
        <f>+VLOOKUP(A3090,Portfolio!$G$3:$I$6,3)</f>
        <v>1</v>
      </c>
      <c r="E3090">
        <f t="shared" si="48"/>
        <v>3900</v>
      </c>
    </row>
    <row r="3091" spans="1:5" x14ac:dyDescent="0.25">
      <c r="A3091" t="s">
        <v>2</v>
      </c>
      <c r="B3091">
        <v>1190715</v>
      </c>
      <c r="C3091">
        <v>3900</v>
      </c>
      <c r="D3091" s="4">
        <f>+VLOOKUP(A3091,Portfolio!$G$3:$I$6,3)</f>
        <v>1</v>
      </c>
      <c r="E3091">
        <f t="shared" si="48"/>
        <v>3900</v>
      </c>
    </row>
    <row r="3092" spans="1:5" x14ac:dyDescent="0.25">
      <c r="A3092" t="s">
        <v>2</v>
      </c>
      <c r="B3092">
        <v>1190716</v>
      </c>
      <c r="C3092">
        <v>3700</v>
      </c>
      <c r="D3092" s="4">
        <f>+VLOOKUP(A3092,Portfolio!$G$3:$I$6,3)</f>
        <v>1</v>
      </c>
      <c r="E3092">
        <f t="shared" si="48"/>
        <v>3700</v>
      </c>
    </row>
    <row r="3093" spans="1:5" x14ac:dyDescent="0.25">
      <c r="A3093" t="s">
        <v>2</v>
      </c>
      <c r="B3093">
        <v>1190717</v>
      </c>
      <c r="C3093">
        <v>4650</v>
      </c>
      <c r="D3093" s="4">
        <f>+VLOOKUP(A3093,Portfolio!$G$3:$I$6,3)</f>
        <v>1</v>
      </c>
      <c r="E3093">
        <f t="shared" si="48"/>
        <v>4650</v>
      </c>
    </row>
    <row r="3094" spans="1:5" x14ac:dyDescent="0.25">
      <c r="A3094" t="s">
        <v>2</v>
      </c>
      <c r="B3094">
        <v>1190718</v>
      </c>
      <c r="C3094">
        <v>5990</v>
      </c>
      <c r="D3094" s="4">
        <f>+VLOOKUP(A3094,Portfolio!$G$3:$I$6,3)</f>
        <v>1</v>
      </c>
      <c r="E3094">
        <f t="shared" si="48"/>
        <v>5990</v>
      </c>
    </row>
    <row r="3095" spans="1:5" x14ac:dyDescent="0.25">
      <c r="A3095" t="s">
        <v>2</v>
      </c>
      <c r="B3095">
        <v>1190719</v>
      </c>
      <c r="C3095">
        <v>3140</v>
      </c>
      <c r="D3095" s="4">
        <f>+VLOOKUP(A3095,Portfolio!$G$3:$I$6,3)</f>
        <v>1</v>
      </c>
      <c r="E3095">
        <f t="shared" si="48"/>
        <v>3140</v>
      </c>
    </row>
    <row r="3096" spans="1:5" x14ac:dyDescent="0.25">
      <c r="A3096" t="s">
        <v>2</v>
      </c>
      <c r="B3096">
        <v>1190721</v>
      </c>
      <c r="C3096">
        <v>4940</v>
      </c>
      <c r="D3096" s="4">
        <f>+VLOOKUP(A3096,Portfolio!$G$3:$I$6,3)</f>
        <v>1</v>
      </c>
      <c r="E3096">
        <f t="shared" si="48"/>
        <v>4940</v>
      </c>
    </row>
    <row r="3097" spans="1:5" x14ac:dyDescent="0.25">
      <c r="A3097" t="s">
        <v>2</v>
      </c>
      <c r="B3097">
        <v>1190722</v>
      </c>
      <c r="C3097">
        <v>4720</v>
      </c>
      <c r="D3097" s="4">
        <f>+VLOOKUP(A3097,Portfolio!$G$3:$I$6,3)</f>
        <v>1</v>
      </c>
      <c r="E3097">
        <f t="shared" si="48"/>
        <v>4720</v>
      </c>
    </row>
    <row r="3098" spans="1:5" x14ac:dyDescent="0.25">
      <c r="A3098" t="s">
        <v>2</v>
      </c>
      <c r="B3098">
        <v>1190723</v>
      </c>
      <c r="C3098">
        <v>4560</v>
      </c>
      <c r="D3098" s="4">
        <f>+VLOOKUP(A3098,Portfolio!$G$3:$I$6,3)</f>
        <v>1</v>
      </c>
      <c r="E3098">
        <f t="shared" si="48"/>
        <v>4560</v>
      </c>
    </row>
    <row r="3099" spans="1:5" x14ac:dyDescent="0.25">
      <c r="A3099" t="s">
        <v>2</v>
      </c>
      <c r="B3099">
        <v>1190724</v>
      </c>
      <c r="C3099">
        <v>4600</v>
      </c>
      <c r="D3099" s="4">
        <f>+VLOOKUP(A3099,Portfolio!$G$3:$I$6,3)</f>
        <v>1</v>
      </c>
      <c r="E3099">
        <f t="shared" si="48"/>
        <v>4600</v>
      </c>
    </row>
    <row r="3100" spans="1:5" x14ac:dyDescent="0.25">
      <c r="A3100" t="s">
        <v>2</v>
      </c>
      <c r="B3100">
        <v>1190725</v>
      </c>
      <c r="C3100">
        <v>5020</v>
      </c>
      <c r="D3100" s="4">
        <f>+VLOOKUP(A3100,Portfolio!$G$3:$I$6,3)</f>
        <v>1</v>
      </c>
      <c r="E3100">
        <f t="shared" si="48"/>
        <v>5020</v>
      </c>
    </row>
    <row r="3101" spans="1:5" x14ac:dyDescent="0.25">
      <c r="A3101" t="s">
        <v>2</v>
      </c>
      <c r="B3101">
        <v>1190726</v>
      </c>
      <c r="C3101">
        <v>3990</v>
      </c>
      <c r="D3101" s="4">
        <f>+VLOOKUP(A3101,Portfolio!$G$3:$I$6,3)</f>
        <v>1</v>
      </c>
      <c r="E3101">
        <f t="shared" si="48"/>
        <v>3990</v>
      </c>
    </row>
    <row r="3102" spans="1:5" x14ac:dyDescent="0.25">
      <c r="A3102" t="s">
        <v>2</v>
      </c>
      <c r="B3102">
        <v>1190728</v>
      </c>
      <c r="C3102">
        <v>3070</v>
      </c>
      <c r="D3102" s="4">
        <f>+VLOOKUP(A3102,Portfolio!$G$3:$I$6,3)</f>
        <v>1</v>
      </c>
      <c r="E3102">
        <f t="shared" si="48"/>
        <v>3070</v>
      </c>
    </row>
    <row r="3103" spans="1:5" x14ac:dyDescent="0.25">
      <c r="A3103" t="s">
        <v>2</v>
      </c>
      <c r="B3103">
        <v>1190729</v>
      </c>
      <c r="C3103">
        <v>2960</v>
      </c>
      <c r="D3103" s="4">
        <f>+VLOOKUP(A3103,Portfolio!$G$3:$I$6,3)</f>
        <v>1</v>
      </c>
      <c r="E3103">
        <f t="shared" si="48"/>
        <v>2960</v>
      </c>
    </row>
    <row r="3104" spans="1:5" x14ac:dyDescent="0.25">
      <c r="A3104" t="s">
        <v>2</v>
      </c>
      <c r="B3104">
        <v>1190730</v>
      </c>
      <c r="C3104">
        <v>3090</v>
      </c>
      <c r="D3104" s="4">
        <f>+VLOOKUP(A3104,Portfolio!$G$3:$I$6,3)</f>
        <v>1</v>
      </c>
      <c r="E3104">
        <f t="shared" si="48"/>
        <v>3090</v>
      </c>
    </row>
    <row r="3105" spans="1:5" x14ac:dyDescent="0.25">
      <c r="A3105" t="s">
        <v>2</v>
      </c>
      <c r="B3105">
        <v>1190731</v>
      </c>
      <c r="C3105">
        <v>3270</v>
      </c>
      <c r="D3105" s="4">
        <f>+VLOOKUP(A3105,Portfolio!$G$3:$I$6,3)</f>
        <v>1</v>
      </c>
      <c r="E3105">
        <f t="shared" si="48"/>
        <v>3270</v>
      </c>
    </row>
    <row r="3106" spans="1:5" x14ac:dyDescent="0.25">
      <c r="A3106" t="s">
        <v>2</v>
      </c>
      <c r="B3106">
        <v>1190801</v>
      </c>
      <c r="C3106">
        <v>3540</v>
      </c>
      <c r="D3106" s="4">
        <f>+VLOOKUP(A3106,Portfolio!$G$3:$I$6,3)</f>
        <v>1</v>
      </c>
      <c r="E3106">
        <f t="shared" si="48"/>
        <v>3540</v>
      </c>
    </row>
    <row r="3107" spans="1:5" x14ac:dyDescent="0.25">
      <c r="A3107" t="s">
        <v>2</v>
      </c>
      <c r="B3107">
        <v>1190802</v>
      </c>
      <c r="C3107">
        <v>830</v>
      </c>
      <c r="D3107" s="4">
        <f>+VLOOKUP(A3107,Portfolio!$G$3:$I$6,3)</f>
        <v>1</v>
      </c>
      <c r="E3107">
        <f t="shared" si="48"/>
        <v>830</v>
      </c>
    </row>
    <row r="3108" spans="1:5" x14ac:dyDescent="0.25">
      <c r="A3108" t="s">
        <v>2</v>
      </c>
      <c r="B3108">
        <v>1190804</v>
      </c>
      <c r="C3108">
        <v>-10</v>
      </c>
      <c r="D3108" s="4">
        <f>+VLOOKUP(A3108,Portfolio!$G$3:$I$6,3)</f>
        <v>1</v>
      </c>
      <c r="E3108">
        <f t="shared" si="48"/>
        <v>-10</v>
      </c>
    </row>
    <row r="3109" spans="1:5" x14ac:dyDescent="0.25">
      <c r="A3109" t="s">
        <v>2</v>
      </c>
      <c r="B3109">
        <v>1190805</v>
      </c>
      <c r="C3109">
        <v>1430</v>
      </c>
      <c r="D3109" s="4">
        <f>+VLOOKUP(A3109,Portfolio!$G$3:$I$6,3)</f>
        <v>1</v>
      </c>
      <c r="E3109">
        <f t="shared" si="48"/>
        <v>1430</v>
      </c>
    </row>
    <row r="3110" spans="1:5" x14ac:dyDescent="0.25">
      <c r="A3110" t="s">
        <v>2</v>
      </c>
      <c r="B3110">
        <v>1190806</v>
      </c>
      <c r="C3110">
        <v>2650</v>
      </c>
      <c r="D3110" s="4">
        <f>+VLOOKUP(A3110,Portfolio!$G$3:$I$6,3)</f>
        <v>1</v>
      </c>
      <c r="E3110">
        <f t="shared" si="48"/>
        <v>2650</v>
      </c>
    </row>
    <row r="3111" spans="1:5" x14ac:dyDescent="0.25">
      <c r="A3111" t="s">
        <v>2</v>
      </c>
      <c r="B3111">
        <v>1190807</v>
      </c>
      <c r="C3111">
        <v>2650</v>
      </c>
      <c r="D3111" s="4">
        <f>+VLOOKUP(A3111,Portfolio!$G$3:$I$6,3)</f>
        <v>1</v>
      </c>
      <c r="E3111">
        <f t="shared" si="48"/>
        <v>2650</v>
      </c>
    </row>
    <row r="3112" spans="1:5" x14ac:dyDescent="0.25">
      <c r="A3112" t="s">
        <v>2</v>
      </c>
      <c r="B3112">
        <v>1190808</v>
      </c>
      <c r="C3112">
        <v>3460</v>
      </c>
      <c r="D3112" s="4">
        <f>+VLOOKUP(A3112,Portfolio!$G$3:$I$6,3)</f>
        <v>1</v>
      </c>
      <c r="E3112">
        <f t="shared" si="48"/>
        <v>3460</v>
      </c>
    </row>
    <row r="3113" spans="1:5" x14ac:dyDescent="0.25">
      <c r="A3113" t="s">
        <v>2</v>
      </c>
      <c r="B3113">
        <v>1190809</v>
      </c>
      <c r="C3113">
        <v>1830</v>
      </c>
      <c r="D3113" s="4">
        <f>+VLOOKUP(A3113,Portfolio!$G$3:$I$6,3)</f>
        <v>1</v>
      </c>
      <c r="E3113">
        <f t="shared" si="48"/>
        <v>1830</v>
      </c>
    </row>
    <row r="3114" spans="1:5" x14ac:dyDescent="0.25">
      <c r="A3114" t="s">
        <v>2</v>
      </c>
      <c r="B3114">
        <v>1190811</v>
      </c>
      <c r="C3114">
        <v>2740</v>
      </c>
      <c r="D3114" s="4">
        <f>+VLOOKUP(A3114,Portfolio!$G$3:$I$6,3)</f>
        <v>1</v>
      </c>
      <c r="E3114">
        <f t="shared" si="48"/>
        <v>2740</v>
      </c>
    </row>
    <row r="3115" spans="1:5" x14ac:dyDescent="0.25">
      <c r="A3115" t="s">
        <v>2</v>
      </c>
      <c r="B3115">
        <v>1190812</v>
      </c>
      <c r="C3115">
        <v>2740</v>
      </c>
      <c r="D3115" s="4">
        <f>+VLOOKUP(A3115,Portfolio!$G$3:$I$6,3)</f>
        <v>1</v>
      </c>
      <c r="E3115">
        <f t="shared" si="48"/>
        <v>2740</v>
      </c>
    </row>
    <row r="3116" spans="1:5" x14ac:dyDescent="0.25">
      <c r="A3116" t="s">
        <v>2</v>
      </c>
      <c r="B3116">
        <v>1190813</v>
      </c>
      <c r="C3116">
        <v>4640</v>
      </c>
      <c r="D3116" s="4">
        <f>+VLOOKUP(A3116,Portfolio!$G$3:$I$6,3)</f>
        <v>1</v>
      </c>
      <c r="E3116">
        <f t="shared" si="48"/>
        <v>4640</v>
      </c>
    </row>
    <row r="3117" spans="1:5" x14ac:dyDescent="0.25">
      <c r="A3117" t="s">
        <v>2</v>
      </c>
      <c r="B3117">
        <v>1190814</v>
      </c>
      <c r="C3117">
        <v>3140</v>
      </c>
      <c r="D3117" s="4">
        <f>+VLOOKUP(A3117,Portfolio!$G$3:$I$6,3)</f>
        <v>1</v>
      </c>
      <c r="E3117">
        <f t="shared" si="48"/>
        <v>3140</v>
      </c>
    </row>
    <row r="3118" spans="1:5" x14ac:dyDescent="0.25">
      <c r="A3118" t="s">
        <v>2</v>
      </c>
      <c r="B3118">
        <v>1190815</v>
      </c>
      <c r="C3118">
        <v>4990</v>
      </c>
      <c r="D3118" s="4">
        <f>+VLOOKUP(A3118,Portfolio!$G$3:$I$6,3)</f>
        <v>1</v>
      </c>
      <c r="E3118">
        <f t="shared" si="48"/>
        <v>4990</v>
      </c>
    </row>
    <row r="3119" spans="1:5" x14ac:dyDescent="0.25">
      <c r="A3119" t="s">
        <v>2</v>
      </c>
      <c r="B3119">
        <v>1190816</v>
      </c>
      <c r="C3119">
        <v>2380</v>
      </c>
      <c r="D3119" s="4">
        <f>+VLOOKUP(A3119,Portfolio!$G$3:$I$6,3)</f>
        <v>1</v>
      </c>
      <c r="E3119">
        <f t="shared" si="48"/>
        <v>2380</v>
      </c>
    </row>
    <row r="3120" spans="1:5" x14ac:dyDescent="0.25">
      <c r="A3120" t="s">
        <v>2</v>
      </c>
      <c r="B3120">
        <v>1190818</v>
      </c>
      <c r="C3120">
        <v>3050</v>
      </c>
      <c r="D3120" s="4">
        <f>+VLOOKUP(A3120,Portfolio!$G$3:$I$6,3)</f>
        <v>1</v>
      </c>
      <c r="E3120">
        <f t="shared" si="48"/>
        <v>3050</v>
      </c>
    </row>
    <row r="3121" spans="1:5" x14ac:dyDescent="0.25">
      <c r="A3121" t="s">
        <v>2</v>
      </c>
      <c r="B3121">
        <v>1190819</v>
      </c>
      <c r="C3121">
        <v>3050</v>
      </c>
      <c r="D3121" s="4">
        <f>+VLOOKUP(A3121,Portfolio!$G$3:$I$6,3)</f>
        <v>1</v>
      </c>
      <c r="E3121">
        <f t="shared" si="48"/>
        <v>3050</v>
      </c>
    </row>
    <row r="3122" spans="1:5" x14ac:dyDescent="0.25">
      <c r="A3122" t="s">
        <v>2</v>
      </c>
      <c r="B3122">
        <v>1190820</v>
      </c>
      <c r="C3122">
        <v>4050</v>
      </c>
      <c r="D3122" s="4">
        <f>+VLOOKUP(A3122,Portfolio!$G$3:$I$6,3)</f>
        <v>1</v>
      </c>
      <c r="E3122">
        <f t="shared" si="48"/>
        <v>4050</v>
      </c>
    </row>
    <row r="3123" spans="1:5" x14ac:dyDescent="0.25">
      <c r="A3123" t="s">
        <v>2</v>
      </c>
      <c r="B3123">
        <v>1190821</v>
      </c>
      <c r="C3123">
        <v>3750</v>
      </c>
      <c r="D3123" s="4">
        <f>+VLOOKUP(A3123,Portfolio!$G$3:$I$6,3)</f>
        <v>1</v>
      </c>
      <c r="E3123">
        <f t="shared" si="48"/>
        <v>3750</v>
      </c>
    </row>
    <row r="3124" spans="1:5" x14ac:dyDescent="0.25">
      <c r="A3124" t="s">
        <v>2</v>
      </c>
      <c r="B3124">
        <v>1190822</v>
      </c>
      <c r="C3124">
        <v>3500</v>
      </c>
      <c r="D3124" s="4">
        <f>+VLOOKUP(A3124,Portfolio!$G$3:$I$6,3)</f>
        <v>1</v>
      </c>
      <c r="E3124">
        <f t="shared" si="48"/>
        <v>3500</v>
      </c>
    </row>
    <row r="3125" spans="1:5" x14ac:dyDescent="0.25">
      <c r="A3125" t="s">
        <v>2</v>
      </c>
      <c r="B3125">
        <v>1190823</v>
      </c>
      <c r="C3125">
        <v>3820</v>
      </c>
      <c r="D3125" s="4">
        <f>+VLOOKUP(A3125,Portfolio!$G$3:$I$6,3)</f>
        <v>1</v>
      </c>
      <c r="E3125">
        <f t="shared" si="48"/>
        <v>3820</v>
      </c>
    </row>
    <row r="3126" spans="1:5" x14ac:dyDescent="0.25">
      <c r="A3126" t="s">
        <v>2</v>
      </c>
      <c r="B3126">
        <v>1190825</v>
      </c>
      <c r="C3126">
        <v>8580</v>
      </c>
      <c r="D3126" s="4">
        <f>+VLOOKUP(A3126,Portfolio!$G$3:$I$6,3)</f>
        <v>1</v>
      </c>
      <c r="E3126">
        <f t="shared" si="48"/>
        <v>8580</v>
      </c>
    </row>
    <row r="3127" spans="1:5" x14ac:dyDescent="0.25">
      <c r="A3127" t="s">
        <v>2</v>
      </c>
      <c r="B3127">
        <v>1190826</v>
      </c>
      <c r="C3127">
        <v>7770</v>
      </c>
      <c r="D3127" s="4">
        <f>+VLOOKUP(A3127,Portfolio!$G$3:$I$6,3)</f>
        <v>1</v>
      </c>
      <c r="E3127">
        <f t="shared" si="48"/>
        <v>7770</v>
      </c>
    </row>
    <row r="3128" spans="1:5" x14ac:dyDescent="0.25">
      <c r="A3128" t="s">
        <v>2</v>
      </c>
      <c r="B3128">
        <v>1190827</v>
      </c>
      <c r="C3128">
        <v>6010</v>
      </c>
      <c r="D3128" s="4">
        <f>+VLOOKUP(A3128,Portfolio!$G$3:$I$6,3)</f>
        <v>1</v>
      </c>
      <c r="E3128">
        <f t="shared" si="48"/>
        <v>6010</v>
      </c>
    </row>
    <row r="3129" spans="1:5" x14ac:dyDescent="0.25">
      <c r="A3129" t="s">
        <v>2</v>
      </c>
      <c r="B3129">
        <v>1190828</v>
      </c>
      <c r="C3129">
        <v>5780</v>
      </c>
      <c r="D3129" s="4">
        <f>+VLOOKUP(A3129,Portfolio!$G$3:$I$6,3)</f>
        <v>1</v>
      </c>
      <c r="E3129">
        <f t="shared" si="48"/>
        <v>5780</v>
      </c>
    </row>
    <row r="3130" spans="1:5" x14ac:dyDescent="0.25">
      <c r="A3130" t="s">
        <v>2</v>
      </c>
      <c r="B3130">
        <v>1190829</v>
      </c>
      <c r="C3130">
        <v>5670</v>
      </c>
      <c r="D3130" s="4">
        <f>+VLOOKUP(A3130,Portfolio!$G$3:$I$6,3)</f>
        <v>1</v>
      </c>
      <c r="E3130">
        <f t="shared" si="48"/>
        <v>5670</v>
      </c>
    </row>
    <row r="3131" spans="1:5" x14ac:dyDescent="0.25">
      <c r="A3131" t="s">
        <v>2</v>
      </c>
      <c r="B3131">
        <v>1190830</v>
      </c>
      <c r="C3131">
        <v>7150</v>
      </c>
      <c r="D3131" s="4">
        <f>+VLOOKUP(A3131,Portfolio!$G$3:$I$6,3)</f>
        <v>1</v>
      </c>
      <c r="E3131">
        <f t="shared" si="48"/>
        <v>7150</v>
      </c>
    </row>
    <row r="3132" spans="1:5" x14ac:dyDescent="0.25">
      <c r="A3132" t="s">
        <v>2</v>
      </c>
      <c r="B3132">
        <v>1190901</v>
      </c>
      <c r="C3132">
        <v>7020</v>
      </c>
      <c r="D3132" s="4">
        <f>+VLOOKUP(A3132,Portfolio!$G$3:$I$6,3)</f>
        <v>1</v>
      </c>
      <c r="E3132">
        <f t="shared" si="48"/>
        <v>7020</v>
      </c>
    </row>
    <row r="3133" spans="1:5" x14ac:dyDescent="0.25">
      <c r="A3133" t="s">
        <v>2</v>
      </c>
      <c r="B3133">
        <v>1190902</v>
      </c>
      <c r="C3133">
        <v>7020</v>
      </c>
      <c r="D3133" s="4">
        <f>+VLOOKUP(A3133,Portfolio!$G$3:$I$6,3)</f>
        <v>1</v>
      </c>
      <c r="E3133">
        <f t="shared" si="48"/>
        <v>7020</v>
      </c>
    </row>
    <row r="3134" spans="1:5" x14ac:dyDescent="0.25">
      <c r="A3134" t="s">
        <v>2</v>
      </c>
      <c r="B3134">
        <v>1190903</v>
      </c>
      <c r="C3134">
        <v>7020</v>
      </c>
      <c r="D3134" s="4">
        <f>+VLOOKUP(A3134,Portfolio!$G$3:$I$6,3)</f>
        <v>1</v>
      </c>
      <c r="E3134">
        <f t="shared" si="48"/>
        <v>7020</v>
      </c>
    </row>
    <row r="3135" spans="1:5" x14ac:dyDescent="0.25">
      <c r="A3135" t="s">
        <v>2</v>
      </c>
      <c r="B3135">
        <v>1190904</v>
      </c>
      <c r="C3135">
        <v>8200</v>
      </c>
      <c r="D3135" s="4">
        <f>+VLOOKUP(A3135,Portfolio!$G$3:$I$6,3)</f>
        <v>1</v>
      </c>
      <c r="E3135">
        <f t="shared" si="48"/>
        <v>8200</v>
      </c>
    </row>
    <row r="3136" spans="1:5" x14ac:dyDescent="0.25">
      <c r="A3136" t="s">
        <v>2</v>
      </c>
      <c r="B3136">
        <v>1190905</v>
      </c>
      <c r="C3136">
        <v>6730</v>
      </c>
      <c r="D3136" s="4">
        <f>+VLOOKUP(A3136,Portfolio!$G$3:$I$6,3)</f>
        <v>1</v>
      </c>
      <c r="E3136">
        <f t="shared" si="48"/>
        <v>6730</v>
      </c>
    </row>
    <row r="3137" spans="1:5" x14ac:dyDescent="0.25">
      <c r="A3137" t="s">
        <v>2</v>
      </c>
      <c r="B3137">
        <v>1190906</v>
      </c>
      <c r="C3137">
        <v>7610</v>
      </c>
      <c r="D3137" s="4">
        <f>+VLOOKUP(A3137,Portfolio!$G$3:$I$6,3)</f>
        <v>1</v>
      </c>
      <c r="E3137">
        <f t="shared" si="48"/>
        <v>7610</v>
      </c>
    </row>
    <row r="3138" spans="1:5" x14ac:dyDescent="0.25">
      <c r="A3138" t="s">
        <v>2</v>
      </c>
      <c r="B3138">
        <v>1190908</v>
      </c>
      <c r="C3138">
        <v>7460</v>
      </c>
      <c r="D3138" s="4">
        <f>+VLOOKUP(A3138,Portfolio!$G$3:$I$6,3)</f>
        <v>1</v>
      </c>
      <c r="E3138">
        <f t="shared" si="48"/>
        <v>7460</v>
      </c>
    </row>
    <row r="3139" spans="1:5" x14ac:dyDescent="0.25">
      <c r="A3139" t="s">
        <v>2</v>
      </c>
      <c r="B3139">
        <v>1190909</v>
      </c>
      <c r="C3139">
        <v>7190</v>
      </c>
      <c r="D3139" s="4">
        <f>+VLOOKUP(A3139,Portfolio!$G$3:$I$6,3)</f>
        <v>1</v>
      </c>
      <c r="E3139">
        <f t="shared" ref="E3139:E3202" si="49">+C3139*D3139</f>
        <v>7190</v>
      </c>
    </row>
    <row r="3140" spans="1:5" x14ac:dyDescent="0.25">
      <c r="A3140" t="s">
        <v>2</v>
      </c>
      <c r="B3140">
        <v>1190910</v>
      </c>
      <c r="C3140">
        <v>5010</v>
      </c>
      <c r="D3140" s="4">
        <f>+VLOOKUP(A3140,Portfolio!$G$3:$I$6,3)</f>
        <v>1</v>
      </c>
      <c r="E3140">
        <f t="shared" si="49"/>
        <v>5010</v>
      </c>
    </row>
    <row r="3141" spans="1:5" x14ac:dyDescent="0.25">
      <c r="A3141" t="s">
        <v>2</v>
      </c>
      <c r="B3141">
        <v>1190911</v>
      </c>
      <c r="C3141">
        <v>5570</v>
      </c>
      <c r="D3141" s="4">
        <f>+VLOOKUP(A3141,Portfolio!$G$3:$I$6,3)</f>
        <v>1</v>
      </c>
      <c r="E3141">
        <f t="shared" si="49"/>
        <v>5570</v>
      </c>
    </row>
    <row r="3142" spans="1:5" x14ac:dyDescent="0.25">
      <c r="A3142" t="s">
        <v>2</v>
      </c>
      <c r="B3142">
        <v>1190912</v>
      </c>
      <c r="C3142">
        <v>5160</v>
      </c>
      <c r="D3142" s="4">
        <f>+VLOOKUP(A3142,Portfolio!$G$3:$I$6,3)</f>
        <v>1</v>
      </c>
      <c r="E3142">
        <f t="shared" si="49"/>
        <v>5160</v>
      </c>
    </row>
    <row r="3143" spans="1:5" x14ac:dyDescent="0.25">
      <c r="A3143" t="s">
        <v>2</v>
      </c>
      <c r="B3143">
        <v>1190913</v>
      </c>
      <c r="C3143">
        <v>3410</v>
      </c>
      <c r="D3143" s="4">
        <f>+VLOOKUP(A3143,Portfolio!$G$3:$I$6,3)</f>
        <v>1</v>
      </c>
      <c r="E3143">
        <f t="shared" si="49"/>
        <v>3410</v>
      </c>
    </row>
    <row r="3144" spans="1:5" x14ac:dyDescent="0.25">
      <c r="A3144" t="s">
        <v>2</v>
      </c>
      <c r="B3144">
        <v>1190915</v>
      </c>
      <c r="C3144">
        <v>4080</v>
      </c>
      <c r="D3144" s="4">
        <f>+VLOOKUP(A3144,Portfolio!$G$3:$I$6,3)</f>
        <v>1</v>
      </c>
      <c r="E3144">
        <f t="shared" si="49"/>
        <v>4080</v>
      </c>
    </row>
    <row r="3145" spans="1:5" x14ac:dyDescent="0.25">
      <c r="A3145" t="s">
        <v>2</v>
      </c>
      <c r="B3145">
        <v>1190916</v>
      </c>
      <c r="C3145">
        <v>3970</v>
      </c>
      <c r="D3145" s="4">
        <f>+VLOOKUP(A3145,Portfolio!$G$3:$I$6,3)</f>
        <v>1</v>
      </c>
      <c r="E3145">
        <f t="shared" si="49"/>
        <v>3970</v>
      </c>
    </row>
    <row r="3146" spans="1:5" x14ac:dyDescent="0.25">
      <c r="A3146" t="s">
        <v>2</v>
      </c>
      <c r="B3146">
        <v>1190917</v>
      </c>
      <c r="C3146">
        <v>4110</v>
      </c>
      <c r="D3146" s="4">
        <f>+VLOOKUP(A3146,Portfolio!$G$3:$I$6,3)</f>
        <v>1</v>
      </c>
      <c r="E3146">
        <f t="shared" si="49"/>
        <v>4110</v>
      </c>
    </row>
    <row r="3147" spans="1:5" x14ac:dyDescent="0.25">
      <c r="A3147" t="s">
        <v>2</v>
      </c>
      <c r="B3147">
        <v>1190918</v>
      </c>
      <c r="C3147">
        <v>4320</v>
      </c>
      <c r="D3147" s="4">
        <f>+VLOOKUP(A3147,Portfolio!$G$3:$I$6,3)</f>
        <v>1</v>
      </c>
      <c r="E3147">
        <f t="shared" si="49"/>
        <v>4320</v>
      </c>
    </row>
    <row r="3148" spans="1:5" x14ac:dyDescent="0.25">
      <c r="A3148" t="s">
        <v>2</v>
      </c>
      <c r="B3148">
        <v>1190919</v>
      </c>
      <c r="C3148">
        <v>2870</v>
      </c>
      <c r="D3148" s="4">
        <f>+VLOOKUP(A3148,Portfolio!$G$3:$I$6,3)</f>
        <v>1</v>
      </c>
      <c r="E3148">
        <f t="shared" si="49"/>
        <v>2870</v>
      </c>
    </row>
    <row r="3149" spans="1:5" x14ac:dyDescent="0.25">
      <c r="A3149" t="s">
        <v>2</v>
      </c>
      <c r="B3149">
        <v>1190920</v>
      </c>
      <c r="C3149">
        <v>3570</v>
      </c>
      <c r="D3149" s="4">
        <f>+VLOOKUP(A3149,Portfolio!$G$3:$I$6,3)</f>
        <v>1</v>
      </c>
      <c r="E3149">
        <f t="shared" si="49"/>
        <v>3570</v>
      </c>
    </row>
    <row r="3150" spans="1:5" x14ac:dyDescent="0.25">
      <c r="A3150" t="s">
        <v>2</v>
      </c>
      <c r="B3150">
        <v>1190922</v>
      </c>
      <c r="C3150">
        <v>2320</v>
      </c>
      <c r="D3150" s="4">
        <f>+VLOOKUP(A3150,Portfolio!$G$3:$I$6,3)</f>
        <v>1</v>
      </c>
      <c r="E3150">
        <f t="shared" si="49"/>
        <v>2320</v>
      </c>
    </row>
    <row r="3151" spans="1:5" x14ac:dyDescent="0.25">
      <c r="A3151" t="s">
        <v>2</v>
      </c>
      <c r="B3151">
        <v>1190923</v>
      </c>
      <c r="C3151">
        <v>1990</v>
      </c>
      <c r="D3151" s="4">
        <f>+VLOOKUP(A3151,Portfolio!$G$3:$I$6,3)</f>
        <v>1</v>
      </c>
      <c r="E3151">
        <f t="shared" si="49"/>
        <v>1990</v>
      </c>
    </row>
    <row r="3152" spans="1:5" x14ac:dyDescent="0.25">
      <c r="A3152" t="s">
        <v>2</v>
      </c>
      <c r="B3152">
        <v>1190924</v>
      </c>
      <c r="C3152">
        <v>1860</v>
      </c>
      <c r="D3152" s="4">
        <f>+VLOOKUP(A3152,Portfolio!$G$3:$I$6,3)</f>
        <v>1</v>
      </c>
      <c r="E3152">
        <f t="shared" si="49"/>
        <v>1860</v>
      </c>
    </row>
    <row r="3153" spans="1:5" x14ac:dyDescent="0.25">
      <c r="A3153" t="s">
        <v>2</v>
      </c>
      <c r="B3153">
        <v>1190925</v>
      </c>
      <c r="C3153">
        <v>1830</v>
      </c>
      <c r="D3153" s="4">
        <f>+VLOOKUP(A3153,Portfolio!$G$3:$I$6,3)</f>
        <v>1</v>
      </c>
      <c r="E3153">
        <f t="shared" si="49"/>
        <v>1830</v>
      </c>
    </row>
    <row r="3154" spans="1:5" x14ac:dyDescent="0.25">
      <c r="A3154" t="s">
        <v>2</v>
      </c>
      <c r="B3154">
        <v>1190926</v>
      </c>
      <c r="C3154">
        <v>3290</v>
      </c>
      <c r="D3154" s="4">
        <f>+VLOOKUP(A3154,Portfolio!$G$3:$I$6,3)</f>
        <v>1</v>
      </c>
      <c r="E3154">
        <f t="shared" si="49"/>
        <v>3290</v>
      </c>
    </row>
    <row r="3155" spans="1:5" x14ac:dyDescent="0.25">
      <c r="A3155" t="s">
        <v>2</v>
      </c>
      <c r="B3155">
        <v>1190927</v>
      </c>
      <c r="C3155">
        <v>3210</v>
      </c>
      <c r="D3155" s="4">
        <f>+VLOOKUP(A3155,Portfolio!$G$3:$I$6,3)</f>
        <v>1</v>
      </c>
      <c r="E3155">
        <f t="shared" si="49"/>
        <v>3210</v>
      </c>
    </row>
    <row r="3156" spans="1:5" x14ac:dyDescent="0.25">
      <c r="A3156" t="s">
        <v>2</v>
      </c>
      <c r="B3156">
        <v>1190929</v>
      </c>
      <c r="C3156">
        <v>3030</v>
      </c>
      <c r="D3156" s="4">
        <f>+VLOOKUP(A3156,Portfolio!$G$3:$I$6,3)</f>
        <v>1</v>
      </c>
      <c r="E3156">
        <f t="shared" si="49"/>
        <v>3030</v>
      </c>
    </row>
    <row r="3157" spans="1:5" x14ac:dyDescent="0.25">
      <c r="A3157" t="s">
        <v>2</v>
      </c>
      <c r="B3157">
        <v>1190930</v>
      </c>
      <c r="C3157">
        <v>3660</v>
      </c>
      <c r="D3157" s="4">
        <f>+VLOOKUP(A3157,Portfolio!$G$3:$I$6,3)</f>
        <v>1</v>
      </c>
      <c r="E3157">
        <f t="shared" si="49"/>
        <v>3660</v>
      </c>
    </row>
    <row r="3158" spans="1:5" x14ac:dyDescent="0.25">
      <c r="A3158" t="s">
        <v>2</v>
      </c>
      <c r="B3158">
        <v>1191001</v>
      </c>
      <c r="C3158">
        <v>6560</v>
      </c>
      <c r="D3158" s="4">
        <f>+VLOOKUP(A3158,Portfolio!$G$3:$I$6,3)</f>
        <v>1</v>
      </c>
      <c r="E3158">
        <f t="shared" si="49"/>
        <v>6560</v>
      </c>
    </row>
    <row r="3159" spans="1:5" x14ac:dyDescent="0.25">
      <c r="A3159" t="s">
        <v>2</v>
      </c>
      <c r="B3159">
        <v>1191002</v>
      </c>
      <c r="C3159">
        <v>6780</v>
      </c>
      <c r="D3159" s="4">
        <f>+VLOOKUP(A3159,Portfolio!$G$3:$I$6,3)</f>
        <v>1</v>
      </c>
      <c r="E3159">
        <f t="shared" si="49"/>
        <v>6780</v>
      </c>
    </row>
    <row r="3160" spans="1:5" x14ac:dyDescent="0.25">
      <c r="A3160" t="s">
        <v>2</v>
      </c>
      <c r="B3160">
        <v>1191003</v>
      </c>
      <c r="C3160">
        <v>8920</v>
      </c>
      <c r="D3160" s="4">
        <f>+VLOOKUP(A3160,Portfolio!$G$3:$I$6,3)</f>
        <v>1</v>
      </c>
      <c r="E3160">
        <f t="shared" si="49"/>
        <v>8920</v>
      </c>
    </row>
    <row r="3161" spans="1:5" x14ac:dyDescent="0.25">
      <c r="A3161" t="s">
        <v>2</v>
      </c>
      <c r="B3161">
        <v>1191004</v>
      </c>
      <c r="C3161">
        <v>9170</v>
      </c>
      <c r="D3161" s="4">
        <f>+VLOOKUP(A3161,Portfolio!$G$3:$I$6,3)</f>
        <v>1</v>
      </c>
      <c r="E3161">
        <f t="shared" si="49"/>
        <v>9170</v>
      </c>
    </row>
    <row r="3162" spans="1:5" x14ac:dyDescent="0.25">
      <c r="A3162" t="s">
        <v>2</v>
      </c>
      <c r="B3162">
        <v>1191006</v>
      </c>
      <c r="C3162">
        <v>8840</v>
      </c>
      <c r="D3162" s="4">
        <f>+VLOOKUP(A3162,Portfolio!$G$3:$I$6,3)</f>
        <v>1</v>
      </c>
      <c r="E3162">
        <f t="shared" si="49"/>
        <v>8840</v>
      </c>
    </row>
    <row r="3163" spans="1:5" x14ac:dyDescent="0.25">
      <c r="A3163" t="s">
        <v>2</v>
      </c>
      <c r="B3163">
        <v>1191007</v>
      </c>
      <c r="C3163">
        <v>8780</v>
      </c>
      <c r="D3163" s="4">
        <f>+VLOOKUP(A3163,Portfolio!$G$3:$I$6,3)</f>
        <v>1</v>
      </c>
      <c r="E3163">
        <f t="shared" si="49"/>
        <v>8780</v>
      </c>
    </row>
    <row r="3164" spans="1:5" x14ac:dyDescent="0.25">
      <c r="A3164" t="s">
        <v>2</v>
      </c>
      <c r="B3164">
        <v>1191008</v>
      </c>
      <c r="C3164">
        <v>9290</v>
      </c>
      <c r="D3164" s="4">
        <f>+VLOOKUP(A3164,Portfolio!$G$3:$I$6,3)</f>
        <v>1</v>
      </c>
      <c r="E3164">
        <f t="shared" si="49"/>
        <v>9290</v>
      </c>
    </row>
    <row r="3165" spans="1:5" x14ac:dyDescent="0.25">
      <c r="A3165" t="s">
        <v>2</v>
      </c>
      <c r="B3165">
        <v>1191009</v>
      </c>
      <c r="C3165">
        <v>10070</v>
      </c>
      <c r="D3165" s="4">
        <f>+VLOOKUP(A3165,Portfolio!$G$3:$I$6,3)</f>
        <v>1</v>
      </c>
      <c r="E3165">
        <f t="shared" si="49"/>
        <v>10070</v>
      </c>
    </row>
    <row r="3166" spans="1:5" x14ac:dyDescent="0.25">
      <c r="A3166" t="s">
        <v>2</v>
      </c>
      <c r="B3166">
        <v>1191010</v>
      </c>
      <c r="C3166">
        <v>9590</v>
      </c>
      <c r="D3166" s="4">
        <f>+VLOOKUP(A3166,Portfolio!$G$3:$I$6,3)</f>
        <v>1</v>
      </c>
      <c r="E3166">
        <f t="shared" si="49"/>
        <v>9590</v>
      </c>
    </row>
    <row r="3167" spans="1:5" x14ac:dyDescent="0.25">
      <c r="A3167" t="s">
        <v>2</v>
      </c>
      <c r="B3167">
        <v>1191011</v>
      </c>
      <c r="C3167">
        <v>9900</v>
      </c>
      <c r="D3167" s="4">
        <f>+VLOOKUP(A3167,Portfolio!$G$3:$I$6,3)</f>
        <v>1</v>
      </c>
      <c r="E3167">
        <f t="shared" si="49"/>
        <v>9900</v>
      </c>
    </row>
    <row r="3168" spans="1:5" x14ac:dyDescent="0.25">
      <c r="A3168" t="s">
        <v>2</v>
      </c>
      <c r="B3168">
        <v>1191013</v>
      </c>
      <c r="C3168">
        <v>9140</v>
      </c>
      <c r="D3168" s="4">
        <f>+VLOOKUP(A3168,Portfolio!$G$3:$I$6,3)</f>
        <v>1</v>
      </c>
      <c r="E3168">
        <f t="shared" si="49"/>
        <v>9140</v>
      </c>
    </row>
    <row r="3169" spans="1:5" x14ac:dyDescent="0.25">
      <c r="A3169" t="s">
        <v>2</v>
      </c>
      <c r="B3169">
        <v>1191014</v>
      </c>
      <c r="C3169">
        <v>8930</v>
      </c>
      <c r="D3169" s="4">
        <f>+VLOOKUP(A3169,Portfolio!$G$3:$I$6,3)</f>
        <v>1</v>
      </c>
      <c r="E3169">
        <f t="shared" si="49"/>
        <v>8930</v>
      </c>
    </row>
    <row r="3170" spans="1:5" x14ac:dyDescent="0.25">
      <c r="A3170" t="s">
        <v>2</v>
      </c>
      <c r="B3170">
        <v>1191015</v>
      </c>
      <c r="C3170">
        <v>8920</v>
      </c>
      <c r="D3170" s="4">
        <f>+VLOOKUP(A3170,Portfolio!$G$3:$I$6,3)</f>
        <v>1</v>
      </c>
      <c r="E3170">
        <f t="shared" si="49"/>
        <v>8920</v>
      </c>
    </row>
    <row r="3171" spans="1:5" x14ac:dyDescent="0.25">
      <c r="A3171" t="s">
        <v>2</v>
      </c>
      <c r="B3171">
        <v>1191016</v>
      </c>
      <c r="C3171">
        <v>7630</v>
      </c>
      <c r="D3171" s="4">
        <f>+VLOOKUP(A3171,Portfolio!$G$3:$I$6,3)</f>
        <v>1</v>
      </c>
      <c r="E3171">
        <f t="shared" si="49"/>
        <v>7630</v>
      </c>
    </row>
    <row r="3172" spans="1:5" x14ac:dyDescent="0.25">
      <c r="A3172" t="s">
        <v>2</v>
      </c>
      <c r="B3172">
        <v>1191017</v>
      </c>
      <c r="C3172">
        <v>7000</v>
      </c>
      <c r="D3172" s="4">
        <f>+VLOOKUP(A3172,Portfolio!$G$3:$I$6,3)</f>
        <v>1</v>
      </c>
      <c r="E3172">
        <f t="shared" si="49"/>
        <v>7000</v>
      </c>
    </row>
    <row r="3173" spans="1:5" x14ac:dyDescent="0.25">
      <c r="A3173" t="s">
        <v>2</v>
      </c>
      <c r="B3173">
        <v>1191018</v>
      </c>
      <c r="C3173">
        <v>6410</v>
      </c>
      <c r="D3173" s="4">
        <f>+VLOOKUP(A3173,Portfolio!$G$3:$I$6,3)</f>
        <v>1</v>
      </c>
      <c r="E3173">
        <f t="shared" si="49"/>
        <v>6410</v>
      </c>
    </row>
    <row r="3174" spans="1:5" x14ac:dyDescent="0.25">
      <c r="A3174" t="s">
        <v>2</v>
      </c>
      <c r="B3174">
        <v>1191020</v>
      </c>
      <c r="C3174">
        <v>5500</v>
      </c>
      <c r="D3174" s="4">
        <f>+VLOOKUP(A3174,Portfolio!$G$3:$I$6,3)</f>
        <v>1</v>
      </c>
      <c r="E3174">
        <f t="shared" si="49"/>
        <v>5500</v>
      </c>
    </row>
    <row r="3175" spans="1:5" x14ac:dyDescent="0.25">
      <c r="A3175" t="s">
        <v>2</v>
      </c>
      <c r="B3175">
        <v>1191021</v>
      </c>
      <c r="C3175">
        <v>5610</v>
      </c>
      <c r="D3175" s="4">
        <f>+VLOOKUP(A3175,Portfolio!$G$3:$I$6,3)</f>
        <v>1</v>
      </c>
      <c r="E3175">
        <f t="shared" si="49"/>
        <v>5610</v>
      </c>
    </row>
    <row r="3176" spans="1:5" x14ac:dyDescent="0.25">
      <c r="A3176" t="s">
        <v>2</v>
      </c>
      <c r="B3176">
        <v>1191022</v>
      </c>
      <c r="C3176">
        <v>5490</v>
      </c>
      <c r="D3176" s="4">
        <f>+VLOOKUP(A3176,Portfolio!$G$3:$I$6,3)</f>
        <v>1</v>
      </c>
      <c r="E3176">
        <f t="shared" si="49"/>
        <v>5490</v>
      </c>
    </row>
    <row r="3177" spans="1:5" x14ac:dyDescent="0.25">
      <c r="A3177" t="s">
        <v>2</v>
      </c>
      <c r="B3177">
        <v>1191023</v>
      </c>
      <c r="C3177">
        <v>5510</v>
      </c>
      <c r="D3177" s="4">
        <f>+VLOOKUP(A3177,Portfolio!$G$3:$I$6,3)</f>
        <v>1</v>
      </c>
      <c r="E3177">
        <f t="shared" si="49"/>
        <v>5510</v>
      </c>
    </row>
    <row r="3178" spans="1:5" x14ac:dyDescent="0.25">
      <c r="A3178" t="s">
        <v>2</v>
      </c>
      <c r="B3178">
        <v>1191024</v>
      </c>
      <c r="C3178">
        <v>5910</v>
      </c>
      <c r="D3178" s="4">
        <f>+VLOOKUP(A3178,Portfolio!$G$3:$I$6,3)</f>
        <v>1</v>
      </c>
      <c r="E3178">
        <f t="shared" si="49"/>
        <v>5910</v>
      </c>
    </row>
    <row r="3179" spans="1:5" x14ac:dyDescent="0.25">
      <c r="A3179" t="s">
        <v>2</v>
      </c>
      <c r="B3179">
        <v>1191025</v>
      </c>
      <c r="C3179">
        <v>6810</v>
      </c>
      <c r="D3179" s="4">
        <f>+VLOOKUP(A3179,Portfolio!$G$3:$I$6,3)</f>
        <v>1</v>
      </c>
      <c r="E3179">
        <f t="shared" si="49"/>
        <v>6810</v>
      </c>
    </row>
    <row r="3180" spans="1:5" x14ac:dyDescent="0.25">
      <c r="A3180" t="s">
        <v>2</v>
      </c>
      <c r="B3180">
        <v>1191027</v>
      </c>
      <c r="C3180">
        <v>8010</v>
      </c>
      <c r="D3180" s="4">
        <f>+VLOOKUP(A3180,Portfolio!$G$3:$I$6,3)</f>
        <v>1</v>
      </c>
      <c r="E3180">
        <f t="shared" si="49"/>
        <v>8010</v>
      </c>
    </row>
    <row r="3181" spans="1:5" x14ac:dyDescent="0.25">
      <c r="A3181" t="s">
        <v>2</v>
      </c>
      <c r="B3181">
        <v>1191028</v>
      </c>
      <c r="C3181">
        <v>8010</v>
      </c>
      <c r="D3181" s="4">
        <f>+VLOOKUP(A3181,Portfolio!$G$3:$I$6,3)</f>
        <v>1</v>
      </c>
      <c r="E3181">
        <f t="shared" si="49"/>
        <v>8010</v>
      </c>
    </row>
    <row r="3182" spans="1:5" x14ac:dyDescent="0.25">
      <c r="A3182" t="s">
        <v>2</v>
      </c>
      <c r="B3182">
        <v>1191029</v>
      </c>
      <c r="C3182">
        <v>9140</v>
      </c>
      <c r="D3182" s="4">
        <f>+VLOOKUP(A3182,Portfolio!$G$3:$I$6,3)</f>
        <v>1</v>
      </c>
      <c r="E3182">
        <f t="shared" si="49"/>
        <v>9140</v>
      </c>
    </row>
    <row r="3183" spans="1:5" x14ac:dyDescent="0.25">
      <c r="A3183" t="s">
        <v>2</v>
      </c>
      <c r="B3183">
        <v>1191030</v>
      </c>
      <c r="C3183">
        <v>9400</v>
      </c>
      <c r="D3183" s="4">
        <f>+VLOOKUP(A3183,Portfolio!$G$3:$I$6,3)</f>
        <v>1</v>
      </c>
      <c r="E3183">
        <f t="shared" si="49"/>
        <v>9400</v>
      </c>
    </row>
    <row r="3184" spans="1:5" x14ac:dyDescent="0.25">
      <c r="A3184" t="s">
        <v>2</v>
      </c>
      <c r="B3184">
        <v>1191031</v>
      </c>
      <c r="C3184">
        <v>10220</v>
      </c>
      <c r="D3184" s="4">
        <f>+VLOOKUP(A3184,Portfolio!$G$3:$I$6,3)</f>
        <v>1</v>
      </c>
      <c r="E3184">
        <f t="shared" si="49"/>
        <v>10220</v>
      </c>
    </row>
    <row r="3185" spans="1:5" x14ac:dyDescent="0.25">
      <c r="A3185" t="s">
        <v>2</v>
      </c>
      <c r="B3185">
        <v>1191101</v>
      </c>
      <c r="C3185">
        <v>11470</v>
      </c>
      <c r="D3185" s="4">
        <f>+VLOOKUP(A3185,Portfolio!$G$3:$I$6,3)</f>
        <v>1</v>
      </c>
      <c r="E3185">
        <f t="shared" si="49"/>
        <v>11470</v>
      </c>
    </row>
    <row r="3186" spans="1:5" x14ac:dyDescent="0.25">
      <c r="A3186" t="s">
        <v>2</v>
      </c>
      <c r="B3186">
        <v>1191103</v>
      </c>
      <c r="C3186">
        <v>10960</v>
      </c>
      <c r="D3186" s="4">
        <f>+VLOOKUP(A3186,Portfolio!$G$3:$I$6,3)</f>
        <v>1</v>
      </c>
      <c r="E3186">
        <f t="shared" si="49"/>
        <v>10960</v>
      </c>
    </row>
    <row r="3187" spans="1:5" x14ac:dyDescent="0.25">
      <c r="A3187" t="s">
        <v>2</v>
      </c>
      <c r="B3187">
        <v>1191104</v>
      </c>
      <c r="C3187">
        <v>11060</v>
      </c>
      <c r="D3187" s="4">
        <f>+VLOOKUP(A3187,Portfolio!$G$3:$I$6,3)</f>
        <v>1</v>
      </c>
      <c r="E3187">
        <f t="shared" si="49"/>
        <v>11060</v>
      </c>
    </row>
    <row r="3188" spans="1:5" x14ac:dyDescent="0.25">
      <c r="A3188" t="s">
        <v>2</v>
      </c>
      <c r="B3188">
        <v>1191105</v>
      </c>
      <c r="C3188">
        <v>9970</v>
      </c>
      <c r="D3188" s="4">
        <f>+VLOOKUP(A3188,Portfolio!$G$3:$I$6,3)</f>
        <v>1</v>
      </c>
      <c r="E3188">
        <f t="shared" si="49"/>
        <v>9970</v>
      </c>
    </row>
    <row r="3189" spans="1:5" x14ac:dyDescent="0.25">
      <c r="A3189" t="s">
        <v>2</v>
      </c>
      <c r="B3189">
        <v>1191106</v>
      </c>
      <c r="C3189">
        <v>11380</v>
      </c>
      <c r="D3189" s="4">
        <f>+VLOOKUP(A3189,Portfolio!$G$3:$I$6,3)</f>
        <v>1</v>
      </c>
      <c r="E3189">
        <f t="shared" si="49"/>
        <v>11380</v>
      </c>
    </row>
    <row r="3190" spans="1:5" x14ac:dyDescent="0.25">
      <c r="A3190" t="s">
        <v>2</v>
      </c>
      <c r="B3190">
        <v>1191107</v>
      </c>
      <c r="C3190">
        <v>10900</v>
      </c>
      <c r="D3190" s="4">
        <f>+VLOOKUP(A3190,Portfolio!$G$3:$I$6,3)</f>
        <v>1</v>
      </c>
      <c r="E3190">
        <f t="shared" si="49"/>
        <v>10900</v>
      </c>
    </row>
    <row r="3191" spans="1:5" x14ac:dyDescent="0.25">
      <c r="A3191" t="s">
        <v>2</v>
      </c>
      <c r="B3191">
        <v>1191108</v>
      </c>
      <c r="C3191">
        <v>11830</v>
      </c>
      <c r="D3191" s="4">
        <f>+VLOOKUP(A3191,Portfolio!$G$3:$I$6,3)</f>
        <v>1</v>
      </c>
      <c r="E3191">
        <f t="shared" si="49"/>
        <v>11830</v>
      </c>
    </row>
    <row r="3192" spans="1:5" x14ac:dyDescent="0.25">
      <c r="A3192" t="s">
        <v>2</v>
      </c>
      <c r="B3192">
        <v>1191110</v>
      </c>
      <c r="C3192">
        <v>12640</v>
      </c>
      <c r="D3192" s="4">
        <f>+VLOOKUP(A3192,Portfolio!$G$3:$I$6,3)</f>
        <v>1</v>
      </c>
      <c r="E3192">
        <f t="shared" si="49"/>
        <v>12640</v>
      </c>
    </row>
    <row r="3193" spans="1:5" x14ac:dyDescent="0.25">
      <c r="A3193" t="s">
        <v>2</v>
      </c>
      <c r="B3193">
        <v>1191111</v>
      </c>
      <c r="C3193">
        <v>12490</v>
      </c>
      <c r="D3193" s="4">
        <f>+VLOOKUP(A3193,Portfolio!$G$3:$I$6,3)</f>
        <v>1</v>
      </c>
      <c r="E3193">
        <f t="shared" si="49"/>
        <v>12490</v>
      </c>
    </row>
    <row r="3194" spans="1:5" x14ac:dyDescent="0.25">
      <c r="A3194" t="s">
        <v>2</v>
      </c>
      <c r="B3194">
        <v>1191112</v>
      </c>
      <c r="C3194">
        <v>12300</v>
      </c>
      <c r="D3194" s="4">
        <f>+VLOOKUP(A3194,Portfolio!$G$3:$I$6,3)</f>
        <v>1</v>
      </c>
      <c r="E3194">
        <f t="shared" si="49"/>
        <v>12300</v>
      </c>
    </row>
    <row r="3195" spans="1:5" x14ac:dyDescent="0.25">
      <c r="A3195" t="s">
        <v>2</v>
      </c>
      <c r="B3195">
        <v>1191113</v>
      </c>
      <c r="C3195">
        <v>12690</v>
      </c>
      <c r="D3195" s="4">
        <f>+VLOOKUP(A3195,Portfolio!$G$3:$I$6,3)</f>
        <v>1</v>
      </c>
      <c r="E3195">
        <f t="shared" si="49"/>
        <v>12690</v>
      </c>
    </row>
    <row r="3196" spans="1:5" x14ac:dyDescent="0.25">
      <c r="A3196" t="s">
        <v>2</v>
      </c>
      <c r="B3196">
        <v>1191114</v>
      </c>
      <c r="C3196">
        <v>12840</v>
      </c>
      <c r="D3196" s="4">
        <f>+VLOOKUP(A3196,Portfolio!$G$3:$I$6,3)</f>
        <v>1</v>
      </c>
      <c r="E3196">
        <f t="shared" si="49"/>
        <v>12840</v>
      </c>
    </row>
    <row r="3197" spans="1:5" x14ac:dyDescent="0.25">
      <c r="A3197" t="s">
        <v>2</v>
      </c>
      <c r="B3197">
        <v>1191115</v>
      </c>
      <c r="C3197">
        <v>13200</v>
      </c>
      <c r="D3197" s="4">
        <f>+VLOOKUP(A3197,Portfolio!$G$3:$I$6,3)</f>
        <v>1</v>
      </c>
      <c r="E3197">
        <f t="shared" si="49"/>
        <v>13200</v>
      </c>
    </row>
    <row r="3198" spans="1:5" x14ac:dyDescent="0.25">
      <c r="A3198" t="s">
        <v>2</v>
      </c>
      <c r="B3198">
        <v>1191117</v>
      </c>
      <c r="C3198">
        <v>12920</v>
      </c>
      <c r="D3198" s="4">
        <f>+VLOOKUP(A3198,Portfolio!$G$3:$I$6,3)</f>
        <v>1</v>
      </c>
      <c r="E3198">
        <f t="shared" si="49"/>
        <v>12920</v>
      </c>
    </row>
    <row r="3199" spans="1:5" x14ac:dyDescent="0.25">
      <c r="A3199" t="s">
        <v>2</v>
      </c>
      <c r="B3199">
        <v>1191118</v>
      </c>
      <c r="C3199">
        <v>12640</v>
      </c>
      <c r="D3199" s="4">
        <f>+VLOOKUP(A3199,Portfolio!$G$3:$I$6,3)</f>
        <v>1</v>
      </c>
      <c r="E3199">
        <f t="shared" si="49"/>
        <v>12640</v>
      </c>
    </row>
    <row r="3200" spans="1:5" x14ac:dyDescent="0.25">
      <c r="A3200" t="s">
        <v>2</v>
      </c>
      <c r="B3200">
        <v>1191119</v>
      </c>
      <c r="C3200">
        <v>10680</v>
      </c>
      <c r="D3200" s="4">
        <f>+VLOOKUP(A3200,Portfolio!$G$3:$I$6,3)</f>
        <v>1</v>
      </c>
      <c r="E3200">
        <f t="shared" si="49"/>
        <v>10680</v>
      </c>
    </row>
    <row r="3201" spans="1:5" x14ac:dyDescent="0.25">
      <c r="A3201" t="s">
        <v>2</v>
      </c>
      <c r="B3201">
        <v>1191120</v>
      </c>
      <c r="C3201">
        <v>10340</v>
      </c>
      <c r="D3201" s="4">
        <f>+VLOOKUP(A3201,Portfolio!$G$3:$I$6,3)</f>
        <v>1</v>
      </c>
      <c r="E3201">
        <f t="shared" si="49"/>
        <v>10340</v>
      </c>
    </row>
    <row r="3202" spans="1:5" x14ac:dyDescent="0.25">
      <c r="A3202" t="s">
        <v>2</v>
      </c>
      <c r="B3202">
        <v>1191121</v>
      </c>
      <c r="C3202">
        <v>10580</v>
      </c>
      <c r="D3202" s="4">
        <f>+VLOOKUP(A3202,Portfolio!$G$3:$I$6,3)</f>
        <v>1</v>
      </c>
      <c r="E3202">
        <f t="shared" si="49"/>
        <v>10580</v>
      </c>
    </row>
    <row r="3203" spans="1:5" x14ac:dyDescent="0.25">
      <c r="A3203" t="s">
        <v>2</v>
      </c>
      <c r="B3203">
        <v>1191122</v>
      </c>
      <c r="C3203">
        <v>10910</v>
      </c>
      <c r="D3203" s="4">
        <f>+VLOOKUP(A3203,Portfolio!$G$3:$I$6,3)</f>
        <v>1</v>
      </c>
      <c r="E3203">
        <f t="shared" ref="E3203:E3266" si="50">+C3203*D3203</f>
        <v>10910</v>
      </c>
    </row>
    <row r="3204" spans="1:5" x14ac:dyDescent="0.25">
      <c r="A3204" t="s">
        <v>2</v>
      </c>
      <c r="B3204">
        <v>1191124</v>
      </c>
      <c r="C3204">
        <v>10060</v>
      </c>
      <c r="D3204" s="4">
        <f>+VLOOKUP(A3204,Portfolio!$G$3:$I$6,3)</f>
        <v>1</v>
      </c>
      <c r="E3204">
        <f t="shared" si="50"/>
        <v>10060</v>
      </c>
    </row>
    <row r="3205" spans="1:5" x14ac:dyDescent="0.25">
      <c r="A3205" t="s">
        <v>2</v>
      </c>
      <c r="B3205">
        <v>1191125</v>
      </c>
      <c r="C3205">
        <v>10180</v>
      </c>
      <c r="D3205" s="4">
        <f>+VLOOKUP(A3205,Portfolio!$G$3:$I$6,3)</f>
        <v>1</v>
      </c>
      <c r="E3205">
        <f t="shared" si="50"/>
        <v>10180</v>
      </c>
    </row>
    <row r="3206" spans="1:5" x14ac:dyDescent="0.25">
      <c r="A3206" t="s">
        <v>2</v>
      </c>
      <c r="B3206">
        <v>1191126</v>
      </c>
      <c r="C3206">
        <v>10020</v>
      </c>
      <c r="D3206" s="4">
        <f>+VLOOKUP(A3206,Portfolio!$G$3:$I$6,3)</f>
        <v>1</v>
      </c>
      <c r="E3206">
        <f t="shared" si="50"/>
        <v>10020</v>
      </c>
    </row>
    <row r="3207" spans="1:5" x14ac:dyDescent="0.25">
      <c r="A3207" t="s">
        <v>2</v>
      </c>
      <c r="B3207">
        <v>1191127</v>
      </c>
      <c r="C3207">
        <v>8770</v>
      </c>
      <c r="D3207" s="4">
        <f>+VLOOKUP(A3207,Portfolio!$G$3:$I$6,3)</f>
        <v>1</v>
      </c>
      <c r="E3207">
        <f t="shared" si="50"/>
        <v>8770</v>
      </c>
    </row>
    <row r="3208" spans="1:5" x14ac:dyDescent="0.25">
      <c r="A3208" t="s">
        <v>2</v>
      </c>
      <c r="B3208">
        <v>1191128</v>
      </c>
      <c r="C3208">
        <v>9300</v>
      </c>
      <c r="D3208" s="4">
        <f>+VLOOKUP(A3208,Portfolio!$G$3:$I$6,3)</f>
        <v>1</v>
      </c>
      <c r="E3208">
        <f t="shared" si="50"/>
        <v>9300</v>
      </c>
    </row>
    <row r="3209" spans="1:5" x14ac:dyDescent="0.25">
      <c r="A3209" t="s">
        <v>2</v>
      </c>
      <c r="B3209">
        <v>1191129</v>
      </c>
      <c r="C3209">
        <v>9020</v>
      </c>
      <c r="D3209" s="4">
        <f>+VLOOKUP(A3209,Portfolio!$G$3:$I$6,3)</f>
        <v>1</v>
      </c>
      <c r="E3209">
        <f t="shared" si="50"/>
        <v>9020</v>
      </c>
    </row>
    <row r="3210" spans="1:5" x14ac:dyDescent="0.25">
      <c r="A3210" t="s">
        <v>2</v>
      </c>
      <c r="B3210">
        <v>1191201</v>
      </c>
      <c r="C3210">
        <v>8440</v>
      </c>
      <c r="D3210" s="4">
        <f>+VLOOKUP(A3210,Portfolio!$G$3:$I$6,3)</f>
        <v>1</v>
      </c>
      <c r="E3210">
        <f t="shared" si="50"/>
        <v>8440</v>
      </c>
    </row>
    <row r="3211" spans="1:5" x14ac:dyDescent="0.25">
      <c r="A3211" t="s">
        <v>2</v>
      </c>
      <c r="B3211">
        <v>1191202</v>
      </c>
      <c r="C3211">
        <v>8440</v>
      </c>
      <c r="D3211" s="4">
        <f>+VLOOKUP(A3211,Portfolio!$G$3:$I$6,3)</f>
        <v>1</v>
      </c>
      <c r="E3211">
        <f t="shared" si="50"/>
        <v>8440</v>
      </c>
    </row>
    <row r="3212" spans="1:5" x14ac:dyDescent="0.25">
      <c r="A3212" t="s">
        <v>2</v>
      </c>
      <c r="B3212">
        <v>1191203</v>
      </c>
      <c r="C3212">
        <v>8450</v>
      </c>
      <c r="D3212" s="4">
        <f>+VLOOKUP(A3212,Portfolio!$G$3:$I$6,3)</f>
        <v>1</v>
      </c>
      <c r="E3212">
        <f t="shared" si="50"/>
        <v>8450</v>
      </c>
    </row>
    <row r="3213" spans="1:5" x14ac:dyDescent="0.25">
      <c r="A3213" t="s">
        <v>2</v>
      </c>
      <c r="B3213">
        <v>1191204</v>
      </c>
      <c r="C3213">
        <v>10210</v>
      </c>
      <c r="D3213" s="4">
        <f>+VLOOKUP(A3213,Portfolio!$G$3:$I$6,3)</f>
        <v>1</v>
      </c>
      <c r="E3213">
        <f t="shared" si="50"/>
        <v>10210</v>
      </c>
    </row>
    <row r="3214" spans="1:5" x14ac:dyDescent="0.25">
      <c r="A3214" t="s">
        <v>2</v>
      </c>
      <c r="B3214">
        <v>1191205</v>
      </c>
      <c r="C3214">
        <v>10540</v>
      </c>
      <c r="D3214" s="4">
        <f>+VLOOKUP(A3214,Portfolio!$G$3:$I$6,3)</f>
        <v>1</v>
      </c>
      <c r="E3214">
        <f t="shared" si="50"/>
        <v>10540</v>
      </c>
    </row>
    <row r="3215" spans="1:5" x14ac:dyDescent="0.25">
      <c r="A3215" t="s">
        <v>2</v>
      </c>
      <c r="B3215">
        <v>1191206</v>
      </c>
      <c r="C3215">
        <v>10080</v>
      </c>
      <c r="D3215" s="4">
        <f>+VLOOKUP(A3215,Portfolio!$G$3:$I$6,3)</f>
        <v>1</v>
      </c>
      <c r="E3215">
        <f t="shared" si="50"/>
        <v>10080</v>
      </c>
    </row>
    <row r="3216" spans="1:5" x14ac:dyDescent="0.25">
      <c r="A3216" t="s">
        <v>2</v>
      </c>
      <c r="B3216">
        <v>1191208</v>
      </c>
      <c r="C3216">
        <v>10710</v>
      </c>
      <c r="D3216" s="4">
        <f>+VLOOKUP(A3216,Portfolio!$G$3:$I$6,3)</f>
        <v>1</v>
      </c>
      <c r="E3216">
        <f t="shared" si="50"/>
        <v>10710</v>
      </c>
    </row>
    <row r="3217" spans="1:5" x14ac:dyDescent="0.25">
      <c r="A3217" t="s">
        <v>2</v>
      </c>
      <c r="B3217">
        <v>1191209</v>
      </c>
      <c r="C3217">
        <v>10680</v>
      </c>
      <c r="D3217" s="4">
        <f>+VLOOKUP(A3217,Portfolio!$G$3:$I$6,3)</f>
        <v>1</v>
      </c>
      <c r="E3217">
        <f t="shared" si="50"/>
        <v>10680</v>
      </c>
    </row>
    <row r="3218" spans="1:5" x14ac:dyDescent="0.25">
      <c r="A3218" t="s">
        <v>2</v>
      </c>
      <c r="B3218">
        <v>1191210</v>
      </c>
      <c r="C3218">
        <v>10260</v>
      </c>
      <c r="D3218" s="4">
        <f>+VLOOKUP(A3218,Portfolio!$G$3:$I$6,3)</f>
        <v>1</v>
      </c>
      <c r="E3218">
        <f t="shared" si="50"/>
        <v>10260</v>
      </c>
    </row>
    <row r="3219" spans="1:5" x14ac:dyDescent="0.25">
      <c r="A3219" t="s">
        <v>2</v>
      </c>
      <c r="B3219">
        <v>1191211</v>
      </c>
      <c r="C3219">
        <v>10490</v>
      </c>
      <c r="D3219" s="4">
        <f>+VLOOKUP(A3219,Portfolio!$G$3:$I$6,3)</f>
        <v>1</v>
      </c>
      <c r="E3219">
        <f t="shared" si="50"/>
        <v>10490</v>
      </c>
    </row>
    <row r="3220" spans="1:5" x14ac:dyDescent="0.25">
      <c r="A3220" t="s">
        <v>2</v>
      </c>
      <c r="B3220">
        <v>1191212</v>
      </c>
      <c r="C3220">
        <v>11580</v>
      </c>
      <c r="D3220" s="4">
        <f>+VLOOKUP(A3220,Portfolio!$G$3:$I$6,3)</f>
        <v>1</v>
      </c>
      <c r="E3220">
        <f t="shared" si="50"/>
        <v>11580</v>
      </c>
    </row>
    <row r="3221" spans="1:5" x14ac:dyDescent="0.25">
      <c r="A3221" t="s">
        <v>2</v>
      </c>
      <c r="B3221">
        <v>1191213</v>
      </c>
      <c r="C3221">
        <v>10990</v>
      </c>
      <c r="D3221" s="4">
        <f>+VLOOKUP(A3221,Portfolio!$G$3:$I$6,3)</f>
        <v>1</v>
      </c>
      <c r="E3221">
        <f t="shared" si="50"/>
        <v>10990</v>
      </c>
    </row>
    <row r="3222" spans="1:5" x14ac:dyDescent="0.25">
      <c r="A3222" t="s">
        <v>2</v>
      </c>
      <c r="B3222">
        <v>1191215</v>
      </c>
      <c r="C3222">
        <v>11080</v>
      </c>
      <c r="D3222" s="4">
        <f>+VLOOKUP(A3222,Portfolio!$G$3:$I$6,3)</f>
        <v>1</v>
      </c>
      <c r="E3222">
        <f t="shared" si="50"/>
        <v>11080</v>
      </c>
    </row>
    <row r="3223" spans="1:5" x14ac:dyDescent="0.25">
      <c r="A3223" t="s">
        <v>2</v>
      </c>
      <c r="B3223">
        <v>1191216</v>
      </c>
      <c r="C3223">
        <v>11180</v>
      </c>
      <c r="D3223" s="4">
        <f>+VLOOKUP(A3223,Portfolio!$G$3:$I$6,3)</f>
        <v>1</v>
      </c>
      <c r="E3223">
        <f t="shared" si="50"/>
        <v>11180</v>
      </c>
    </row>
    <row r="3224" spans="1:5" x14ac:dyDescent="0.25">
      <c r="A3224" t="s">
        <v>2</v>
      </c>
      <c r="B3224">
        <v>1191217</v>
      </c>
      <c r="C3224">
        <v>11250</v>
      </c>
      <c r="D3224" s="4">
        <f>+VLOOKUP(A3224,Portfolio!$G$3:$I$6,3)</f>
        <v>1</v>
      </c>
      <c r="E3224">
        <f t="shared" si="50"/>
        <v>11250</v>
      </c>
    </row>
    <row r="3225" spans="1:5" x14ac:dyDescent="0.25">
      <c r="A3225" t="s">
        <v>2</v>
      </c>
      <c r="B3225">
        <v>1191218</v>
      </c>
      <c r="C3225">
        <v>10950</v>
      </c>
      <c r="D3225" s="4">
        <f>+VLOOKUP(A3225,Portfolio!$G$3:$I$6,3)</f>
        <v>1</v>
      </c>
      <c r="E3225">
        <f t="shared" si="50"/>
        <v>10950</v>
      </c>
    </row>
    <row r="3226" spans="1:5" x14ac:dyDescent="0.25">
      <c r="A3226" t="s">
        <v>2</v>
      </c>
      <c r="B3226">
        <v>1191219</v>
      </c>
      <c r="C3226">
        <v>10440</v>
      </c>
      <c r="D3226" s="4">
        <f>+VLOOKUP(A3226,Portfolio!$G$3:$I$6,3)</f>
        <v>1</v>
      </c>
      <c r="E3226">
        <f t="shared" si="50"/>
        <v>10440</v>
      </c>
    </row>
    <row r="3227" spans="1:5" x14ac:dyDescent="0.25">
      <c r="A3227" t="s">
        <v>2</v>
      </c>
      <c r="B3227">
        <v>1191220</v>
      </c>
      <c r="C3227">
        <v>10320</v>
      </c>
      <c r="D3227" s="4">
        <f>+VLOOKUP(A3227,Portfolio!$G$3:$I$6,3)</f>
        <v>1</v>
      </c>
      <c r="E3227">
        <f t="shared" si="50"/>
        <v>10320</v>
      </c>
    </row>
    <row r="3228" spans="1:5" x14ac:dyDescent="0.25">
      <c r="A3228" t="s">
        <v>2</v>
      </c>
      <c r="B3228">
        <v>1191222</v>
      </c>
      <c r="C3228">
        <v>10100</v>
      </c>
      <c r="D3228" s="4">
        <f>+VLOOKUP(A3228,Portfolio!$G$3:$I$6,3)</f>
        <v>1</v>
      </c>
      <c r="E3228">
        <f t="shared" si="50"/>
        <v>10100</v>
      </c>
    </row>
    <row r="3229" spans="1:5" x14ac:dyDescent="0.25">
      <c r="A3229" t="s">
        <v>2</v>
      </c>
      <c r="B3229">
        <v>1191223</v>
      </c>
      <c r="C3229">
        <v>10340</v>
      </c>
      <c r="D3229" s="4">
        <f>+VLOOKUP(A3229,Portfolio!$G$3:$I$6,3)</f>
        <v>1</v>
      </c>
      <c r="E3229">
        <f t="shared" si="50"/>
        <v>10340</v>
      </c>
    </row>
    <row r="3230" spans="1:5" x14ac:dyDescent="0.25">
      <c r="A3230" t="s">
        <v>2</v>
      </c>
      <c r="B3230">
        <v>1191224</v>
      </c>
      <c r="C3230">
        <v>10540</v>
      </c>
      <c r="D3230" s="4">
        <f>+VLOOKUP(A3230,Portfolio!$G$3:$I$6,3)</f>
        <v>1</v>
      </c>
      <c r="E3230">
        <f t="shared" si="50"/>
        <v>10540</v>
      </c>
    </row>
    <row r="3231" spans="1:5" x14ac:dyDescent="0.25">
      <c r="A3231" t="s">
        <v>2</v>
      </c>
      <c r="B3231">
        <v>1191225</v>
      </c>
      <c r="C3231">
        <v>11360</v>
      </c>
      <c r="D3231" s="4">
        <f>+VLOOKUP(A3231,Portfolio!$G$3:$I$6,3)</f>
        <v>1</v>
      </c>
      <c r="E3231">
        <f t="shared" si="50"/>
        <v>11360</v>
      </c>
    </row>
    <row r="3232" spans="1:5" x14ac:dyDescent="0.25">
      <c r="A3232" t="s">
        <v>2</v>
      </c>
      <c r="B3232">
        <v>1191226</v>
      </c>
      <c r="C3232">
        <v>11710</v>
      </c>
      <c r="D3232" s="4">
        <f>+VLOOKUP(A3232,Portfolio!$G$3:$I$6,3)</f>
        <v>1</v>
      </c>
      <c r="E3232">
        <f t="shared" si="50"/>
        <v>11710</v>
      </c>
    </row>
    <row r="3233" spans="1:5" x14ac:dyDescent="0.25">
      <c r="A3233" t="s">
        <v>2</v>
      </c>
      <c r="B3233">
        <v>1191227</v>
      </c>
      <c r="C3233">
        <v>12200</v>
      </c>
      <c r="D3233" s="4">
        <f>+VLOOKUP(A3233,Portfolio!$G$3:$I$6,3)</f>
        <v>1</v>
      </c>
      <c r="E3233">
        <f t="shared" si="50"/>
        <v>12200</v>
      </c>
    </row>
    <row r="3234" spans="1:5" x14ac:dyDescent="0.25">
      <c r="A3234" t="s">
        <v>2</v>
      </c>
      <c r="B3234">
        <v>1191229</v>
      </c>
      <c r="C3234">
        <v>12200</v>
      </c>
      <c r="D3234" s="4">
        <f>+VLOOKUP(A3234,Portfolio!$G$3:$I$6,3)</f>
        <v>1</v>
      </c>
      <c r="E3234">
        <f t="shared" si="50"/>
        <v>12200</v>
      </c>
    </row>
    <row r="3235" spans="1:5" x14ac:dyDescent="0.25">
      <c r="A3235" t="s">
        <v>2</v>
      </c>
      <c r="B3235">
        <v>1191230</v>
      </c>
      <c r="C3235">
        <v>12200</v>
      </c>
      <c r="D3235" s="4">
        <f>+VLOOKUP(A3235,Portfolio!$G$3:$I$6,3)</f>
        <v>1</v>
      </c>
      <c r="E3235">
        <f t="shared" si="50"/>
        <v>12200</v>
      </c>
    </row>
    <row r="3236" spans="1:5" x14ac:dyDescent="0.25">
      <c r="A3236" t="s">
        <v>2</v>
      </c>
      <c r="B3236">
        <v>1191231</v>
      </c>
      <c r="C3236">
        <v>11100</v>
      </c>
      <c r="D3236" s="4">
        <f>+VLOOKUP(A3236,Portfolio!$G$3:$I$6,3)</f>
        <v>1</v>
      </c>
      <c r="E3236">
        <f t="shared" si="50"/>
        <v>11100</v>
      </c>
    </row>
    <row r="3237" spans="1:5" x14ac:dyDescent="0.25">
      <c r="A3237" t="s">
        <v>2</v>
      </c>
      <c r="B3237">
        <v>1200101</v>
      </c>
      <c r="C3237">
        <v>11480</v>
      </c>
      <c r="D3237" s="4">
        <f>+VLOOKUP(A3237,Portfolio!$G$3:$I$6,3)</f>
        <v>1</v>
      </c>
      <c r="E3237">
        <f t="shared" si="50"/>
        <v>11480</v>
      </c>
    </row>
    <row r="3238" spans="1:5" x14ac:dyDescent="0.25">
      <c r="A3238" t="s">
        <v>2</v>
      </c>
      <c r="B3238">
        <v>1200102</v>
      </c>
      <c r="C3238">
        <v>11390</v>
      </c>
      <c r="D3238" s="4">
        <f>+VLOOKUP(A3238,Portfolio!$G$3:$I$6,3)</f>
        <v>1</v>
      </c>
      <c r="E3238">
        <f t="shared" si="50"/>
        <v>11390</v>
      </c>
    </row>
    <row r="3239" spans="1:5" x14ac:dyDescent="0.25">
      <c r="A3239" t="s">
        <v>2</v>
      </c>
      <c r="B3239">
        <v>1200103</v>
      </c>
      <c r="C3239">
        <v>12920</v>
      </c>
      <c r="D3239" s="4">
        <f>+VLOOKUP(A3239,Portfolio!$G$3:$I$6,3)</f>
        <v>1</v>
      </c>
      <c r="E3239">
        <f t="shared" si="50"/>
        <v>12920</v>
      </c>
    </row>
    <row r="3240" spans="1:5" x14ac:dyDescent="0.25">
      <c r="A3240" t="s">
        <v>2</v>
      </c>
      <c r="B3240">
        <v>1200105</v>
      </c>
      <c r="C3240">
        <v>15940</v>
      </c>
      <c r="D3240" s="4">
        <f>+VLOOKUP(A3240,Portfolio!$G$3:$I$6,3)</f>
        <v>1</v>
      </c>
      <c r="E3240">
        <f t="shared" si="50"/>
        <v>15940</v>
      </c>
    </row>
    <row r="3241" spans="1:5" x14ac:dyDescent="0.25">
      <c r="A3241" t="s">
        <v>2</v>
      </c>
      <c r="B3241">
        <v>1200106</v>
      </c>
      <c r="C3241">
        <v>16620</v>
      </c>
      <c r="D3241" s="4">
        <f>+VLOOKUP(A3241,Portfolio!$G$3:$I$6,3)</f>
        <v>1</v>
      </c>
      <c r="E3241">
        <f t="shared" si="50"/>
        <v>16620</v>
      </c>
    </row>
    <row r="3242" spans="1:5" x14ac:dyDescent="0.25">
      <c r="A3242" t="s">
        <v>2</v>
      </c>
      <c r="B3242">
        <v>1200107</v>
      </c>
      <c r="C3242">
        <v>16270</v>
      </c>
      <c r="D3242" s="4">
        <f>+VLOOKUP(A3242,Portfolio!$G$3:$I$6,3)</f>
        <v>1</v>
      </c>
      <c r="E3242">
        <f t="shared" si="50"/>
        <v>16270</v>
      </c>
    </row>
    <row r="3243" spans="1:5" x14ac:dyDescent="0.25">
      <c r="A3243" t="s">
        <v>2</v>
      </c>
      <c r="B3243">
        <v>1200108</v>
      </c>
      <c r="C3243">
        <v>16270</v>
      </c>
      <c r="D3243" s="4">
        <f>+VLOOKUP(A3243,Portfolio!$G$3:$I$6,3)</f>
        <v>1</v>
      </c>
      <c r="E3243">
        <f t="shared" si="50"/>
        <v>16270</v>
      </c>
    </row>
    <row r="3244" spans="1:5" x14ac:dyDescent="0.25">
      <c r="A3244" t="s">
        <v>2</v>
      </c>
      <c r="B3244">
        <v>1200109</v>
      </c>
      <c r="C3244">
        <v>18460</v>
      </c>
      <c r="D3244" s="4">
        <f>+VLOOKUP(A3244,Portfolio!$G$3:$I$6,3)</f>
        <v>1</v>
      </c>
      <c r="E3244">
        <f t="shared" si="50"/>
        <v>18460</v>
      </c>
    </row>
    <row r="3245" spans="1:5" x14ac:dyDescent="0.25">
      <c r="A3245" t="s">
        <v>2</v>
      </c>
      <c r="B3245">
        <v>1200110</v>
      </c>
      <c r="C3245">
        <v>19550</v>
      </c>
      <c r="D3245" s="4">
        <f>+VLOOKUP(A3245,Portfolio!$G$3:$I$6,3)</f>
        <v>1</v>
      </c>
      <c r="E3245">
        <f t="shared" si="50"/>
        <v>19550</v>
      </c>
    </row>
    <row r="3246" spans="1:5" x14ac:dyDescent="0.25">
      <c r="A3246" t="s">
        <v>2</v>
      </c>
      <c r="B3246">
        <v>1200112</v>
      </c>
      <c r="C3246">
        <v>20210</v>
      </c>
      <c r="D3246" s="4">
        <f>+VLOOKUP(A3246,Portfolio!$G$3:$I$6,3)</f>
        <v>1</v>
      </c>
      <c r="E3246">
        <f t="shared" si="50"/>
        <v>20210</v>
      </c>
    </row>
    <row r="3247" spans="1:5" x14ac:dyDescent="0.25">
      <c r="A3247" t="s">
        <v>2</v>
      </c>
      <c r="B3247">
        <v>1200113</v>
      </c>
      <c r="C3247">
        <v>19850</v>
      </c>
      <c r="D3247" s="4">
        <f>+VLOOKUP(A3247,Portfolio!$G$3:$I$6,3)</f>
        <v>1</v>
      </c>
      <c r="E3247">
        <f t="shared" si="50"/>
        <v>19850</v>
      </c>
    </row>
    <row r="3248" spans="1:5" x14ac:dyDescent="0.25">
      <c r="A3248" t="s">
        <v>2</v>
      </c>
      <c r="B3248">
        <v>1200114</v>
      </c>
      <c r="C3248">
        <v>20370</v>
      </c>
      <c r="D3248" s="4">
        <f>+VLOOKUP(A3248,Portfolio!$G$3:$I$6,3)</f>
        <v>1</v>
      </c>
      <c r="E3248">
        <f t="shared" si="50"/>
        <v>20370</v>
      </c>
    </row>
    <row r="3249" spans="1:5" x14ac:dyDescent="0.25">
      <c r="A3249" t="s">
        <v>2</v>
      </c>
      <c r="B3249">
        <v>1200115</v>
      </c>
      <c r="C3249">
        <v>20350</v>
      </c>
      <c r="D3249" s="4">
        <f>+VLOOKUP(A3249,Portfolio!$G$3:$I$6,3)</f>
        <v>1</v>
      </c>
      <c r="E3249">
        <f t="shared" si="50"/>
        <v>20350</v>
      </c>
    </row>
    <row r="3250" spans="1:5" x14ac:dyDescent="0.25">
      <c r="A3250" t="s">
        <v>2</v>
      </c>
      <c r="B3250">
        <v>1200116</v>
      </c>
      <c r="C3250">
        <v>19900</v>
      </c>
      <c r="D3250" s="4">
        <f>+VLOOKUP(A3250,Portfolio!$G$3:$I$6,3)</f>
        <v>1</v>
      </c>
      <c r="E3250">
        <f t="shared" si="50"/>
        <v>19900</v>
      </c>
    </row>
    <row r="3251" spans="1:5" x14ac:dyDescent="0.25">
      <c r="A3251" t="s">
        <v>2</v>
      </c>
      <c r="B3251">
        <v>1200117</v>
      </c>
      <c r="C3251">
        <v>19700</v>
      </c>
      <c r="D3251" s="4">
        <f>+VLOOKUP(A3251,Portfolio!$G$3:$I$6,3)</f>
        <v>1</v>
      </c>
      <c r="E3251">
        <f t="shared" si="50"/>
        <v>19700</v>
      </c>
    </row>
    <row r="3252" spans="1:5" x14ac:dyDescent="0.25">
      <c r="A3252" t="s">
        <v>2</v>
      </c>
      <c r="B3252">
        <v>1200119</v>
      </c>
      <c r="C3252">
        <v>19700</v>
      </c>
      <c r="D3252" s="4">
        <f>+VLOOKUP(A3252,Portfolio!$G$3:$I$6,3)</f>
        <v>1</v>
      </c>
      <c r="E3252">
        <f t="shared" si="50"/>
        <v>19700</v>
      </c>
    </row>
    <row r="3253" spans="1:5" x14ac:dyDescent="0.25">
      <c r="A3253" t="s">
        <v>2</v>
      </c>
      <c r="B3253">
        <v>1200120</v>
      </c>
      <c r="C3253">
        <v>19950</v>
      </c>
      <c r="D3253" s="4">
        <f>+VLOOKUP(A3253,Portfolio!$G$3:$I$6,3)</f>
        <v>1</v>
      </c>
      <c r="E3253">
        <f t="shared" si="50"/>
        <v>19950</v>
      </c>
    </row>
    <row r="3254" spans="1:5" x14ac:dyDescent="0.25">
      <c r="A3254" t="s">
        <v>2</v>
      </c>
      <c r="B3254">
        <v>1200121</v>
      </c>
      <c r="C3254">
        <v>19940</v>
      </c>
      <c r="D3254" s="4">
        <f>+VLOOKUP(A3254,Portfolio!$G$3:$I$6,3)</f>
        <v>1</v>
      </c>
      <c r="E3254">
        <f t="shared" si="50"/>
        <v>19940</v>
      </c>
    </row>
    <row r="3255" spans="1:5" x14ac:dyDescent="0.25">
      <c r="A3255" t="s">
        <v>2</v>
      </c>
      <c r="B3255">
        <v>1200122</v>
      </c>
      <c r="C3255">
        <v>19900</v>
      </c>
      <c r="D3255" s="4">
        <f>+VLOOKUP(A3255,Portfolio!$G$3:$I$6,3)</f>
        <v>1</v>
      </c>
      <c r="E3255">
        <f t="shared" si="50"/>
        <v>19900</v>
      </c>
    </row>
    <row r="3256" spans="1:5" x14ac:dyDescent="0.25">
      <c r="A3256" t="s">
        <v>2</v>
      </c>
      <c r="B3256">
        <v>1200123</v>
      </c>
      <c r="C3256">
        <v>19730</v>
      </c>
      <c r="D3256" s="4">
        <f>+VLOOKUP(A3256,Portfolio!$G$3:$I$6,3)</f>
        <v>1</v>
      </c>
      <c r="E3256">
        <f t="shared" si="50"/>
        <v>19730</v>
      </c>
    </row>
    <row r="3257" spans="1:5" x14ac:dyDescent="0.25">
      <c r="A3257" t="s">
        <v>2</v>
      </c>
      <c r="B3257">
        <v>1200124</v>
      </c>
      <c r="C3257">
        <v>18590</v>
      </c>
      <c r="D3257" s="4">
        <f>+VLOOKUP(A3257,Portfolio!$G$3:$I$6,3)</f>
        <v>1</v>
      </c>
      <c r="E3257">
        <f t="shared" si="50"/>
        <v>18590</v>
      </c>
    </row>
    <row r="3258" spans="1:5" x14ac:dyDescent="0.25">
      <c r="A3258" t="s">
        <v>2</v>
      </c>
      <c r="B3258">
        <v>1200126</v>
      </c>
      <c r="C3258">
        <v>19390</v>
      </c>
      <c r="D3258" s="4">
        <f>+VLOOKUP(A3258,Portfolio!$G$3:$I$6,3)</f>
        <v>1</v>
      </c>
      <c r="E3258">
        <f t="shared" si="50"/>
        <v>19390</v>
      </c>
    </row>
    <row r="3259" spans="1:5" x14ac:dyDescent="0.25">
      <c r="A3259" t="s">
        <v>2</v>
      </c>
      <c r="B3259">
        <v>1200127</v>
      </c>
      <c r="C3259">
        <v>19020</v>
      </c>
      <c r="D3259" s="4">
        <f>+VLOOKUP(A3259,Portfolio!$G$3:$I$6,3)</f>
        <v>1</v>
      </c>
      <c r="E3259">
        <f t="shared" si="50"/>
        <v>19020</v>
      </c>
    </row>
    <row r="3260" spans="1:5" x14ac:dyDescent="0.25">
      <c r="A3260" t="s">
        <v>2</v>
      </c>
      <c r="B3260">
        <v>1200128</v>
      </c>
      <c r="C3260">
        <v>19090</v>
      </c>
      <c r="D3260" s="4">
        <f>+VLOOKUP(A3260,Portfolio!$G$3:$I$6,3)</f>
        <v>1</v>
      </c>
      <c r="E3260">
        <f t="shared" si="50"/>
        <v>19090</v>
      </c>
    </row>
    <row r="3261" spans="1:5" x14ac:dyDescent="0.25">
      <c r="A3261" t="s">
        <v>2</v>
      </c>
      <c r="B3261">
        <v>1200129</v>
      </c>
      <c r="C3261">
        <v>19790</v>
      </c>
      <c r="D3261" s="4">
        <f>+VLOOKUP(A3261,Portfolio!$G$3:$I$6,3)</f>
        <v>1</v>
      </c>
      <c r="E3261">
        <f t="shared" si="50"/>
        <v>19790</v>
      </c>
    </row>
    <row r="3262" spans="1:5" x14ac:dyDescent="0.25">
      <c r="A3262" t="s">
        <v>2</v>
      </c>
      <c r="B3262">
        <v>1200130</v>
      </c>
      <c r="C3262">
        <v>20260</v>
      </c>
      <c r="D3262" s="4">
        <f>+VLOOKUP(A3262,Portfolio!$G$3:$I$6,3)</f>
        <v>1</v>
      </c>
      <c r="E3262">
        <f t="shared" si="50"/>
        <v>20260</v>
      </c>
    </row>
    <row r="3263" spans="1:5" x14ac:dyDescent="0.25">
      <c r="A3263" t="s">
        <v>2</v>
      </c>
      <c r="B3263">
        <v>1200131</v>
      </c>
      <c r="C3263">
        <v>20940</v>
      </c>
      <c r="D3263" s="4">
        <f>+VLOOKUP(A3263,Portfolio!$G$3:$I$6,3)</f>
        <v>1</v>
      </c>
      <c r="E3263">
        <f t="shared" si="50"/>
        <v>20940</v>
      </c>
    </row>
    <row r="3264" spans="1:5" x14ac:dyDescent="0.25">
      <c r="A3264" t="s">
        <v>2</v>
      </c>
      <c r="B3264">
        <v>1200202</v>
      </c>
      <c r="C3264">
        <v>21400</v>
      </c>
      <c r="D3264" s="4">
        <f>+VLOOKUP(A3264,Portfolio!$G$3:$I$6,3)</f>
        <v>1</v>
      </c>
      <c r="E3264">
        <f t="shared" si="50"/>
        <v>21400</v>
      </c>
    </row>
    <row r="3265" spans="1:5" x14ac:dyDescent="0.25">
      <c r="A3265" t="s">
        <v>2</v>
      </c>
      <c r="B3265">
        <v>1200203</v>
      </c>
      <c r="C3265">
        <v>20550</v>
      </c>
      <c r="D3265" s="4">
        <f>+VLOOKUP(A3265,Portfolio!$G$3:$I$6,3)</f>
        <v>1</v>
      </c>
      <c r="E3265">
        <f t="shared" si="50"/>
        <v>20550</v>
      </c>
    </row>
    <row r="3266" spans="1:5" x14ac:dyDescent="0.25">
      <c r="A3266" t="s">
        <v>2</v>
      </c>
      <c r="B3266">
        <v>1200204</v>
      </c>
      <c r="C3266">
        <v>20540</v>
      </c>
      <c r="D3266" s="4">
        <f>+VLOOKUP(A3266,Portfolio!$G$3:$I$6,3)</f>
        <v>1</v>
      </c>
      <c r="E3266">
        <f t="shared" si="50"/>
        <v>20540</v>
      </c>
    </row>
    <row r="3267" spans="1:5" x14ac:dyDescent="0.25">
      <c r="A3267" t="s">
        <v>2</v>
      </c>
      <c r="B3267">
        <v>1200205</v>
      </c>
      <c r="C3267">
        <v>21580</v>
      </c>
      <c r="D3267" s="4">
        <f>+VLOOKUP(A3267,Portfolio!$G$3:$I$6,3)</f>
        <v>1</v>
      </c>
      <c r="E3267">
        <f t="shared" ref="E3267:E3330" si="51">+C3267*D3267</f>
        <v>21580</v>
      </c>
    </row>
    <row r="3268" spans="1:5" x14ac:dyDescent="0.25">
      <c r="A3268" t="s">
        <v>2</v>
      </c>
      <c r="B3268">
        <v>1200206</v>
      </c>
      <c r="C3268">
        <v>22010</v>
      </c>
      <c r="D3268" s="4">
        <f>+VLOOKUP(A3268,Portfolio!$G$3:$I$6,3)</f>
        <v>1</v>
      </c>
      <c r="E3268">
        <f t="shared" si="51"/>
        <v>22010</v>
      </c>
    </row>
    <row r="3269" spans="1:5" x14ac:dyDescent="0.25">
      <c r="A3269" t="s">
        <v>2</v>
      </c>
      <c r="B3269">
        <v>1200207</v>
      </c>
      <c r="C3269">
        <v>21750</v>
      </c>
      <c r="D3269" s="4">
        <f>+VLOOKUP(A3269,Portfolio!$G$3:$I$6,3)</f>
        <v>1</v>
      </c>
      <c r="E3269">
        <f t="shared" si="51"/>
        <v>21750</v>
      </c>
    </row>
    <row r="3270" spans="1:5" x14ac:dyDescent="0.25">
      <c r="A3270" t="s">
        <v>2</v>
      </c>
      <c r="B3270">
        <v>1200209</v>
      </c>
      <c r="C3270">
        <v>21590</v>
      </c>
      <c r="D3270" s="4">
        <f>+VLOOKUP(A3270,Portfolio!$G$3:$I$6,3)</f>
        <v>1</v>
      </c>
      <c r="E3270">
        <f t="shared" si="51"/>
        <v>21590</v>
      </c>
    </row>
    <row r="3271" spans="1:5" x14ac:dyDescent="0.25">
      <c r="A3271" t="s">
        <v>2</v>
      </c>
      <c r="B3271">
        <v>1200210</v>
      </c>
      <c r="C3271">
        <v>21330</v>
      </c>
      <c r="D3271" s="4">
        <f>+VLOOKUP(A3271,Portfolio!$G$3:$I$6,3)</f>
        <v>1</v>
      </c>
      <c r="E3271">
        <f t="shared" si="51"/>
        <v>21330</v>
      </c>
    </row>
    <row r="3272" spans="1:5" x14ac:dyDescent="0.25">
      <c r="A3272" t="s">
        <v>2</v>
      </c>
      <c r="B3272">
        <v>1200211</v>
      </c>
      <c r="C3272">
        <v>21280</v>
      </c>
      <c r="D3272" s="4">
        <f>+VLOOKUP(A3272,Portfolio!$G$3:$I$6,3)</f>
        <v>1</v>
      </c>
      <c r="E3272">
        <f t="shared" si="51"/>
        <v>21280</v>
      </c>
    </row>
    <row r="3273" spans="1:5" x14ac:dyDescent="0.25">
      <c r="A3273" t="s">
        <v>2</v>
      </c>
      <c r="B3273">
        <v>1200212</v>
      </c>
      <c r="C3273">
        <v>20980</v>
      </c>
      <c r="D3273" s="4">
        <f>+VLOOKUP(A3273,Portfolio!$G$3:$I$6,3)</f>
        <v>1</v>
      </c>
      <c r="E3273">
        <f t="shared" si="51"/>
        <v>20980</v>
      </c>
    </row>
    <row r="3274" spans="1:5" x14ac:dyDescent="0.25">
      <c r="A3274" t="s">
        <v>2</v>
      </c>
      <c r="B3274">
        <v>1200213</v>
      </c>
      <c r="C3274">
        <v>20910</v>
      </c>
      <c r="D3274" s="4">
        <f>+VLOOKUP(A3274,Portfolio!$G$3:$I$6,3)</f>
        <v>1</v>
      </c>
      <c r="E3274">
        <f t="shared" si="51"/>
        <v>20910</v>
      </c>
    </row>
    <row r="3275" spans="1:5" x14ac:dyDescent="0.25">
      <c r="A3275" t="s">
        <v>2</v>
      </c>
      <c r="B3275">
        <v>1200214</v>
      </c>
      <c r="C3275">
        <v>20780</v>
      </c>
      <c r="D3275" s="4">
        <f>+VLOOKUP(A3275,Portfolio!$G$3:$I$6,3)</f>
        <v>1</v>
      </c>
      <c r="E3275">
        <f t="shared" si="51"/>
        <v>20780</v>
      </c>
    </row>
    <row r="3276" spans="1:5" x14ac:dyDescent="0.25">
      <c r="A3276" t="s">
        <v>2</v>
      </c>
      <c r="B3276">
        <v>1200216</v>
      </c>
      <c r="C3276">
        <v>21560</v>
      </c>
      <c r="D3276" s="4">
        <f>+VLOOKUP(A3276,Portfolio!$G$3:$I$6,3)</f>
        <v>1</v>
      </c>
      <c r="E3276">
        <f t="shared" si="51"/>
        <v>21560</v>
      </c>
    </row>
    <row r="3277" spans="1:5" x14ac:dyDescent="0.25">
      <c r="A3277" t="s">
        <v>2</v>
      </c>
      <c r="B3277">
        <v>1200217</v>
      </c>
      <c r="C3277">
        <v>21560</v>
      </c>
      <c r="D3277" s="4">
        <f>+VLOOKUP(A3277,Portfolio!$G$3:$I$6,3)</f>
        <v>1</v>
      </c>
      <c r="E3277">
        <f t="shared" si="51"/>
        <v>21560</v>
      </c>
    </row>
    <row r="3278" spans="1:5" x14ac:dyDescent="0.25">
      <c r="A3278" t="s">
        <v>2</v>
      </c>
      <c r="B3278">
        <v>1200218</v>
      </c>
      <c r="C3278">
        <v>21410</v>
      </c>
      <c r="D3278" s="4">
        <f>+VLOOKUP(A3278,Portfolio!$G$3:$I$6,3)</f>
        <v>1</v>
      </c>
      <c r="E3278">
        <f t="shared" si="51"/>
        <v>21410</v>
      </c>
    </row>
    <row r="3279" spans="1:5" x14ac:dyDescent="0.25">
      <c r="A3279" t="s">
        <v>2</v>
      </c>
      <c r="B3279">
        <v>1200219</v>
      </c>
      <c r="C3279">
        <v>22680</v>
      </c>
      <c r="D3279" s="4">
        <f>+VLOOKUP(A3279,Portfolio!$G$3:$I$6,3)</f>
        <v>1</v>
      </c>
      <c r="E3279">
        <f t="shared" si="51"/>
        <v>22680</v>
      </c>
    </row>
    <row r="3280" spans="1:5" x14ac:dyDescent="0.25">
      <c r="A3280" t="s">
        <v>2</v>
      </c>
      <c r="B3280">
        <v>1200220</v>
      </c>
      <c r="C3280">
        <v>23430</v>
      </c>
      <c r="D3280" s="4">
        <f>+VLOOKUP(A3280,Portfolio!$G$3:$I$6,3)</f>
        <v>1</v>
      </c>
      <c r="E3280">
        <f t="shared" si="51"/>
        <v>23430</v>
      </c>
    </row>
    <row r="3281" spans="1:5" x14ac:dyDescent="0.25">
      <c r="A3281" t="s">
        <v>2</v>
      </c>
      <c r="B3281">
        <v>1200221</v>
      </c>
      <c r="C3281">
        <v>25090</v>
      </c>
      <c r="D3281" s="4">
        <f>+VLOOKUP(A3281,Portfolio!$G$3:$I$6,3)</f>
        <v>1</v>
      </c>
      <c r="E3281">
        <f t="shared" si="51"/>
        <v>25090</v>
      </c>
    </row>
    <row r="3282" spans="1:5" x14ac:dyDescent="0.25">
      <c r="A3282" t="s">
        <v>2</v>
      </c>
      <c r="B3282">
        <v>1200223</v>
      </c>
      <c r="C3282">
        <v>26880</v>
      </c>
      <c r="D3282" s="4">
        <f>+VLOOKUP(A3282,Portfolio!$G$3:$I$6,3)</f>
        <v>1</v>
      </c>
      <c r="E3282">
        <f t="shared" si="51"/>
        <v>26880</v>
      </c>
    </row>
    <row r="3283" spans="1:5" x14ac:dyDescent="0.25">
      <c r="A3283" t="s">
        <v>2</v>
      </c>
      <c r="B3283">
        <v>1200224</v>
      </c>
      <c r="C3283">
        <v>26880</v>
      </c>
      <c r="D3283" s="4">
        <f>+VLOOKUP(A3283,Portfolio!$G$3:$I$6,3)</f>
        <v>1</v>
      </c>
      <c r="E3283">
        <f t="shared" si="51"/>
        <v>26880</v>
      </c>
    </row>
    <row r="3284" spans="1:5" x14ac:dyDescent="0.25">
      <c r="A3284" t="s">
        <v>2</v>
      </c>
      <c r="B3284">
        <v>1200225</v>
      </c>
      <c r="C3284">
        <v>23790</v>
      </c>
      <c r="D3284" s="4">
        <f>+VLOOKUP(A3284,Portfolio!$G$3:$I$6,3)</f>
        <v>1</v>
      </c>
      <c r="E3284">
        <f t="shared" si="51"/>
        <v>23790</v>
      </c>
    </row>
    <row r="3285" spans="1:5" x14ac:dyDescent="0.25">
      <c r="A3285" t="s">
        <v>2</v>
      </c>
      <c r="B3285">
        <v>1200226</v>
      </c>
      <c r="C3285">
        <v>23530</v>
      </c>
      <c r="D3285" s="4">
        <f>+VLOOKUP(A3285,Portfolio!$G$3:$I$6,3)</f>
        <v>1</v>
      </c>
      <c r="E3285">
        <f t="shared" si="51"/>
        <v>23530</v>
      </c>
    </row>
    <row r="3286" spans="1:5" x14ac:dyDescent="0.25">
      <c r="A3286" t="s">
        <v>2</v>
      </c>
      <c r="B3286">
        <v>1200227</v>
      </c>
      <c r="C3286">
        <v>20500</v>
      </c>
      <c r="D3286" s="4">
        <f>+VLOOKUP(A3286,Portfolio!$G$3:$I$6,3)</f>
        <v>1</v>
      </c>
      <c r="E3286">
        <f t="shared" si="51"/>
        <v>20500</v>
      </c>
    </row>
    <row r="3287" spans="1:5" x14ac:dyDescent="0.25">
      <c r="A3287" t="s">
        <v>2</v>
      </c>
      <c r="B3287">
        <v>1200228</v>
      </c>
      <c r="C3287">
        <v>19080</v>
      </c>
      <c r="D3287" s="4">
        <f>+VLOOKUP(A3287,Portfolio!$G$3:$I$6,3)</f>
        <v>1</v>
      </c>
      <c r="E3287">
        <f t="shared" si="51"/>
        <v>19080</v>
      </c>
    </row>
    <row r="3288" spans="1:5" x14ac:dyDescent="0.25">
      <c r="A3288" t="s">
        <v>2</v>
      </c>
      <c r="B3288">
        <v>1200301</v>
      </c>
      <c r="C3288">
        <v>20930</v>
      </c>
      <c r="D3288" s="4">
        <f>+VLOOKUP(A3288,Portfolio!$G$3:$I$6,3)</f>
        <v>1</v>
      </c>
      <c r="E3288">
        <f t="shared" si="51"/>
        <v>20930</v>
      </c>
    </row>
    <row r="3289" spans="1:5" x14ac:dyDescent="0.25">
      <c r="A3289" t="s">
        <v>2</v>
      </c>
      <c r="B3289">
        <v>1200302</v>
      </c>
      <c r="C3289">
        <v>19400</v>
      </c>
      <c r="D3289" s="4">
        <f>+VLOOKUP(A3289,Portfolio!$G$3:$I$6,3)</f>
        <v>1</v>
      </c>
      <c r="E3289">
        <f t="shared" si="51"/>
        <v>19400</v>
      </c>
    </row>
    <row r="3290" spans="1:5" x14ac:dyDescent="0.25">
      <c r="A3290" t="s">
        <v>2</v>
      </c>
      <c r="B3290">
        <v>1200303</v>
      </c>
      <c r="C3290">
        <v>16610</v>
      </c>
      <c r="D3290" s="4">
        <f>+VLOOKUP(A3290,Portfolio!$G$3:$I$6,3)</f>
        <v>1</v>
      </c>
      <c r="E3290">
        <f t="shared" si="51"/>
        <v>16610</v>
      </c>
    </row>
    <row r="3291" spans="1:5" x14ac:dyDescent="0.25">
      <c r="A3291" t="s">
        <v>2</v>
      </c>
      <c r="B3291">
        <v>1200304</v>
      </c>
      <c r="C3291">
        <v>20680</v>
      </c>
      <c r="D3291" s="4">
        <f>+VLOOKUP(A3291,Portfolio!$G$3:$I$6,3)</f>
        <v>1</v>
      </c>
      <c r="E3291">
        <f t="shared" si="51"/>
        <v>20680</v>
      </c>
    </row>
    <row r="3292" spans="1:5" x14ac:dyDescent="0.25">
      <c r="A3292" t="s">
        <v>2</v>
      </c>
      <c r="B3292">
        <v>1200305</v>
      </c>
      <c r="C3292">
        <v>20320</v>
      </c>
      <c r="D3292" s="4">
        <f>+VLOOKUP(A3292,Portfolio!$G$3:$I$6,3)</f>
        <v>1</v>
      </c>
      <c r="E3292">
        <f t="shared" si="51"/>
        <v>20320</v>
      </c>
    </row>
    <row r="3293" spans="1:5" x14ac:dyDescent="0.25">
      <c r="A3293" t="s">
        <v>2</v>
      </c>
      <c r="B3293">
        <v>1200306</v>
      </c>
      <c r="C3293">
        <v>22200</v>
      </c>
      <c r="D3293" s="4">
        <f>+VLOOKUP(A3293,Portfolio!$G$3:$I$6,3)</f>
        <v>1</v>
      </c>
      <c r="E3293">
        <f t="shared" si="51"/>
        <v>22200</v>
      </c>
    </row>
    <row r="3294" spans="1:5" x14ac:dyDescent="0.25">
      <c r="A3294" t="s">
        <v>2</v>
      </c>
      <c r="B3294">
        <v>1200308</v>
      </c>
      <c r="C3294">
        <v>23920</v>
      </c>
      <c r="D3294" s="4">
        <f>+VLOOKUP(A3294,Portfolio!$G$3:$I$6,3)</f>
        <v>1</v>
      </c>
      <c r="E3294">
        <f t="shared" si="51"/>
        <v>23920</v>
      </c>
    </row>
    <row r="3295" spans="1:5" x14ac:dyDescent="0.25">
      <c r="A3295" t="s">
        <v>2</v>
      </c>
      <c r="B3295">
        <v>1200309</v>
      </c>
      <c r="C3295">
        <v>22220</v>
      </c>
      <c r="D3295" s="4">
        <f>+VLOOKUP(A3295,Portfolio!$G$3:$I$6,3)</f>
        <v>1</v>
      </c>
      <c r="E3295">
        <f t="shared" si="51"/>
        <v>22220</v>
      </c>
    </row>
    <row r="3296" spans="1:5" x14ac:dyDescent="0.25">
      <c r="A3296" t="s">
        <v>2</v>
      </c>
      <c r="B3296">
        <v>1200310</v>
      </c>
      <c r="C3296">
        <v>20570</v>
      </c>
      <c r="D3296" s="4">
        <f>+VLOOKUP(A3296,Portfolio!$G$3:$I$6,3)</f>
        <v>1</v>
      </c>
      <c r="E3296">
        <f t="shared" si="51"/>
        <v>20570</v>
      </c>
    </row>
    <row r="3297" spans="1:5" x14ac:dyDescent="0.25">
      <c r="A3297" t="s">
        <v>2</v>
      </c>
      <c r="B3297">
        <v>1200311</v>
      </c>
      <c r="C3297">
        <v>20570</v>
      </c>
      <c r="D3297" s="4">
        <f>+VLOOKUP(A3297,Portfolio!$G$3:$I$6,3)</f>
        <v>1</v>
      </c>
      <c r="E3297">
        <f t="shared" si="51"/>
        <v>20570</v>
      </c>
    </row>
    <row r="3298" spans="1:5" x14ac:dyDescent="0.25">
      <c r="A3298" t="s">
        <v>2</v>
      </c>
      <c r="B3298">
        <v>1200312</v>
      </c>
      <c r="C3298">
        <v>17560</v>
      </c>
      <c r="D3298" s="4">
        <f>+VLOOKUP(A3298,Portfolio!$G$3:$I$6,3)</f>
        <v>1</v>
      </c>
      <c r="E3298">
        <f t="shared" si="51"/>
        <v>17560</v>
      </c>
    </row>
    <row r="3299" spans="1:5" x14ac:dyDescent="0.25">
      <c r="A3299" t="s">
        <v>2</v>
      </c>
      <c r="B3299">
        <v>1200313</v>
      </c>
      <c r="C3299">
        <v>24010</v>
      </c>
      <c r="D3299" s="4">
        <f>+VLOOKUP(A3299,Portfolio!$G$3:$I$6,3)</f>
        <v>1</v>
      </c>
      <c r="E3299">
        <f t="shared" si="51"/>
        <v>24010</v>
      </c>
    </row>
    <row r="3300" spans="1:5" x14ac:dyDescent="0.25">
      <c r="A3300" t="s">
        <v>2</v>
      </c>
      <c r="B3300">
        <v>1200315</v>
      </c>
      <c r="C3300">
        <v>15720</v>
      </c>
      <c r="D3300" s="4">
        <f>+VLOOKUP(A3300,Portfolio!$G$3:$I$6,3)</f>
        <v>1</v>
      </c>
      <c r="E3300">
        <f t="shared" si="51"/>
        <v>15720</v>
      </c>
    </row>
    <row r="3301" spans="1:5" x14ac:dyDescent="0.25">
      <c r="A3301" t="s">
        <v>2</v>
      </c>
      <c r="B3301">
        <v>1200316</v>
      </c>
      <c r="C3301">
        <v>15930</v>
      </c>
      <c r="D3301" s="4">
        <f>+VLOOKUP(A3301,Portfolio!$G$3:$I$6,3)</f>
        <v>1</v>
      </c>
      <c r="E3301">
        <f t="shared" si="51"/>
        <v>15930</v>
      </c>
    </row>
    <row r="3302" spans="1:5" x14ac:dyDescent="0.25">
      <c r="A3302" t="s">
        <v>2</v>
      </c>
      <c r="B3302">
        <v>1200317</v>
      </c>
      <c r="C3302">
        <v>16890</v>
      </c>
      <c r="D3302" s="4">
        <f>+VLOOKUP(A3302,Portfolio!$G$3:$I$6,3)</f>
        <v>1</v>
      </c>
      <c r="E3302">
        <f t="shared" si="51"/>
        <v>16890</v>
      </c>
    </row>
    <row r="3303" spans="1:5" x14ac:dyDescent="0.25">
      <c r="A3303" t="s">
        <v>2</v>
      </c>
      <c r="B3303">
        <v>1200318</v>
      </c>
      <c r="C3303">
        <v>13700</v>
      </c>
      <c r="D3303" s="4">
        <f>+VLOOKUP(A3303,Portfolio!$G$3:$I$6,3)</f>
        <v>1</v>
      </c>
      <c r="E3303">
        <f t="shared" si="51"/>
        <v>13700</v>
      </c>
    </row>
    <row r="3304" spans="1:5" x14ac:dyDescent="0.25">
      <c r="A3304" t="s">
        <v>2</v>
      </c>
      <c r="B3304">
        <v>1200319</v>
      </c>
      <c r="C3304">
        <v>15200</v>
      </c>
      <c r="D3304" s="4">
        <f>+VLOOKUP(A3304,Portfolio!$G$3:$I$6,3)</f>
        <v>1</v>
      </c>
      <c r="E3304">
        <f t="shared" si="51"/>
        <v>15200</v>
      </c>
    </row>
    <row r="3305" spans="1:5" x14ac:dyDescent="0.25">
      <c r="A3305" t="s">
        <v>2</v>
      </c>
      <c r="B3305">
        <v>1200320</v>
      </c>
      <c r="C3305">
        <v>15200</v>
      </c>
      <c r="D3305" s="4">
        <f>+VLOOKUP(A3305,Portfolio!$G$3:$I$6,3)</f>
        <v>1</v>
      </c>
      <c r="E3305">
        <f t="shared" si="51"/>
        <v>15200</v>
      </c>
    </row>
    <row r="3306" spans="1:5" x14ac:dyDescent="0.25">
      <c r="A3306" t="s">
        <v>2</v>
      </c>
      <c r="B3306">
        <v>1200322</v>
      </c>
      <c r="C3306">
        <v>12830</v>
      </c>
      <c r="D3306" s="4">
        <f>+VLOOKUP(A3306,Portfolio!$G$3:$I$6,3)</f>
        <v>1</v>
      </c>
      <c r="E3306">
        <f t="shared" si="51"/>
        <v>12830</v>
      </c>
    </row>
    <row r="3307" spans="1:5" x14ac:dyDescent="0.25">
      <c r="A3307" t="s">
        <v>2</v>
      </c>
      <c r="B3307">
        <v>1200323</v>
      </c>
      <c r="C3307">
        <v>13380</v>
      </c>
      <c r="D3307" s="4">
        <f>+VLOOKUP(A3307,Portfolio!$G$3:$I$6,3)</f>
        <v>1</v>
      </c>
      <c r="E3307">
        <f t="shared" si="51"/>
        <v>13380</v>
      </c>
    </row>
    <row r="3308" spans="1:5" x14ac:dyDescent="0.25">
      <c r="A3308" t="s">
        <v>2</v>
      </c>
      <c r="B3308">
        <v>1200324</v>
      </c>
      <c r="C3308">
        <v>22310</v>
      </c>
      <c r="D3308" s="4">
        <f>+VLOOKUP(A3308,Portfolio!$G$3:$I$6,3)</f>
        <v>1</v>
      </c>
      <c r="E3308">
        <f t="shared" si="51"/>
        <v>22310</v>
      </c>
    </row>
    <row r="3309" spans="1:5" x14ac:dyDescent="0.25">
      <c r="A3309" t="s">
        <v>2</v>
      </c>
      <c r="B3309">
        <v>1200325</v>
      </c>
      <c r="C3309">
        <v>29650</v>
      </c>
      <c r="D3309" s="4">
        <f>+VLOOKUP(A3309,Portfolio!$G$3:$I$6,3)</f>
        <v>1</v>
      </c>
      <c r="E3309">
        <f t="shared" si="51"/>
        <v>29650</v>
      </c>
    </row>
    <row r="3310" spans="1:5" x14ac:dyDescent="0.25">
      <c r="A3310" t="s">
        <v>2</v>
      </c>
      <c r="B3310">
        <v>1200326</v>
      </c>
      <c r="C3310">
        <v>31450</v>
      </c>
      <c r="D3310" s="4">
        <f>+VLOOKUP(A3310,Portfolio!$G$3:$I$6,3)</f>
        <v>1</v>
      </c>
      <c r="E3310">
        <f t="shared" si="51"/>
        <v>31450</v>
      </c>
    </row>
    <row r="3311" spans="1:5" x14ac:dyDescent="0.25">
      <c r="A3311" t="s">
        <v>2</v>
      </c>
      <c r="B3311">
        <v>1200327</v>
      </c>
      <c r="C3311">
        <v>32490</v>
      </c>
      <c r="D3311" s="4">
        <f>+VLOOKUP(A3311,Portfolio!$G$3:$I$6,3)</f>
        <v>1</v>
      </c>
      <c r="E3311">
        <f t="shared" si="51"/>
        <v>32490</v>
      </c>
    </row>
    <row r="3312" spans="1:5" x14ac:dyDescent="0.25">
      <c r="A3312" t="s">
        <v>2</v>
      </c>
      <c r="B3312">
        <v>1200329</v>
      </c>
      <c r="C3312">
        <v>28540</v>
      </c>
      <c r="D3312" s="4">
        <f>+VLOOKUP(A3312,Portfolio!$G$3:$I$6,3)</f>
        <v>1</v>
      </c>
      <c r="E3312">
        <f t="shared" si="51"/>
        <v>28540</v>
      </c>
    </row>
    <row r="3313" spans="1:5" x14ac:dyDescent="0.25">
      <c r="A3313" t="s">
        <v>2</v>
      </c>
      <c r="B3313">
        <v>1200330</v>
      </c>
      <c r="C3313">
        <v>29970</v>
      </c>
      <c r="D3313" s="4">
        <f>+VLOOKUP(A3313,Portfolio!$G$3:$I$6,3)</f>
        <v>1</v>
      </c>
      <c r="E3313">
        <f t="shared" si="51"/>
        <v>29970</v>
      </c>
    </row>
    <row r="3314" spans="1:5" x14ac:dyDescent="0.25">
      <c r="A3314" t="s">
        <v>2</v>
      </c>
      <c r="B3314">
        <v>1200331</v>
      </c>
      <c r="C3314">
        <v>29570</v>
      </c>
      <c r="D3314" s="4">
        <f>+VLOOKUP(A3314,Portfolio!$G$3:$I$6,3)</f>
        <v>1</v>
      </c>
      <c r="E3314">
        <f t="shared" si="51"/>
        <v>29570</v>
      </c>
    </row>
    <row r="3315" spans="1:5" x14ac:dyDescent="0.25">
      <c r="A3315" t="s">
        <v>2</v>
      </c>
      <c r="B3315">
        <v>1200401</v>
      </c>
      <c r="C3315">
        <v>33180</v>
      </c>
      <c r="D3315" s="4">
        <f>+VLOOKUP(A3315,Portfolio!$G$3:$I$6,3)</f>
        <v>1</v>
      </c>
      <c r="E3315">
        <f t="shared" si="51"/>
        <v>33180</v>
      </c>
    </row>
    <row r="3316" spans="1:5" x14ac:dyDescent="0.25">
      <c r="A3316" t="s">
        <v>2</v>
      </c>
      <c r="B3316">
        <v>1200402</v>
      </c>
      <c r="C3316">
        <v>31960</v>
      </c>
      <c r="D3316" s="4">
        <f>+VLOOKUP(A3316,Portfolio!$G$3:$I$6,3)</f>
        <v>1</v>
      </c>
      <c r="E3316">
        <f t="shared" si="51"/>
        <v>31960</v>
      </c>
    </row>
    <row r="3317" spans="1:5" x14ac:dyDescent="0.25">
      <c r="A3317" t="s">
        <v>2</v>
      </c>
      <c r="B3317">
        <v>1200403</v>
      </c>
      <c r="C3317">
        <v>34090</v>
      </c>
      <c r="D3317" s="4">
        <f>+VLOOKUP(A3317,Portfolio!$G$3:$I$6,3)</f>
        <v>1</v>
      </c>
      <c r="E3317">
        <f t="shared" si="51"/>
        <v>34090</v>
      </c>
    </row>
    <row r="3318" spans="1:5" x14ac:dyDescent="0.25">
      <c r="A3318" t="s">
        <v>2</v>
      </c>
      <c r="B3318">
        <v>1200405</v>
      </c>
      <c r="C3318">
        <v>32850</v>
      </c>
      <c r="D3318" s="4">
        <f>+VLOOKUP(A3318,Portfolio!$G$3:$I$6,3)</f>
        <v>1</v>
      </c>
      <c r="E3318">
        <f t="shared" si="51"/>
        <v>32850</v>
      </c>
    </row>
    <row r="3319" spans="1:5" x14ac:dyDescent="0.25">
      <c r="A3319" t="s">
        <v>2</v>
      </c>
      <c r="B3319">
        <v>1200406</v>
      </c>
      <c r="C3319">
        <v>32510</v>
      </c>
      <c r="D3319" s="4">
        <f>+VLOOKUP(A3319,Portfolio!$G$3:$I$6,3)</f>
        <v>1</v>
      </c>
      <c r="E3319">
        <f t="shared" si="51"/>
        <v>32510</v>
      </c>
    </row>
    <row r="3320" spans="1:5" x14ac:dyDescent="0.25">
      <c r="A3320" t="s">
        <v>2</v>
      </c>
      <c r="B3320">
        <v>1200407</v>
      </c>
      <c r="C3320">
        <v>36050</v>
      </c>
      <c r="D3320" s="4">
        <f>+VLOOKUP(A3320,Portfolio!$G$3:$I$6,3)</f>
        <v>1</v>
      </c>
      <c r="E3320">
        <f t="shared" si="51"/>
        <v>36050</v>
      </c>
    </row>
    <row r="3321" spans="1:5" x14ac:dyDescent="0.25">
      <c r="A3321" t="s">
        <v>2</v>
      </c>
      <c r="B3321">
        <v>1200408</v>
      </c>
      <c r="C3321">
        <v>36830</v>
      </c>
      <c r="D3321" s="4">
        <f>+VLOOKUP(A3321,Portfolio!$G$3:$I$6,3)</f>
        <v>1</v>
      </c>
      <c r="E3321">
        <f t="shared" si="51"/>
        <v>36830</v>
      </c>
    </row>
    <row r="3322" spans="1:5" x14ac:dyDescent="0.25">
      <c r="A3322" t="s">
        <v>2</v>
      </c>
      <c r="B3322">
        <v>1200409</v>
      </c>
      <c r="C3322">
        <v>35700</v>
      </c>
      <c r="D3322" s="4">
        <f>+VLOOKUP(A3322,Portfolio!$G$3:$I$6,3)</f>
        <v>1</v>
      </c>
      <c r="E3322">
        <f t="shared" si="51"/>
        <v>35700</v>
      </c>
    </row>
    <row r="3323" spans="1:5" x14ac:dyDescent="0.25">
      <c r="A3323" t="s">
        <v>2</v>
      </c>
      <c r="B3323">
        <v>1200412</v>
      </c>
      <c r="C3323">
        <v>37170</v>
      </c>
      <c r="D3323" s="4">
        <f>+VLOOKUP(A3323,Portfolio!$G$3:$I$6,3)</f>
        <v>1</v>
      </c>
      <c r="E3323">
        <f t="shared" si="51"/>
        <v>37170</v>
      </c>
    </row>
    <row r="3324" spans="1:5" x14ac:dyDescent="0.25">
      <c r="A3324" t="s">
        <v>2</v>
      </c>
      <c r="B3324">
        <v>1200413</v>
      </c>
      <c r="C3324">
        <v>36610</v>
      </c>
      <c r="D3324" s="4">
        <f>+VLOOKUP(A3324,Portfolio!$G$3:$I$6,3)</f>
        <v>1</v>
      </c>
      <c r="E3324">
        <f t="shared" si="51"/>
        <v>36610</v>
      </c>
    </row>
    <row r="3325" spans="1:5" x14ac:dyDescent="0.25">
      <c r="A3325" t="s">
        <v>2</v>
      </c>
      <c r="B3325">
        <v>1200414</v>
      </c>
      <c r="C3325">
        <v>40980</v>
      </c>
      <c r="D3325" s="4">
        <f>+VLOOKUP(A3325,Portfolio!$G$3:$I$6,3)</f>
        <v>1</v>
      </c>
      <c r="E3325">
        <f t="shared" si="51"/>
        <v>40980</v>
      </c>
    </row>
    <row r="3326" spans="1:5" x14ac:dyDescent="0.25">
      <c r="A3326" t="s">
        <v>2</v>
      </c>
      <c r="B3326">
        <v>1200415</v>
      </c>
      <c r="C3326">
        <v>39910</v>
      </c>
      <c r="D3326" s="4">
        <f>+VLOOKUP(A3326,Portfolio!$G$3:$I$6,3)</f>
        <v>1</v>
      </c>
      <c r="E3326">
        <f t="shared" si="51"/>
        <v>39910</v>
      </c>
    </row>
    <row r="3327" spans="1:5" x14ac:dyDescent="0.25">
      <c r="A3327" t="s">
        <v>2</v>
      </c>
      <c r="B3327">
        <v>1200416</v>
      </c>
      <c r="C3327">
        <v>40480</v>
      </c>
      <c r="D3327" s="4">
        <f>+VLOOKUP(A3327,Portfolio!$G$3:$I$6,3)</f>
        <v>1</v>
      </c>
      <c r="E3327">
        <f t="shared" si="51"/>
        <v>40480</v>
      </c>
    </row>
    <row r="3328" spans="1:5" x14ac:dyDescent="0.25">
      <c r="A3328" t="s">
        <v>2</v>
      </c>
      <c r="B3328">
        <v>1200417</v>
      </c>
      <c r="C3328">
        <v>36380</v>
      </c>
      <c r="D3328" s="4">
        <f>+VLOOKUP(A3328,Portfolio!$G$3:$I$6,3)</f>
        <v>1</v>
      </c>
      <c r="E3328">
        <f t="shared" si="51"/>
        <v>36380</v>
      </c>
    </row>
    <row r="3329" spans="1:5" x14ac:dyDescent="0.25">
      <c r="A3329" t="s">
        <v>2</v>
      </c>
      <c r="B3329">
        <v>1200419</v>
      </c>
      <c r="C3329">
        <v>36080</v>
      </c>
      <c r="D3329" s="4">
        <f>+VLOOKUP(A3329,Portfolio!$G$3:$I$6,3)</f>
        <v>1</v>
      </c>
      <c r="E3329">
        <f t="shared" si="51"/>
        <v>36080</v>
      </c>
    </row>
    <row r="3330" spans="1:5" x14ac:dyDescent="0.25">
      <c r="A3330" t="s">
        <v>2</v>
      </c>
      <c r="B3330">
        <v>1200420</v>
      </c>
      <c r="C3330">
        <v>35220</v>
      </c>
      <c r="D3330" s="4">
        <f>+VLOOKUP(A3330,Portfolio!$G$3:$I$6,3)</f>
        <v>1</v>
      </c>
      <c r="E3330">
        <f t="shared" si="51"/>
        <v>35220</v>
      </c>
    </row>
    <row r="3331" spans="1:5" x14ac:dyDescent="0.25">
      <c r="A3331" t="s">
        <v>2</v>
      </c>
      <c r="B3331">
        <v>1200421</v>
      </c>
      <c r="C3331">
        <v>35490</v>
      </c>
      <c r="D3331" s="4">
        <f>+VLOOKUP(A3331,Portfolio!$G$3:$I$6,3)</f>
        <v>1</v>
      </c>
      <c r="E3331">
        <f t="shared" ref="E3331:E3394" si="52">+C3331*D3331</f>
        <v>35490</v>
      </c>
    </row>
    <row r="3332" spans="1:5" x14ac:dyDescent="0.25">
      <c r="A3332" t="s">
        <v>2</v>
      </c>
      <c r="B3332">
        <v>1200422</v>
      </c>
      <c r="C3332">
        <v>35160</v>
      </c>
      <c r="D3332" s="4">
        <f>+VLOOKUP(A3332,Portfolio!$G$3:$I$6,3)</f>
        <v>1</v>
      </c>
      <c r="E3332">
        <f t="shared" si="52"/>
        <v>35160</v>
      </c>
    </row>
    <row r="3333" spans="1:5" x14ac:dyDescent="0.25">
      <c r="A3333" t="s">
        <v>2</v>
      </c>
      <c r="B3333">
        <v>1200423</v>
      </c>
      <c r="C3333">
        <v>33700</v>
      </c>
      <c r="D3333" s="4">
        <f>+VLOOKUP(A3333,Portfolio!$G$3:$I$6,3)</f>
        <v>1</v>
      </c>
      <c r="E3333">
        <f t="shared" si="52"/>
        <v>33700</v>
      </c>
    </row>
    <row r="3334" spans="1:5" x14ac:dyDescent="0.25">
      <c r="A3334" t="s">
        <v>2</v>
      </c>
      <c r="B3334">
        <v>1200424</v>
      </c>
      <c r="C3334">
        <v>34880</v>
      </c>
      <c r="D3334" s="4">
        <f>+VLOOKUP(A3334,Portfolio!$G$3:$I$6,3)</f>
        <v>1</v>
      </c>
      <c r="E3334">
        <f t="shared" si="52"/>
        <v>34880</v>
      </c>
    </row>
    <row r="3335" spans="1:5" x14ac:dyDescent="0.25">
      <c r="A3335" t="s">
        <v>2</v>
      </c>
      <c r="B3335">
        <v>1200426</v>
      </c>
      <c r="C3335">
        <v>35540</v>
      </c>
      <c r="D3335" s="4">
        <f>+VLOOKUP(A3335,Portfolio!$G$3:$I$6,3)</f>
        <v>1</v>
      </c>
      <c r="E3335">
        <f t="shared" si="52"/>
        <v>35540</v>
      </c>
    </row>
    <row r="3336" spans="1:5" x14ac:dyDescent="0.25">
      <c r="A3336" t="s">
        <v>2</v>
      </c>
      <c r="B3336">
        <v>1200427</v>
      </c>
      <c r="C3336">
        <v>35540</v>
      </c>
      <c r="D3336" s="4">
        <f>+VLOOKUP(A3336,Portfolio!$G$3:$I$6,3)</f>
        <v>1</v>
      </c>
      <c r="E3336">
        <f t="shared" si="52"/>
        <v>35540</v>
      </c>
    </row>
    <row r="3337" spans="1:5" x14ac:dyDescent="0.25">
      <c r="A3337" t="s">
        <v>2</v>
      </c>
      <c r="B3337">
        <v>1200428</v>
      </c>
      <c r="C3337">
        <v>37120</v>
      </c>
      <c r="D3337" s="4">
        <f>+VLOOKUP(A3337,Portfolio!$G$3:$I$6,3)</f>
        <v>1</v>
      </c>
      <c r="E3337">
        <f t="shared" si="52"/>
        <v>37120</v>
      </c>
    </row>
    <row r="3338" spans="1:5" x14ac:dyDescent="0.25">
      <c r="A3338" t="s">
        <v>2</v>
      </c>
      <c r="B3338">
        <v>1200429</v>
      </c>
      <c r="C3338">
        <v>37290</v>
      </c>
      <c r="D3338" s="4">
        <f>+VLOOKUP(A3338,Portfolio!$G$3:$I$6,3)</f>
        <v>1</v>
      </c>
      <c r="E3338">
        <f t="shared" si="52"/>
        <v>37290</v>
      </c>
    </row>
    <row r="3339" spans="1:5" x14ac:dyDescent="0.25">
      <c r="A3339" t="s">
        <v>2</v>
      </c>
      <c r="B3339">
        <v>1200430</v>
      </c>
      <c r="C3339">
        <v>34780</v>
      </c>
      <c r="D3339" s="4">
        <f>+VLOOKUP(A3339,Portfolio!$G$3:$I$6,3)</f>
        <v>1</v>
      </c>
      <c r="E3339">
        <f t="shared" si="52"/>
        <v>34780</v>
      </c>
    </row>
    <row r="3340" spans="1:5" x14ac:dyDescent="0.25">
      <c r="A3340" t="s">
        <v>2</v>
      </c>
      <c r="B3340">
        <v>1200501</v>
      </c>
      <c r="C3340">
        <v>37800</v>
      </c>
      <c r="D3340" s="4">
        <f>+VLOOKUP(A3340,Portfolio!$G$3:$I$6,3)</f>
        <v>1</v>
      </c>
      <c r="E3340">
        <f t="shared" si="52"/>
        <v>37800</v>
      </c>
    </row>
    <row r="3341" spans="1:5" x14ac:dyDescent="0.25">
      <c r="A3341" t="s">
        <v>2</v>
      </c>
      <c r="B3341">
        <v>1200503</v>
      </c>
      <c r="C3341">
        <v>37630</v>
      </c>
      <c r="D3341" s="4">
        <f>+VLOOKUP(A3341,Portfolio!$G$3:$I$6,3)</f>
        <v>1</v>
      </c>
      <c r="E3341">
        <f t="shared" si="52"/>
        <v>37630</v>
      </c>
    </row>
    <row r="3342" spans="1:5" x14ac:dyDescent="0.25">
      <c r="A3342" t="s">
        <v>2</v>
      </c>
      <c r="B3342">
        <v>1200504</v>
      </c>
      <c r="C3342">
        <v>37630</v>
      </c>
      <c r="D3342" s="4">
        <f>+VLOOKUP(A3342,Portfolio!$G$3:$I$6,3)</f>
        <v>1</v>
      </c>
      <c r="E3342">
        <f t="shared" si="52"/>
        <v>37630</v>
      </c>
    </row>
    <row r="3343" spans="1:5" x14ac:dyDescent="0.25">
      <c r="A3343" t="s">
        <v>2</v>
      </c>
      <c r="B3343">
        <v>1200505</v>
      </c>
      <c r="C3343">
        <v>36220</v>
      </c>
      <c r="D3343" s="4">
        <f>+VLOOKUP(A3343,Portfolio!$G$3:$I$6,3)</f>
        <v>1</v>
      </c>
      <c r="E3343">
        <f t="shared" si="52"/>
        <v>36220</v>
      </c>
    </row>
    <row r="3344" spans="1:5" x14ac:dyDescent="0.25">
      <c r="A3344" t="s">
        <v>2</v>
      </c>
      <c r="B3344">
        <v>1200506</v>
      </c>
      <c r="C3344">
        <v>36000</v>
      </c>
      <c r="D3344" s="4">
        <f>+VLOOKUP(A3344,Portfolio!$G$3:$I$6,3)</f>
        <v>1</v>
      </c>
      <c r="E3344">
        <f t="shared" si="52"/>
        <v>36000</v>
      </c>
    </row>
    <row r="3345" spans="1:5" x14ac:dyDescent="0.25">
      <c r="A3345" t="s">
        <v>2</v>
      </c>
      <c r="B3345">
        <v>1200507</v>
      </c>
      <c r="C3345">
        <v>37290</v>
      </c>
      <c r="D3345" s="4">
        <f>+VLOOKUP(A3345,Portfolio!$G$3:$I$6,3)</f>
        <v>1</v>
      </c>
      <c r="E3345">
        <f t="shared" si="52"/>
        <v>37290</v>
      </c>
    </row>
    <row r="3346" spans="1:5" x14ac:dyDescent="0.25">
      <c r="A3346" t="s">
        <v>2</v>
      </c>
      <c r="B3346">
        <v>1200508</v>
      </c>
      <c r="C3346">
        <v>40050</v>
      </c>
      <c r="D3346" s="4">
        <f>+VLOOKUP(A3346,Portfolio!$G$3:$I$6,3)</f>
        <v>1</v>
      </c>
      <c r="E3346">
        <f t="shared" si="52"/>
        <v>40050</v>
      </c>
    </row>
    <row r="3347" spans="1:5" x14ac:dyDescent="0.25">
      <c r="A3347" t="s">
        <v>2</v>
      </c>
      <c r="B3347">
        <v>1200510</v>
      </c>
      <c r="C3347">
        <v>41920</v>
      </c>
      <c r="D3347" s="4">
        <f>+VLOOKUP(A3347,Portfolio!$G$3:$I$6,3)</f>
        <v>1</v>
      </c>
      <c r="E3347">
        <f t="shared" si="52"/>
        <v>41920</v>
      </c>
    </row>
    <row r="3348" spans="1:5" x14ac:dyDescent="0.25">
      <c r="A3348" t="s">
        <v>2</v>
      </c>
      <c r="B3348">
        <v>1200511</v>
      </c>
      <c r="C3348">
        <v>41820</v>
      </c>
      <c r="D3348" s="4">
        <f>+VLOOKUP(A3348,Portfolio!$G$3:$I$6,3)</f>
        <v>1</v>
      </c>
      <c r="E3348">
        <f t="shared" si="52"/>
        <v>41820</v>
      </c>
    </row>
    <row r="3349" spans="1:5" x14ac:dyDescent="0.25">
      <c r="A3349" t="s">
        <v>2</v>
      </c>
      <c r="B3349">
        <v>1200512</v>
      </c>
      <c r="C3349">
        <v>42090</v>
      </c>
      <c r="D3349" s="4">
        <f>+VLOOKUP(A3349,Portfolio!$G$3:$I$6,3)</f>
        <v>1</v>
      </c>
      <c r="E3349">
        <f t="shared" si="52"/>
        <v>42090</v>
      </c>
    </row>
    <row r="3350" spans="1:5" x14ac:dyDescent="0.25">
      <c r="A3350" t="s">
        <v>2</v>
      </c>
      <c r="B3350">
        <v>1200513</v>
      </c>
      <c r="C3350">
        <v>41850</v>
      </c>
      <c r="D3350" s="4">
        <f>+VLOOKUP(A3350,Portfolio!$G$3:$I$6,3)</f>
        <v>1</v>
      </c>
      <c r="E3350">
        <f t="shared" si="52"/>
        <v>41850</v>
      </c>
    </row>
    <row r="3351" spans="1:5" x14ac:dyDescent="0.25">
      <c r="A3351" t="s">
        <v>2</v>
      </c>
      <c r="B3351">
        <v>1200514</v>
      </c>
      <c r="C3351">
        <v>42150</v>
      </c>
      <c r="D3351" s="4">
        <f>+VLOOKUP(A3351,Portfolio!$G$3:$I$6,3)</f>
        <v>1</v>
      </c>
      <c r="E3351">
        <f t="shared" si="52"/>
        <v>42150</v>
      </c>
    </row>
    <row r="3352" spans="1:5" x14ac:dyDescent="0.25">
      <c r="A3352" t="s">
        <v>2</v>
      </c>
      <c r="B3352">
        <v>1200515</v>
      </c>
      <c r="C3352">
        <v>39590</v>
      </c>
      <c r="D3352" s="4">
        <f>+VLOOKUP(A3352,Portfolio!$G$3:$I$6,3)</f>
        <v>1</v>
      </c>
      <c r="E3352">
        <f t="shared" si="52"/>
        <v>39590</v>
      </c>
    </row>
    <row r="3353" spans="1:5" x14ac:dyDescent="0.25">
      <c r="A3353" t="s">
        <v>2</v>
      </c>
      <c r="B3353">
        <v>1200517</v>
      </c>
      <c r="C3353">
        <v>39820</v>
      </c>
      <c r="D3353" s="4">
        <f>+VLOOKUP(A3353,Portfolio!$G$3:$I$6,3)</f>
        <v>1</v>
      </c>
      <c r="E3353">
        <f t="shared" si="52"/>
        <v>39820</v>
      </c>
    </row>
    <row r="3354" spans="1:5" x14ac:dyDescent="0.25">
      <c r="A3354" t="s">
        <v>2</v>
      </c>
      <c r="B3354">
        <v>1200518</v>
      </c>
      <c r="C3354">
        <v>41180</v>
      </c>
      <c r="D3354" s="4">
        <f>+VLOOKUP(A3354,Portfolio!$G$3:$I$6,3)</f>
        <v>1</v>
      </c>
      <c r="E3354">
        <f t="shared" si="52"/>
        <v>41180</v>
      </c>
    </row>
    <row r="3355" spans="1:5" x14ac:dyDescent="0.25">
      <c r="A3355" t="s">
        <v>2</v>
      </c>
      <c r="B3355">
        <v>1200519</v>
      </c>
      <c r="C3355">
        <v>43410</v>
      </c>
      <c r="D3355" s="4">
        <f>+VLOOKUP(A3355,Portfolio!$G$3:$I$6,3)</f>
        <v>1</v>
      </c>
      <c r="E3355">
        <f t="shared" si="52"/>
        <v>43410</v>
      </c>
    </row>
    <row r="3356" spans="1:5" x14ac:dyDescent="0.25">
      <c r="A3356" t="s">
        <v>2</v>
      </c>
      <c r="B3356">
        <v>1200520</v>
      </c>
      <c r="C3356">
        <v>43150</v>
      </c>
      <c r="D3356" s="4">
        <f>+VLOOKUP(A3356,Portfolio!$G$3:$I$6,3)</f>
        <v>1</v>
      </c>
      <c r="E3356">
        <f t="shared" si="52"/>
        <v>43150</v>
      </c>
    </row>
    <row r="3357" spans="1:5" x14ac:dyDescent="0.25">
      <c r="A3357" t="s">
        <v>2</v>
      </c>
      <c r="B3357">
        <v>1200521</v>
      </c>
      <c r="C3357">
        <v>42500</v>
      </c>
      <c r="D3357" s="4">
        <f>+VLOOKUP(A3357,Portfolio!$G$3:$I$6,3)</f>
        <v>1</v>
      </c>
      <c r="E3357">
        <f t="shared" si="52"/>
        <v>42500</v>
      </c>
    </row>
    <row r="3358" spans="1:5" x14ac:dyDescent="0.25">
      <c r="A3358" t="s">
        <v>2</v>
      </c>
      <c r="B3358">
        <v>1200522</v>
      </c>
      <c r="C3358">
        <v>43240</v>
      </c>
      <c r="D3358" s="4">
        <f>+VLOOKUP(A3358,Portfolio!$G$3:$I$6,3)</f>
        <v>1</v>
      </c>
      <c r="E3358">
        <f t="shared" si="52"/>
        <v>43240</v>
      </c>
    </row>
    <row r="3359" spans="1:5" x14ac:dyDescent="0.25">
      <c r="A3359" t="s">
        <v>2</v>
      </c>
      <c r="B3359">
        <v>1200524</v>
      </c>
      <c r="C3359">
        <v>42440</v>
      </c>
      <c r="D3359" s="4">
        <f>+VLOOKUP(A3359,Portfolio!$G$3:$I$6,3)</f>
        <v>1</v>
      </c>
      <c r="E3359">
        <f t="shared" si="52"/>
        <v>42440</v>
      </c>
    </row>
    <row r="3360" spans="1:5" x14ac:dyDescent="0.25">
      <c r="A3360" t="s">
        <v>2</v>
      </c>
      <c r="B3360">
        <v>1200525</v>
      </c>
      <c r="C3360">
        <v>42080</v>
      </c>
      <c r="D3360" s="4">
        <f>+VLOOKUP(A3360,Portfolio!$G$3:$I$6,3)</f>
        <v>1</v>
      </c>
      <c r="E3360">
        <f t="shared" si="52"/>
        <v>42080</v>
      </c>
    </row>
    <row r="3361" spans="1:5" x14ac:dyDescent="0.25">
      <c r="A3361" t="s">
        <v>2</v>
      </c>
      <c r="B3361">
        <v>1200526</v>
      </c>
      <c r="C3361">
        <v>42900</v>
      </c>
      <c r="D3361" s="4">
        <f>+VLOOKUP(A3361,Portfolio!$G$3:$I$6,3)</f>
        <v>1</v>
      </c>
      <c r="E3361">
        <f t="shared" si="52"/>
        <v>42900</v>
      </c>
    </row>
    <row r="3362" spans="1:5" x14ac:dyDescent="0.25">
      <c r="A3362" t="s">
        <v>2</v>
      </c>
      <c r="B3362">
        <v>1200527</v>
      </c>
      <c r="C3362">
        <v>44740</v>
      </c>
      <c r="D3362" s="4">
        <f>+VLOOKUP(A3362,Portfolio!$G$3:$I$6,3)</f>
        <v>1</v>
      </c>
      <c r="E3362">
        <f t="shared" si="52"/>
        <v>44740</v>
      </c>
    </row>
    <row r="3363" spans="1:5" x14ac:dyDescent="0.25">
      <c r="A3363" t="s">
        <v>2</v>
      </c>
      <c r="B3363">
        <v>1200528</v>
      </c>
      <c r="C3363">
        <v>43680</v>
      </c>
      <c r="D3363" s="4">
        <f>+VLOOKUP(A3363,Portfolio!$G$3:$I$6,3)</f>
        <v>1</v>
      </c>
      <c r="E3363">
        <f t="shared" si="52"/>
        <v>43680</v>
      </c>
    </row>
    <row r="3364" spans="1:5" x14ac:dyDescent="0.25">
      <c r="A3364" t="s">
        <v>2</v>
      </c>
      <c r="B3364">
        <v>1200529</v>
      </c>
      <c r="C3364">
        <v>42420</v>
      </c>
      <c r="D3364" s="4">
        <f>+VLOOKUP(A3364,Portfolio!$G$3:$I$6,3)</f>
        <v>1</v>
      </c>
      <c r="E3364">
        <f t="shared" si="52"/>
        <v>42420</v>
      </c>
    </row>
    <row r="3365" spans="1:5" x14ac:dyDescent="0.25">
      <c r="A3365" t="s">
        <v>2</v>
      </c>
      <c r="B3365">
        <v>1200531</v>
      </c>
      <c r="C3365">
        <v>44590</v>
      </c>
      <c r="D3365" s="4">
        <f>+VLOOKUP(A3365,Portfolio!$G$3:$I$6,3)</f>
        <v>1</v>
      </c>
      <c r="E3365">
        <f t="shared" si="52"/>
        <v>44590</v>
      </c>
    </row>
    <row r="3366" spans="1:5" x14ac:dyDescent="0.25">
      <c r="A3366" t="s">
        <v>2</v>
      </c>
      <c r="B3366">
        <v>1200601</v>
      </c>
      <c r="C3366">
        <v>44380</v>
      </c>
      <c r="D3366" s="4">
        <f>+VLOOKUP(A3366,Portfolio!$G$3:$I$6,3)</f>
        <v>1</v>
      </c>
      <c r="E3366">
        <f t="shared" si="52"/>
        <v>44380</v>
      </c>
    </row>
    <row r="3367" spans="1:5" x14ac:dyDescent="0.25">
      <c r="A3367" t="s">
        <v>2</v>
      </c>
      <c r="B3367">
        <v>1200602</v>
      </c>
      <c r="C3367">
        <v>43910</v>
      </c>
      <c r="D3367" s="4">
        <f>+VLOOKUP(A3367,Portfolio!$G$3:$I$6,3)</f>
        <v>1</v>
      </c>
      <c r="E3367">
        <f t="shared" si="52"/>
        <v>43910</v>
      </c>
    </row>
    <row r="3368" spans="1:5" x14ac:dyDescent="0.25">
      <c r="A3368" t="s">
        <v>2</v>
      </c>
      <c r="B3368">
        <v>1200603</v>
      </c>
      <c r="C3368">
        <v>44050</v>
      </c>
      <c r="D3368" s="4">
        <f>+VLOOKUP(A3368,Portfolio!$G$3:$I$6,3)</f>
        <v>1</v>
      </c>
      <c r="E3368">
        <f t="shared" si="52"/>
        <v>44050</v>
      </c>
    </row>
    <row r="3369" spans="1:5" x14ac:dyDescent="0.25">
      <c r="A3369" t="s">
        <v>2</v>
      </c>
      <c r="B3369">
        <v>1200604</v>
      </c>
      <c r="C3369">
        <v>46000</v>
      </c>
      <c r="D3369" s="4">
        <f>+VLOOKUP(A3369,Portfolio!$G$3:$I$6,3)</f>
        <v>1</v>
      </c>
      <c r="E3369">
        <f t="shared" si="52"/>
        <v>46000</v>
      </c>
    </row>
    <row r="3370" spans="1:5" x14ac:dyDescent="0.25">
      <c r="A3370" t="s">
        <v>2</v>
      </c>
      <c r="B3370">
        <v>1200605</v>
      </c>
      <c r="C3370">
        <v>46280</v>
      </c>
      <c r="D3370" s="4">
        <f>+VLOOKUP(A3370,Portfolio!$G$3:$I$6,3)</f>
        <v>1</v>
      </c>
      <c r="E3370">
        <f t="shared" si="52"/>
        <v>46280</v>
      </c>
    </row>
    <row r="3371" spans="1:5" x14ac:dyDescent="0.25">
      <c r="A3371" t="s">
        <v>2</v>
      </c>
      <c r="B3371">
        <v>1200607</v>
      </c>
      <c r="C3371">
        <v>48610</v>
      </c>
      <c r="D3371" s="4">
        <f>+VLOOKUP(A3371,Portfolio!$G$3:$I$6,3)</f>
        <v>1</v>
      </c>
      <c r="E3371">
        <f t="shared" si="52"/>
        <v>48610</v>
      </c>
    </row>
    <row r="3372" spans="1:5" x14ac:dyDescent="0.25">
      <c r="A3372" t="s">
        <v>2</v>
      </c>
      <c r="B3372">
        <v>1200608</v>
      </c>
      <c r="C3372">
        <v>47720</v>
      </c>
      <c r="D3372" s="4">
        <f>+VLOOKUP(A3372,Portfolio!$G$3:$I$6,3)</f>
        <v>1</v>
      </c>
      <c r="E3372">
        <f t="shared" si="52"/>
        <v>47720</v>
      </c>
    </row>
    <row r="3373" spans="1:5" x14ac:dyDescent="0.25">
      <c r="A3373" t="s">
        <v>2</v>
      </c>
      <c r="B3373">
        <v>1200609</v>
      </c>
      <c r="C3373">
        <v>46870</v>
      </c>
      <c r="D3373" s="4">
        <f>+VLOOKUP(A3373,Portfolio!$G$3:$I$6,3)</f>
        <v>1</v>
      </c>
      <c r="E3373">
        <f t="shared" si="52"/>
        <v>46870</v>
      </c>
    </row>
    <row r="3374" spans="1:5" x14ac:dyDescent="0.25">
      <c r="A3374" t="s">
        <v>2</v>
      </c>
      <c r="B3374">
        <v>1200610</v>
      </c>
      <c r="C3374">
        <v>49020</v>
      </c>
      <c r="D3374" s="4">
        <f>+VLOOKUP(A3374,Portfolio!$G$3:$I$6,3)</f>
        <v>1</v>
      </c>
      <c r="E3374">
        <f t="shared" si="52"/>
        <v>49020</v>
      </c>
    </row>
    <row r="3375" spans="1:5" x14ac:dyDescent="0.25">
      <c r="A3375" t="s">
        <v>2</v>
      </c>
      <c r="B3375">
        <v>1200611</v>
      </c>
      <c r="C3375">
        <v>50870</v>
      </c>
      <c r="D3375" s="4">
        <f>+VLOOKUP(A3375,Portfolio!$G$3:$I$6,3)</f>
        <v>1</v>
      </c>
      <c r="E3375">
        <f t="shared" si="52"/>
        <v>50870</v>
      </c>
    </row>
    <row r="3376" spans="1:5" x14ac:dyDescent="0.25">
      <c r="A3376" t="s">
        <v>2</v>
      </c>
      <c r="B3376">
        <v>1200612</v>
      </c>
      <c r="C3376">
        <v>50910</v>
      </c>
      <c r="D3376" s="4">
        <f>+VLOOKUP(A3376,Portfolio!$G$3:$I$6,3)</f>
        <v>1</v>
      </c>
      <c r="E3376">
        <f t="shared" si="52"/>
        <v>50910</v>
      </c>
    </row>
    <row r="3377" spans="1:5" x14ac:dyDescent="0.25">
      <c r="A3377" t="s">
        <v>2</v>
      </c>
      <c r="B3377">
        <v>1200614</v>
      </c>
      <c r="C3377">
        <v>49840</v>
      </c>
      <c r="D3377" s="4">
        <f>+VLOOKUP(A3377,Portfolio!$G$3:$I$6,3)</f>
        <v>1</v>
      </c>
      <c r="E3377">
        <f t="shared" si="52"/>
        <v>49840</v>
      </c>
    </row>
    <row r="3378" spans="1:5" x14ac:dyDescent="0.25">
      <c r="A3378" t="s">
        <v>2</v>
      </c>
      <c r="B3378">
        <v>1200615</v>
      </c>
      <c r="C3378">
        <v>49520</v>
      </c>
      <c r="D3378" s="4">
        <f>+VLOOKUP(A3378,Portfolio!$G$3:$I$6,3)</f>
        <v>1</v>
      </c>
      <c r="E3378">
        <f t="shared" si="52"/>
        <v>49520</v>
      </c>
    </row>
    <row r="3379" spans="1:5" x14ac:dyDescent="0.25">
      <c r="A3379" t="s">
        <v>2</v>
      </c>
      <c r="B3379">
        <v>1200616</v>
      </c>
      <c r="C3379">
        <v>46340</v>
      </c>
      <c r="D3379" s="4">
        <f>+VLOOKUP(A3379,Portfolio!$G$3:$I$6,3)</f>
        <v>1</v>
      </c>
      <c r="E3379">
        <f t="shared" si="52"/>
        <v>46340</v>
      </c>
    </row>
    <row r="3380" spans="1:5" x14ac:dyDescent="0.25">
      <c r="A3380" t="s">
        <v>2</v>
      </c>
      <c r="B3380">
        <v>1200617</v>
      </c>
      <c r="C3380">
        <v>45700</v>
      </c>
      <c r="D3380" s="4">
        <f>+VLOOKUP(A3380,Portfolio!$G$3:$I$6,3)</f>
        <v>1</v>
      </c>
      <c r="E3380">
        <f t="shared" si="52"/>
        <v>45700</v>
      </c>
    </row>
    <row r="3381" spans="1:5" x14ac:dyDescent="0.25">
      <c r="A3381" t="s">
        <v>2</v>
      </c>
      <c r="B3381">
        <v>1200618</v>
      </c>
      <c r="C3381">
        <v>45810</v>
      </c>
      <c r="D3381" s="4">
        <f>+VLOOKUP(A3381,Portfolio!$G$3:$I$6,3)</f>
        <v>1</v>
      </c>
      <c r="E3381">
        <f t="shared" si="52"/>
        <v>45810</v>
      </c>
    </row>
    <row r="3382" spans="1:5" x14ac:dyDescent="0.25">
      <c r="A3382" t="s">
        <v>2</v>
      </c>
      <c r="B3382">
        <v>1200619</v>
      </c>
      <c r="C3382">
        <v>45030</v>
      </c>
      <c r="D3382" s="4">
        <f>+VLOOKUP(A3382,Portfolio!$G$3:$I$6,3)</f>
        <v>1</v>
      </c>
      <c r="E3382">
        <f t="shared" si="52"/>
        <v>45030</v>
      </c>
    </row>
    <row r="3383" spans="1:5" x14ac:dyDescent="0.25">
      <c r="A3383" t="s">
        <v>2</v>
      </c>
      <c r="B3383">
        <v>1200621</v>
      </c>
      <c r="C3383">
        <v>46430</v>
      </c>
      <c r="D3383" s="4">
        <f>+VLOOKUP(A3383,Portfolio!$G$3:$I$6,3)</f>
        <v>1</v>
      </c>
      <c r="E3383">
        <f t="shared" si="52"/>
        <v>46430</v>
      </c>
    </row>
    <row r="3384" spans="1:5" x14ac:dyDescent="0.25">
      <c r="A3384" t="s">
        <v>2</v>
      </c>
      <c r="B3384">
        <v>1200622</v>
      </c>
      <c r="C3384">
        <v>47220</v>
      </c>
      <c r="D3384" s="4">
        <f>+VLOOKUP(A3384,Portfolio!$G$3:$I$6,3)</f>
        <v>1</v>
      </c>
      <c r="E3384">
        <f t="shared" si="52"/>
        <v>47220</v>
      </c>
    </row>
    <row r="3385" spans="1:5" x14ac:dyDescent="0.25">
      <c r="A3385" t="s">
        <v>2</v>
      </c>
      <c r="B3385">
        <v>1200623</v>
      </c>
      <c r="C3385">
        <v>47480</v>
      </c>
      <c r="D3385" s="4">
        <f>+VLOOKUP(A3385,Portfolio!$G$3:$I$6,3)</f>
        <v>1</v>
      </c>
      <c r="E3385">
        <f t="shared" si="52"/>
        <v>47480</v>
      </c>
    </row>
    <row r="3386" spans="1:5" x14ac:dyDescent="0.25">
      <c r="A3386" t="s">
        <v>2</v>
      </c>
      <c r="B3386">
        <v>1200624</v>
      </c>
      <c r="C3386">
        <v>48960</v>
      </c>
      <c r="D3386" s="4">
        <f>+VLOOKUP(A3386,Portfolio!$G$3:$I$6,3)</f>
        <v>1</v>
      </c>
      <c r="E3386">
        <f t="shared" si="52"/>
        <v>48960</v>
      </c>
    </row>
    <row r="3387" spans="1:5" x14ac:dyDescent="0.25">
      <c r="A3387" t="s">
        <v>2</v>
      </c>
      <c r="B3387">
        <v>1200625</v>
      </c>
      <c r="C3387">
        <v>49600</v>
      </c>
      <c r="D3387" s="4">
        <f>+VLOOKUP(A3387,Portfolio!$G$3:$I$6,3)</f>
        <v>1</v>
      </c>
      <c r="E3387">
        <f t="shared" si="52"/>
        <v>49600</v>
      </c>
    </row>
    <row r="3388" spans="1:5" x14ac:dyDescent="0.25">
      <c r="A3388" t="s">
        <v>2</v>
      </c>
      <c r="B3388">
        <v>1200626</v>
      </c>
      <c r="C3388">
        <v>50000</v>
      </c>
      <c r="D3388" s="4">
        <f>+VLOOKUP(A3388,Portfolio!$G$3:$I$6,3)</f>
        <v>1</v>
      </c>
      <c r="E3388">
        <f t="shared" si="52"/>
        <v>50000</v>
      </c>
    </row>
    <row r="3389" spans="1:5" x14ac:dyDescent="0.25">
      <c r="A3389" t="s">
        <v>2</v>
      </c>
      <c r="B3389">
        <v>1200628</v>
      </c>
      <c r="C3389">
        <v>51080</v>
      </c>
      <c r="D3389" s="4">
        <f>+VLOOKUP(A3389,Portfolio!$G$3:$I$6,3)</f>
        <v>1</v>
      </c>
      <c r="E3389">
        <f t="shared" si="52"/>
        <v>51080</v>
      </c>
    </row>
    <row r="3390" spans="1:5" x14ac:dyDescent="0.25">
      <c r="A3390" t="s">
        <v>2</v>
      </c>
      <c r="B3390">
        <v>1200629</v>
      </c>
      <c r="C3390">
        <v>50850</v>
      </c>
      <c r="D3390" s="4">
        <f>+VLOOKUP(A3390,Portfolio!$G$3:$I$6,3)</f>
        <v>1</v>
      </c>
      <c r="E3390">
        <f t="shared" si="52"/>
        <v>50850</v>
      </c>
    </row>
    <row r="3391" spans="1:5" x14ac:dyDescent="0.25">
      <c r="A3391" t="s">
        <v>2</v>
      </c>
      <c r="B3391">
        <v>1200630</v>
      </c>
      <c r="C3391">
        <v>50130</v>
      </c>
      <c r="D3391" s="4">
        <f>+VLOOKUP(A3391,Portfolio!$G$3:$I$6,3)</f>
        <v>1</v>
      </c>
      <c r="E3391">
        <f t="shared" si="52"/>
        <v>50130</v>
      </c>
    </row>
    <row r="3392" spans="1:5" x14ac:dyDescent="0.25">
      <c r="A3392" t="s">
        <v>2</v>
      </c>
      <c r="B3392">
        <v>1200701</v>
      </c>
      <c r="C3392">
        <v>48070</v>
      </c>
      <c r="D3392" s="4">
        <f>+VLOOKUP(A3392,Portfolio!$G$3:$I$6,3)</f>
        <v>1</v>
      </c>
      <c r="E3392">
        <f t="shared" si="52"/>
        <v>48070</v>
      </c>
    </row>
    <row r="3393" spans="1:5" x14ac:dyDescent="0.25">
      <c r="A3393" t="s">
        <v>2</v>
      </c>
      <c r="B3393">
        <v>1200702</v>
      </c>
      <c r="C3393">
        <v>48990</v>
      </c>
      <c r="D3393" s="4">
        <f>+VLOOKUP(A3393,Portfolio!$G$3:$I$6,3)</f>
        <v>1</v>
      </c>
      <c r="E3393">
        <f t="shared" si="52"/>
        <v>48990</v>
      </c>
    </row>
    <row r="3394" spans="1:5" x14ac:dyDescent="0.25">
      <c r="A3394" t="s">
        <v>2</v>
      </c>
      <c r="B3394">
        <v>1200703</v>
      </c>
      <c r="C3394">
        <v>46710</v>
      </c>
      <c r="D3394" s="4">
        <f>+VLOOKUP(A3394,Portfolio!$G$3:$I$6,3)</f>
        <v>1</v>
      </c>
      <c r="E3394">
        <f t="shared" si="52"/>
        <v>46710</v>
      </c>
    </row>
    <row r="3395" spans="1:5" x14ac:dyDescent="0.25">
      <c r="A3395" t="s">
        <v>2</v>
      </c>
      <c r="B3395">
        <v>1200705</v>
      </c>
      <c r="C3395">
        <v>47020</v>
      </c>
      <c r="D3395" s="4">
        <f>+VLOOKUP(A3395,Portfolio!$G$3:$I$6,3)</f>
        <v>1</v>
      </c>
      <c r="E3395">
        <f t="shared" ref="E3395:E3458" si="53">+C3395*D3395</f>
        <v>47020</v>
      </c>
    </row>
    <row r="3396" spans="1:5" x14ac:dyDescent="0.25">
      <c r="A3396" t="s">
        <v>2</v>
      </c>
      <c r="B3396">
        <v>1200706</v>
      </c>
      <c r="C3396">
        <v>47020</v>
      </c>
      <c r="D3396" s="4">
        <f>+VLOOKUP(A3396,Portfolio!$G$3:$I$6,3)</f>
        <v>1</v>
      </c>
      <c r="E3396">
        <f t="shared" si="53"/>
        <v>47020</v>
      </c>
    </row>
    <row r="3397" spans="1:5" x14ac:dyDescent="0.25">
      <c r="A3397" t="s">
        <v>2</v>
      </c>
      <c r="B3397">
        <v>1200707</v>
      </c>
      <c r="C3397">
        <v>47760</v>
      </c>
      <c r="D3397" s="4">
        <f>+VLOOKUP(A3397,Portfolio!$G$3:$I$6,3)</f>
        <v>1</v>
      </c>
      <c r="E3397">
        <f t="shared" si="53"/>
        <v>47760</v>
      </c>
    </row>
    <row r="3398" spans="1:5" x14ac:dyDescent="0.25">
      <c r="A3398" t="s">
        <v>2</v>
      </c>
      <c r="B3398">
        <v>1200708</v>
      </c>
      <c r="C3398">
        <v>45290</v>
      </c>
      <c r="D3398" s="4">
        <f>+VLOOKUP(A3398,Portfolio!$G$3:$I$6,3)</f>
        <v>1</v>
      </c>
      <c r="E3398">
        <f t="shared" si="53"/>
        <v>45290</v>
      </c>
    </row>
    <row r="3399" spans="1:5" x14ac:dyDescent="0.25">
      <c r="A3399" t="s">
        <v>2</v>
      </c>
      <c r="B3399">
        <v>1200709</v>
      </c>
      <c r="C3399">
        <v>46300</v>
      </c>
      <c r="D3399" s="4">
        <f>+VLOOKUP(A3399,Portfolio!$G$3:$I$6,3)</f>
        <v>1</v>
      </c>
      <c r="E3399">
        <f t="shared" si="53"/>
        <v>46300</v>
      </c>
    </row>
    <row r="3400" spans="1:5" x14ac:dyDescent="0.25">
      <c r="A3400" t="s">
        <v>2</v>
      </c>
      <c r="B3400">
        <v>1200710</v>
      </c>
      <c r="C3400">
        <v>47680</v>
      </c>
      <c r="D3400" s="4">
        <f>+VLOOKUP(A3400,Portfolio!$G$3:$I$6,3)</f>
        <v>1</v>
      </c>
      <c r="E3400">
        <f t="shared" si="53"/>
        <v>47680</v>
      </c>
    </row>
    <row r="3401" spans="1:5" x14ac:dyDescent="0.25">
      <c r="A3401" t="s">
        <v>2</v>
      </c>
      <c r="B3401">
        <v>1200712</v>
      </c>
      <c r="C3401">
        <v>47020</v>
      </c>
      <c r="D3401" s="4">
        <f>+VLOOKUP(A3401,Portfolio!$G$3:$I$6,3)</f>
        <v>1</v>
      </c>
      <c r="E3401">
        <f t="shared" si="53"/>
        <v>47020</v>
      </c>
    </row>
    <row r="3402" spans="1:5" x14ac:dyDescent="0.25">
      <c r="A3402" t="s">
        <v>2</v>
      </c>
      <c r="B3402">
        <v>1200713</v>
      </c>
      <c r="C3402">
        <v>47240</v>
      </c>
      <c r="D3402" s="4">
        <f>+VLOOKUP(A3402,Portfolio!$G$3:$I$6,3)</f>
        <v>1</v>
      </c>
      <c r="E3402">
        <f t="shared" si="53"/>
        <v>47240</v>
      </c>
    </row>
    <row r="3403" spans="1:5" x14ac:dyDescent="0.25">
      <c r="A3403" t="s">
        <v>2</v>
      </c>
      <c r="B3403">
        <v>1200714</v>
      </c>
      <c r="C3403">
        <v>46500</v>
      </c>
      <c r="D3403" s="4">
        <f>+VLOOKUP(A3403,Portfolio!$G$3:$I$6,3)</f>
        <v>1</v>
      </c>
      <c r="E3403">
        <f t="shared" si="53"/>
        <v>46500</v>
      </c>
    </row>
    <row r="3404" spans="1:5" x14ac:dyDescent="0.25">
      <c r="A3404" t="s">
        <v>2</v>
      </c>
      <c r="B3404">
        <v>1200715</v>
      </c>
      <c r="C3404">
        <v>46450</v>
      </c>
      <c r="D3404" s="4">
        <f>+VLOOKUP(A3404,Portfolio!$G$3:$I$6,3)</f>
        <v>1</v>
      </c>
      <c r="E3404">
        <f t="shared" si="53"/>
        <v>46450</v>
      </c>
    </row>
    <row r="3405" spans="1:5" x14ac:dyDescent="0.25">
      <c r="A3405" t="s">
        <v>2</v>
      </c>
      <c r="B3405">
        <v>1200716</v>
      </c>
      <c r="C3405">
        <v>45450</v>
      </c>
      <c r="D3405" s="4">
        <f>+VLOOKUP(A3405,Portfolio!$G$3:$I$6,3)</f>
        <v>1</v>
      </c>
      <c r="E3405">
        <f t="shared" si="53"/>
        <v>45450</v>
      </c>
    </row>
    <row r="3406" spans="1:5" x14ac:dyDescent="0.25">
      <c r="A3406" t="s">
        <v>2</v>
      </c>
      <c r="B3406">
        <v>1200717</v>
      </c>
      <c r="C3406">
        <v>46110</v>
      </c>
      <c r="D3406" s="4">
        <f>+VLOOKUP(A3406,Portfolio!$G$3:$I$6,3)</f>
        <v>1</v>
      </c>
      <c r="E3406">
        <f t="shared" si="53"/>
        <v>46110</v>
      </c>
    </row>
    <row r="3407" spans="1:5" x14ac:dyDescent="0.25">
      <c r="A3407" t="s">
        <v>2</v>
      </c>
      <c r="B3407">
        <v>1200719</v>
      </c>
      <c r="C3407">
        <v>47070</v>
      </c>
      <c r="D3407" s="4">
        <f>+VLOOKUP(A3407,Portfolio!$G$3:$I$6,3)</f>
        <v>1</v>
      </c>
      <c r="E3407">
        <f t="shared" si="53"/>
        <v>47070</v>
      </c>
    </row>
    <row r="3408" spans="1:5" x14ac:dyDescent="0.25">
      <c r="A3408" t="s">
        <v>2</v>
      </c>
      <c r="B3408">
        <v>1200720</v>
      </c>
      <c r="C3408">
        <v>46850</v>
      </c>
      <c r="D3408" s="4">
        <f>+VLOOKUP(A3408,Portfolio!$G$3:$I$6,3)</f>
        <v>1</v>
      </c>
      <c r="E3408">
        <f t="shared" si="53"/>
        <v>46850</v>
      </c>
    </row>
    <row r="3409" spans="1:5" x14ac:dyDescent="0.25">
      <c r="A3409" t="s">
        <v>2</v>
      </c>
      <c r="B3409">
        <v>1200721</v>
      </c>
      <c r="C3409">
        <v>48180</v>
      </c>
      <c r="D3409" s="4">
        <f>+VLOOKUP(A3409,Portfolio!$G$3:$I$6,3)</f>
        <v>1</v>
      </c>
      <c r="E3409">
        <f t="shared" si="53"/>
        <v>48180</v>
      </c>
    </row>
    <row r="3410" spans="1:5" x14ac:dyDescent="0.25">
      <c r="A3410" t="s">
        <v>2</v>
      </c>
      <c r="B3410">
        <v>1200722</v>
      </c>
      <c r="C3410">
        <v>51810</v>
      </c>
      <c r="D3410" s="4">
        <f>+VLOOKUP(A3410,Portfolio!$G$3:$I$6,3)</f>
        <v>1</v>
      </c>
      <c r="E3410">
        <f t="shared" si="53"/>
        <v>51810</v>
      </c>
    </row>
    <row r="3411" spans="1:5" x14ac:dyDescent="0.25">
      <c r="A3411" t="s">
        <v>2</v>
      </c>
      <c r="B3411">
        <v>1200723</v>
      </c>
      <c r="C3411">
        <v>50630</v>
      </c>
      <c r="D3411" s="4">
        <f>+VLOOKUP(A3411,Portfolio!$G$3:$I$6,3)</f>
        <v>1</v>
      </c>
      <c r="E3411">
        <f t="shared" si="53"/>
        <v>50630</v>
      </c>
    </row>
    <row r="3412" spans="1:5" x14ac:dyDescent="0.25">
      <c r="A3412" t="s">
        <v>2</v>
      </c>
      <c r="B3412">
        <v>1200724</v>
      </c>
      <c r="C3412">
        <v>51900</v>
      </c>
      <c r="D3412" s="4">
        <f>+VLOOKUP(A3412,Portfolio!$G$3:$I$6,3)</f>
        <v>1</v>
      </c>
      <c r="E3412">
        <f t="shared" si="53"/>
        <v>51900</v>
      </c>
    </row>
    <row r="3413" spans="1:5" x14ac:dyDescent="0.25">
      <c r="A3413" t="s">
        <v>2</v>
      </c>
      <c r="B3413">
        <v>1200726</v>
      </c>
      <c r="C3413">
        <v>52800</v>
      </c>
      <c r="D3413" s="4">
        <f>+VLOOKUP(A3413,Portfolio!$G$3:$I$6,3)</f>
        <v>1</v>
      </c>
      <c r="E3413">
        <f t="shared" si="53"/>
        <v>52800</v>
      </c>
    </row>
    <row r="3414" spans="1:5" x14ac:dyDescent="0.25">
      <c r="A3414" t="s">
        <v>2</v>
      </c>
      <c r="B3414">
        <v>1200727</v>
      </c>
      <c r="C3414">
        <v>54990</v>
      </c>
      <c r="D3414" s="4">
        <f>+VLOOKUP(A3414,Portfolio!$G$3:$I$6,3)</f>
        <v>1</v>
      </c>
      <c r="E3414">
        <f t="shared" si="53"/>
        <v>54990</v>
      </c>
    </row>
    <row r="3415" spans="1:5" x14ac:dyDescent="0.25">
      <c r="A3415" t="s">
        <v>2</v>
      </c>
      <c r="B3415">
        <v>1200728</v>
      </c>
      <c r="C3415">
        <v>55790</v>
      </c>
      <c r="D3415" s="4">
        <f>+VLOOKUP(A3415,Portfolio!$G$3:$I$6,3)</f>
        <v>1</v>
      </c>
      <c r="E3415">
        <f t="shared" si="53"/>
        <v>55790</v>
      </c>
    </row>
    <row r="3416" spans="1:5" x14ac:dyDescent="0.25">
      <c r="A3416" t="s">
        <v>2</v>
      </c>
      <c r="B3416">
        <v>1200729</v>
      </c>
      <c r="C3416">
        <v>54510</v>
      </c>
      <c r="D3416" s="4">
        <f>+VLOOKUP(A3416,Portfolio!$G$3:$I$6,3)</f>
        <v>1</v>
      </c>
      <c r="E3416">
        <f t="shared" si="53"/>
        <v>54510</v>
      </c>
    </row>
    <row r="3417" spans="1:5" x14ac:dyDescent="0.25">
      <c r="A3417" t="s">
        <v>2</v>
      </c>
      <c r="B3417">
        <v>1200730</v>
      </c>
      <c r="C3417">
        <v>54510</v>
      </c>
      <c r="D3417" s="4">
        <f>+VLOOKUP(A3417,Portfolio!$G$3:$I$6,3)</f>
        <v>1</v>
      </c>
      <c r="E3417">
        <f t="shared" si="53"/>
        <v>54510</v>
      </c>
    </row>
    <row r="3418" spans="1:5" x14ac:dyDescent="0.25">
      <c r="A3418" t="s">
        <v>2</v>
      </c>
      <c r="B3418">
        <v>1200731</v>
      </c>
      <c r="C3418">
        <v>51960</v>
      </c>
      <c r="D3418" s="4">
        <f>+VLOOKUP(A3418,Portfolio!$G$3:$I$6,3)</f>
        <v>1</v>
      </c>
      <c r="E3418">
        <f t="shared" si="53"/>
        <v>51960</v>
      </c>
    </row>
    <row r="3419" spans="1:5" x14ac:dyDescent="0.25">
      <c r="A3419" t="s">
        <v>2</v>
      </c>
      <c r="B3419">
        <v>1200802</v>
      </c>
      <c r="C3419">
        <v>51490</v>
      </c>
      <c r="D3419" s="4">
        <f>+VLOOKUP(A3419,Portfolio!$G$3:$I$6,3)</f>
        <v>1</v>
      </c>
      <c r="E3419">
        <f t="shared" si="53"/>
        <v>51490</v>
      </c>
    </row>
    <row r="3420" spans="1:5" x14ac:dyDescent="0.25">
      <c r="A3420" t="s">
        <v>2</v>
      </c>
      <c r="B3420">
        <v>1200803</v>
      </c>
      <c r="C3420">
        <v>51490</v>
      </c>
      <c r="D3420" s="4">
        <f>+VLOOKUP(A3420,Portfolio!$G$3:$I$6,3)</f>
        <v>1</v>
      </c>
      <c r="E3420">
        <f t="shared" si="53"/>
        <v>51490</v>
      </c>
    </row>
    <row r="3421" spans="1:5" x14ac:dyDescent="0.25">
      <c r="A3421" t="s">
        <v>2</v>
      </c>
      <c r="B3421">
        <v>1200804</v>
      </c>
      <c r="C3421">
        <v>51060</v>
      </c>
      <c r="D3421" s="4">
        <f>+VLOOKUP(A3421,Portfolio!$G$3:$I$6,3)</f>
        <v>1</v>
      </c>
      <c r="E3421">
        <f t="shared" si="53"/>
        <v>51060</v>
      </c>
    </row>
    <row r="3422" spans="1:5" x14ac:dyDescent="0.25">
      <c r="A3422" t="s">
        <v>2</v>
      </c>
      <c r="B3422">
        <v>1200805</v>
      </c>
      <c r="C3422">
        <v>47030</v>
      </c>
      <c r="D3422" s="4">
        <f>+VLOOKUP(A3422,Portfolio!$G$3:$I$6,3)</f>
        <v>1</v>
      </c>
      <c r="E3422">
        <f t="shared" si="53"/>
        <v>47030</v>
      </c>
    </row>
    <row r="3423" spans="1:5" x14ac:dyDescent="0.25">
      <c r="A3423" t="s">
        <v>2</v>
      </c>
      <c r="B3423">
        <v>1200806</v>
      </c>
      <c r="C3423">
        <v>44810</v>
      </c>
      <c r="D3423" s="4">
        <f>+VLOOKUP(A3423,Portfolio!$G$3:$I$6,3)</f>
        <v>1</v>
      </c>
      <c r="E3423">
        <f t="shared" si="53"/>
        <v>44810</v>
      </c>
    </row>
    <row r="3424" spans="1:5" x14ac:dyDescent="0.25">
      <c r="A3424" t="s">
        <v>2</v>
      </c>
      <c r="B3424">
        <v>1200807</v>
      </c>
      <c r="C3424">
        <v>45260</v>
      </c>
      <c r="D3424" s="4">
        <f>+VLOOKUP(A3424,Portfolio!$G$3:$I$6,3)</f>
        <v>1</v>
      </c>
      <c r="E3424">
        <f t="shared" si="53"/>
        <v>45260</v>
      </c>
    </row>
    <row r="3425" spans="1:5" x14ac:dyDescent="0.25">
      <c r="A3425" t="s">
        <v>2</v>
      </c>
      <c r="B3425">
        <v>1200809</v>
      </c>
      <c r="C3425">
        <v>46150</v>
      </c>
      <c r="D3425" s="4">
        <f>+VLOOKUP(A3425,Portfolio!$G$3:$I$6,3)</f>
        <v>1</v>
      </c>
      <c r="E3425">
        <f t="shared" si="53"/>
        <v>46150</v>
      </c>
    </row>
    <row r="3426" spans="1:5" x14ac:dyDescent="0.25">
      <c r="A3426" t="s">
        <v>2</v>
      </c>
      <c r="B3426">
        <v>1200810</v>
      </c>
      <c r="C3426">
        <v>45790</v>
      </c>
      <c r="D3426" s="4">
        <f>+VLOOKUP(A3426,Portfolio!$G$3:$I$6,3)</f>
        <v>1</v>
      </c>
      <c r="E3426">
        <f t="shared" si="53"/>
        <v>45790</v>
      </c>
    </row>
    <row r="3427" spans="1:5" x14ac:dyDescent="0.25">
      <c r="A3427" t="s">
        <v>2</v>
      </c>
      <c r="B3427">
        <v>1200811</v>
      </c>
      <c r="C3427">
        <v>43900</v>
      </c>
      <c r="D3427" s="4">
        <f>+VLOOKUP(A3427,Portfolio!$G$3:$I$6,3)</f>
        <v>1</v>
      </c>
      <c r="E3427">
        <f t="shared" si="53"/>
        <v>43900</v>
      </c>
    </row>
    <row r="3428" spans="1:5" x14ac:dyDescent="0.25">
      <c r="A3428" t="s">
        <v>2</v>
      </c>
      <c r="B3428">
        <v>1200812</v>
      </c>
      <c r="C3428">
        <v>54400</v>
      </c>
      <c r="D3428" s="4">
        <f>+VLOOKUP(A3428,Portfolio!$G$3:$I$6,3)</f>
        <v>1</v>
      </c>
      <c r="E3428">
        <f t="shared" si="53"/>
        <v>54400</v>
      </c>
    </row>
    <row r="3429" spans="1:5" x14ac:dyDescent="0.25">
      <c r="A3429" t="s">
        <v>2</v>
      </c>
      <c r="B3429">
        <v>1200813</v>
      </c>
      <c r="C3429">
        <v>48940</v>
      </c>
      <c r="D3429" s="4">
        <f>+VLOOKUP(A3429,Portfolio!$G$3:$I$6,3)</f>
        <v>1</v>
      </c>
      <c r="E3429">
        <f t="shared" si="53"/>
        <v>48940</v>
      </c>
    </row>
    <row r="3430" spans="1:5" x14ac:dyDescent="0.25">
      <c r="A3430" t="s">
        <v>2</v>
      </c>
      <c r="B3430">
        <v>1200814</v>
      </c>
      <c r="C3430">
        <v>44250</v>
      </c>
      <c r="D3430" s="4">
        <f>+VLOOKUP(A3430,Portfolio!$G$3:$I$6,3)</f>
        <v>1</v>
      </c>
      <c r="E3430">
        <f t="shared" si="53"/>
        <v>44250</v>
      </c>
    </row>
    <row r="3431" spans="1:5" x14ac:dyDescent="0.25">
      <c r="A3431" t="s">
        <v>2</v>
      </c>
      <c r="B3431">
        <v>1200816</v>
      </c>
      <c r="C3431">
        <v>44380</v>
      </c>
      <c r="D3431" s="4">
        <f>+VLOOKUP(A3431,Portfolio!$G$3:$I$6,3)</f>
        <v>1</v>
      </c>
      <c r="E3431">
        <f t="shared" si="53"/>
        <v>44380</v>
      </c>
    </row>
    <row r="3432" spans="1:5" x14ac:dyDescent="0.25">
      <c r="A3432" t="s">
        <v>2</v>
      </c>
      <c r="B3432">
        <v>1200817</v>
      </c>
      <c r="C3432">
        <v>44380</v>
      </c>
      <c r="D3432" s="4">
        <f>+VLOOKUP(A3432,Portfolio!$G$3:$I$6,3)</f>
        <v>1</v>
      </c>
      <c r="E3432">
        <f t="shared" si="53"/>
        <v>44380</v>
      </c>
    </row>
    <row r="3433" spans="1:5" x14ac:dyDescent="0.25">
      <c r="A3433" t="s">
        <v>2</v>
      </c>
      <c r="B3433">
        <v>1200818</v>
      </c>
      <c r="C3433">
        <v>47550</v>
      </c>
      <c r="D3433" s="4">
        <f>+VLOOKUP(A3433,Portfolio!$G$3:$I$6,3)</f>
        <v>1</v>
      </c>
      <c r="E3433">
        <f t="shared" si="53"/>
        <v>47550</v>
      </c>
    </row>
    <row r="3434" spans="1:5" x14ac:dyDescent="0.25">
      <c r="A3434" t="s">
        <v>2</v>
      </c>
      <c r="B3434">
        <v>1200819</v>
      </c>
      <c r="C3434">
        <v>48850</v>
      </c>
      <c r="D3434" s="4">
        <f>+VLOOKUP(A3434,Portfolio!$G$3:$I$6,3)</f>
        <v>1</v>
      </c>
      <c r="E3434">
        <f t="shared" si="53"/>
        <v>48850</v>
      </c>
    </row>
    <row r="3435" spans="1:5" x14ac:dyDescent="0.25">
      <c r="A3435" t="s">
        <v>2</v>
      </c>
      <c r="B3435">
        <v>1200820</v>
      </c>
      <c r="C3435">
        <v>51980</v>
      </c>
      <c r="D3435" s="4">
        <f>+VLOOKUP(A3435,Portfolio!$G$3:$I$6,3)</f>
        <v>1</v>
      </c>
      <c r="E3435">
        <f t="shared" si="53"/>
        <v>51980</v>
      </c>
    </row>
    <row r="3436" spans="1:5" x14ac:dyDescent="0.25">
      <c r="A3436" t="s">
        <v>2</v>
      </c>
      <c r="B3436">
        <v>1200821</v>
      </c>
      <c r="C3436">
        <v>53530</v>
      </c>
      <c r="D3436" s="4">
        <f>+VLOOKUP(A3436,Portfolio!$G$3:$I$6,3)</f>
        <v>1</v>
      </c>
      <c r="E3436">
        <f t="shared" si="53"/>
        <v>53530</v>
      </c>
    </row>
    <row r="3437" spans="1:5" x14ac:dyDescent="0.25">
      <c r="A3437" t="s">
        <v>2</v>
      </c>
      <c r="B3437">
        <v>1200823</v>
      </c>
      <c r="C3437">
        <v>53150</v>
      </c>
      <c r="D3437" s="4">
        <f>+VLOOKUP(A3437,Portfolio!$G$3:$I$6,3)</f>
        <v>1</v>
      </c>
      <c r="E3437">
        <f t="shared" si="53"/>
        <v>53150</v>
      </c>
    </row>
    <row r="3438" spans="1:5" x14ac:dyDescent="0.25">
      <c r="A3438" t="s">
        <v>2</v>
      </c>
      <c r="B3438">
        <v>1200824</v>
      </c>
      <c r="C3438">
        <v>53740</v>
      </c>
      <c r="D3438" s="4">
        <f>+VLOOKUP(A3438,Portfolio!$G$3:$I$6,3)</f>
        <v>1</v>
      </c>
      <c r="E3438">
        <f t="shared" si="53"/>
        <v>53740</v>
      </c>
    </row>
    <row r="3439" spans="1:5" x14ac:dyDescent="0.25">
      <c r="A3439" t="s">
        <v>2</v>
      </c>
      <c r="B3439">
        <v>1200825</v>
      </c>
      <c r="C3439">
        <v>50330</v>
      </c>
      <c r="D3439" s="4">
        <f>+VLOOKUP(A3439,Portfolio!$G$3:$I$6,3)</f>
        <v>1</v>
      </c>
      <c r="E3439">
        <f t="shared" si="53"/>
        <v>50330</v>
      </c>
    </row>
    <row r="3440" spans="1:5" x14ac:dyDescent="0.25">
      <c r="A3440" t="s">
        <v>2</v>
      </c>
      <c r="B3440">
        <v>1200826</v>
      </c>
      <c r="C3440">
        <v>50110</v>
      </c>
      <c r="D3440" s="4">
        <f>+VLOOKUP(A3440,Portfolio!$G$3:$I$6,3)</f>
        <v>1</v>
      </c>
      <c r="E3440">
        <f t="shared" si="53"/>
        <v>50110</v>
      </c>
    </row>
    <row r="3441" spans="1:5" x14ac:dyDescent="0.25">
      <c r="A3441" t="s">
        <v>2</v>
      </c>
      <c r="B3441">
        <v>1200827</v>
      </c>
      <c r="C3441">
        <v>47410</v>
      </c>
      <c r="D3441" s="4">
        <f>+VLOOKUP(A3441,Portfolio!$G$3:$I$6,3)</f>
        <v>1</v>
      </c>
      <c r="E3441">
        <f t="shared" si="53"/>
        <v>47410</v>
      </c>
    </row>
    <row r="3442" spans="1:5" x14ac:dyDescent="0.25">
      <c r="A3442" t="s">
        <v>2</v>
      </c>
      <c r="B3442">
        <v>1200828</v>
      </c>
      <c r="C3442">
        <v>47690</v>
      </c>
      <c r="D3442" s="4">
        <f>+VLOOKUP(A3442,Portfolio!$G$3:$I$6,3)</f>
        <v>1</v>
      </c>
      <c r="E3442">
        <f t="shared" si="53"/>
        <v>47690</v>
      </c>
    </row>
    <row r="3443" spans="1:5" x14ac:dyDescent="0.25">
      <c r="A3443" t="s">
        <v>2</v>
      </c>
      <c r="B3443">
        <v>1200830</v>
      </c>
      <c r="C3443">
        <v>49930</v>
      </c>
      <c r="D3443" s="4">
        <f>+VLOOKUP(A3443,Portfolio!$G$3:$I$6,3)</f>
        <v>1</v>
      </c>
      <c r="E3443">
        <f t="shared" si="53"/>
        <v>49930</v>
      </c>
    </row>
    <row r="3444" spans="1:5" x14ac:dyDescent="0.25">
      <c r="A3444" t="s">
        <v>2</v>
      </c>
      <c r="B3444">
        <v>1200831</v>
      </c>
      <c r="C3444">
        <v>49580</v>
      </c>
      <c r="D3444" s="4">
        <f>+VLOOKUP(A3444,Portfolio!$G$3:$I$6,3)</f>
        <v>1</v>
      </c>
      <c r="E3444">
        <f t="shared" si="53"/>
        <v>49580</v>
      </c>
    </row>
    <row r="3445" spans="1:5" x14ac:dyDescent="0.25">
      <c r="A3445" t="s">
        <v>2</v>
      </c>
      <c r="B3445">
        <v>1200901</v>
      </c>
      <c r="C3445">
        <v>48860</v>
      </c>
      <c r="D3445" s="4">
        <f>+VLOOKUP(A3445,Portfolio!$G$3:$I$6,3)</f>
        <v>1</v>
      </c>
      <c r="E3445">
        <f t="shared" si="53"/>
        <v>48860</v>
      </c>
    </row>
    <row r="3446" spans="1:5" x14ac:dyDescent="0.25">
      <c r="A3446" t="s">
        <v>2</v>
      </c>
      <c r="B3446">
        <v>1200902</v>
      </c>
      <c r="C3446">
        <v>48860</v>
      </c>
      <c r="D3446" s="4">
        <f>+VLOOKUP(A3446,Portfolio!$G$3:$I$6,3)</f>
        <v>1</v>
      </c>
      <c r="E3446">
        <f t="shared" si="53"/>
        <v>48860</v>
      </c>
    </row>
    <row r="3447" spans="1:5" x14ac:dyDescent="0.25">
      <c r="A3447" t="s">
        <v>2</v>
      </c>
      <c r="B3447">
        <v>1200903</v>
      </c>
      <c r="C3447">
        <v>44200</v>
      </c>
      <c r="D3447" s="4">
        <f>+VLOOKUP(A3447,Portfolio!$G$3:$I$6,3)</f>
        <v>1</v>
      </c>
      <c r="E3447">
        <f t="shared" si="53"/>
        <v>44200</v>
      </c>
    </row>
    <row r="3448" spans="1:5" x14ac:dyDescent="0.25">
      <c r="A3448" t="s">
        <v>2</v>
      </c>
      <c r="B3448">
        <v>1200904</v>
      </c>
      <c r="C3448">
        <v>41240</v>
      </c>
      <c r="D3448" s="4">
        <f>+VLOOKUP(A3448,Portfolio!$G$3:$I$6,3)</f>
        <v>1</v>
      </c>
      <c r="E3448">
        <f t="shared" si="53"/>
        <v>41240</v>
      </c>
    </row>
    <row r="3449" spans="1:5" x14ac:dyDescent="0.25">
      <c r="A3449" t="s">
        <v>2</v>
      </c>
      <c r="B3449">
        <v>1200906</v>
      </c>
      <c r="C3449">
        <v>38830</v>
      </c>
      <c r="D3449" s="4">
        <f>+VLOOKUP(A3449,Portfolio!$G$3:$I$6,3)</f>
        <v>1</v>
      </c>
      <c r="E3449">
        <f t="shared" si="53"/>
        <v>38830</v>
      </c>
    </row>
    <row r="3450" spans="1:5" x14ac:dyDescent="0.25">
      <c r="A3450" t="s">
        <v>2</v>
      </c>
      <c r="B3450">
        <v>1200907</v>
      </c>
      <c r="C3450">
        <v>39030</v>
      </c>
      <c r="D3450" s="4">
        <f>+VLOOKUP(A3450,Portfolio!$G$3:$I$6,3)</f>
        <v>1</v>
      </c>
      <c r="E3450">
        <f t="shared" si="53"/>
        <v>39030</v>
      </c>
    </row>
    <row r="3451" spans="1:5" x14ac:dyDescent="0.25">
      <c r="A3451" t="s">
        <v>2</v>
      </c>
      <c r="B3451">
        <v>1200908</v>
      </c>
      <c r="C3451">
        <v>39610</v>
      </c>
      <c r="D3451" s="4">
        <f>+VLOOKUP(A3451,Portfolio!$G$3:$I$6,3)</f>
        <v>1</v>
      </c>
      <c r="E3451">
        <f t="shared" si="53"/>
        <v>39610</v>
      </c>
    </row>
    <row r="3452" spans="1:5" x14ac:dyDescent="0.25">
      <c r="A3452" t="s">
        <v>2</v>
      </c>
      <c r="B3452">
        <v>1200909</v>
      </c>
      <c r="C3452">
        <v>38650</v>
      </c>
      <c r="D3452" s="4">
        <f>+VLOOKUP(A3452,Portfolio!$G$3:$I$6,3)</f>
        <v>1</v>
      </c>
      <c r="E3452">
        <f t="shared" si="53"/>
        <v>38650</v>
      </c>
    </row>
    <row r="3453" spans="1:5" x14ac:dyDescent="0.25">
      <c r="A3453" t="s">
        <v>2</v>
      </c>
      <c r="B3453">
        <v>1200910</v>
      </c>
      <c r="C3453">
        <v>37540</v>
      </c>
      <c r="D3453" s="4">
        <f>+VLOOKUP(A3453,Portfolio!$G$3:$I$6,3)</f>
        <v>1</v>
      </c>
      <c r="E3453">
        <f t="shared" si="53"/>
        <v>37540</v>
      </c>
    </row>
    <row r="3454" spans="1:5" x14ac:dyDescent="0.25">
      <c r="A3454" t="s">
        <v>2</v>
      </c>
      <c r="B3454">
        <v>1200911</v>
      </c>
      <c r="C3454">
        <v>39150</v>
      </c>
      <c r="D3454" s="4">
        <f>+VLOOKUP(A3454,Portfolio!$G$3:$I$6,3)</f>
        <v>1</v>
      </c>
      <c r="E3454">
        <f t="shared" si="53"/>
        <v>39150</v>
      </c>
    </row>
    <row r="3455" spans="1:5" x14ac:dyDescent="0.25">
      <c r="A3455" t="s">
        <v>2</v>
      </c>
      <c r="B3455">
        <v>1200913</v>
      </c>
      <c r="C3455">
        <v>38500</v>
      </c>
      <c r="D3455" s="4">
        <f>+VLOOKUP(A3455,Portfolio!$G$3:$I$6,3)</f>
        <v>1</v>
      </c>
      <c r="E3455">
        <f t="shared" si="53"/>
        <v>38500</v>
      </c>
    </row>
    <row r="3456" spans="1:5" x14ac:dyDescent="0.25">
      <c r="A3456" t="s">
        <v>2</v>
      </c>
      <c r="B3456">
        <v>1200914</v>
      </c>
      <c r="C3456">
        <v>39330</v>
      </c>
      <c r="D3456" s="4">
        <f>+VLOOKUP(A3456,Portfolio!$G$3:$I$6,3)</f>
        <v>1</v>
      </c>
      <c r="E3456">
        <f t="shared" si="53"/>
        <v>39330</v>
      </c>
    </row>
    <row r="3457" spans="1:5" x14ac:dyDescent="0.25">
      <c r="A3457" t="s">
        <v>2</v>
      </c>
      <c r="B3457">
        <v>1200915</v>
      </c>
      <c r="C3457">
        <v>39300</v>
      </c>
      <c r="D3457" s="4">
        <f>+VLOOKUP(A3457,Portfolio!$G$3:$I$6,3)</f>
        <v>1</v>
      </c>
      <c r="E3457">
        <f t="shared" si="53"/>
        <v>39300</v>
      </c>
    </row>
    <row r="3458" spans="1:5" x14ac:dyDescent="0.25">
      <c r="A3458" t="s">
        <v>2</v>
      </c>
      <c r="B3458">
        <v>1200916</v>
      </c>
      <c r="C3458">
        <v>38240</v>
      </c>
      <c r="D3458" s="4">
        <f>+VLOOKUP(A3458,Portfolio!$G$3:$I$6,3)</f>
        <v>1</v>
      </c>
      <c r="E3458">
        <f t="shared" si="53"/>
        <v>38240</v>
      </c>
    </row>
    <row r="3459" spans="1:5" x14ac:dyDescent="0.25">
      <c r="A3459" t="s">
        <v>2</v>
      </c>
      <c r="B3459">
        <v>1200917</v>
      </c>
      <c r="C3459">
        <v>35350</v>
      </c>
      <c r="D3459" s="4">
        <f>+VLOOKUP(A3459,Portfolio!$G$3:$I$6,3)</f>
        <v>1</v>
      </c>
      <c r="E3459">
        <f t="shared" ref="E3459:E3522" si="54">+C3459*D3459</f>
        <v>35350</v>
      </c>
    </row>
    <row r="3460" spans="1:5" x14ac:dyDescent="0.25">
      <c r="A3460" t="s">
        <v>2</v>
      </c>
      <c r="B3460">
        <v>1200918</v>
      </c>
      <c r="C3460">
        <v>35900</v>
      </c>
      <c r="D3460" s="4">
        <f>+VLOOKUP(A3460,Portfolio!$G$3:$I$6,3)</f>
        <v>1</v>
      </c>
      <c r="E3460">
        <f t="shared" si="54"/>
        <v>35900</v>
      </c>
    </row>
    <row r="3461" spans="1:5" x14ac:dyDescent="0.25">
      <c r="A3461" t="s">
        <v>2</v>
      </c>
      <c r="B3461">
        <v>1200920</v>
      </c>
      <c r="C3461">
        <v>35850</v>
      </c>
      <c r="D3461" s="4">
        <f>+VLOOKUP(A3461,Portfolio!$G$3:$I$6,3)</f>
        <v>1</v>
      </c>
      <c r="E3461">
        <f t="shared" si="54"/>
        <v>35850</v>
      </c>
    </row>
    <row r="3462" spans="1:5" x14ac:dyDescent="0.25">
      <c r="A3462" t="s">
        <v>2</v>
      </c>
      <c r="B3462">
        <v>1200921</v>
      </c>
      <c r="C3462">
        <v>35490</v>
      </c>
      <c r="D3462" s="4">
        <f>+VLOOKUP(A3462,Portfolio!$G$3:$I$6,3)</f>
        <v>1</v>
      </c>
      <c r="E3462">
        <f t="shared" si="54"/>
        <v>35490</v>
      </c>
    </row>
    <row r="3463" spans="1:5" x14ac:dyDescent="0.25">
      <c r="A3463" t="s">
        <v>2</v>
      </c>
      <c r="B3463">
        <v>1200922</v>
      </c>
      <c r="C3463">
        <v>38820</v>
      </c>
      <c r="D3463" s="4">
        <f>+VLOOKUP(A3463,Portfolio!$G$3:$I$6,3)</f>
        <v>1</v>
      </c>
      <c r="E3463">
        <f t="shared" si="54"/>
        <v>38820</v>
      </c>
    </row>
    <row r="3464" spans="1:5" x14ac:dyDescent="0.25">
      <c r="A3464" t="s">
        <v>2</v>
      </c>
      <c r="B3464">
        <v>1200923</v>
      </c>
      <c r="C3464">
        <v>38820</v>
      </c>
      <c r="D3464" s="4">
        <f>+VLOOKUP(A3464,Portfolio!$G$3:$I$6,3)</f>
        <v>1</v>
      </c>
      <c r="E3464">
        <f t="shared" si="54"/>
        <v>38820</v>
      </c>
    </row>
    <row r="3465" spans="1:5" x14ac:dyDescent="0.25">
      <c r="A3465" t="s">
        <v>2</v>
      </c>
      <c r="B3465">
        <v>1200924</v>
      </c>
      <c r="C3465">
        <v>40670</v>
      </c>
      <c r="D3465" s="4">
        <f>+VLOOKUP(A3465,Portfolio!$G$3:$I$6,3)</f>
        <v>1</v>
      </c>
      <c r="E3465">
        <f t="shared" si="54"/>
        <v>40670</v>
      </c>
    </row>
    <row r="3466" spans="1:5" x14ac:dyDescent="0.25">
      <c r="A3466" t="s">
        <v>2</v>
      </c>
      <c r="B3466">
        <v>1200925</v>
      </c>
      <c r="C3466">
        <v>41090</v>
      </c>
      <c r="D3466" s="4">
        <f>+VLOOKUP(A3466,Portfolio!$G$3:$I$6,3)</f>
        <v>1</v>
      </c>
      <c r="E3466">
        <f t="shared" si="54"/>
        <v>41090</v>
      </c>
    </row>
    <row r="3467" spans="1:5" x14ac:dyDescent="0.25">
      <c r="A3467" t="s">
        <v>2</v>
      </c>
      <c r="B3467">
        <v>1200927</v>
      </c>
      <c r="C3467">
        <v>40970</v>
      </c>
      <c r="D3467" s="4">
        <f>+VLOOKUP(A3467,Portfolio!$G$3:$I$6,3)</f>
        <v>1</v>
      </c>
      <c r="E3467">
        <f t="shared" si="54"/>
        <v>40970</v>
      </c>
    </row>
    <row r="3468" spans="1:5" x14ac:dyDescent="0.25">
      <c r="A3468" t="s">
        <v>2</v>
      </c>
      <c r="B3468">
        <v>1200928</v>
      </c>
      <c r="C3468">
        <v>41320</v>
      </c>
      <c r="D3468" s="4">
        <f>+VLOOKUP(A3468,Portfolio!$G$3:$I$6,3)</f>
        <v>1</v>
      </c>
      <c r="E3468">
        <f t="shared" si="54"/>
        <v>41320</v>
      </c>
    </row>
    <row r="3469" spans="1:5" x14ac:dyDescent="0.25">
      <c r="A3469" t="s">
        <v>2</v>
      </c>
      <c r="B3469">
        <v>1200929</v>
      </c>
      <c r="C3469">
        <v>43080</v>
      </c>
      <c r="D3469" s="4">
        <f>+VLOOKUP(A3469,Portfolio!$G$3:$I$6,3)</f>
        <v>1</v>
      </c>
      <c r="E3469">
        <f t="shared" si="54"/>
        <v>43080</v>
      </c>
    </row>
    <row r="3470" spans="1:5" x14ac:dyDescent="0.25">
      <c r="A3470" t="s">
        <v>2</v>
      </c>
      <c r="B3470">
        <v>1200930</v>
      </c>
      <c r="C3470">
        <v>43180</v>
      </c>
      <c r="D3470" s="4">
        <f>+VLOOKUP(A3470,Portfolio!$G$3:$I$6,3)</f>
        <v>1</v>
      </c>
      <c r="E3470">
        <f t="shared" si="54"/>
        <v>43180</v>
      </c>
    </row>
    <row r="3471" spans="1:5" x14ac:dyDescent="0.25">
      <c r="A3471" t="s">
        <v>2</v>
      </c>
      <c r="B3471">
        <v>1201001</v>
      </c>
      <c r="C3471">
        <v>41390</v>
      </c>
      <c r="D3471" s="4">
        <f>+VLOOKUP(A3471,Portfolio!$G$3:$I$6,3)</f>
        <v>1</v>
      </c>
      <c r="E3471">
        <f t="shared" si="54"/>
        <v>41390</v>
      </c>
    </row>
    <row r="3472" spans="1:5" x14ac:dyDescent="0.25">
      <c r="A3472" t="s">
        <v>2</v>
      </c>
      <c r="B3472">
        <v>1201002</v>
      </c>
      <c r="C3472">
        <v>42630</v>
      </c>
      <c r="D3472" s="4">
        <f>+VLOOKUP(A3472,Portfolio!$G$3:$I$6,3)</f>
        <v>1</v>
      </c>
      <c r="E3472">
        <f t="shared" si="54"/>
        <v>42630</v>
      </c>
    </row>
    <row r="3473" spans="1:5" x14ac:dyDescent="0.25">
      <c r="A3473" t="s">
        <v>2</v>
      </c>
      <c r="B3473">
        <v>1201004</v>
      </c>
      <c r="C3473">
        <v>42630</v>
      </c>
      <c r="D3473" s="4">
        <f>+VLOOKUP(A3473,Portfolio!$G$3:$I$6,3)</f>
        <v>1</v>
      </c>
      <c r="E3473">
        <f t="shared" si="54"/>
        <v>42630</v>
      </c>
    </row>
    <row r="3474" spans="1:5" x14ac:dyDescent="0.25">
      <c r="A3474" t="s">
        <v>2</v>
      </c>
      <c r="B3474">
        <v>1201005</v>
      </c>
      <c r="C3474">
        <v>42630</v>
      </c>
      <c r="D3474" s="4">
        <f>+VLOOKUP(A3474,Portfolio!$G$3:$I$6,3)</f>
        <v>1</v>
      </c>
      <c r="E3474">
        <f t="shared" si="54"/>
        <v>42630</v>
      </c>
    </row>
    <row r="3475" spans="1:5" x14ac:dyDescent="0.25">
      <c r="A3475" t="s">
        <v>2</v>
      </c>
      <c r="B3475">
        <v>1201006</v>
      </c>
      <c r="C3475">
        <v>43680</v>
      </c>
      <c r="D3475" s="4">
        <f>+VLOOKUP(A3475,Portfolio!$G$3:$I$6,3)</f>
        <v>1</v>
      </c>
      <c r="E3475">
        <f t="shared" si="54"/>
        <v>43680</v>
      </c>
    </row>
    <row r="3476" spans="1:5" x14ac:dyDescent="0.25">
      <c r="A3476" t="s">
        <v>2</v>
      </c>
      <c r="B3476">
        <v>1201007</v>
      </c>
      <c r="C3476">
        <v>39140</v>
      </c>
      <c r="D3476" s="4">
        <f>+VLOOKUP(A3476,Portfolio!$G$3:$I$6,3)</f>
        <v>1</v>
      </c>
      <c r="E3476">
        <f t="shared" si="54"/>
        <v>39140</v>
      </c>
    </row>
    <row r="3477" spans="1:5" x14ac:dyDescent="0.25">
      <c r="A3477" t="s">
        <v>2</v>
      </c>
      <c r="B3477">
        <v>1201008</v>
      </c>
      <c r="C3477">
        <v>39810</v>
      </c>
      <c r="D3477" s="4">
        <f>+VLOOKUP(A3477,Portfolio!$G$3:$I$6,3)</f>
        <v>1</v>
      </c>
      <c r="E3477">
        <f t="shared" si="54"/>
        <v>39810</v>
      </c>
    </row>
    <row r="3478" spans="1:5" x14ac:dyDescent="0.25">
      <c r="A3478" t="s">
        <v>2</v>
      </c>
      <c r="B3478">
        <v>1201009</v>
      </c>
      <c r="C3478">
        <v>41400</v>
      </c>
      <c r="D3478" s="4">
        <f>+VLOOKUP(A3478,Portfolio!$G$3:$I$6,3)</f>
        <v>1</v>
      </c>
      <c r="E3478">
        <f t="shared" si="54"/>
        <v>41400</v>
      </c>
    </row>
    <row r="3479" spans="1:5" x14ac:dyDescent="0.25">
      <c r="A3479" t="s">
        <v>2</v>
      </c>
      <c r="B3479">
        <v>1201011</v>
      </c>
      <c r="C3479">
        <v>42740</v>
      </c>
      <c r="D3479" s="4">
        <f>+VLOOKUP(A3479,Portfolio!$G$3:$I$6,3)</f>
        <v>1</v>
      </c>
      <c r="E3479">
        <f t="shared" si="54"/>
        <v>42740</v>
      </c>
    </row>
    <row r="3480" spans="1:5" x14ac:dyDescent="0.25">
      <c r="A3480" t="s">
        <v>2</v>
      </c>
      <c r="B3480">
        <v>1201012</v>
      </c>
      <c r="C3480">
        <v>42740</v>
      </c>
      <c r="D3480" s="4">
        <f>+VLOOKUP(A3480,Portfolio!$G$3:$I$6,3)</f>
        <v>1</v>
      </c>
      <c r="E3480">
        <f t="shared" si="54"/>
        <v>42740</v>
      </c>
    </row>
    <row r="3481" spans="1:5" x14ac:dyDescent="0.25">
      <c r="A3481" t="s">
        <v>2</v>
      </c>
      <c r="B3481">
        <v>1201013</v>
      </c>
      <c r="C3481">
        <v>44000</v>
      </c>
      <c r="D3481" s="4">
        <f>+VLOOKUP(A3481,Portfolio!$G$3:$I$6,3)</f>
        <v>1</v>
      </c>
      <c r="E3481">
        <f t="shared" si="54"/>
        <v>44000</v>
      </c>
    </row>
    <row r="3482" spans="1:5" x14ac:dyDescent="0.25">
      <c r="A3482" t="s">
        <v>2</v>
      </c>
      <c r="B3482">
        <v>1201014</v>
      </c>
      <c r="C3482">
        <v>43690</v>
      </c>
      <c r="D3482" s="4">
        <f>+VLOOKUP(A3482,Portfolio!$G$3:$I$6,3)</f>
        <v>1</v>
      </c>
      <c r="E3482">
        <f t="shared" si="54"/>
        <v>43690</v>
      </c>
    </row>
    <row r="3483" spans="1:5" x14ac:dyDescent="0.25">
      <c r="A3483" t="s">
        <v>2</v>
      </c>
      <c r="B3483">
        <v>1201015</v>
      </c>
      <c r="C3483">
        <v>43360</v>
      </c>
      <c r="D3483" s="4">
        <f>+VLOOKUP(A3483,Portfolio!$G$3:$I$6,3)</f>
        <v>1</v>
      </c>
      <c r="E3483">
        <f t="shared" si="54"/>
        <v>43360</v>
      </c>
    </row>
    <row r="3484" spans="1:5" x14ac:dyDescent="0.25">
      <c r="A3484" t="s">
        <v>2</v>
      </c>
      <c r="B3484">
        <v>1201016</v>
      </c>
      <c r="C3484">
        <v>41540</v>
      </c>
      <c r="D3484" s="4">
        <f>+VLOOKUP(A3484,Portfolio!$G$3:$I$6,3)</f>
        <v>1</v>
      </c>
      <c r="E3484">
        <f t="shared" si="54"/>
        <v>41540</v>
      </c>
    </row>
    <row r="3485" spans="1:5" x14ac:dyDescent="0.25">
      <c r="A3485" t="s">
        <v>2</v>
      </c>
      <c r="B3485">
        <v>1201018</v>
      </c>
      <c r="C3485">
        <v>40180</v>
      </c>
      <c r="D3485" s="4">
        <f>+VLOOKUP(A3485,Portfolio!$G$3:$I$6,3)</f>
        <v>1</v>
      </c>
      <c r="E3485">
        <f t="shared" si="54"/>
        <v>40180</v>
      </c>
    </row>
    <row r="3486" spans="1:5" x14ac:dyDescent="0.25">
      <c r="A3486" t="s">
        <v>2</v>
      </c>
      <c r="B3486">
        <v>1201019</v>
      </c>
      <c r="C3486">
        <v>40160</v>
      </c>
      <c r="D3486" s="4">
        <f>+VLOOKUP(A3486,Portfolio!$G$3:$I$6,3)</f>
        <v>1</v>
      </c>
      <c r="E3486">
        <f t="shared" si="54"/>
        <v>40160</v>
      </c>
    </row>
    <row r="3487" spans="1:5" x14ac:dyDescent="0.25">
      <c r="A3487" t="s">
        <v>2</v>
      </c>
      <c r="B3487">
        <v>1201020</v>
      </c>
      <c r="C3487">
        <v>40090</v>
      </c>
      <c r="D3487" s="4">
        <f>+VLOOKUP(A3487,Portfolio!$G$3:$I$6,3)</f>
        <v>1</v>
      </c>
      <c r="E3487">
        <f t="shared" si="54"/>
        <v>40090</v>
      </c>
    </row>
    <row r="3488" spans="1:5" x14ac:dyDescent="0.25">
      <c r="A3488" t="s">
        <v>2</v>
      </c>
      <c r="B3488">
        <v>1201021</v>
      </c>
      <c r="C3488">
        <v>41840</v>
      </c>
      <c r="D3488" s="4">
        <f>+VLOOKUP(A3488,Portfolio!$G$3:$I$6,3)</f>
        <v>1</v>
      </c>
      <c r="E3488">
        <f t="shared" si="54"/>
        <v>41840</v>
      </c>
    </row>
    <row r="3489" spans="1:5" x14ac:dyDescent="0.25">
      <c r="A3489" t="s">
        <v>2</v>
      </c>
      <c r="B3489">
        <v>1201022</v>
      </c>
      <c r="C3489">
        <v>39950</v>
      </c>
      <c r="D3489" s="4">
        <f>+VLOOKUP(A3489,Portfolio!$G$3:$I$6,3)</f>
        <v>1</v>
      </c>
      <c r="E3489">
        <f t="shared" si="54"/>
        <v>39950</v>
      </c>
    </row>
    <row r="3490" spans="1:5" x14ac:dyDescent="0.25">
      <c r="A3490" t="s">
        <v>2</v>
      </c>
      <c r="B3490">
        <v>1201023</v>
      </c>
      <c r="C3490">
        <v>39990</v>
      </c>
      <c r="D3490" s="4">
        <f>+VLOOKUP(A3490,Portfolio!$G$3:$I$6,3)</f>
        <v>1</v>
      </c>
      <c r="E3490">
        <f t="shared" si="54"/>
        <v>39990</v>
      </c>
    </row>
    <row r="3491" spans="1:5" x14ac:dyDescent="0.25">
      <c r="A3491" t="s">
        <v>2</v>
      </c>
      <c r="B3491">
        <v>1201025</v>
      </c>
      <c r="C3491">
        <v>37930</v>
      </c>
      <c r="D3491" s="4">
        <f>+VLOOKUP(A3491,Portfolio!$G$3:$I$6,3)</f>
        <v>1</v>
      </c>
      <c r="E3491">
        <f t="shared" si="54"/>
        <v>37930</v>
      </c>
    </row>
    <row r="3492" spans="1:5" x14ac:dyDescent="0.25">
      <c r="A3492" t="s">
        <v>2</v>
      </c>
      <c r="B3492">
        <v>1201026</v>
      </c>
      <c r="C3492">
        <v>38400</v>
      </c>
      <c r="D3492" s="4">
        <f>+VLOOKUP(A3492,Portfolio!$G$3:$I$6,3)</f>
        <v>1</v>
      </c>
      <c r="E3492">
        <f t="shared" si="54"/>
        <v>38400</v>
      </c>
    </row>
    <row r="3493" spans="1:5" x14ac:dyDescent="0.25">
      <c r="A3493" t="s">
        <v>2</v>
      </c>
      <c r="B3493">
        <v>1201027</v>
      </c>
      <c r="C3493">
        <v>39440</v>
      </c>
      <c r="D3493" s="4">
        <f>+VLOOKUP(A3493,Portfolio!$G$3:$I$6,3)</f>
        <v>1</v>
      </c>
      <c r="E3493">
        <f t="shared" si="54"/>
        <v>39440</v>
      </c>
    </row>
    <row r="3494" spans="1:5" x14ac:dyDescent="0.25">
      <c r="A3494" t="s">
        <v>2</v>
      </c>
      <c r="B3494">
        <v>1201028</v>
      </c>
      <c r="C3494">
        <v>38580</v>
      </c>
      <c r="D3494" s="4">
        <f>+VLOOKUP(A3494,Portfolio!$G$3:$I$6,3)</f>
        <v>1</v>
      </c>
      <c r="E3494">
        <f t="shared" si="54"/>
        <v>38580</v>
      </c>
    </row>
    <row r="3495" spans="1:5" x14ac:dyDescent="0.25">
      <c r="A3495" t="s">
        <v>2</v>
      </c>
      <c r="B3495">
        <v>1201029</v>
      </c>
      <c r="C3495">
        <v>41250</v>
      </c>
      <c r="D3495" s="4">
        <f>+VLOOKUP(A3495,Portfolio!$G$3:$I$6,3)</f>
        <v>1</v>
      </c>
      <c r="E3495">
        <f t="shared" si="54"/>
        <v>41250</v>
      </c>
    </row>
    <row r="3496" spans="1:5" x14ac:dyDescent="0.25">
      <c r="A3496" t="s">
        <v>2</v>
      </c>
      <c r="B3496">
        <v>1201030</v>
      </c>
      <c r="C3496">
        <v>41810</v>
      </c>
      <c r="D3496" s="4">
        <f>+VLOOKUP(A3496,Portfolio!$G$3:$I$6,3)</f>
        <v>1</v>
      </c>
      <c r="E3496">
        <f t="shared" si="54"/>
        <v>41810</v>
      </c>
    </row>
    <row r="3497" spans="1:5" x14ac:dyDescent="0.25">
      <c r="A3497" t="s">
        <v>2</v>
      </c>
      <c r="B3497">
        <v>1201101</v>
      </c>
      <c r="C3497">
        <v>41510</v>
      </c>
      <c r="D3497" s="4">
        <f>+VLOOKUP(A3497,Portfolio!$G$3:$I$6,3)</f>
        <v>1</v>
      </c>
      <c r="E3497">
        <f t="shared" si="54"/>
        <v>41510</v>
      </c>
    </row>
    <row r="3498" spans="1:5" x14ac:dyDescent="0.25">
      <c r="A3498" t="s">
        <v>2</v>
      </c>
      <c r="B3498">
        <v>1201102</v>
      </c>
      <c r="C3498">
        <v>41790</v>
      </c>
      <c r="D3498" s="4">
        <f>+VLOOKUP(A3498,Portfolio!$G$3:$I$6,3)</f>
        <v>1</v>
      </c>
      <c r="E3498">
        <f t="shared" si="54"/>
        <v>41790</v>
      </c>
    </row>
    <row r="3499" spans="1:5" x14ac:dyDescent="0.25">
      <c r="A3499" t="s">
        <v>2</v>
      </c>
      <c r="B3499">
        <v>1201103</v>
      </c>
      <c r="C3499">
        <v>42800</v>
      </c>
      <c r="D3499" s="4">
        <f>+VLOOKUP(A3499,Portfolio!$G$3:$I$6,3)</f>
        <v>1</v>
      </c>
      <c r="E3499">
        <f t="shared" si="54"/>
        <v>42800</v>
      </c>
    </row>
    <row r="3500" spans="1:5" x14ac:dyDescent="0.25">
      <c r="A3500" t="s">
        <v>2</v>
      </c>
      <c r="B3500">
        <v>1201104</v>
      </c>
      <c r="C3500">
        <v>43010</v>
      </c>
      <c r="D3500" s="4">
        <f>+VLOOKUP(A3500,Portfolio!$G$3:$I$6,3)</f>
        <v>1</v>
      </c>
      <c r="E3500">
        <f t="shared" si="54"/>
        <v>43010</v>
      </c>
    </row>
    <row r="3501" spans="1:5" x14ac:dyDescent="0.25">
      <c r="A3501" t="s">
        <v>2</v>
      </c>
      <c r="B3501">
        <v>1201105</v>
      </c>
      <c r="C3501">
        <v>40330</v>
      </c>
      <c r="D3501" s="4">
        <f>+VLOOKUP(A3501,Portfolio!$G$3:$I$6,3)</f>
        <v>1</v>
      </c>
      <c r="E3501">
        <f t="shared" si="54"/>
        <v>40330</v>
      </c>
    </row>
    <row r="3502" spans="1:5" x14ac:dyDescent="0.25">
      <c r="A3502" t="s">
        <v>2</v>
      </c>
      <c r="B3502">
        <v>1201106</v>
      </c>
      <c r="C3502">
        <v>42990</v>
      </c>
      <c r="D3502" s="4">
        <f>+VLOOKUP(A3502,Portfolio!$G$3:$I$6,3)</f>
        <v>1</v>
      </c>
      <c r="E3502">
        <f t="shared" si="54"/>
        <v>42990</v>
      </c>
    </row>
    <row r="3503" spans="1:5" x14ac:dyDescent="0.25">
      <c r="A3503" t="s">
        <v>2</v>
      </c>
      <c r="B3503">
        <v>1201108</v>
      </c>
      <c r="C3503">
        <v>43780</v>
      </c>
      <c r="D3503" s="4">
        <f>+VLOOKUP(A3503,Portfolio!$G$3:$I$6,3)</f>
        <v>1</v>
      </c>
      <c r="E3503">
        <f t="shared" si="54"/>
        <v>43780</v>
      </c>
    </row>
    <row r="3504" spans="1:5" x14ac:dyDescent="0.25">
      <c r="A3504" t="s">
        <v>2</v>
      </c>
      <c r="B3504">
        <v>1201109</v>
      </c>
      <c r="C3504">
        <v>44160</v>
      </c>
      <c r="D3504" s="4">
        <f>+VLOOKUP(A3504,Portfolio!$G$3:$I$6,3)</f>
        <v>1</v>
      </c>
      <c r="E3504">
        <f t="shared" si="54"/>
        <v>44160</v>
      </c>
    </row>
    <row r="3505" spans="1:5" x14ac:dyDescent="0.25">
      <c r="A3505" t="s">
        <v>2</v>
      </c>
      <c r="B3505">
        <v>1201110</v>
      </c>
      <c r="C3505">
        <v>50550</v>
      </c>
      <c r="D3505" s="4">
        <f>+VLOOKUP(A3505,Portfolio!$G$3:$I$6,3)</f>
        <v>1</v>
      </c>
      <c r="E3505">
        <f t="shared" si="54"/>
        <v>50550</v>
      </c>
    </row>
    <row r="3506" spans="1:5" x14ac:dyDescent="0.25">
      <c r="A3506" t="s">
        <v>2</v>
      </c>
      <c r="B3506">
        <v>1201111</v>
      </c>
      <c r="C3506">
        <v>50520</v>
      </c>
      <c r="D3506" s="4">
        <f>+VLOOKUP(A3506,Portfolio!$G$3:$I$6,3)</f>
        <v>1</v>
      </c>
      <c r="E3506">
        <f t="shared" si="54"/>
        <v>50520</v>
      </c>
    </row>
    <row r="3507" spans="1:5" x14ac:dyDescent="0.25">
      <c r="A3507" t="s">
        <v>2</v>
      </c>
      <c r="B3507">
        <v>1201112</v>
      </c>
      <c r="C3507">
        <v>52440</v>
      </c>
      <c r="D3507" s="4">
        <f>+VLOOKUP(A3507,Portfolio!$G$3:$I$6,3)</f>
        <v>1</v>
      </c>
      <c r="E3507">
        <f t="shared" si="54"/>
        <v>52440</v>
      </c>
    </row>
    <row r="3508" spans="1:5" x14ac:dyDescent="0.25">
      <c r="A3508" t="s">
        <v>2</v>
      </c>
      <c r="B3508">
        <v>1201113</v>
      </c>
      <c r="C3508">
        <v>52970</v>
      </c>
      <c r="D3508" s="4">
        <f>+VLOOKUP(A3508,Portfolio!$G$3:$I$6,3)</f>
        <v>1</v>
      </c>
      <c r="E3508">
        <f t="shared" si="54"/>
        <v>52970</v>
      </c>
    </row>
    <row r="3509" spans="1:5" x14ac:dyDescent="0.25">
      <c r="A3509" t="s">
        <v>2</v>
      </c>
      <c r="B3509">
        <v>1201115</v>
      </c>
      <c r="C3509">
        <v>53080</v>
      </c>
      <c r="D3509" s="4">
        <f>+VLOOKUP(A3509,Portfolio!$G$3:$I$6,3)</f>
        <v>1</v>
      </c>
      <c r="E3509">
        <f t="shared" si="54"/>
        <v>53080</v>
      </c>
    </row>
    <row r="3510" spans="1:5" x14ac:dyDescent="0.25">
      <c r="A3510" t="s">
        <v>2</v>
      </c>
      <c r="B3510">
        <v>1201116</v>
      </c>
      <c r="C3510">
        <v>53630</v>
      </c>
      <c r="D3510" s="4">
        <f>+VLOOKUP(A3510,Portfolio!$G$3:$I$6,3)</f>
        <v>1</v>
      </c>
      <c r="E3510">
        <f t="shared" si="54"/>
        <v>53630</v>
      </c>
    </row>
    <row r="3511" spans="1:5" x14ac:dyDescent="0.25">
      <c r="A3511" t="s">
        <v>2</v>
      </c>
      <c r="B3511">
        <v>1201117</v>
      </c>
      <c r="C3511">
        <v>52550</v>
      </c>
      <c r="D3511" s="4">
        <f>+VLOOKUP(A3511,Portfolio!$G$3:$I$6,3)</f>
        <v>1</v>
      </c>
      <c r="E3511">
        <f t="shared" si="54"/>
        <v>52550</v>
      </c>
    </row>
    <row r="3512" spans="1:5" x14ac:dyDescent="0.25">
      <c r="A3512" t="s">
        <v>2</v>
      </c>
      <c r="B3512">
        <v>1201118</v>
      </c>
      <c r="C3512">
        <v>50840</v>
      </c>
      <c r="D3512" s="4">
        <f>+VLOOKUP(A3512,Portfolio!$G$3:$I$6,3)</f>
        <v>1</v>
      </c>
      <c r="E3512">
        <f t="shared" si="54"/>
        <v>50840</v>
      </c>
    </row>
    <row r="3513" spans="1:5" x14ac:dyDescent="0.25">
      <c r="A3513" t="s">
        <v>2</v>
      </c>
      <c r="B3513">
        <v>1201119</v>
      </c>
      <c r="C3513">
        <v>51240</v>
      </c>
      <c r="D3513" s="4">
        <f>+VLOOKUP(A3513,Portfolio!$G$3:$I$6,3)</f>
        <v>1</v>
      </c>
      <c r="E3513">
        <f t="shared" si="54"/>
        <v>51240</v>
      </c>
    </row>
    <row r="3514" spans="1:5" x14ac:dyDescent="0.25">
      <c r="A3514" t="s">
        <v>2</v>
      </c>
      <c r="B3514">
        <v>1201120</v>
      </c>
      <c r="C3514">
        <v>50380</v>
      </c>
      <c r="D3514" s="4">
        <f>+VLOOKUP(A3514,Portfolio!$G$3:$I$6,3)</f>
        <v>1</v>
      </c>
      <c r="E3514">
        <f t="shared" si="54"/>
        <v>50380</v>
      </c>
    </row>
    <row r="3515" spans="1:5" x14ac:dyDescent="0.25">
      <c r="A3515" t="s">
        <v>2</v>
      </c>
      <c r="B3515">
        <v>1201122</v>
      </c>
      <c r="C3515">
        <v>49570</v>
      </c>
      <c r="D3515" s="4">
        <f>+VLOOKUP(A3515,Portfolio!$G$3:$I$6,3)</f>
        <v>1</v>
      </c>
      <c r="E3515">
        <f t="shared" si="54"/>
        <v>49570</v>
      </c>
    </row>
    <row r="3516" spans="1:5" x14ac:dyDescent="0.25">
      <c r="A3516" t="s">
        <v>2</v>
      </c>
      <c r="B3516">
        <v>1201123</v>
      </c>
      <c r="C3516">
        <v>49570</v>
      </c>
      <c r="D3516" s="4">
        <f>+VLOOKUP(A3516,Portfolio!$G$3:$I$6,3)</f>
        <v>1</v>
      </c>
      <c r="E3516">
        <f t="shared" si="54"/>
        <v>49570</v>
      </c>
    </row>
    <row r="3517" spans="1:5" x14ac:dyDescent="0.25">
      <c r="A3517" t="s">
        <v>2</v>
      </c>
      <c r="B3517">
        <v>1201124</v>
      </c>
      <c r="C3517">
        <v>54070</v>
      </c>
      <c r="D3517" s="4">
        <f>+VLOOKUP(A3517,Portfolio!$G$3:$I$6,3)</f>
        <v>1</v>
      </c>
      <c r="E3517">
        <f t="shared" si="54"/>
        <v>54070</v>
      </c>
    </row>
    <row r="3518" spans="1:5" x14ac:dyDescent="0.25">
      <c r="A3518" t="s">
        <v>2</v>
      </c>
      <c r="B3518">
        <v>1201125</v>
      </c>
      <c r="C3518">
        <v>56100</v>
      </c>
      <c r="D3518" s="4">
        <f>+VLOOKUP(A3518,Portfolio!$G$3:$I$6,3)</f>
        <v>1</v>
      </c>
      <c r="E3518">
        <f t="shared" si="54"/>
        <v>56100</v>
      </c>
    </row>
    <row r="3519" spans="1:5" x14ac:dyDescent="0.25">
      <c r="A3519" t="s">
        <v>2</v>
      </c>
      <c r="B3519">
        <v>1201126</v>
      </c>
      <c r="C3519">
        <v>54700</v>
      </c>
      <c r="D3519" s="4">
        <f>+VLOOKUP(A3519,Portfolio!$G$3:$I$6,3)</f>
        <v>1</v>
      </c>
      <c r="E3519">
        <f t="shared" si="54"/>
        <v>54700</v>
      </c>
    </row>
    <row r="3520" spans="1:5" x14ac:dyDescent="0.25">
      <c r="A3520" t="s">
        <v>2</v>
      </c>
      <c r="B3520">
        <v>1201127</v>
      </c>
      <c r="C3520">
        <v>54370</v>
      </c>
      <c r="D3520" s="4">
        <f>+VLOOKUP(A3520,Portfolio!$G$3:$I$6,3)</f>
        <v>1</v>
      </c>
      <c r="E3520">
        <f t="shared" si="54"/>
        <v>54370</v>
      </c>
    </row>
    <row r="3521" spans="1:5" x14ac:dyDescent="0.25">
      <c r="A3521" t="s">
        <v>2</v>
      </c>
      <c r="B3521">
        <v>1201129</v>
      </c>
      <c r="C3521">
        <v>56010</v>
      </c>
      <c r="D3521" s="4">
        <f>+VLOOKUP(A3521,Portfolio!$G$3:$I$6,3)</f>
        <v>1</v>
      </c>
      <c r="E3521">
        <f t="shared" si="54"/>
        <v>56010</v>
      </c>
    </row>
    <row r="3522" spans="1:5" x14ac:dyDescent="0.25">
      <c r="A3522" t="s">
        <v>2</v>
      </c>
      <c r="B3522">
        <v>1201130</v>
      </c>
      <c r="C3522">
        <v>57680</v>
      </c>
      <c r="D3522" s="4">
        <f>+VLOOKUP(A3522,Portfolio!$G$3:$I$6,3)</f>
        <v>1</v>
      </c>
      <c r="E3522">
        <f t="shared" si="54"/>
        <v>57680</v>
      </c>
    </row>
    <row r="3523" spans="1:5" x14ac:dyDescent="0.25">
      <c r="A3523" t="s">
        <v>2</v>
      </c>
      <c r="B3523">
        <v>1201201</v>
      </c>
      <c r="C3523">
        <v>56850</v>
      </c>
      <c r="D3523" s="4">
        <f>+VLOOKUP(A3523,Portfolio!$G$3:$I$6,3)</f>
        <v>1</v>
      </c>
      <c r="E3523">
        <f t="shared" ref="E3523:E3586" si="55">+C3523*D3523</f>
        <v>56850</v>
      </c>
    </row>
    <row r="3524" spans="1:5" x14ac:dyDescent="0.25">
      <c r="A3524" t="s">
        <v>2</v>
      </c>
      <c r="B3524">
        <v>1201202</v>
      </c>
      <c r="C3524">
        <v>58320</v>
      </c>
      <c r="D3524" s="4">
        <f>+VLOOKUP(A3524,Portfolio!$G$3:$I$6,3)</f>
        <v>1</v>
      </c>
      <c r="E3524">
        <f t="shared" si="55"/>
        <v>58320</v>
      </c>
    </row>
    <row r="3525" spans="1:5" x14ac:dyDescent="0.25">
      <c r="A3525" t="s">
        <v>2</v>
      </c>
      <c r="B3525">
        <v>1201203</v>
      </c>
      <c r="C3525">
        <v>60970</v>
      </c>
      <c r="D3525" s="4">
        <f>+VLOOKUP(A3525,Portfolio!$G$3:$I$6,3)</f>
        <v>1</v>
      </c>
      <c r="E3525">
        <f t="shared" si="55"/>
        <v>60970</v>
      </c>
    </row>
    <row r="3526" spans="1:5" x14ac:dyDescent="0.25">
      <c r="A3526" t="s">
        <v>2</v>
      </c>
      <c r="B3526">
        <v>1201204</v>
      </c>
      <c r="C3526">
        <v>61570</v>
      </c>
      <c r="D3526" s="4">
        <f>+VLOOKUP(A3526,Portfolio!$G$3:$I$6,3)</f>
        <v>1</v>
      </c>
      <c r="E3526">
        <f t="shared" si="55"/>
        <v>61570</v>
      </c>
    </row>
    <row r="3527" spans="1:5" x14ac:dyDescent="0.25">
      <c r="A3527" t="s">
        <v>2</v>
      </c>
      <c r="B3527">
        <v>1201206</v>
      </c>
      <c r="C3527">
        <v>61110</v>
      </c>
      <c r="D3527" s="4">
        <f>+VLOOKUP(A3527,Portfolio!$G$3:$I$6,3)</f>
        <v>1</v>
      </c>
      <c r="E3527">
        <f t="shared" si="55"/>
        <v>61110</v>
      </c>
    </row>
    <row r="3528" spans="1:5" x14ac:dyDescent="0.25">
      <c r="A3528" t="s">
        <v>2</v>
      </c>
      <c r="B3528">
        <v>1201207</v>
      </c>
      <c r="C3528">
        <v>60700</v>
      </c>
      <c r="D3528" s="4">
        <f>+VLOOKUP(A3528,Portfolio!$G$3:$I$6,3)</f>
        <v>1</v>
      </c>
      <c r="E3528">
        <f t="shared" si="55"/>
        <v>60700</v>
      </c>
    </row>
    <row r="3529" spans="1:5" x14ac:dyDescent="0.25">
      <c r="A3529" t="s">
        <v>2</v>
      </c>
      <c r="B3529">
        <v>1201208</v>
      </c>
      <c r="C3529">
        <v>58880</v>
      </c>
      <c r="D3529" s="4">
        <f>+VLOOKUP(A3529,Portfolio!$G$3:$I$6,3)</f>
        <v>1</v>
      </c>
      <c r="E3529">
        <f t="shared" si="55"/>
        <v>58880</v>
      </c>
    </row>
    <row r="3530" spans="1:5" x14ac:dyDescent="0.25">
      <c r="A3530" t="s">
        <v>2</v>
      </c>
      <c r="B3530">
        <v>1201209</v>
      </c>
      <c r="C3530">
        <v>56640</v>
      </c>
      <c r="D3530" s="4">
        <f>+VLOOKUP(A3530,Portfolio!$G$3:$I$6,3)</f>
        <v>1</v>
      </c>
      <c r="E3530">
        <f t="shared" si="55"/>
        <v>56640</v>
      </c>
    </row>
    <row r="3531" spans="1:5" x14ac:dyDescent="0.25">
      <c r="A3531" t="s">
        <v>2</v>
      </c>
      <c r="B3531">
        <v>1201210</v>
      </c>
      <c r="C3531">
        <v>57760</v>
      </c>
      <c r="D3531" s="4">
        <f>+VLOOKUP(A3531,Portfolio!$G$3:$I$6,3)</f>
        <v>1</v>
      </c>
      <c r="E3531">
        <f t="shared" si="55"/>
        <v>57760</v>
      </c>
    </row>
    <row r="3532" spans="1:5" x14ac:dyDescent="0.25">
      <c r="A3532" t="s">
        <v>2</v>
      </c>
      <c r="B3532">
        <v>1201211</v>
      </c>
      <c r="C3532">
        <v>57700</v>
      </c>
      <c r="D3532" s="4">
        <f>+VLOOKUP(A3532,Portfolio!$G$3:$I$6,3)</f>
        <v>1</v>
      </c>
      <c r="E3532">
        <f t="shared" si="55"/>
        <v>57700</v>
      </c>
    </row>
    <row r="3533" spans="1:5" x14ac:dyDescent="0.25">
      <c r="A3533" t="s">
        <v>2</v>
      </c>
      <c r="B3533">
        <v>1201213</v>
      </c>
      <c r="C3533">
        <v>56150</v>
      </c>
      <c r="D3533" s="4">
        <f>+VLOOKUP(A3533,Portfolio!$G$3:$I$6,3)</f>
        <v>1</v>
      </c>
      <c r="E3533">
        <f t="shared" si="55"/>
        <v>56150</v>
      </c>
    </row>
    <row r="3534" spans="1:5" x14ac:dyDescent="0.25">
      <c r="A3534" t="s">
        <v>2</v>
      </c>
      <c r="B3534">
        <v>1201214</v>
      </c>
      <c r="C3534">
        <v>55870</v>
      </c>
      <c r="D3534" s="4">
        <f>+VLOOKUP(A3534,Portfolio!$G$3:$I$6,3)</f>
        <v>1</v>
      </c>
      <c r="E3534">
        <f t="shared" si="55"/>
        <v>55870</v>
      </c>
    </row>
    <row r="3535" spans="1:5" x14ac:dyDescent="0.25">
      <c r="A3535" t="s">
        <v>2</v>
      </c>
      <c r="B3535">
        <v>1201215</v>
      </c>
      <c r="C3535">
        <v>53820</v>
      </c>
      <c r="D3535" s="4">
        <f>+VLOOKUP(A3535,Portfolio!$G$3:$I$6,3)</f>
        <v>1</v>
      </c>
      <c r="E3535">
        <f t="shared" si="55"/>
        <v>53820</v>
      </c>
    </row>
    <row r="3536" spans="1:5" x14ac:dyDescent="0.25">
      <c r="A3536" t="s">
        <v>2</v>
      </c>
      <c r="B3536">
        <v>1201216</v>
      </c>
      <c r="C3536">
        <v>53690</v>
      </c>
      <c r="D3536" s="4">
        <f>+VLOOKUP(A3536,Portfolio!$G$3:$I$6,3)</f>
        <v>1</v>
      </c>
      <c r="E3536">
        <f t="shared" si="55"/>
        <v>53690</v>
      </c>
    </row>
    <row r="3537" spans="1:5" x14ac:dyDescent="0.25">
      <c r="A3537" t="s">
        <v>2</v>
      </c>
      <c r="B3537">
        <v>1201217</v>
      </c>
      <c r="C3537">
        <v>51750</v>
      </c>
      <c r="D3537" s="4">
        <f>+VLOOKUP(A3537,Portfolio!$G$3:$I$6,3)</f>
        <v>1</v>
      </c>
      <c r="E3537">
        <f t="shared" si="55"/>
        <v>51750</v>
      </c>
    </row>
    <row r="3538" spans="1:5" x14ac:dyDescent="0.25">
      <c r="A3538" t="s">
        <v>2</v>
      </c>
      <c r="B3538">
        <v>1201218</v>
      </c>
      <c r="C3538">
        <v>50380</v>
      </c>
      <c r="D3538" s="4">
        <f>+VLOOKUP(A3538,Portfolio!$G$3:$I$6,3)</f>
        <v>1</v>
      </c>
      <c r="E3538">
        <f t="shared" si="55"/>
        <v>50380</v>
      </c>
    </row>
    <row r="3539" spans="1:5" x14ac:dyDescent="0.25">
      <c r="A3539" t="s">
        <v>2</v>
      </c>
      <c r="B3539">
        <v>1201220</v>
      </c>
      <c r="C3539">
        <v>50620</v>
      </c>
      <c r="D3539" s="4">
        <f>+VLOOKUP(A3539,Portfolio!$G$3:$I$6,3)</f>
        <v>1</v>
      </c>
      <c r="E3539">
        <f t="shared" si="55"/>
        <v>50620</v>
      </c>
    </row>
    <row r="3540" spans="1:5" x14ac:dyDescent="0.25">
      <c r="A3540" t="s">
        <v>2</v>
      </c>
      <c r="B3540">
        <v>1201221</v>
      </c>
      <c r="C3540">
        <v>50620</v>
      </c>
      <c r="D3540" s="4">
        <f>+VLOOKUP(A3540,Portfolio!$G$3:$I$6,3)</f>
        <v>1</v>
      </c>
      <c r="E3540">
        <f t="shared" si="55"/>
        <v>50620</v>
      </c>
    </row>
    <row r="3541" spans="1:5" x14ac:dyDescent="0.25">
      <c r="A3541" t="s">
        <v>2</v>
      </c>
      <c r="B3541">
        <v>1201222</v>
      </c>
      <c r="C3541">
        <v>51690</v>
      </c>
      <c r="D3541" s="4">
        <f>+VLOOKUP(A3541,Portfolio!$G$3:$I$6,3)</f>
        <v>1</v>
      </c>
      <c r="E3541">
        <f t="shared" si="55"/>
        <v>51690</v>
      </c>
    </row>
    <row r="3542" spans="1:5" x14ac:dyDescent="0.25">
      <c r="A3542" t="s">
        <v>2</v>
      </c>
      <c r="B3542">
        <v>1201223</v>
      </c>
      <c r="C3542">
        <v>52440</v>
      </c>
      <c r="D3542" s="4">
        <f>+VLOOKUP(A3542,Portfolio!$G$3:$I$6,3)</f>
        <v>1</v>
      </c>
      <c r="E3542">
        <f t="shared" si="55"/>
        <v>52440</v>
      </c>
    </row>
    <row r="3543" spans="1:5" x14ac:dyDescent="0.25">
      <c r="A3543" t="s">
        <v>2</v>
      </c>
      <c r="B3543">
        <v>1201224</v>
      </c>
      <c r="C3543">
        <v>51500</v>
      </c>
      <c r="D3543" s="4">
        <f>+VLOOKUP(A3543,Portfolio!$G$3:$I$6,3)</f>
        <v>1</v>
      </c>
      <c r="E3543">
        <f t="shared" si="55"/>
        <v>51500</v>
      </c>
    </row>
    <row r="3544" spans="1:5" x14ac:dyDescent="0.25">
      <c r="A3544" t="s">
        <v>2</v>
      </c>
      <c r="B3544">
        <v>1201227</v>
      </c>
      <c r="C3544">
        <v>49860</v>
      </c>
      <c r="D3544" s="4">
        <f>+VLOOKUP(A3544,Portfolio!$G$3:$I$6,3)</f>
        <v>1</v>
      </c>
      <c r="E3544">
        <f t="shared" si="55"/>
        <v>49860</v>
      </c>
    </row>
    <row r="3545" spans="1:5" x14ac:dyDescent="0.25">
      <c r="A3545" t="s">
        <v>2</v>
      </c>
      <c r="B3545">
        <v>1201228</v>
      </c>
      <c r="C3545">
        <v>49210</v>
      </c>
      <c r="D3545" s="4">
        <f>+VLOOKUP(A3545,Portfolio!$G$3:$I$6,3)</f>
        <v>1</v>
      </c>
      <c r="E3545">
        <f t="shared" si="55"/>
        <v>49210</v>
      </c>
    </row>
    <row r="3546" spans="1:5" x14ac:dyDescent="0.25">
      <c r="A3546" t="s">
        <v>2</v>
      </c>
      <c r="B3546">
        <v>1201229</v>
      </c>
      <c r="C3546">
        <v>49250</v>
      </c>
      <c r="D3546" s="4">
        <f>+VLOOKUP(A3546,Portfolio!$G$3:$I$6,3)</f>
        <v>1</v>
      </c>
      <c r="E3546">
        <f t="shared" si="55"/>
        <v>49250</v>
      </c>
    </row>
    <row r="3547" spans="1:5" x14ac:dyDescent="0.25">
      <c r="A3547" t="s">
        <v>2</v>
      </c>
      <c r="B3547">
        <v>1201230</v>
      </c>
      <c r="C3547">
        <v>47310</v>
      </c>
      <c r="D3547" s="4">
        <f>+VLOOKUP(A3547,Portfolio!$G$3:$I$6,3)</f>
        <v>1</v>
      </c>
      <c r="E3547">
        <f t="shared" si="55"/>
        <v>47310</v>
      </c>
    </row>
    <row r="3548" spans="1:5" x14ac:dyDescent="0.25">
      <c r="A3548" t="s">
        <v>2</v>
      </c>
      <c r="B3548">
        <v>1201231</v>
      </c>
      <c r="C3548">
        <v>47100</v>
      </c>
      <c r="D3548" s="4">
        <f>+VLOOKUP(A3548,Portfolio!$G$3:$I$6,3)</f>
        <v>1</v>
      </c>
      <c r="E3548">
        <f t="shared" si="55"/>
        <v>47100</v>
      </c>
    </row>
    <row r="3549" spans="1:5" x14ac:dyDescent="0.25">
      <c r="A3549" t="s">
        <v>2</v>
      </c>
      <c r="B3549">
        <v>1210103</v>
      </c>
      <c r="C3549">
        <v>48940</v>
      </c>
      <c r="D3549" s="4">
        <f>+VLOOKUP(A3549,Portfolio!$G$3:$I$6,3)</f>
        <v>1</v>
      </c>
      <c r="E3549">
        <f t="shared" si="55"/>
        <v>48940</v>
      </c>
    </row>
    <row r="3550" spans="1:5" x14ac:dyDescent="0.25">
      <c r="A3550" t="s">
        <v>2</v>
      </c>
      <c r="B3550">
        <v>1210104</v>
      </c>
      <c r="C3550">
        <v>49920</v>
      </c>
      <c r="D3550" s="4">
        <f>+VLOOKUP(A3550,Portfolio!$G$3:$I$6,3)</f>
        <v>1</v>
      </c>
      <c r="E3550">
        <f t="shared" si="55"/>
        <v>49920</v>
      </c>
    </row>
    <row r="3551" spans="1:5" x14ac:dyDescent="0.25">
      <c r="A3551" t="s">
        <v>2</v>
      </c>
      <c r="B3551">
        <v>1210105</v>
      </c>
      <c r="C3551">
        <v>51490</v>
      </c>
      <c r="D3551" s="4">
        <f>+VLOOKUP(A3551,Portfolio!$G$3:$I$6,3)</f>
        <v>1</v>
      </c>
      <c r="E3551">
        <f t="shared" si="55"/>
        <v>51490</v>
      </c>
    </row>
    <row r="3552" spans="1:5" x14ac:dyDescent="0.25">
      <c r="A3552" t="s">
        <v>2</v>
      </c>
      <c r="B3552">
        <v>1210106</v>
      </c>
      <c r="C3552">
        <v>51910</v>
      </c>
      <c r="D3552" s="4">
        <f>+VLOOKUP(A3552,Portfolio!$G$3:$I$6,3)</f>
        <v>1</v>
      </c>
      <c r="E3552">
        <f t="shared" si="55"/>
        <v>51910</v>
      </c>
    </row>
    <row r="3553" spans="1:5" x14ac:dyDescent="0.25">
      <c r="A3553" t="s">
        <v>2</v>
      </c>
      <c r="B3553">
        <v>1210107</v>
      </c>
      <c r="C3553">
        <v>54010</v>
      </c>
      <c r="D3553" s="4">
        <f>+VLOOKUP(A3553,Portfolio!$G$3:$I$6,3)</f>
        <v>1</v>
      </c>
      <c r="E3553">
        <f t="shared" si="55"/>
        <v>54010</v>
      </c>
    </row>
    <row r="3554" spans="1:5" x14ac:dyDescent="0.25">
      <c r="A3554" t="s">
        <v>2</v>
      </c>
      <c r="B3554">
        <v>1210108</v>
      </c>
      <c r="C3554">
        <v>54530</v>
      </c>
      <c r="D3554" s="4">
        <f>+VLOOKUP(A3554,Portfolio!$G$3:$I$6,3)</f>
        <v>1</v>
      </c>
      <c r="E3554">
        <f t="shared" si="55"/>
        <v>54530</v>
      </c>
    </row>
    <row r="3555" spans="1:5" x14ac:dyDescent="0.25">
      <c r="A3555" t="s">
        <v>2</v>
      </c>
      <c r="B3555">
        <v>1210110</v>
      </c>
      <c r="C3555">
        <v>54530</v>
      </c>
      <c r="D3555" s="4">
        <f>+VLOOKUP(A3555,Portfolio!$G$3:$I$6,3)</f>
        <v>1</v>
      </c>
      <c r="E3555">
        <f t="shared" si="55"/>
        <v>54530</v>
      </c>
    </row>
    <row r="3556" spans="1:5" x14ac:dyDescent="0.25">
      <c r="A3556" t="s">
        <v>2</v>
      </c>
      <c r="B3556">
        <v>1210111</v>
      </c>
      <c r="C3556">
        <v>54530</v>
      </c>
      <c r="D3556" s="4">
        <f>+VLOOKUP(A3556,Portfolio!$G$3:$I$6,3)</f>
        <v>1</v>
      </c>
      <c r="E3556">
        <f t="shared" si="55"/>
        <v>54530</v>
      </c>
    </row>
    <row r="3557" spans="1:5" x14ac:dyDescent="0.25">
      <c r="A3557" t="s">
        <v>2</v>
      </c>
      <c r="B3557">
        <v>1210112</v>
      </c>
      <c r="C3557">
        <v>54530</v>
      </c>
      <c r="D3557" s="4">
        <f>+VLOOKUP(A3557,Portfolio!$G$3:$I$6,3)</f>
        <v>1</v>
      </c>
      <c r="E3557">
        <f t="shared" si="55"/>
        <v>54530</v>
      </c>
    </row>
    <row r="3558" spans="1:5" x14ac:dyDescent="0.25">
      <c r="A3558" t="s">
        <v>2</v>
      </c>
      <c r="B3558">
        <v>1210113</v>
      </c>
      <c r="C3558">
        <v>51910</v>
      </c>
      <c r="D3558" s="4">
        <f>+VLOOKUP(A3558,Portfolio!$G$3:$I$6,3)</f>
        <v>1</v>
      </c>
      <c r="E3558">
        <f t="shared" si="55"/>
        <v>51910</v>
      </c>
    </row>
    <row r="3559" spans="1:5" x14ac:dyDescent="0.25">
      <c r="A3559" t="s">
        <v>2</v>
      </c>
      <c r="B3559">
        <v>1210114</v>
      </c>
      <c r="C3559">
        <v>52020</v>
      </c>
      <c r="D3559" s="4">
        <f>+VLOOKUP(A3559,Portfolio!$G$3:$I$6,3)</f>
        <v>1</v>
      </c>
      <c r="E3559">
        <f t="shared" si="55"/>
        <v>52020</v>
      </c>
    </row>
    <row r="3560" spans="1:5" x14ac:dyDescent="0.25">
      <c r="A3560" t="s">
        <v>2</v>
      </c>
      <c r="B3560">
        <v>1210115</v>
      </c>
      <c r="C3560">
        <v>52020</v>
      </c>
      <c r="D3560" s="4">
        <f>+VLOOKUP(A3560,Portfolio!$G$3:$I$6,3)</f>
        <v>1</v>
      </c>
      <c r="E3560">
        <f t="shared" si="55"/>
        <v>52020</v>
      </c>
    </row>
    <row r="3561" spans="1:5" x14ac:dyDescent="0.25">
      <c r="A3561" t="s">
        <v>2</v>
      </c>
      <c r="B3561">
        <v>1210117</v>
      </c>
      <c r="C3561">
        <v>54820</v>
      </c>
      <c r="D3561" s="4">
        <f>+VLOOKUP(A3561,Portfolio!$G$3:$I$6,3)</f>
        <v>1</v>
      </c>
      <c r="E3561">
        <f t="shared" si="55"/>
        <v>54820</v>
      </c>
    </row>
    <row r="3562" spans="1:5" x14ac:dyDescent="0.25">
      <c r="A3562" t="s">
        <v>2</v>
      </c>
      <c r="B3562">
        <v>1210118</v>
      </c>
      <c r="C3562">
        <v>53060</v>
      </c>
      <c r="D3562" s="4">
        <f>+VLOOKUP(A3562,Portfolio!$G$3:$I$6,3)</f>
        <v>1</v>
      </c>
      <c r="E3562">
        <f t="shared" si="55"/>
        <v>53060</v>
      </c>
    </row>
    <row r="3563" spans="1:5" x14ac:dyDescent="0.25">
      <c r="A3563" t="s">
        <v>2</v>
      </c>
      <c r="B3563">
        <v>1210119</v>
      </c>
      <c r="C3563">
        <v>52400</v>
      </c>
      <c r="D3563" s="4">
        <f>+VLOOKUP(A3563,Portfolio!$G$3:$I$6,3)</f>
        <v>1</v>
      </c>
      <c r="E3563">
        <f t="shared" si="55"/>
        <v>52400</v>
      </c>
    </row>
    <row r="3564" spans="1:5" x14ac:dyDescent="0.25">
      <c r="A3564" t="s">
        <v>2</v>
      </c>
      <c r="B3564">
        <v>1210120</v>
      </c>
      <c r="C3564">
        <v>50130</v>
      </c>
      <c r="D3564" s="4">
        <f>+VLOOKUP(A3564,Portfolio!$G$3:$I$6,3)</f>
        <v>1</v>
      </c>
      <c r="E3564">
        <f t="shared" si="55"/>
        <v>50130</v>
      </c>
    </row>
    <row r="3565" spans="1:5" x14ac:dyDescent="0.25">
      <c r="A3565" t="s">
        <v>2</v>
      </c>
      <c r="B3565">
        <v>1210121</v>
      </c>
      <c r="C3565">
        <v>46030</v>
      </c>
      <c r="D3565" s="4">
        <f>+VLOOKUP(A3565,Portfolio!$G$3:$I$6,3)</f>
        <v>1</v>
      </c>
      <c r="E3565">
        <f t="shared" si="55"/>
        <v>46030</v>
      </c>
    </row>
    <row r="3566" spans="1:5" x14ac:dyDescent="0.25">
      <c r="A3566" t="s">
        <v>2</v>
      </c>
      <c r="B3566">
        <v>1210122</v>
      </c>
      <c r="C3566">
        <v>47100</v>
      </c>
      <c r="D3566" s="4">
        <f>+VLOOKUP(A3566,Portfolio!$G$3:$I$6,3)</f>
        <v>1</v>
      </c>
      <c r="E3566">
        <f t="shared" si="55"/>
        <v>47100</v>
      </c>
    </row>
    <row r="3567" spans="1:5" x14ac:dyDescent="0.25">
      <c r="A3567" t="s">
        <v>2</v>
      </c>
      <c r="B3567">
        <v>1210124</v>
      </c>
      <c r="C3567">
        <v>47110</v>
      </c>
      <c r="D3567" s="4">
        <f>+VLOOKUP(A3567,Portfolio!$G$3:$I$6,3)</f>
        <v>1</v>
      </c>
      <c r="E3567">
        <f t="shared" si="55"/>
        <v>47110</v>
      </c>
    </row>
    <row r="3568" spans="1:5" x14ac:dyDescent="0.25">
      <c r="A3568" t="s">
        <v>2</v>
      </c>
      <c r="B3568">
        <v>1210125</v>
      </c>
      <c r="C3568">
        <v>47340</v>
      </c>
      <c r="D3568" s="4">
        <f>+VLOOKUP(A3568,Portfolio!$G$3:$I$6,3)</f>
        <v>1</v>
      </c>
      <c r="E3568">
        <f t="shared" si="55"/>
        <v>47340</v>
      </c>
    </row>
    <row r="3569" spans="1:5" x14ac:dyDescent="0.25">
      <c r="A3569" t="s">
        <v>2</v>
      </c>
      <c r="B3569">
        <v>1210126</v>
      </c>
      <c r="C3569">
        <v>47040</v>
      </c>
      <c r="D3569" s="4">
        <f>+VLOOKUP(A3569,Portfolio!$G$3:$I$6,3)</f>
        <v>1</v>
      </c>
      <c r="E3569">
        <f t="shared" si="55"/>
        <v>47040</v>
      </c>
    </row>
    <row r="3570" spans="1:5" x14ac:dyDescent="0.25">
      <c r="A3570" t="s">
        <v>2</v>
      </c>
      <c r="B3570">
        <v>1210127</v>
      </c>
      <c r="C3570">
        <v>46660</v>
      </c>
      <c r="D3570" s="4">
        <f>+VLOOKUP(A3570,Portfolio!$G$3:$I$6,3)</f>
        <v>1</v>
      </c>
      <c r="E3570">
        <f t="shared" si="55"/>
        <v>46660</v>
      </c>
    </row>
    <row r="3571" spans="1:5" x14ac:dyDescent="0.25">
      <c r="A3571" t="s">
        <v>2</v>
      </c>
      <c r="B3571">
        <v>1210128</v>
      </c>
      <c r="C3571">
        <v>47760</v>
      </c>
      <c r="D3571" s="4">
        <f>+VLOOKUP(A3571,Portfolio!$G$3:$I$6,3)</f>
        <v>1</v>
      </c>
      <c r="E3571">
        <f t="shared" si="55"/>
        <v>47760</v>
      </c>
    </row>
    <row r="3572" spans="1:5" x14ac:dyDescent="0.25">
      <c r="A3572" t="s">
        <v>2</v>
      </c>
      <c r="B3572">
        <v>1210129</v>
      </c>
      <c r="C3572">
        <v>47360</v>
      </c>
      <c r="D3572" s="4">
        <f>+VLOOKUP(A3572,Portfolio!$G$3:$I$6,3)</f>
        <v>1</v>
      </c>
      <c r="E3572">
        <f t="shared" si="55"/>
        <v>47360</v>
      </c>
    </row>
    <row r="3573" spans="1:5" x14ac:dyDescent="0.25">
      <c r="A3573" t="s">
        <v>2</v>
      </c>
      <c r="B3573">
        <v>1210131</v>
      </c>
      <c r="C3573">
        <v>48760</v>
      </c>
      <c r="D3573" s="4">
        <f>+VLOOKUP(A3573,Portfolio!$G$3:$I$6,3)</f>
        <v>1</v>
      </c>
      <c r="E3573">
        <f t="shared" si="55"/>
        <v>48760</v>
      </c>
    </row>
    <row r="3574" spans="1:5" x14ac:dyDescent="0.25">
      <c r="A3574" t="s">
        <v>2</v>
      </c>
      <c r="B3574">
        <v>1210201</v>
      </c>
      <c r="C3574">
        <v>49190</v>
      </c>
      <c r="D3574" s="4">
        <f>+VLOOKUP(A3574,Portfolio!$G$3:$I$6,3)</f>
        <v>1</v>
      </c>
      <c r="E3574">
        <f t="shared" si="55"/>
        <v>49190</v>
      </c>
    </row>
    <row r="3575" spans="1:5" x14ac:dyDescent="0.25">
      <c r="A3575" t="s">
        <v>2</v>
      </c>
      <c r="B3575">
        <v>1210202</v>
      </c>
      <c r="C3575">
        <v>49140</v>
      </c>
      <c r="D3575" s="4">
        <f>+VLOOKUP(A3575,Portfolio!$G$3:$I$6,3)</f>
        <v>1</v>
      </c>
      <c r="E3575">
        <f t="shared" si="55"/>
        <v>49140</v>
      </c>
    </row>
    <row r="3576" spans="1:5" x14ac:dyDescent="0.25">
      <c r="A3576" t="s">
        <v>2</v>
      </c>
      <c r="B3576">
        <v>1210203</v>
      </c>
      <c r="C3576">
        <v>50600</v>
      </c>
      <c r="D3576" s="4">
        <f>+VLOOKUP(A3576,Portfolio!$G$3:$I$6,3)</f>
        <v>1</v>
      </c>
      <c r="E3576">
        <f t="shared" si="55"/>
        <v>50600</v>
      </c>
    </row>
    <row r="3577" spans="1:5" x14ac:dyDescent="0.25">
      <c r="A3577" t="s">
        <v>2</v>
      </c>
      <c r="B3577">
        <v>1210204</v>
      </c>
      <c r="C3577">
        <v>50780</v>
      </c>
      <c r="D3577" s="4">
        <f>+VLOOKUP(A3577,Portfolio!$G$3:$I$6,3)</f>
        <v>1</v>
      </c>
      <c r="E3577">
        <f t="shared" si="55"/>
        <v>50780</v>
      </c>
    </row>
    <row r="3578" spans="1:5" x14ac:dyDescent="0.25">
      <c r="A3578" t="s">
        <v>2</v>
      </c>
      <c r="B3578">
        <v>1210205</v>
      </c>
      <c r="C3578">
        <v>52890</v>
      </c>
      <c r="D3578" s="4">
        <f>+VLOOKUP(A3578,Portfolio!$G$3:$I$6,3)</f>
        <v>1</v>
      </c>
      <c r="E3578">
        <f t="shared" si="55"/>
        <v>52890</v>
      </c>
    </row>
    <row r="3579" spans="1:5" x14ac:dyDescent="0.25">
      <c r="A3579" t="s">
        <v>2</v>
      </c>
      <c r="B3579">
        <v>1210207</v>
      </c>
      <c r="C3579">
        <v>49180</v>
      </c>
      <c r="D3579" s="4">
        <f>+VLOOKUP(A3579,Portfolio!$G$3:$I$6,3)</f>
        <v>1</v>
      </c>
      <c r="E3579">
        <f t="shared" si="55"/>
        <v>49180</v>
      </c>
    </row>
    <row r="3580" spans="1:5" x14ac:dyDescent="0.25">
      <c r="A3580" t="s">
        <v>2</v>
      </c>
      <c r="B3580">
        <v>1210208</v>
      </c>
      <c r="C3580">
        <v>49970</v>
      </c>
      <c r="D3580" s="4">
        <f>+VLOOKUP(A3580,Portfolio!$G$3:$I$6,3)</f>
        <v>1</v>
      </c>
      <c r="E3580">
        <f t="shared" si="55"/>
        <v>49970</v>
      </c>
    </row>
    <row r="3581" spans="1:5" x14ac:dyDescent="0.25">
      <c r="A3581" t="s">
        <v>2</v>
      </c>
      <c r="B3581">
        <v>1210209</v>
      </c>
      <c r="C3581">
        <v>51690</v>
      </c>
      <c r="D3581" s="4">
        <f>+VLOOKUP(A3581,Portfolio!$G$3:$I$6,3)</f>
        <v>1</v>
      </c>
      <c r="E3581">
        <f t="shared" si="55"/>
        <v>51690</v>
      </c>
    </row>
    <row r="3582" spans="1:5" x14ac:dyDescent="0.25">
      <c r="A3582" t="s">
        <v>2</v>
      </c>
      <c r="B3582">
        <v>1210210</v>
      </c>
      <c r="C3582">
        <v>51630</v>
      </c>
      <c r="D3582" s="4">
        <f>+VLOOKUP(A3582,Portfolio!$G$3:$I$6,3)</f>
        <v>1</v>
      </c>
      <c r="E3582">
        <f t="shared" si="55"/>
        <v>51630</v>
      </c>
    </row>
    <row r="3583" spans="1:5" x14ac:dyDescent="0.25">
      <c r="A3583" t="s">
        <v>2</v>
      </c>
      <c r="B3583">
        <v>1210211</v>
      </c>
      <c r="C3583">
        <v>49600</v>
      </c>
      <c r="D3583" s="4">
        <f>+VLOOKUP(A3583,Portfolio!$G$3:$I$6,3)</f>
        <v>1</v>
      </c>
      <c r="E3583">
        <f t="shared" si="55"/>
        <v>49600</v>
      </c>
    </row>
    <row r="3584" spans="1:5" x14ac:dyDescent="0.25">
      <c r="A3584" t="s">
        <v>2</v>
      </c>
      <c r="B3584">
        <v>1210212</v>
      </c>
      <c r="C3584">
        <v>50310</v>
      </c>
      <c r="D3584" s="4">
        <f>+VLOOKUP(A3584,Portfolio!$G$3:$I$6,3)</f>
        <v>1</v>
      </c>
      <c r="E3584">
        <f t="shared" si="55"/>
        <v>50310</v>
      </c>
    </row>
    <row r="3585" spans="1:5" x14ac:dyDescent="0.25">
      <c r="A3585" t="s">
        <v>2</v>
      </c>
      <c r="B3585">
        <v>1210214</v>
      </c>
      <c r="C3585">
        <v>49460</v>
      </c>
      <c r="D3585" s="4">
        <f>+VLOOKUP(A3585,Portfolio!$G$3:$I$6,3)</f>
        <v>1</v>
      </c>
      <c r="E3585">
        <f t="shared" si="55"/>
        <v>49460</v>
      </c>
    </row>
    <row r="3586" spans="1:5" x14ac:dyDescent="0.25">
      <c r="A3586" t="s">
        <v>2</v>
      </c>
      <c r="B3586">
        <v>1210215</v>
      </c>
      <c r="C3586">
        <v>49310</v>
      </c>
      <c r="D3586" s="4">
        <f>+VLOOKUP(A3586,Portfolio!$G$3:$I$6,3)</f>
        <v>1</v>
      </c>
      <c r="E3586">
        <f t="shared" si="55"/>
        <v>49310</v>
      </c>
    </row>
    <row r="3587" spans="1:5" x14ac:dyDescent="0.25">
      <c r="A3587" t="s">
        <v>2</v>
      </c>
      <c r="B3587">
        <v>1210216</v>
      </c>
      <c r="C3587">
        <v>49680</v>
      </c>
      <c r="D3587" s="4">
        <f>+VLOOKUP(A3587,Portfolio!$G$3:$I$6,3)</f>
        <v>1</v>
      </c>
      <c r="E3587">
        <f t="shared" ref="E3587:E3650" si="56">+C3587*D3587</f>
        <v>49680</v>
      </c>
    </row>
    <row r="3588" spans="1:5" x14ac:dyDescent="0.25">
      <c r="A3588" t="s">
        <v>2</v>
      </c>
      <c r="B3588">
        <v>1210217</v>
      </c>
      <c r="C3588">
        <v>52340</v>
      </c>
      <c r="D3588" s="4">
        <f>+VLOOKUP(A3588,Portfolio!$G$3:$I$6,3)</f>
        <v>1</v>
      </c>
      <c r="E3588">
        <f t="shared" si="56"/>
        <v>52340</v>
      </c>
    </row>
    <row r="3589" spans="1:5" x14ac:dyDescent="0.25">
      <c r="A3589" t="s">
        <v>2</v>
      </c>
      <c r="B3589">
        <v>1210218</v>
      </c>
      <c r="C3589">
        <v>52440</v>
      </c>
      <c r="D3589" s="4">
        <f>+VLOOKUP(A3589,Portfolio!$G$3:$I$6,3)</f>
        <v>1</v>
      </c>
      <c r="E3589">
        <f t="shared" si="56"/>
        <v>52440</v>
      </c>
    </row>
    <row r="3590" spans="1:5" x14ac:dyDescent="0.25">
      <c r="A3590" t="s">
        <v>2</v>
      </c>
      <c r="B3590">
        <v>1210219</v>
      </c>
      <c r="C3590">
        <v>49570</v>
      </c>
      <c r="D3590" s="4">
        <f>+VLOOKUP(A3590,Portfolio!$G$3:$I$6,3)</f>
        <v>1</v>
      </c>
      <c r="E3590">
        <f t="shared" si="56"/>
        <v>49570</v>
      </c>
    </row>
    <row r="3591" spans="1:5" x14ac:dyDescent="0.25">
      <c r="A3591" t="s">
        <v>2</v>
      </c>
      <c r="B3591">
        <v>1210221</v>
      </c>
      <c r="C3591">
        <v>51560</v>
      </c>
      <c r="D3591" s="4">
        <f>+VLOOKUP(A3591,Portfolio!$G$3:$I$6,3)</f>
        <v>1</v>
      </c>
      <c r="E3591">
        <f t="shared" si="56"/>
        <v>51560</v>
      </c>
    </row>
    <row r="3592" spans="1:5" x14ac:dyDescent="0.25">
      <c r="A3592" t="s">
        <v>2</v>
      </c>
      <c r="B3592">
        <v>1210222</v>
      </c>
      <c r="C3592">
        <v>51560</v>
      </c>
      <c r="D3592" s="4">
        <f>+VLOOKUP(A3592,Portfolio!$G$3:$I$6,3)</f>
        <v>1</v>
      </c>
      <c r="E3592">
        <f t="shared" si="56"/>
        <v>51560</v>
      </c>
    </row>
    <row r="3593" spans="1:5" x14ac:dyDescent="0.25">
      <c r="A3593" t="s">
        <v>2</v>
      </c>
      <c r="B3593">
        <v>1210223</v>
      </c>
      <c r="C3593">
        <v>53320</v>
      </c>
      <c r="D3593" s="4">
        <f>+VLOOKUP(A3593,Portfolio!$G$3:$I$6,3)</f>
        <v>1</v>
      </c>
      <c r="E3593">
        <f t="shared" si="56"/>
        <v>53320</v>
      </c>
    </row>
    <row r="3594" spans="1:5" x14ac:dyDescent="0.25">
      <c r="A3594" t="s">
        <v>2</v>
      </c>
      <c r="B3594">
        <v>1210224</v>
      </c>
      <c r="C3594">
        <v>52430</v>
      </c>
      <c r="D3594" s="4">
        <f>+VLOOKUP(A3594,Portfolio!$G$3:$I$6,3)</f>
        <v>1</v>
      </c>
      <c r="E3594">
        <f t="shared" si="56"/>
        <v>52430</v>
      </c>
    </row>
    <row r="3595" spans="1:5" x14ac:dyDescent="0.25">
      <c r="A3595" t="s">
        <v>2</v>
      </c>
      <c r="B3595">
        <v>1210225</v>
      </c>
      <c r="C3595">
        <v>53380</v>
      </c>
      <c r="D3595" s="4">
        <f>+VLOOKUP(A3595,Portfolio!$G$3:$I$6,3)</f>
        <v>1</v>
      </c>
      <c r="E3595">
        <f t="shared" si="56"/>
        <v>53380</v>
      </c>
    </row>
    <row r="3596" spans="1:5" x14ac:dyDescent="0.25">
      <c r="A3596" t="s">
        <v>2</v>
      </c>
      <c r="B3596">
        <v>1210226</v>
      </c>
      <c r="C3596">
        <v>55020</v>
      </c>
      <c r="D3596" s="4">
        <f>+VLOOKUP(A3596,Portfolio!$G$3:$I$6,3)</f>
        <v>1</v>
      </c>
      <c r="E3596">
        <f t="shared" si="56"/>
        <v>55020</v>
      </c>
    </row>
    <row r="3597" spans="1:5" x14ac:dyDescent="0.25">
      <c r="A3597" t="s">
        <v>2</v>
      </c>
      <c r="B3597">
        <v>1210228</v>
      </c>
      <c r="C3597">
        <v>55020</v>
      </c>
      <c r="D3597" s="4">
        <f>+VLOOKUP(A3597,Portfolio!$G$3:$I$6,3)</f>
        <v>1</v>
      </c>
      <c r="E3597">
        <f t="shared" si="56"/>
        <v>55020</v>
      </c>
    </row>
    <row r="3598" spans="1:5" x14ac:dyDescent="0.25">
      <c r="A3598" t="s">
        <v>2</v>
      </c>
      <c r="B3598">
        <v>1210301</v>
      </c>
      <c r="C3598">
        <v>55020</v>
      </c>
      <c r="D3598" s="4">
        <f>+VLOOKUP(A3598,Portfolio!$G$3:$I$6,3)</f>
        <v>1</v>
      </c>
      <c r="E3598">
        <f t="shared" si="56"/>
        <v>55020</v>
      </c>
    </row>
    <row r="3599" spans="1:5" x14ac:dyDescent="0.25">
      <c r="A3599" t="s">
        <v>2</v>
      </c>
      <c r="B3599">
        <v>1210302</v>
      </c>
      <c r="C3599">
        <v>58430</v>
      </c>
      <c r="D3599" s="4">
        <f>+VLOOKUP(A3599,Portfolio!$G$3:$I$6,3)</f>
        <v>1</v>
      </c>
      <c r="E3599">
        <f t="shared" si="56"/>
        <v>58430</v>
      </c>
    </row>
    <row r="3600" spans="1:5" x14ac:dyDescent="0.25">
      <c r="A3600" t="s">
        <v>2</v>
      </c>
      <c r="B3600">
        <v>1210303</v>
      </c>
      <c r="C3600">
        <v>58590</v>
      </c>
      <c r="D3600" s="4">
        <f>+VLOOKUP(A3600,Portfolio!$G$3:$I$6,3)</f>
        <v>1</v>
      </c>
      <c r="E3600">
        <f t="shared" si="56"/>
        <v>58590</v>
      </c>
    </row>
    <row r="3601" spans="1:5" x14ac:dyDescent="0.25">
      <c r="A3601" t="s">
        <v>2</v>
      </c>
      <c r="B3601">
        <v>1210304</v>
      </c>
      <c r="C3601">
        <v>58790</v>
      </c>
      <c r="D3601" s="4">
        <f>+VLOOKUP(A3601,Portfolio!$G$3:$I$6,3)</f>
        <v>1</v>
      </c>
      <c r="E3601">
        <f t="shared" si="56"/>
        <v>58790</v>
      </c>
    </row>
    <row r="3602" spans="1:5" x14ac:dyDescent="0.25">
      <c r="A3602" t="s">
        <v>2</v>
      </c>
      <c r="B3602">
        <v>1210305</v>
      </c>
      <c r="C3602">
        <v>55730</v>
      </c>
      <c r="D3602" s="4">
        <f>+VLOOKUP(A3602,Portfolio!$G$3:$I$6,3)</f>
        <v>1</v>
      </c>
      <c r="E3602">
        <f t="shared" si="56"/>
        <v>55730</v>
      </c>
    </row>
    <row r="3603" spans="1:5" x14ac:dyDescent="0.25">
      <c r="A3603" t="s">
        <v>2</v>
      </c>
      <c r="B3603">
        <v>1210307</v>
      </c>
      <c r="C3603">
        <v>53980</v>
      </c>
      <c r="D3603" s="4">
        <f>+VLOOKUP(A3603,Portfolio!$G$3:$I$6,3)</f>
        <v>1</v>
      </c>
      <c r="E3603">
        <f t="shared" si="56"/>
        <v>53980</v>
      </c>
    </row>
    <row r="3604" spans="1:5" x14ac:dyDescent="0.25">
      <c r="A3604" t="s">
        <v>2</v>
      </c>
      <c r="B3604">
        <v>1210308</v>
      </c>
      <c r="C3604">
        <v>54030</v>
      </c>
      <c r="D3604" s="4">
        <f>+VLOOKUP(A3604,Portfolio!$G$3:$I$6,3)</f>
        <v>1</v>
      </c>
      <c r="E3604">
        <f t="shared" si="56"/>
        <v>54030</v>
      </c>
    </row>
    <row r="3605" spans="1:5" x14ac:dyDescent="0.25">
      <c r="A3605" t="s">
        <v>2</v>
      </c>
      <c r="B3605">
        <v>1210309</v>
      </c>
      <c r="C3605">
        <v>56190</v>
      </c>
      <c r="D3605" s="4">
        <f>+VLOOKUP(A3605,Portfolio!$G$3:$I$6,3)</f>
        <v>1</v>
      </c>
      <c r="E3605">
        <f t="shared" si="56"/>
        <v>56190</v>
      </c>
    </row>
    <row r="3606" spans="1:5" x14ac:dyDescent="0.25">
      <c r="A3606" t="s">
        <v>2</v>
      </c>
      <c r="B3606">
        <v>1210310</v>
      </c>
      <c r="C3606">
        <v>57240</v>
      </c>
      <c r="D3606" s="4">
        <f>+VLOOKUP(A3606,Portfolio!$G$3:$I$6,3)</f>
        <v>1</v>
      </c>
      <c r="E3606">
        <f t="shared" si="56"/>
        <v>57240</v>
      </c>
    </row>
    <row r="3607" spans="1:5" x14ac:dyDescent="0.25">
      <c r="A3607" t="s">
        <v>2</v>
      </c>
      <c r="B3607">
        <v>1210311</v>
      </c>
      <c r="C3607">
        <v>57860</v>
      </c>
      <c r="D3607" s="4">
        <f>+VLOOKUP(A3607,Portfolio!$G$3:$I$6,3)</f>
        <v>1</v>
      </c>
      <c r="E3607">
        <f t="shared" si="56"/>
        <v>57860</v>
      </c>
    </row>
    <row r="3608" spans="1:5" x14ac:dyDescent="0.25">
      <c r="A3608" t="s">
        <v>2</v>
      </c>
      <c r="B3608">
        <v>1210312</v>
      </c>
      <c r="C3608">
        <v>58700</v>
      </c>
      <c r="D3608" s="4">
        <f>+VLOOKUP(A3608,Portfolio!$G$3:$I$6,3)</f>
        <v>1</v>
      </c>
      <c r="E3608">
        <f t="shared" si="56"/>
        <v>58700</v>
      </c>
    </row>
    <row r="3609" spans="1:5" x14ac:dyDescent="0.25">
      <c r="A3609" t="s">
        <v>2</v>
      </c>
      <c r="B3609">
        <v>1210314</v>
      </c>
      <c r="C3609">
        <v>59940</v>
      </c>
      <c r="D3609" s="4">
        <f>+VLOOKUP(A3609,Portfolio!$G$3:$I$6,3)</f>
        <v>1</v>
      </c>
      <c r="E3609">
        <f t="shared" si="56"/>
        <v>59940</v>
      </c>
    </row>
    <row r="3610" spans="1:5" x14ac:dyDescent="0.25">
      <c r="A3610" t="s">
        <v>2</v>
      </c>
      <c r="B3610">
        <v>1210315</v>
      </c>
      <c r="C3610">
        <v>59940</v>
      </c>
      <c r="D3610" s="4">
        <f>+VLOOKUP(A3610,Portfolio!$G$3:$I$6,3)</f>
        <v>1</v>
      </c>
      <c r="E3610">
        <f t="shared" si="56"/>
        <v>59940</v>
      </c>
    </row>
    <row r="3611" spans="1:5" x14ac:dyDescent="0.25">
      <c r="A3611" t="s">
        <v>2</v>
      </c>
      <c r="B3611">
        <v>1210316</v>
      </c>
      <c r="C3611">
        <v>60170</v>
      </c>
      <c r="D3611" s="4">
        <f>+VLOOKUP(A3611,Portfolio!$G$3:$I$6,3)</f>
        <v>1</v>
      </c>
      <c r="E3611">
        <f t="shared" si="56"/>
        <v>60170</v>
      </c>
    </row>
    <row r="3612" spans="1:5" x14ac:dyDescent="0.25">
      <c r="A3612" t="s">
        <v>2</v>
      </c>
      <c r="B3612">
        <v>1210317</v>
      </c>
      <c r="C3612">
        <v>60270</v>
      </c>
      <c r="D3612" s="4">
        <f>+VLOOKUP(A3612,Portfolio!$G$3:$I$6,3)</f>
        <v>1</v>
      </c>
      <c r="E3612">
        <f t="shared" si="56"/>
        <v>60270</v>
      </c>
    </row>
    <row r="3613" spans="1:5" x14ac:dyDescent="0.25">
      <c r="A3613" t="s">
        <v>2</v>
      </c>
      <c r="B3613">
        <v>1210318</v>
      </c>
      <c r="C3613">
        <v>58580</v>
      </c>
      <c r="D3613" s="4">
        <f>+VLOOKUP(A3613,Portfolio!$G$3:$I$6,3)</f>
        <v>1</v>
      </c>
      <c r="E3613">
        <f t="shared" si="56"/>
        <v>58580</v>
      </c>
    </row>
    <row r="3614" spans="1:5" x14ac:dyDescent="0.25">
      <c r="A3614" t="s">
        <v>2</v>
      </c>
      <c r="B3614">
        <v>1210319</v>
      </c>
      <c r="C3614">
        <v>60530</v>
      </c>
      <c r="D3614" s="4">
        <f>+VLOOKUP(A3614,Portfolio!$G$3:$I$6,3)</f>
        <v>1</v>
      </c>
      <c r="E3614">
        <f t="shared" si="56"/>
        <v>60530</v>
      </c>
    </row>
    <row r="3615" spans="1:5" x14ac:dyDescent="0.25">
      <c r="A3615" t="s">
        <v>2</v>
      </c>
      <c r="B3615">
        <v>1210321</v>
      </c>
      <c r="C3615">
        <v>60530</v>
      </c>
      <c r="D3615" s="4">
        <f>+VLOOKUP(A3615,Portfolio!$G$3:$I$6,3)</f>
        <v>1</v>
      </c>
      <c r="E3615">
        <f t="shared" si="56"/>
        <v>60530</v>
      </c>
    </row>
    <row r="3616" spans="1:5" x14ac:dyDescent="0.25">
      <c r="A3616" t="s">
        <v>2</v>
      </c>
      <c r="B3616">
        <v>1210322</v>
      </c>
      <c r="C3616">
        <v>60530</v>
      </c>
      <c r="D3616" s="4">
        <f>+VLOOKUP(A3616,Portfolio!$G$3:$I$6,3)</f>
        <v>1</v>
      </c>
      <c r="E3616">
        <f t="shared" si="56"/>
        <v>60530</v>
      </c>
    </row>
    <row r="3617" spans="1:5" x14ac:dyDescent="0.25">
      <c r="A3617" t="s">
        <v>2</v>
      </c>
      <c r="B3617">
        <v>1210323</v>
      </c>
      <c r="C3617">
        <v>60530</v>
      </c>
      <c r="D3617" s="4">
        <f>+VLOOKUP(A3617,Portfolio!$G$3:$I$6,3)</f>
        <v>1</v>
      </c>
      <c r="E3617">
        <f t="shared" si="56"/>
        <v>60530</v>
      </c>
    </row>
    <row r="3618" spans="1:5" x14ac:dyDescent="0.25">
      <c r="A3618" t="s">
        <v>2</v>
      </c>
      <c r="B3618">
        <v>1210324</v>
      </c>
      <c r="C3618">
        <v>59680</v>
      </c>
      <c r="D3618" s="4">
        <f>+VLOOKUP(A3618,Portfolio!$G$3:$I$6,3)</f>
        <v>1</v>
      </c>
      <c r="E3618">
        <f t="shared" si="56"/>
        <v>59680</v>
      </c>
    </row>
    <row r="3619" spans="1:5" x14ac:dyDescent="0.25">
      <c r="A3619" t="s">
        <v>2</v>
      </c>
      <c r="B3619">
        <v>1210325</v>
      </c>
      <c r="C3619">
        <v>60050</v>
      </c>
      <c r="D3619" s="4">
        <f>+VLOOKUP(A3619,Portfolio!$G$3:$I$6,3)</f>
        <v>1</v>
      </c>
      <c r="E3619">
        <f t="shared" si="56"/>
        <v>60050</v>
      </c>
    </row>
    <row r="3620" spans="1:5" x14ac:dyDescent="0.25">
      <c r="A3620" t="s">
        <v>2</v>
      </c>
      <c r="B3620">
        <v>1210326</v>
      </c>
      <c r="C3620">
        <v>60190</v>
      </c>
      <c r="D3620" s="4">
        <f>+VLOOKUP(A3620,Portfolio!$G$3:$I$6,3)</f>
        <v>1</v>
      </c>
      <c r="E3620">
        <f t="shared" si="56"/>
        <v>60190</v>
      </c>
    </row>
    <row r="3621" spans="1:5" x14ac:dyDescent="0.25">
      <c r="A3621" t="s">
        <v>2</v>
      </c>
      <c r="B3621">
        <v>1210328</v>
      </c>
      <c r="C3621">
        <v>58150</v>
      </c>
      <c r="D3621" s="4">
        <f>+VLOOKUP(A3621,Portfolio!$G$3:$I$6,3)</f>
        <v>1</v>
      </c>
      <c r="E3621">
        <f t="shared" si="56"/>
        <v>58150</v>
      </c>
    </row>
    <row r="3622" spans="1:5" x14ac:dyDescent="0.25">
      <c r="A3622" t="s">
        <v>2</v>
      </c>
      <c r="B3622">
        <v>1210329</v>
      </c>
      <c r="C3622">
        <v>58380</v>
      </c>
      <c r="D3622" s="4">
        <f>+VLOOKUP(A3622,Portfolio!$G$3:$I$6,3)</f>
        <v>1</v>
      </c>
      <c r="E3622">
        <f t="shared" si="56"/>
        <v>58380</v>
      </c>
    </row>
    <row r="3623" spans="1:5" x14ac:dyDescent="0.25">
      <c r="A3623" t="s">
        <v>2</v>
      </c>
      <c r="B3623">
        <v>1210330</v>
      </c>
      <c r="C3623">
        <v>58960</v>
      </c>
      <c r="D3623" s="4">
        <f>+VLOOKUP(A3623,Portfolio!$G$3:$I$6,3)</f>
        <v>1</v>
      </c>
      <c r="E3623">
        <f t="shared" si="56"/>
        <v>58960</v>
      </c>
    </row>
    <row r="3624" spans="1:5" x14ac:dyDescent="0.25">
      <c r="A3624" t="s">
        <v>2</v>
      </c>
      <c r="B3624">
        <v>1210331</v>
      </c>
      <c r="C3624">
        <v>60520</v>
      </c>
      <c r="D3624" s="4">
        <f>+VLOOKUP(A3624,Portfolio!$G$3:$I$6,3)</f>
        <v>1</v>
      </c>
      <c r="E3624">
        <f t="shared" si="56"/>
        <v>60520</v>
      </c>
    </row>
    <row r="3625" spans="1:5" x14ac:dyDescent="0.25">
      <c r="A3625" t="s">
        <v>2</v>
      </c>
      <c r="B3625">
        <v>1210401</v>
      </c>
      <c r="C3625">
        <v>62120</v>
      </c>
      <c r="D3625" s="4">
        <f>+VLOOKUP(A3625,Portfolio!$G$3:$I$6,3)</f>
        <v>1</v>
      </c>
      <c r="E3625">
        <f t="shared" si="56"/>
        <v>62120</v>
      </c>
    </row>
    <row r="3626" spans="1:5" x14ac:dyDescent="0.25">
      <c r="A3626" t="s">
        <v>2</v>
      </c>
      <c r="B3626">
        <v>1210404</v>
      </c>
      <c r="C3626">
        <v>62510</v>
      </c>
      <c r="D3626" s="4">
        <f>+VLOOKUP(A3626,Portfolio!$G$3:$I$6,3)</f>
        <v>1</v>
      </c>
      <c r="E3626">
        <f t="shared" si="56"/>
        <v>62510</v>
      </c>
    </row>
    <row r="3627" spans="1:5" x14ac:dyDescent="0.25">
      <c r="A3627" t="s">
        <v>2</v>
      </c>
      <c r="B3627">
        <v>1210405</v>
      </c>
      <c r="C3627">
        <v>62510</v>
      </c>
      <c r="D3627" s="4">
        <f>+VLOOKUP(A3627,Portfolio!$G$3:$I$6,3)</f>
        <v>1</v>
      </c>
      <c r="E3627">
        <f t="shared" si="56"/>
        <v>62510</v>
      </c>
    </row>
    <row r="3628" spans="1:5" x14ac:dyDescent="0.25">
      <c r="A3628" t="s">
        <v>2</v>
      </c>
      <c r="B3628">
        <v>1210406</v>
      </c>
      <c r="C3628">
        <v>62990</v>
      </c>
      <c r="D3628" s="4">
        <f>+VLOOKUP(A3628,Portfolio!$G$3:$I$6,3)</f>
        <v>1</v>
      </c>
      <c r="E3628">
        <f t="shared" si="56"/>
        <v>62990</v>
      </c>
    </row>
    <row r="3629" spans="1:5" x14ac:dyDescent="0.25">
      <c r="A3629" t="s">
        <v>2</v>
      </c>
      <c r="B3629">
        <v>1210407</v>
      </c>
      <c r="C3629">
        <v>63750</v>
      </c>
      <c r="D3629" s="4">
        <f>+VLOOKUP(A3629,Portfolio!$G$3:$I$6,3)</f>
        <v>1</v>
      </c>
      <c r="E3629">
        <f t="shared" si="56"/>
        <v>63750</v>
      </c>
    </row>
    <row r="3630" spans="1:5" x14ac:dyDescent="0.25">
      <c r="A3630" t="s">
        <v>2</v>
      </c>
      <c r="B3630">
        <v>1210408</v>
      </c>
      <c r="C3630">
        <v>63510</v>
      </c>
      <c r="D3630" s="4">
        <f>+VLOOKUP(A3630,Portfolio!$G$3:$I$6,3)</f>
        <v>1</v>
      </c>
      <c r="E3630">
        <f t="shared" si="56"/>
        <v>63510</v>
      </c>
    </row>
    <row r="3631" spans="1:5" x14ac:dyDescent="0.25">
      <c r="A3631" t="s">
        <v>2</v>
      </c>
      <c r="B3631">
        <v>1210409</v>
      </c>
      <c r="C3631">
        <v>63080</v>
      </c>
      <c r="D3631" s="4">
        <f>+VLOOKUP(A3631,Portfolio!$G$3:$I$6,3)</f>
        <v>1</v>
      </c>
      <c r="E3631">
        <f t="shared" si="56"/>
        <v>63080</v>
      </c>
    </row>
    <row r="3632" spans="1:5" x14ac:dyDescent="0.25">
      <c r="A3632" t="s">
        <v>2</v>
      </c>
      <c r="B3632">
        <v>1210411</v>
      </c>
      <c r="C3632">
        <v>62360</v>
      </c>
      <c r="D3632" s="4">
        <f>+VLOOKUP(A3632,Portfolio!$G$3:$I$6,3)</f>
        <v>1</v>
      </c>
      <c r="E3632">
        <f t="shared" si="56"/>
        <v>62360</v>
      </c>
    </row>
    <row r="3633" spans="1:5" x14ac:dyDescent="0.25">
      <c r="A3633" t="s">
        <v>2</v>
      </c>
      <c r="B3633">
        <v>1210412</v>
      </c>
      <c r="C3633">
        <v>62680</v>
      </c>
      <c r="D3633" s="4">
        <f>+VLOOKUP(A3633,Portfolio!$G$3:$I$6,3)</f>
        <v>1</v>
      </c>
      <c r="E3633">
        <f t="shared" si="56"/>
        <v>62680</v>
      </c>
    </row>
    <row r="3634" spans="1:5" x14ac:dyDescent="0.25">
      <c r="A3634" t="s">
        <v>2</v>
      </c>
      <c r="B3634">
        <v>1210413</v>
      </c>
      <c r="C3634">
        <v>61300</v>
      </c>
      <c r="D3634" s="4">
        <f>+VLOOKUP(A3634,Portfolio!$G$3:$I$6,3)</f>
        <v>1</v>
      </c>
      <c r="E3634">
        <f t="shared" si="56"/>
        <v>61300</v>
      </c>
    </row>
    <row r="3635" spans="1:5" x14ac:dyDescent="0.25">
      <c r="A3635" t="s">
        <v>2</v>
      </c>
      <c r="B3635">
        <v>1210414</v>
      </c>
      <c r="C3635">
        <v>61510</v>
      </c>
      <c r="D3635" s="4">
        <f>+VLOOKUP(A3635,Portfolio!$G$3:$I$6,3)</f>
        <v>1</v>
      </c>
      <c r="E3635">
        <f t="shared" si="56"/>
        <v>61510</v>
      </c>
    </row>
    <row r="3636" spans="1:5" x14ac:dyDescent="0.25">
      <c r="A3636" t="s">
        <v>2</v>
      </c>
      <c r="B3636">
        <v>1210415</v>
      </c>
      <c r="C3636">
        <v>60730</v>
      </c>
      <c r="D3636" s="4">
        <f>+VLOOKUP(A3636,Portfolio!$G$3:$I$6,3)</f>
        <v>1</v>
      </c>
      <c r="E3636">
        <f t="shared" si="56"/>
        <v>60730</v>
      </c>
    </row>
    <row r="3637" spans="1:5" x14ac:dyDescent="0.25">
      <c r="A3637" t="s">
        <v>2</v>
      </c>
      <c r="B3637">
        <v>1210416</v>
      </c>
      <c r="C3637">
        <v>62320</v>
      </c>
      <c r="D3637" s="4">
        <f>+VLOOKUP(A3637,Portfolio!$G$3:$I$6,3)</f>
        <v>1</v>
      </c>
      <c r="E3637">
        <f t="shared" si="56"/>
        <v>62320</v>
      </c>
    </row>
    <row r="3638" spans="1:5" x14ac:dyDescent="0.25">
      <c r="A3638" t="s">
        <v>2</v>
      </c>
      <c r="B3638">
        <v>1210418</v>
      </c>
      <c r="C3638">
        <v>63540</v>
      </c>
      <c r="D3638" s="4">
        <f>+VLOOKUP(A3638,Portfolio!$G$3:$I$6,3)</f>
        <v>1</v>
      </c>
      <c r="E3638">
        <f t="shared" si="56"/>
        <v>63540</v>
      </c>
    </row>
    <row r="3639" spans="1:5" x14ac:dyDescent="0.25">
      <c r="A3639" t="s">
        <v>2</v>
      </c>
      <c r="B3639">
        <v>1210419</v>
      </c>
      <c r="C3639">
        <v>63720</v>
      </c>
      <c r="D3639" s="4">
        <f>+VLOOKUP(A3639,Portfolio!$G$3:$I$6,3)</f>
        <v>1</v>
      </c>
      <c r="E3639">
        <f t="shared" si="56"/>
        <v>63720</v>
      </c>
    </row>
    <row r="3640" spans="1:5" x14ac:dyDescent="0.25">
      <c r="A3640" t="s">
        <v>2</v>
      </c>
      <c r="B3640">
        <v>1210420</v>
      </c>
      <c r="C3640">
        <v>64360</v>
      </c>
      <c r="D3640" s="4">
        <f>+VLOOKUP(A3640,Portfolio!$G$3:$I$6,3)</f>
        <v>1</v>
      </c>
      <c r="E3640">
        <f t="shared" si="56"/>
        <v>64360</v>
      </c>
    </row>
    <row r="3641" spans="1:5" x14ac:dyDescent="0.25">
      <c r="A3641" t="s">
        <v>2</v>
      </c>
      <c r="B3641">
        <v>1210421</v>
      </c>
      <c r="C3641">
        <v>64860</v>
      </c>
      <c r="D3641" s="4">
        <f>+VLOOKUP(A3641,Portfolio!$G$3:$I$6,3)</f>
        <v>1</v>
      </c>
      <c r="E3641">
        <f t="shared" si="56"/>
        <v>64860</v>
      </c>
    </row>
    <row r="3642" spans="1:5" x14ac:dyDescent="0.25">
      <c r="A3642" t="s">
        <v>2</v>
      </c>
      <c r="B3642">
        <v>1210422</v>
      </c>
      <c r="C3642">
        <v>63310</v>
      </c>
      <c r="D3642" s="4">
        <f>+VLOOKUP(A3642,Portfolio!$G$3:$I$6,3)</f>
        <v>1</v>
      </c>
      <c r="E3642">
        <f t="shared" si="56"/>
        <v>63310</v>
      </c>
    </row>
    <row r="3643" spans="1:5" x14ac:dyDescent="0.25">
      <c r="A3643" t="s">
        <v>2</v>
      </c>
      <c r="B3643">
        <v>1210423</v>
      </c>
      <c r="C3643">
        <v>64040</v>
      </c>
      <c r="D3643" s="4">
        <f>+VLOOKUP(A3643,Portfolio!$G$3:$I$6,3)</f>
        <v>1</v>
      </c>
      <c r="E3643">
        <f t="shared" si="56"/>
        <v>64040</v>
      </c>
    </row>
    <row r="3644" spans="1:5" x14ac:dyDescent="0.25">
      <c r="A3644" t="s">
        <v>2</v>
      </c>
      <c r="B3644">
        <v>1210425</v>
      </c>
      <c r="C3644">
        <v>62330</v>
      </c>
      <c r="D3644" s="4">
        <f>+VLOOKUP(A3644,Portfolio!$G$3:$I$6,3)</f>
        <v>1</v>
      </c>
      <c r="E3644">
        <f t="shared" si="56"/>
        <v>62330</v>
      </c>
    </row>
    <row r="3645" spans="1:5" x14ac:dyDescent="0.25">
      <c r="A3645" t="s">
        <v>2</v>
      </c>
      <c r="B3645">
        <v>1210426</v>
      </c>
      <c r="C3645">
        <v>62970</v>
      </c>
      <c r="D3645" s="4">
        <f>+VLOOKUP(A3645,Portfolio!$G$3:$I$6,3)</f>
        <v>1</v>
      </c>
      <c r="E3645">
        <f t="shared" si="56"/>
        <v>62970</v>
      </c>
    </row>
    <row r="3646" spans="1:5" x14ac:dyDescent="0.25">
      <c r="A3646" t="s">
        <v>2</v>
      </c>
      <c r="B3646">
        <v>1210427</v>
      </c>
      <c r="C3646">
        <v>61820</v>
      </c>
      <c r="D3646" s="4">
        <f>+VLOOKUP(A3646,Portfolio!$G$3:$I$6,3)</f>
        <v>1</v>
      </c>
      <c r="E3646">
        <f t="shared" si="56"/>
        <v>61820</v>
      </c>
    </row>
    <row r="3647" spans="1:5" x14ac:dyDescent="0.25">
      <c r="A3647" t="s">
        <v>2</v>
      </c>
      <c r="B3647">
        <v>1210428</v>
      </c>
      <c r="C3647">
        <v>60230</v>
      </c>
      <c r="D3647" s="4">
        <f>+VLOOKUP(A3647,Portfolio!$G$3:$I$6,3)</f>
        <v>1</v>
      </c>
      <c r="E3647">
        <f t="shared" si="56"/>
        <v>60230</v>
      </c>
    </row>
    <row r="3648" spans="1:5" x14ac:dyDescent="0.25">
      <c r="A3648" t="s">
        <v>2</v>
      </c>
      <c r="B3648">
        <v>1210429</v>
      </c>
      <c r="C3648">
        <v>57800</v>
      </c>
      <c r="D3648" s="4">
        <f>+VLOOKUP(A3648,Portfolio!$G$3:$I$6,3)</f>
        <v>1</v>
      </c>
      <c r="E3648">
        <f t="shared" si="56"/>
        <v>57800</v>
      </c>
    </row>
    <row r="3649" spans="1:5" x14ac:dyDescent="0.25">
      <c r="A3649" t="s">
        <v>2</v>
      </c>
      <c r="B3649">
        <v>1210430</v>
      </c>
      <c r="C3649">
        <v>59650</v>
      </c>
      <c r="D3649" s="4">
        <f>+VLOOKUP(A3649,Portfolio!$G$3:$I$6,3)</f>
        <v>1</v>
      </c>
      <c r="E3649">
        <f t="shared" si="56"/>
        <v>59650</v>
      </c>
    </row>
    <row r="3650" spans="1:5" x14ac:dyDescent="0.25">
      <c r="A3650" t="s">
        <v>2</v>
      </c>
      <c r="B3650">
        <v>1210502</v>
      </c>
      <c r="C3650">
        <v>59370</v>
      </c>
      <c r="D3650" s="4">
        <f>+VLOOKUP(A3650,Portfolio!$G$3:$I$6,3)</f>
        <v>1</v>
      </c>
      <c r="E3650">
        <f t="shared" si="56"/>
        <v>59370</v>
      </c>
    </row>
    <row r="3651" spans="1:5" x14ac:dyDescent="0.25">
      <c r="A3651" t="s">
        <v>2</v>
      </c>
      <c r="B3651">
        <v>1210503</v>
      </c>
      <c r="C3651">
        <v>59370</v>
      </c>
      <c r="D3651" s="4">
        <f>+VLOOKUP(A3651,Portfolio!$G$3:$I$6,3)</f>
        <v>1</v>
      </c>
      <c r="E3651">
        <f t="shared" ref="E3651:E3714" si="57">+C3651*D3651</f>
        <v>59370</v>
      </c>
    </row>
    <row r="3652" spans="1:5" x14ac:dyDescent="0.25">
      <c r="A3652" t="s">
        <v>2</v>
      </c>
      <c r="B3652">
        <v>1210504</v>
      </c>
      <c r="C3652">
        <v>60180</v>
      </c>
      <c r="D3652" s="4">
        <f>+VLOOKUP(A3652,Portfolio!$G$3:$I$6,3)</f>
        <v>1</v>
      </c>
      <c r="E3652">
        <f t="shared" si="57"/>
        <v>60180</v>
      </c>
    </row>
    <row r="3653" spans="1:5" x14ac:dyDescent="0.25">
      <c r="A3653" t="s">
        <v>2</v>
      </c>
      <c r="B3653">
        <v>1210505</v>
      </c>
      <c r="C3653">
        <v>59680</v>
      </c>
      <c r="D3653" s="4">
        <f>+VLOOKUP(A3653,Portfolio!$G$3:$I$6,3)</f>
        <v>1</v>
      </c>
      <c r="E3653">
        <f t="shared" si="57"/>
        <v>59680</v>
      </c>
    </row>
    <row r="3654" spans="1:5" x14ac:dyDescent="0.25">
      <c r="A3654" t="s">
        <v>2</v>
      </c>
      <c r="B3654">
        <v>1210506</v>
      </c>
      <c r="C3654">
        <v>58850</v>
      </c>
      <c r="D3654" s="4">
        <f>+VLOOKUP(A3654,Portfolio!$G$3:$I$6,3)</f>
        <v>1</v>
      </c>
      <c r="E3654">
        <f t="shared" si="57"/>
        <v>58850</v>
      </c>
    </row>
    <row r="3655" spans="1:5" x14ac:dyDescent="0.25">
      <c r="A3655" t="s">
        <v>2</v>
      </c>
      <c r="B3655">
        <v>1210507</v>
      </c>
      <c r="C3655">
        <v>60770</v>
      </c>
      <c r="D3655" s="4">
        <f>+VLOOKUP(A3655,Portfolio!$G$3:$I$6,3)</f>
        <v>1</v>
      </c>
      <c r="E3655">
        <f t="shared" si="57"/>
        <v>60770</v>
      </c>
    </row>
    <row r="3656" spans="1:5" x14ac:dyDescent="0.25">
      <c r="A3656" t="s">
        <v>2</v>
      </c>
      <c r="B3656">
        <v>1210509</v>
      </c>
      <c r="C3656">
        <v>61800</v>
      </c>
      <c r="D3656" s="4">
        <f>+VLOOKUP(A3656,Portfolio!$G$3:$I$6,3)</f>
        <v>1</v>
      </c>
      <c r="E3656">
        <f t="shared" si="57"/>
        <v>61800</v>
      </c>
    </row>
    <row r="3657" spans="1:5" x14ac:dyDescent="0.25">
      <c r="A3657" t="s">
        <v>2</v>
      </c>
      <c r="B3657">
        <v>1210510</v>
      </c>
      <c r="C3657">
        <v>61720</v>
      </c>
      <c r="D3657" s="4">
        <f>+VLOOKUP(A3657,Portfolio!$G$3:$I$6,3)</f>
        <v>1</v>
      </c>
      <c r="E3657">
        <f t="shared" si="57"/>
        <v>61720</v>
      </c>
    </row>
    <row r="3658" spans="1:5" x14ac:dyDescent="0.25">
      <c r="A3658" t="s">
        <v>2</v>
      </c>
      <c r="B3658">
        <v>1210511</v>
      </c>
      <c r="C3658">
        <v>62580</v>
      </c>
      <c r="D3658" s="4">
        <f>+VLOOKUP(A3658,Portfolio!$G$3:$I$6,3)</f>
        <v>1</v>
      </c>
      <c r="E3658">
        <f t="shared" si="57"/>
        <v>62580</v>
      </c>
    </row>
    <row r="3659" spans="1:5" x14ac:dyDescent="0.25">
      <c r="A3659" t="s">
        <v>2</v>
      </c>
      <c r="B3659">
        <v>1210512</v>
      </c>
      <c r="C3659">
        <v>62630</v>
      </c>
      <c r="D3659" s="4">
        <f>+VLOOKUP(A3659,Portfolio!$G$3:$I$6,3)</f>
        <v>1</v>
      </c>
      <c r="E3659">
        <f t="shared" si="57"/>
        <v>62630</v>
      </c>
    </row>
    <row r="3660" spans="1:5" x14ac:dyDescent="0.25">
      <c r="A3660" t="s">
        <v>2</v>
      </c>
      <c r="B3660">
        <v>1210513</v>
      </c>
      <c r="C3660">
        <v>61630</v>
      </c>
      <c r="D3660" s="4">
        <f>+VLOOKUP(A3660,Portfolio!$G$3:$I$6,3)</f>
        <v>1</v>
      </c>
      <c r="E3660">
        <f t="shared" si="57"/>
        <v>61630</v>
      </c>
    </row>
    <row r="3661" spans="1:5" x14ac:dyDescent="0.25">
      <c r="A3661" t="s">
        <v>2</v>
      </c>
      <c r="B3661">
        <v>1210514</v>
      </c>
      <c r="C3661">
        <v>61120</v>
      </c>
      <c r="D3661" s="4">
        <f>+VLOOKUP(A3661,Portfolio!$G$3:$I$6,3)</f>
        <v>1</v>
      </c>
      <c r="E3661">
        <f t="shared" si="57"/>
        <v>61120</v>
      </c>
    </row>
    <row r="3662" spans="1:5" x14ac:dyDescent="0.25">
      <c r="A3662" t="s">
        <v>2</v>
      </c>
      <c r="B3662">
        <v>1210516</v>
      </c>
      <c r="C3662">
        <v>62050</v>
      </c>
      <c r="D3662" s="4">
        <f>+VLOOKUP(A3662,Portfolio!$G$3:$I$6,3)</f>
        <v>1</v>
      </c>
      <c r="E3662">
        <f t="shared" si="57"/>
        <v>62050</v>
      </c>
    </row>
    <row r="3663" spans="1:5" x14ac:dyDescent="0.25">
      <c r="A3663" t="s">
        <v>2</v>
      </c>
      <c r="B3663">
        <v>1210517</v>
      </c>
      <c r="C3663">
        <v>62570</v>
      </c>
      <c r="D3663" s="4">
        <f>+VLOOKUP(A3663,Portfolio!$G$3:$I$6,3)</f>
        <v>1</v>
      </c>
      <c r="E3663">
        <f t="shared" si="57"/>
        <v>62570</v>
      </c>
    </row>
    <row r="3664" spans="1:5" x14ac:dyDescent="0.25">
      <c r="A3664" t="s">
        <v>2</v>
      </c>
      <c r="B3664">
        <v>1210518</v>
      </c>
      <c r="C3664">
        <v>60360</v>
      </c>
      <c r="D3664" s="4">
        <f>+VLOOKUP(A3664,Portfolio!$G$3:$I$6,3)</f>
        <v>1</v>
      </c>
      <c r="E3664">
        <f t="shared" si="57"/>
        <v>60360</v>
      </c>
    </row>
    <row r="3665" spans="1:5" x14ac:dyDescent="0.25">
      <c r="A3665" t="s">
        <v>2</v>
      </c>
      <c r="B3665">
        <v>1210519</v>
      </c>
      <c r="C3665">
        <v>59400</v>
      </c>
      <c r="D3665" s="4">
        <f>+VLOOKUP(A3665,Portfolio!$G$3:$I$6,3)</f>
        <v>1</v>
      </c>
      <c r="E3665">
        <f t="shared" si="57"/>
        <v>59400</v>
      </c>
    </row>
    <row r="3666" spans="1:5" x14ac:dyDescent="0.25">
      <c r="A3666" t="s">
        <v>2</v>
      </c>
      <c r="B3666">
        <v>1210520</v>
      </c>
      <c r="C3666">
        <v>57770</v>
      </c>
      <c r="D3666" s="4">
        <f>+VLOOKUP(A3666,Portfolio!$G$3:$I$6,3)</f>
        <v>1</v>
      </c>
      <c r="E3666">
        <f t="shared" si="57"/>
        <v>57770</v>
      </c>
    </row>
    <row r="3667" spans="1:5" x14ac:dyDescent="0.25">
      <c r="A3667" t="s">
        <v>2</v>
      </c>
      <c r="B3667">
        <v>1210521</v>
      </c>
      <c r="C3667">
        <v>57930</v>
      </c>
      <c r="D3667" s="4">
        <f>+VLOOKUP(A3667,Portfolio!$G$3:$I$6,3)</f>
        <v>1</v>
      </c>
      <c r="E3667">
        <f t="shared" si="57"/>
        <v>57930</v>
      </c>
    </row>
    <row r="3668" spans="1:5" x14ac:dyDescent="0.25">
      <c r="A3668" t="s">
        <v>2</v>
      </c>
      <c r="B3668">
        <v>1210523</v>
      </c>
      <c r="C3668">
        <v>58060</v>
      </c>
      <c r="D3668" s="4">
        <f>+VLOOKUP(A3668,Portfolio!$G$3:$I$6,3)</f>
        <v>1</v>
      </c>
      <c r="E3668">
        <f t="shared" si="57"/>
        <v>58060</v>
      </c>
    </row>
    <row r="3669" spans="1:5" x14ac:dyDescent="0.25">
      <c r="A3669" t="s">
        <v>2</v>
      </c>
      <c r="B3669">
        <v>1210524</v>
      </c>
      <c r="C3669">
        <v>58280</v>
      </c>
      <c r="D3669" s="4">
        <f>+VLOOKUP(A3669,Portfolio!$G$3:$I$6,3)</f>
        <v>1</v>
      </c>
      <c r="E3669">
        <f t="shared" si="57"/>
        <v>58280</v>
      </c>
    </row>
    <row r="3670" spans="1:5" x14ac:dyDescent="0.25">
      <c r="A3670" t="s">
        <v>2</v>
      </c>
      <c r="B3670">
        <v>1210525</v>
      </c>
      <c r="C3670">
        <v>58170</v>
      </c>
      <c r="D3670" s="4">
        <f>+VLOOKUP(A3670,Portfolio!$G$3:$I$6,3)</f>
        <v>1</v>
      </c>
      <c r="E3670">
        <f t="shared" si="57"/>
        <v>58170</v>
      </c>
    </row>
    <row r="3671" spans="1:5" x14ac:dyDescent="0.25">
      <c r="A3671" t="s">
        <v>2</v>
      </c>
      <c r="B3671">
        <v>1210526</v>
      </c>
      <c r="C3671">
        <v>57730</v>
      </c>
      <c r="D3671" s="4">
        <f>+VLOOKUP(A3671,Portfolio!$G$3:$I$6,3)</f>
        <v>1</v>
      </c>
      <c r="E3671">
        <f t="shared" si="57"/>
        <v>57730</v>
      </c>
    </row>
    <row r="3672" spans="1:5" x14ac:dyDescent="0.25">
      <c r="A3672" t="s">
        <v>2</v>
      </c>
      <c r="B3672">
        <v>1210527</v>
      </c>
      <c r="C3672">
        <v>56340</v>
      </c>
      <c r="D3672" s="4">
        <f>+VLOOKUP(A3672,Portfolio!$G$3:$I$6,3)</f>
        <v>1</v>
      </c>
      <c r="E3672">
        <f t="shared" si="57"/>
        <v>56340</v>
      </c>
    </row>
    <row r="3673" spans="1:5" x14ac:dyDescent="0.25">
      <c r="A3673" t="s">
        <v>2</v>
      </c>
      <c r="B3673">
        <v>1210528</v>
      </c>
      <c r="C3673">
        <v>55940</v>
      </c>
      <c r="D3673" s="4">
        <f>+VLOOKUP(A3673,Portfolio!$G$3:$I$6,3)</f>
        <v>1</v>
      </c>
      <c r="E3673">
        <f t="shared" si="57"/>
        <v>55940</v>
      </c>
    </row>
    <row r="3674" spans="1:5" x14ac:dyDescent="0.25">
      <c r="A3674" t="s">
        <v>2</v>
      </c>
      <c r="B3674">
        <v>1210530</v>
      </c>
      <c r="C3674">
        <v>53210</v>
      </c>
      <c r="D3674" s="4">
        <f>+VLOOKUP(A3674,Portfolio!$G$3:$I$6,3)</f>
        <v>1</v>
      </c>
      <c r="E3674">
        <f t="shared" si="57"/>
        <v>53210</v>
      </c>
    </row>
    <row r="3675" spans="1:5" x14ac:dyDescent="0.25">
      <c r="A3675" t="s">
        <v>2</v>
      </c>
      <c r="B3675">
        <v>1210531</v>
      </c>
      <c r="C3675">
        <v>52740</v>
      </c>
      <c r="D3675" s="4">
        <f>+VLOOKUP(A3675,Portfolio!$G$3:$I$6,3)</f>
        <v>1</v>
      </c>
      <c r="E3675">
        <f t="shared" si="57"/>
        <v>52740</v>
      </c>
    </row>
    <row r="3676" spans="1:5" x14ac:dyDescent="0.25">
      <c r="A3676" t="s">
        <v>2</v>
      </c>
      <c r="B3676">
        <v>1210601</v>
      </c>
      <c r="C3676">
        <v>52990</v>
      </c>
      <c r="D3676" s="4">
        <f>+VLOOKUP(A3676,Portfolio!$G$3:$I$6,3)</f>
        <v>1</v>
      </c>
      <c r="E3676">
        <f t="shared" si="57"/>
        <v>52990</v>
      </c>
    </row>
    <row r="3677" spans="1:5" x14ac:dyDescent="0.25">
      <c r="A3677" t="s">
        <v>2</v>
      </c>
      <c r="B3677">
        <v>1210602</v>
      </c>
      <c r="C3677">
        <v>54230</v>
      </c>
      <c r="D3677" s="4">
        <f>+VLOOKUP(A3677,Portfolio!$G$3:$I$6,3)</f>
        <v>1</v>
      </c>
      <c r="E3677">
        <f t="shared" si="57"/>
        <v>54230</v>
      </c>
    </row>
    <row r="3678" spans="1:5" x14ac:dyDescent="0.25">
      <c r="A3678" t="s">
        <v>2</v>
      </c>
      <c r="B3678">
        <v>1210603</v>
      </c>
      <c r="C3678">
        <v>54090</v>
      </c>
      <c r="D3678" s="4">
        <f>+VLOOKUP(A3678,Portfolio!$G$3:$I$6,3)</f>
        <v>1</v>
      </c>
      <c r="E3678">
        <f t="shared" si="57"/>
        <v>54090</v>
      </c>
    </row>
    <row r="3679" spans="1:5" x14ac:dyDescent="0.25">
      <c r="A3679" t="s">
        <v>2</v>
      </c>
      <c r="B3679">
        <v>1210604</v>
      </c>
      <c r="C3679">
        <v>54690</v>
      </c>
      <c r="D3679" s="4">
        <f>+VLOOKUP(A3679,Portfolio!$G$3:$I$6,3)</f>
        <v>1</v>
      </c>
      <c r="E3679">
        <f t="shared" si="57"/>
        <v>54690</v>
      </c>
    </row>
    <row r="3680" spans="1:5" x14ac:dyDescent="0.25">
      <c r="A3680" t="s">
        <v>2</v>
      </c>
      <c r="B3680">
        <v>1210606</v>
      </c>
      <c r="C3680">
        <v>55620</v>
      </c>
      <c r="D3680" s="4">
        <f>+VLOOKUP(A3680,Portfolio!$G$3:$I$6,3)</f>
        <v>1</v>
      </c>
      <c r="E3680">
        <f t="shared" si="57"/>
        <v>55620</v>
      </c>
    </row>
    <row r="3681" spans="1:5" x14ac:dyDescent="0.25">
      <c r="A3681" t="s">
        <v>2</v>
      </c>
      <c r="B3681">
        <v>1210607</v>
      </c>
      <c r="C3681">
        <v>55370</v>
      </c>
      <c r="D3681" s="4">
        <f>+VLOOKUP(A3681,Portfolio!$G$3:$I$6,3)</f>
        <v>1</v>
      </c>
      <c r="E3681">
        <f t="shared" si="57"/>
        <v>55370</v>
      </c>
    </row>
    <row r="3682" spans="1:5" x14ac:dyDescent="0.25">
      <c r="A3682" t="s">
        <v>2</v>
      </c>
      <c r="B3682">
        <v>1210608</v>
      </c>
      <c r="C3682">
        <v>55510</v>
      </c>
      <c r="D3682" s="4">
        <f>+VLOOKUP(A3682,Portfolio!$G$3:$I$6,3)</f>
        <v>1</v>
      </c>
      <c r="E3682">
        <f t="shared" si="57"/>
        <v>55510</v>
      </c>
    </row>
    <row r="3683" spans="1:5" x14ac:dyDescent="0.25">
      <c r="A3683" t="s">
        <v>2</v>
      </c>
      <c r="B3683">
        <v>1210609</v>
      </c>
      <c r="C3683">
        <v>53950</v>
      </c>
      <c r="D3683" s="4">
        <f>+VLOOKUP(A3683,Portfolio!$G$3:$I$6,3)</f>
        <v>1</v>
      </c>
      <c r="E3683">
        <f t="shared" si="57"/>
        <v>53950</v>
      </c>
    </row>
    <row r="3684" spans="1:5" x14ac:dyDescent="0.25">
      <c r="A3684" t="s">
        <v>2</v>
      </c>
      <c r="B3684">
        <v>1210610</v>
      </c>
      <c r="C3684">
        <v>53990</v>
      </c>
      <c r="D3684" s="4">
        <f>+VLOOKUP(A3684,Portfolio!$G$3:$I$6,3)</f>
        <v>1</v>
      </c>
      <c r="E3684">
        <f t="shared" si="57"/>
        <v>53990</v>
      </c>
    </row>
    <row r="3685" spans="1:5" x14ac:dyDescent="0.25">
      <c r="A3685" t="s">
        <v>2</v>
      </c>
      <c r="B3685">
        <v>1210611</v>
      </c>
      <c r="C3685">
        <v>53960</v>
      </c>
      <c r="D3685" s="4">
        <f>+VLOOKUP(A3685,Portfolio!$G$3:$I$6,3)</f>
        <v>1</v>
      </c>
      <c r="E3685">
        <f t="shared" si="57"/>
        <v>53960</v>
      </c>
    </row>
    <row r="3686" spans="1:5" x14ac:dyDescent="0.25">
      <c r="A3686" t="s">
        <v>2</v>
      </c>
      <c r="B3686">
        <v>1210613</v>
      </c>
      <c r="C3686">
        <v>56200</v>
      </c>
      <c r="D3686" s="4">
        <f>+VLOOKUP(A3686,Portfolio!$G$3:$I$6,3)</f>
        <v>1</v>
      </c>
      <c r="E3686">
        <f t="shared" si="57"/>
        <v>56200</v>
      </c>
    </row>
    <row r="3687" spans="1:5" x14ac:dyDescent="0.25">
      <c r="A3687" t="s">
        <v>2</v>
      </c>
      <c r="B3687">
        <v>1210614</v>
      </c>
      <c r="C3687">
        <v>57240</v>
      </c>
      <c r="D3687" s="4">
        <f>+VLOOKUP(A3687,Portfolio!$G$3:$I$6,3)</f>
        <v>1</v>
      </c>
      <c r="E3687">
        <f t="shared" si="57"/>
        <v>57240</v>
      </c>
    </row>
    <row r="3688" spans="1:5" x14ac:dyDescent="0.25">
      <c r="A3688" t="s">
        <v>2</v>
      </c>
      <c r="B3688">
        <v>1210615</v>
      </c>
      <c r="C3688">
        <v>57300</v>
      </c>
      <c r="D3688" s="4">
        <f>+VLOOKUP(A3688,Portfolio!$G$3:$I$6,3)</f>
        <v>1</v>
      </c>
      <c r="E3688">
        <f t="shared" si="57"/>
        <v>57300</v>
      </c>
    </row>
    <row r="3689" spans="1:5" x14ac:dyDescent="0.25">
      <c r="A3689" t="s">
        <v>2</v>
      </c>
      <c r="B3689">
        <v>1210616</v>
      </c>
      <c r="C3689">
        <v>57230</v>
      </c>
      <c r="D3689" s="4">
        <f>+VLOOKUP(A3689,Portfolio!$G$3:$I$6,3)</f>
        <v>1</v>
      </c>
      <c r="E3689">
        <f t="shared" si="57"/>
        <v>57230</v>
      </c>
    </row>
    <row r="3690" spans="1:5" x14ac:dyDescent="0.25">
      <c r="A3690" t="s">
        <v>2</v>
      </c>
      <c r="B3690">
        <v>1210617</v>
      </c>
      <c r="C3690">
        <v>60350</v>
      </c>
      <c r="D3690" s="4">
        <f>+VLOOKUP(A3690,Portfolio!$G$3:$I$6,3)</f>
        <v>1</v>
      </c>
      <c r="E3690">
        <f t="shared" si="57"/>
        <v>60350</v>
      </c>
    </row>
    <row r="3691" spans="1:5" x14ac:dyDescent="0.25">
      <c r="A3691" t="s">
        <v>2</v>
      </c>
      <c r="B3691">
        <v>1210618</v>
      </c>
      <c r="C3691">
        <v>64110</v>
      </c>
      <c r="D3691" s="4">
        <f>+VLOOKUP(A3691,Portfolio!$G$3:$I$6,3)</f>
        <v>1</v>
      </c>
      <c r="E3691">
        <f t="shared" si="57"/>
        <v>64110</v>
      </c>
    </row>
    <row r="3692" spans="1:5" x14ac:dyDescent="0.25">
      <c r="A3692" t="s">
        <v>2</v>
      </c>
      <c r="B3692">
        <v>1210620</v>
      </c>
      <c r="C3692">
        <v>64170</v>
      </c>
      <c r="D3692" s="4">
        <f>+VLOOKUP(A3692,Portfolio!$G$3:$I$6,3)</f>
        <v>1</v>
      </c>
      <c r="E3692">
        <f t="shared" si="57"/>
        <v>64170</v>
      </c>
    </row>
    <row r="3693" spans="1:5" x14ac:dyDescent="0.25">
      <c r="A3693" t="s">
        <v>2</v>
      </c>
      <c r="B3693">
        <v>1210621</v>
      </c>
      <c r="C3693">
        <v>63600</v>
      </c>
      <c r="D3693" s="4">
        <f>+VLOOKUP(A3693,Portfolio!$G$3:$I$6,3)</f>
        <v>1</v>
      </c>
      <c r="E3693">
        <f t="shared" si="57"/>
        <v>63600</v>
      </c>
    </row>
    <row r="3694" spans="1:5" x14ac:dyDescent="0.25">
      <c r="A3694" t="s">
        <v>2</v>
      </c>
      <c r="B3694">
        <v>1210622</v>
      </c>
      <c r="C3694">
        <v>63940</v>
      </c>
      <c r="D3694" s="4">
        <f>+VLOOKUP(A3694,Portfolio!$G$3:$I$6,3)</f>
        <v>1</v>
      </c>
      <c r="E3694">
        <f t="shared" si="57"/>
        <v>63940</v>
      </c>
    </row>
    <row r="3695" spans="1:5" x14ac:dyDescent="0.25">
      <c r="A3695" t="s">
        <v>2</v>
      </c>
      <c r="B3695">
        <v>1210623</v>
      </c>
      <c r="C3695">
        <v>62210</v>
      </c>
      <c r="D3695" s="4">
        <f>+VLOOKUP(A3695,Portfolio!$G$3:$I$6,3)</f>
        <v>1</v>
      </c>
      <c r="E3695">
        <f t="shared" si="57"/>
        <v>62210</v>
      </c>
    </row>
    <row r="3696" spans="1:5" x14ac:dyDescent="0.25">
      <c r="A3696" t="s">
        <v>2</v>
      </c>
      <c r="B3696">
        <v>1210624</v>
      </c>
      <c r="C3696">
        <v>61170</v>
      </c>
      <c r="D3696" s="4">
        <f>+VLOOKUP(A3696,Portfolio!$G$3:$I$6,3)</f>
        <v>1</v>
      </c>
      <c r="E3696">
        <f t="shared" si="57"/>
        <v>61170</v>
      </c>
    </row>
    <row r="3697" spans="1:5" x14ac:dyDescent="0.25">
      <c r="A3697" t="s">
        <v>2</v>
      </c>
      <c r="B3697">
        <v>1210625</v>
      </c>
      <c r="C3697">
        <v>61350</v>
      </c>
      <c r="D3697" s="4">
        <f>+VLOOKUP(A3697,Portfolio!$G$3:$I$6,3)</f>
        <v>1</v>
      </c>
      <c r="E3697">
        <f t="shared" si="57"/>
        <v>61350</v>
      </c>
    </row>
    <row r="3698" spans="1:5" x14ac:dyDescent="0.25">
      <c r="A3698" t="s">
        <v>2</v>
      </c>
      <c r="B3698">
        <v>1210627</v>
      </c>
      <c r="C3698">
        <v>61870</v>
      </c>
      <c r="D3698" s="4">
        <f>+VLOOKUP(A3698,Portfolio!$G$3:$I$6,3)</f>
        <v>1</v>
      </c>
      <c r="E3698">
        <f t="shared" si="57"/>
        <v>61870</v>
      </c>
    </row>
    <row r="3699" spans="1:5" x14ac:dyDescent="0.25">
      <c r="A3699" t="s">
        <v>2</v>
      </c>
      <c r="B3699">
        <v>1210628</v>
      </c>
      <c r="C3699">
        <v>61500</v>
      </c>
      <c r="D3699" s="4">
        <f>+VLOOKUP(A3699,Portfolio!$G$3:$I$6,3)</f>
        <v>1</v>
      </c>
      <c r="E3699">
        <f t="shared" si="57"/>
        <v>61500</v>
      </c>
    </row>
    <row r="3700" spans="1:5" x14ac:dyDescent="0.25">
      <c r="A3700" t="s">
        <v>2</v>
      </c>
      <c r="B3700">
        <v>1210629</v>
      </c>
      <c r="C3700">
        <v>61630</v>
      </c>
      <c r="D3700" s="4">
        <f>+VLOOKUP(A3700,Portfolio!$G$3:$I$6,3)</f>
        <v>1</v>
      </c>
      <c r="E3700">
        <f t="shared" si="57"/>
        <v>61630</v>
      </c>
    </row>
    <row r="3701" spans="1:5" x14ac:dyDescent="0.25">
      <c r="A3701" t="s">
        <v>2</v>
      </c>
      <c r="B3701">
        <v>1210630</v>
      </c>
      <c r="C3701">
        <v>62720</v>
      </c>
      <c r="D3701" s="4">
        <f>+VLOOKUP(A3701,Portfolio!$G$3:$I$6,3)</f>
        <v>1</v>
      </c>
      <c r="E3701">
        <f t="shared" si="57"/>
        <v>62720</v>
      </c>
    </row>
    <row r="3702" spans="1:5" x14ac:dyDescent="0.25">
      <c r="A3702" t="s">
        <v>2</v>
      </c>
      <c r="B3702">
        <v>1210701</v>
      </c>
      <c r="C3702">
        <v>61060</v>
      </c>
      <c r="D3702" s="4">
        <f>+VLOOKUP(A3702,Portfolio!$G$3:$I$6,3)</f>
        <v>1</v>
      </c>
      <c r="E3702">
        <f t="shared" si="57"/>
        <v>61060</v>
      </c>
    </row>
    <row r="3703" spans="1:5" x14ac:dyDescent="0.25">
      <c r="A3703" t="s">
        <v>2</v>
      </c>
      <c r="B3703">
        <v>1210702</v>
      </c>
      <c r="C3703">
        <v>60760</v>
      </c>
      <c r="D3703" s="4">
        <f>+VLOOKUP(A3703,Portfolio!$G$3:$I$6,3)</f>
        <v>1</v>
      </c>
      <c r="E3703">
        <f t="shared" si="57"/>
        <v>60760</v>
      </c>
    </row>
    <row r="3704" spans="1:5" x14ac:dyDescent="0.25">
      <c r="A3704" t="s">
        <v>2</v>
      </c>
      <c r="B3704">
        <v>1210704</v>
      </c>
      <c r="C3704">
        <v>61850</v>
      </c>
      <c r="D3704" s="4">
        <f>+VLOOKUP(A3704,Portfolio!$G$3:$I$6,3)</f>
        <v>1</v>
      </c>
      <c r="E3704">
        <f t="shared" si="57"/>
        <v>61850</v>
      </c>
    </row>
    <row r="3705" spans="1:5" x14ac:dyDescent="0.25">
      <c r="A3705" t="s">
        <v>2</v>
      </c>
      <c r="B3705">
        <v>1210705</v>
      </c>
      <c r="C3705">
        <v>61850</v>
      </c>
      <c r="D3705" s="4">
        <f>+VLOOKUP(A3705,Portfolio!$G$3:$I$6,3)</f>
        <v>1</v>
      </c>
      <c r="E3705">
        <f t="shared" si="57"/>
        <v>61850</v>
      </c>
    </row>
    <row r="3706" spans="1:5" x14ac:dyDescent="0.25">
      <c r="A3706" t="s">
        <v>2</v>
      </c>
      <c r="B3706">
        <v>1210706</v>
      </c>
      <c r="C3706">
        <v>62270</v>
      </c>
      <c r="D3706" s="4">
        <f>+VLOOKUP(A3706,Portfolio!$G$3:$I$6,3)</f>
        <v>1</v>
      </c>
      <c r="E3706">
        <f t="shared" si="57"/>
        <v>62270</v>
      </c>
    </row>
    <row r="3707" spans="1:5" x14ac:dyDescent="0.25">
      <c r="A3707" t="s">
        <v>2</v>
      </c>
      <c r="B3707">
        <v>1210707</v>
      </c>
      <c r="C3707">
        <v>63640</v>
      </c>
      <c r="D3707" s="4">
        <f>+VLOOKUP(A3707,Portfolio!$G$3:$I$6,3)</f>
        <v>1</v>
      </c>
      <c r="E3707">
        <f t="shared" si="57"/>
        <v>63640</v>
      </c>
    </row>
    <row r="3708" spans="1:5" x14ac:dyDescent="0.25">
      <c r="A3708" t="s">
        <v>2</v>
      </c>
      <c r="B3708">
        <v>1210708</v>
      </c>
      <c r="C3708">
        <v>62680</v>
      </c>
      <c r="D3708" s="4">
        <f>+VLOOKUP(A3708,Portfolio!$G$3:$I$6,3)</f>
        <v>1</v>
      </c>
      <c r="E3708">
        <f t="shared" si="57"/>
        <v>62680</v>
      </c>
    </row>
    <row r="3709" spans="1:5" x14ac:dyDescent="0.25">
      <c r="A3709" t="s">
        <v>2</v>
      </c>
      <c r="B3709">
        <v>1210709</v>
      </c>
      <c r="C3709">
        <v>63480</v>
      </c>
      <c r="D3709" s="4">
        <f>+VLOOKUP(A3709,Portfolio!$G$3:$I$6,3)</f>
        <v>1</v>
      </c>
      <c r="E3709">
        <f t="shared" si="57"/>
        <v>63480</v>
      </c>
    </row>
    <row r="3710" spans="1:5" x14ac:dyDescent="0.25">
      <c r="A3710" t="s">
        <v>2</v>
      </c>
      <c r="B3710">
        <v>1210711</v>
      </c>
      <c r="C3710">
        <v>62950</v>
      </c>
      <c r="D3710" s="4">
        <f>+VLOOKUP(A3710,Portfolio!$G$3:$I$6,3)</f>
        <v>1</v>
      </c>
      <c r="E3710">
        <f t="shared" si="57"/>
        <v>62950</v>
      </c>
    </row>
    <row r="3711" spans="1:5" x14ac:dyDescent="0.25">
      <c r="A3711" t="s">
        <v>2</v>
      </c>
      <c r="B3711">
        <v>1210712</v>
      </c>
      <c r="C3711">
        <v>62950</v>
      </c>
      <c r="D3711" s="4">
        <f>+VLOOKUP(A3711,Portfolio!$G$3:$I$6,3)</f>
        <v>1</v>
      </c>
      <c r="E3711">
        <f t="shared" si="57"/>
        <v>62950</v>
      </c>
    </row>
    <row r="3712" spans="1:5" x14ac:dyDescent="0.25">
      <c r="A3712" t="s">
        <v>2</v>
      </c>
      <c r="B3712">
        <v>1210713</v>
      </c>
      <c r="C3712">
        <v>61850</v>
      </c>
      <c r="D3712" s="4">
        <f>+VLOOKUP(A3712,Portfolio!$G$3:$I$6,3)</f>
        <v>1</v>
      </c>
      <c r="E3712">
        <f t="shared" si="57"/>
        <v>61850</v>
      </c>
    </row>
    <row r="3713" spans="1:5" x14ac:dyDescent="0.25">
      <c r="A3713" t="s">
        <v>2</v>
      </c>
      <c r="B3713">
        <v>1210714</v>
      </c>
      <c r="C3713">
        <v>60030</v>
      </c>
      <c r="D3713" s="4">
        <f>+VLOOKUP(A3713,Portfolio!$G$3:$I$6,3)</f>
        <v>1</v>
      </c>
      <c r="E3713">
        <f t="shared" si="57"/>
        <v>60030</v>
      </c>
    </row>
    <row r="3714" spans="1:5" x14ac:dyDescent="0.25">
      <c r="A3714" t="s">
        <v>2</v>
      </c>
      <c r="B3714">
        <v>1210715</v>
      </c>
      <c r="C3714">
        <v>60870</v>
      </c>
      <c r="D3714" s="4">
        <f>+VLOOKUP(A3714,Portfolio!$G$3:$I$6,3)</f>
        <v>1</v>
      </c>
      <c r="E3714">
        <f t="shared" si="57"/>
        <v>60870</v>
      </c>
    </row>
    <row r="3715" spans="1:5" x14ac:dyDescent="0.25">
      <c r="A3715" t="s">
        <v>2</v>
      </c>
      <c r="B3715">
        <v>1210716</v>
      </c>
      <c r="C3715">
        <v>61120</v>
      </c>
      <c r="D3715" s="4">
        <f>+VLOOKUP(A3715,Portfolio!$G$3:$I$6,3)</f>
        <v>1</v>
      </c>
      <c r="E3715">
        <f t="shared" ref="E3715:E3778" si="58">+C3715*D3715</f>
        <v>61120</v>
      </c>
    </row>
    <row r="3716" spans="1:5" x14ac:dyDescent="0.25">
      <c r="A3716" t="s">
        <v>2</v>
      </c>
      <c r="B3716">
        <v>1210718</v>
      </c>
      <c r="C3716">
        <v>62690</v>
      </c>
      <c r="D3716" s="4">
        <f>+VLOOKUP(A3716,Portfolio!$G$3:$I$6,3)</f>
        <v>1</v>
      </c>
      <c r="E3716">
        <f t="shared" si="58"/>
        <v>62690</v>
      </c>
    </row>
    <row r="3717" spans="1:5" x14ac:dyDescent="0.25">
      <c r="A3717" t="s">
        <v>2</v>
      </c>
      <c r="B3717">
        <v>1210719</v>
      </c>
      <c r="C3717">
        <v>62600</v>
      </c>
      <c r="D3717" s="4">
        <f>+VLOOKUP(A3717,Portfolio!$G$3:$I$6,3)</f>
        <v>1</v>
      </c>
      <c r="E3717">
        <f t="shared" si="58"/>
        <v>62600</v>
      </c>
    </row>
    <row r="3718" spans="1:5" x14ac:dyDescent="0.25">
      <c r="A3718" t="s">
        <v>2</v>
      </c>
      <c r="B3718">
        <v>1210720</v>
      </c>
      <c r="C3718">
        <v>62320</v>
      </c>
      <c r="D3718" s="4">
        <f>+VLOOKUP(A3718,Portfolio!$G$3:$I$6,3)</f>
        <v>1</v>
      </c>
      <c r="E3718">
        <f t="shared" si="58"/>
        <v>62320</v>
      </c>
    </row>
    <row r="3719" spans="1:5" x14ac:dyDescent="0.25">
      <c r="A3719" t="s">
        <v>2</v>
      </c>
      <c r="B3719">
        <v>1210721</v>
      </c>
      <c r="C3719">
        <v>60710</v>
      </c>
      <c r="D3719" s="4">
        <f>+VLOOKUP(A3719,Portfolio!$G$3:$I$6,3)</f>
        <v>1</v>
      </c>
      <c r="E3719">
        <f t="shared" si="58"/>
        <v>60710</v>
      </c>
    </row>
    <row r="3720" spans="1:5" x14ac:dyDescent="0.25">
      <c r="A3720" t="s">
        <v>2</v>
      </c>
      <c r="B3720">
        <v>1210722</v>
      </c>
      <c r="C3720">
        <v>61080</v>
      </c>
      <c r="D3720" s="4">
        <f>+VLOOKUP(A3720,Portfolio!$G$3:$I$6,3)</f>
        <v>1</v>
      </c>
      <c r="E3720">
        <f t="shared" si="58"/>
        <v>61080</v>
      </c>
    </row>
    <row r="3721" spans="1:5" x14ac:dyDescent="0.25">
      <c r="A3721" t="s">
        <v>2</v>
      </c>
      <c r="B3721">
        <v>1210723</v>
      </c>
      <c r="C3721">
        <v>60460</v>
      </c>
      <c r="D3721" s="4">
        <f>+VLOOKUP(A3721,Portfolio!$G$3:$I$6,3)</f>
        <v>1</v>
      </c>
      <c r="E3721">
        <f t="shared" si="58"/>
        <v>60460</v>
      </c>
    </row>
    <row r="3722" spans="1:5" x14ac:dyDescent="0.25">
      <c r="A3722" t="s">
        <v>2</v>
      </c>
      <c r="B3722">
        <v>1210725</v>
      </c>
      <c r="C3722">
        <v>60290</v>
      </c>
      <c r="D3722" s="4">
        <f>+VLOOKUP(A3722,Portfolio!$G$3:$I$6,3)</f>
        <v>1</v>
      </c>
      <c r="E3722">
        <f t="shared" si="58"/>
        <v>60290</v>
      </c>
    </row>
    <row r="3723" spans="1:5" x14ac:dyDescent="0.25">
      <c r="A3723" t="s">
        <v>2</v>
      </c>
      <c r="B3723">
        <v>1210726</v>
      </c>
      <c r="C3723">
        <v>59690</v>
      </c>
      <c r="D3723" s="4">
        <f>+VLOOKUP(A3723,Portfolio!$G$3:$I$6,3)</f>
        <v>1</v>
      </c>
      <c r="E3723">
        <f t="shared" si="58"/>
        <v>59690</v>
      </c>
    </row>
    <row r="3724" spans="1:5" x14ac:dyDescent="0.25">
      <c r="A3724" t="s">
        <v>2</v>
      </c>
      <c r="B3724">
        <v>1210727</v>
      </c>
      <c r="C3724">
        <v>60180</v>
      </c>
      <c r="D3724" s="4">
        <f>+VLOOKUP(A3724,Portfolio!$G$3:$I$6,3)</f>
        <v>1</v>
      </c>
      <c r="E3724">
        <f t="shared" si="58"/>
        <v>60180</v>
      </c>
    </row>
    <row r="3725" spans="1:5" x14ac:dyDescent="0.25">
      <c r="A3725" t="s">
        <v>2</v>
      </c>
      <c r="B3725">
        <v>1210728</v>
      </c>
      <c r="C3725">
        <v>60520</v>
      </c>
      <c r="D3725" s="4">
        <f>+VLOOKUP(A3725,Portfolio!$G$3:$I$6,3)</f>
        <v>1</v>
      </c>
      <c r="E3725">
        <f t="shared" si="58"/>
        <v>60520</v>
      </c>
    </row>
    <row r="3726" spans="1:5" x14ac:dyDescent="0.25">
      <c r="A3726" t="s">
        <v>2</v>
      </c>
      <c r="B3726">
        <v>1210729</v>
      </c>
      <c r="C3726">
        <v>58550</v>
      </c>
      <c r="D3726" s="4">
        <f>+VLOOKUP(A3726,Portfolio!$G$3:$I$6,3)</f>
        <v>1</v>
      </c>
      <c r="E3726">
        <f t="shared" si="58"/>
        <v>58550</v>
      </c>
    </row>
    <row r="3727" spans="1:5" x14ac:dyDescent="0.25">
      <c r="A3727" t="s">
        <v>2</v>
      </c>
      <c r="B3727">
        <v>1210730</v>
      </c>
      <c r="C3727">
        <v>58970</v>
      </c>
      <c r="D3727" s="4">
        <f>+VLOOKUP(A3727,Portfolio!$G$3:$I$6,3)</f>
        <v>1</v>
      </c>
      <c r="E3727">
        <f t="shared" si="58"/>
        <v>58970</v>
      </c>
    </row>
    <row r="3728" spans="1:5" x14ac:dyDescent="0.25">
      <c r="A3728" t="s">
        <v>2</v>
      </c>
      <c r="B3728">
        <v>1210801</v>
      </c>
      <c r="C3728">
        <v>60190</v>
      </c>
      <c r="D3728" s="4">
        <f>+VLOOKUP(A3728,Portfolio!$G$3:$I$6,3)</f>
        <v>1</v>
      </c>
      <c r="E3728">
        <f t="shared" si="58"/>
        <v>60190</v>
      </c>
    </row>
    <row r="3729" spans="1:5" x14ac:dyDescent="0.25">
      <c r="A3729" t="s">
        <v>2</v>
      </c>
      <c r="B3729">
        <v>1210802</v>
      </c>
      <c r="C3729">
        <v>60420</v>
      </c>
      <c r="D3729" s="4">
        <f>+VLOOKUP(A3729,Portfolio!$G$3:$I$6,3)</f>
        <v>1</v>
      </c>
      <c r="E3729">
        <f t="shared" si="58"/>
        <v>60420</v>
      </c>
    </row>
    <row r="3730" spans="1:5" x14ac:dyDescent="0.25">
      <c r="A3730" t="s">
        <v>2</v>
      </c>
      <c r="B3730">
        <v>1210803</v>
      </c>
      <c r="C3730">
        <v>60730</v>
      </c>
      <c r="D3730" s="4">
        <f>+VLOOKUP(A3730,Portfolio!$G$3:$I$6,3)</f>
        <v>1</v>
      </c>
      <c r="E3730">
        <f t="shared" si="58"/>
        <v>60730</v>
      </c>
    </row>
    <row r="3731" spans="1:5" x14ac:dyDescent="0.25">
      <c r="A3731" t="s">
        <v>2</v>
      </c>
      <c r="B3731">
        <v>1210804</v>
      </c>
      <c r="C3731">
        <v>60190</v>
      </c>
      <c r="D3731" s="4">
        <f>+VLOOKUP(A3731,Portfolio!$G$3:$I$6,3)</f>
        <v>1</v>
      </c>
      <c r="E3731">
        <f t="shared" si="58"/>
        <v>60190</v>
      </c>
    </row>
    <row r="3732" spans="1:5" x14ac:dyDescent="0.25">
      <c r="A3732" t="s">
        <v>2</v>
      </c>
      <c r="B3732">
        <v>1210805</v>
      </c>
      <c r="C3732">
        <v>59490</v>
      </c>
      <c r="D3732" s="4">
        <f>+VLOOKUP(A3732,Portfolio!$G$3:$I$6,3)</f>
        <v>1</v>
      </c>
      <c r="E3732">
        <f t="shared" si="58"/>
        <v>59490</v>
      </c>
    </row>
    <row r="3733" spans="1:5" x14ac:dyDescent="0.25">
      <c r="A3733" t="s">
        <v>2</v>
      </c>
      <c r="B3733">
        <v>1210806</v>
      </c>
      <c r="C3733">
        <v>57180</v>
      </c>
      <c r="D3733" s="4">
        <f>+VLOOKUP(A3733,Portfolio!$G$3:$I$6,3)</f>
        <v>1</v>
      </c>
      <c r="E3733">
        <f t="shared" si="58"/>
        <v>57180</v>
      </c>
    </row>
    <row r="3734" spans="1:5" x14ac:dyDescent="0.25">
      <c r="A3734" t="s">
        <v>2</v>
      </c>
      <c r="B3734">
        <v>1210808</v>
      </c>
      <c r="C3734">
        <v>64080</v>
      </c>
      <c r="D3734" s="4">
        <f>+VLOOKUP(A3734,Portfolio!$G$3:$I$6,3)</f>
        <v>1</v>
      </c>
      <c r="E3734">
        <f t="shared" si="58"/>
        <v>64080</v>
      </c>
    </row>
    <row r="3735" spans="1:5" x14ac:dyDescent="0.25">
      <c r="A3735" t="s">
        <v>2</v>
      </c>
      <c r="B3735">
        <v>1210809</v>
      </c>
      <c r="C3735">
        <v>61220</v>
      </c>
      <c r="D3735" s="4">
        <f>+VLOOKUP(A3735,Portfolio!$G$3:$I$6,3)</f>
        <v>1</v>
      </c>
      <c r="E3735">
        <f t="shared" si="58"/>
        <v>61220</v>
      </c>
    </row>
    <row r="3736" spans="1:5" x14ac:dyDescent="0.25">
      <c r="A3736" t="s">
        <v>2</v>
      </c>
      <c r="B3736">
        <v>1210810</v>
      </c>
      <c r="C3736">
        <v>61140</v>
      </c>
      <c r="D3736" s="4">
        <f>+VLOOKUP(A3736,Portfolio!$G$3:$I$6,3)</f>
        <v>1</v>
      </c>
      <c r="E3736">
        <f t="shared" si="58"/>
        <v>61140</v>
      </c>
    </row>
    <row r="3737" spans="1:5" x14ac:dyDescent="0.25">
      <c r="A3737" t="s">
        <v>2</v>
      </c>
      <c r="B3737">
        <v>1210811</v>
      </c>
      <c r="C3737">
        <v>61040</v>
      </c>
      <c r="D3737" s="4">
        <f>+VLOOKUP(A3737,Portfolio!$G$3:$I$6,3)</f>
        <v>1</v>
      </c>
      <c r="E3737">
        <f t="shared" si="58"/>
        <v>61040</v>
      </c>
    </row>
    <row r="3738" spans="1:5" x14ac:dyDescent="0.25">
      <c r="A3738" t="s">
        <v>2</v>
      </c>
      <c r="B3738">
        <v>1210812</v>
      </c>
      <c r="C3738">
        <v>62700</v>
      </c>
      <c r="D3738" s="4">
        <f>+VLOOKUP(A3738,Portfolio!$G$3:$I$6,3)</f>
        <v>1</v>
      </c>
      <c r="E3738">
        <f t="shared" si="58"/>
        <v>62700</v>
      </c>
    </row>
    <row r="3739" spans="1:5" x14ac:dyDescent="0.25">
      <c r="A3739" t="s">
        <v>2</v>
      </c>
      <c r="B3739">
        <v>1210813</v>
      </c>
      <c r="C3739">
        <v>61890</v>
      </c>
      <c r="D3739" s="4">
        <f>+VLOOKUP(A3739,Portfolio!$G$3:$I$6,3)</f>
        <v>1</v>
      </c>
      <c r="E3739">
        <f t="shared" si="58"/>
        <v>61890</v>
      </c>
    </row>
    <row r="3740" spans="1:5" x14ac:dyDescent="0.25">
      <c r="A3740" t="s">
        <v>2</v>
      </c>
      <c r="B3740">
        <v>1210815</v>
      </c>
      <c r="C3740">
        <v>63270</v>
      </c>
      <c r="D3740" s="4">
        <f>+VLOOKUP(A3740,Portfolio!$G$3:$I$6,3)</f>
        <v>1</v>
      </c>
      <c r="E3740">
        <f t="shared" si="58"/>
        <v>63270</v>
      </c>
    </row>
    <row r="3741" spans="1:5" x14ac:dyDescent="0.25">
      <c r="A3741" t="s">
        <v>2</v>
      </c>
      <c r="B3741">
        <v>1210816</v>
      </c>
      <c r="C3741">
        <v>63020</v>
      </c>
      <c r="D3741" s="4">
        <f>+VLOOKUP(A3741,Portfolio!$G$3:$I$6,3)</f>
        <v>1</v>
      </c>
      <c r="E3741">
        <f t="shared" si="58"/>
        <v>63020</v>
      </c>
    </row>
    <row r="3742" spans="1:5" x14ac:dyDescent="0.25">
      <c r="A3742" t="s">
        <v>2</v>
      </c>
      <c r="B3742">
        <v>1210817</v>
      </c>
      <c r="C3742">
        <v>62310</v>
      </c>
      <c r="D3742" s="4">
        <f>+VLOOKUP(A3742,Portfolio!$G$3:$I$6,3)</f>
        <v>1</v>
      </c>
      <c r="E3742">
        <f t="shared" si="58"/>
        <v>62310</v>
      </c>
    </row>
    <row r="3743" spans="1:5" x14ac:dyDescent="0.25">
      <c r="A3743" t="s">
        <v>2</v>
      </c>
      <c r="B3743">
        <v>1210818</v>
      </c>
      <c r="C3743">
        <v>62700</v>
      </c>
      <c r="D3743" s="4">
        <f>+VLOOKUP(A3743,Portfolio!$G$3:$I$6,3)</f>
        <v>1</v>
      </c>
      <c r="E3743">
        <f t="shared" si="58"/>
        <v>62700</v>
      </c>
    </row>
    <row r="3744" spans="1:5" x14ac:dyDescent="0.25">
      <c r="A3744" t="s">
        <v>2</v>
      </c>
      <c r="B3744">
        <v>1210819</v>
      </c>
      <c r="C3744">
        <v>63510</v>
      </c>
      <c r="D3744" s="4">
        <f>+VLOOKUP(A3744,Portfolio!$G$3:$I$6,3)</f>
        <v>1</v>
      </c>
      <c r="E3744">
        <f t="shared" si="58"/>
        <v>63510</v>
      </c>
    </row>
    <row r="3745" spans="1:5" x14ac:dyDescent="0.25">
      <c r="A3745" t="s">
        <v>2</v>
      </c>
      <c r="B3745">
        <v>1210820</v>
      </c>
      <c r="C3745">
        <v>63450</v>
      </c>
      <c r="D3745" s="4">
        <f>+VLOOKUP(A3745,Portfolio!$G$3:$I$6,3)</f>
        <v>1</v>
      </c>
      <c r="E3745">
        <f t="shared" si="58"/>
        <v>63450</v>
      </c>
    </row>
    <row r="3746" spans="1:5" x14ac:dyDescent="0.25">
      <c r="A3746" t="s">
        <v>2</v>
      </c>
      <c r="B3746">
        <v>1210822</v>
      </c>
      <c r="C3746">
        <v>63570</v>
      </c>
      <c r="D3746" s="4">
        <f>+VLOOKUP(A3746,Portfolio!$G$3:$I$6,3)</f>
        <v>1</v>
      </c>
      <c r="E3746">
        <f t="shared" si="58"/>
        <v>63570</v>
      </c>
    </row>
    <row r="3747" spans="1:5" x14ac:dyDescent="0.25">
      <c r="A3747" t="s">
        <v>2</v>
      </c>
      <c r="B3747">
        <v>1210823</v>
      </c>
      <c r="C3747">
        <v>62690</v>
      </c>
      <c r="D3747" s="4">
        <f>+VLOOKUP(A3747,Portfolio!$G$3:$I$6,3)</f>
        <v>1</v>
      </c>
      <c r="E3747">
        <f t="shared" si="58"/>
        <v>62690</v>
      </c>
    </row>
    <row r="3748" spans="1:5" x14ac:dyDescent="0.25">
      <c r="A3748" t="s">
        <v>2</v>
      </c>
      <c r="B3748">
        <v>1210824</v>
      </c>
      <c r="C3748">
        <v>63830</v>
      </c>
      <c r="D3748" s="4">
        <f>+VLOOKUP(A3748,Portfolio!$G$3:$I$6,3)</f>
        <v>1</v>
      </c>
      <c r="E3748">
        <f t="shared" si="58"/>
        <v>63830</v>
      </c>
    </row>
    <row r="3749" spans="1:5" x14ac:dyDescent="0.25">
      <c r="A3749" t="s">
        <v>2</v>
      </c>
      <c r="B3749">
        <v>1210825</v>
      </c>
      <c r="C3749">
        <v>62920</v>
      </c>
      <c r="D3749" s="4">
        <f>+VLOOKUP(A3749,Portfolio!$G$3:$I$6,3)</f>
        <v>1</v>
      </c>
      <c r="E3749">
        <f t="shared" si="58"/>
        <v>62920</v>
      </c>
    </row>
    <row r="3750" spans="1:5" x14ac:dyDescent="0.25">
      <c r="A3750" t="s">
        <v>2</v>
      </c>
      <c r="B3750">
        <v>1210826</v>
      </c>
      <c r="C3750">
        <v>61810</v>
      </c>
      <c r="D3750" s="4">
        <f>+VLOOKUP(A3750,Portfolio!$G$3:$I$6,3)</f>
        <v>1</v>
      </c>
      <c r="E3750">
        <f t="shared" si="58"/>
        <v>61810</v>
      </c>
    </row>
    <row r="3751" spans="1:5" x14ac:dyDescent="0.25">
      <c r="A3751" t="s">
        <v>2</v>
      </c>
      <c r="B3751">
        <v>1210827</v>
      </c>
      <c r="C3751">
        <v>59290</v>
      </c>
      <c r="D3751" s="4">
        <f>+VLOOKUP(A3751,Portfolio!$G$3:$I$6,3)</f>
        <v>1</v>
      </c>
      <c r="E3751">
        <f t="shared" si="58"/>
        <v>59290</v>
      </c>
    </row>
    <row r="3752" spans="1:5" x14ac:dyDescent="0.25">
      <c r="A3752" t="s">
        <v>2</v>
      </c>
      <c r="B3752">
        <v>1210829</v>
      </c>
      <c r="C3752">
        <v>59860</v>
      </c>
      <c r="D3752" s="4">
        <f>+VLOOKUP(A3752,Portfolio!$G$3:$I$6,3)</f>
        <v>1</v>
      </c>
      <c r="E3752">
        <f t="shared" si="58"/>
        <v>59860</v>
      </c>
    </row>
    <row r="3753" spans="1:5" x14ac:dyDescent="0.25">
      <c r="A3753" t="s">
        <v>2</v>
      </c>
      <c r="B3753">
        <v>1210830</v>
      </c>
      <c r="C3753">
        <v>59860</v>
      </c>
      <c r="D3753" s="4">
        <f>+VLOOKUP(A3753,Portfolio!$G$3:$I$6,3)</f>
        <v>1</v>
      </c>
      <c r="E3753">
        <f t="shared" si="58"/>
        <v>59860</v>
      </c>
    </row>
    <row r="3754" spans="1:5" x14ac:dyDescent="0.25">
      <c r="A3754" t="s">
        <v>2</v>
      </c>
      <c r="B3754">
        <v>1210831</v>
      </c>
      <c r="C3754">
        <v>59860</v>
      </c>
      <c r="D3754" s="4">
        <f>+VLOOKUP(A3754,Portfolio!$G$3:$I$6,3)</f>
        <v>1</v>
      </c>
      <c r="E3754">
        <f t="shared" si="58"/>
        <v>59860</v>
      </c>
    </row>
    <row r="3755" spans="1:5" x14ac:dyDescent="0.25">
      <c r="A3755" t="s">
        <v>2</v>
      </c>
      <c r="B3755">
        <v>1210901</v>
      </c>
      <c r="C3755">
        <v>59530</v>
      </c>
      <c r="D3755" s="4">
        <f>+VLOOKUP(A3755,Portfolio!$G$3:$I$6,3)</f>
        <v>1</v>
      </c>
      <c r="E3755">
        <f t="shared" si="58"/>
        <v>59530</v>
      </c>
    </row>
    <row r="3756" spans="1:5" x14ac:dyDescent="0.25">
      <c r="A3756" t="s">
        <v>2</v>
      </c>
      <c r="B3756">
        <v>1210902</v>
      </c>
      <c r="C3756">
        <v>59130</v>
      </c>
      <c r="D3756" s="4">
        <f>+VLOOKUP(A3756,Portfolio!$G$3:$I$6,3)</f>
        <v>1</v>
      </c>
      <c r="E3756">
        <f t="shared" si="58"/>
        <v>59130</v>
      </c>
    </row>
    <row r="3757" spans="1:5" x14ac:dyDescent="0.25">
      <c r="A3757" t="s">
        <v>2</v>
      </c>
      <c r="B3757">
        <v>1210903</v>
      </c>
      <c r="C3757">
        <v>58900</v>
      </c>
      <c r="D3757" s="4">
        <f>+VLOOKUP(A3757,Portfolio!$G$3:$I$6,3)</f>
        <v>1</v>
      </c>
      <c r="E3757">
        <f t="shared" si="58"/>
        <v>58900</v>
      </c>
    </row>
    <row r="3758" spans="1:5" x14ac:dyDescent="0.25">
      <c r="A3758" t="s">
        <v>2</v>
      </c>
      <c r="B3758">
        <v>1210905</v>
      </c>
      <c r="C3758">
        <v>60070</v>
      </c>
      <c r="D3758" s="4">
        <f>+VLOOKUP(A3758,Portfolio!$G$3:$I$6,3)</f>
        <v>1</v>
      </c>
      <c r="E3758">
        <f t="shared" si="58"/>
        <v>60070</v>
      </c>
    </row>
    <row r="3759" spans="1:5" x14ac:dyDescent="0.25">
      <c r="A3759" t="s">
        <v>2</v>
      </c>
      <c r="B3759">
        <v>1210906</v>
      </c>
      <c r="C3759">
        <v>59800</v>
      </c>
      <c r="D3759" s="4">
        <f>+VLOOKUP(A3759,Portfolio!$G$3:$I$6,3)</f>
        <v>1</v>
      </c>
      <c r="E3759">
        <f t="shared" si="58"/>
        <v>59800</v>
      </c>
    </row>
    <row r="3760" spans="1:5" x14ac:dyDescent="0.25">
      <c r="A3760" t="s">
        <v>2</v>
      </c>
      <c r="B3760">
        <v>1210907</v>
      </c>
      <c r="C3760">
        <v>59970</v>
      </c>
      <c r="D3760" s="4">
        <f>+VLOOKUP(A3760,Portfolio!$G$3:$I$6,3)</f>
        <v>1</v>
      </c>
      <c r="E3760">
        <f t="shared" si="58"/>
        <v>59970</v>
      </c>
    </row>
    <row r="3761" spans="1:5" x14ac:dyDescent="0.25">
      <c r="A3761" t="s">
        <v>2</v>
      </c>
      <c r="B3761">
        <v>1210908</v>
      </c>
      <c r="C3761">
        <v>61320</v>
      </c>
      <c r="D3761" s="4">
        <f>+VLOOKUP(A3761,Portfolio!$G$3:$I$6,3)</f>
        <v>1</v>
      </c>
      <c r="E3761">
        <f t="shared" si="58"/>
        <v>61320</v>
      </c>
    </row>
    <row r="3762" spans="1:5" x14ac:dyDescent="0.25">
      <c r="A3762" t="s">
        <v>2</v>
      </c>
      <c r="B3762">
        <v>1210909</v>
      </c>
      <c r="C3762">
        <v>59990</v>
      </c>
      <c r="D3762" s="4">
        <f>+VLOOKUP(A3762,Portfolio!$G$3:$I$6,3)</f>
        <v>1</v>
      </c>
      <c r="E3762">
        <f t="shared" si="58"/>
        <v>59990</v>
      </c>
    </row>
    <row r="3763" spans="1:5" x14ac:dyDescent="0.25">
      <c r="A3763" t="s">
        <v>2</v>
      </c>
      <c r="B3763">
        <v>1210910</v>
      </c>
      <c r="C3763">
        <v>60170</v>
      </c>
      <c r="D3763" s="4">
        <f>+VLOOKUP(A3763,Portfolio!$G$3:$I$6,3)</f>
        <v>1</v>
      </c>
      <c r="E3763">
        <f t="shared" si="58"/>
        <v>60170</v>
      </c>
    </row>
    <row r="3764" spans="1:5" x14ac:dyDescent="0.25">
      <c r="A3764" t="s">
        <v>2</v>
      </c>
      <c r="B3764">
        <v>1210912</v>
      </c>
      <c r="C3764">
        <v>60670</v>
      </c>
      <c r="D3764" s="4">
        <f>+VLOOKUP(A3764,Portfolio!$G$3:$I$6,3)</f>
        <v>1</v>
      </c>
      <c r="E3764">
        <f t="shared" si="58"/>
        <v>60670</v>
      </c>
    </row>
    <row r="3765" spans="1:5" x14ac:dyDescent="0.25">
      <c r="A3765" t="s">
        <v>2</v>
      </c>
      <c r="B3765">
        <v>1210913</v>
      </c>
      <c r="C3765">
        <v>60280</v>
      </c>
      <c r="D3765" s="4">
        <f>+VLOOKUP(A3765,Portfolio!$G$3:$I$6,3)</f>
        <v>1</v>
      </c>
      <c r="E3765">
        <f t="shared" si="58"/>
        <v>60280</v>
      </c>
    </row>
    <row r="3766" spans="1:5" x14ac:dyDescent="0.25">
      <c r="A3766" t="s">
        <v>2</v>
      </c>
      <c r="B3766">
        <v>1210914</v>
      </c>
      <c r="C3766">
        <v>60090</v>
      </c>
      <c r="D3766" s="4">
        <f>+VLOOKUP(A3766,Portfolio!$G$3:$I$6,3)</f>
        <v>1</v>
      </c>
      <c r="E3766">
        <f t="shared" si="58"/>
        <v>60090</v>
      </c>
    </row>
    <row r="3767" spans="1:5" x14ac:dyDescent="0.25">
      <c r="A3767" t="s">
        <v>2</v>
      </c>
      <c r="B3767">
        <v>1210915</v>
      </c>
      <c r="C3767">
        <v>60480</v>
      </c>
      <c r="D3767" s="4">
        <f>+VLOOKUP(A3767,Portfolio!$G$3:$I$6,3)</f>
        <v>1</v>
      </c>
      <c r="E3767">
        <f t="shared" si="58"/>
        <v>60480</v>
      </c>
    </row>
    <row r="3768" spans="1:5" x14ac:dyDescent="0.25">
      <c r="A3768" t="s">
        <v>2</v>
      </c>
      <c r="B3768">
        <v>1210916</v>
      </c>
      <c r="C3768">
        <v>59920</v>
      </c>
      <c r="D3768" s="4">
        <f>+VLOOKUP(A3768,Portfolio!$G$3:$I$6,3)</f>
        <v>1</v>
      </c>
      <c r="E3768">
        <f t="shared" si="58"/>
        <v>59920</v>
      </c>
    </row>
    <row r="3769" spans="1:5" x14ac:dyDescent="0.25">
      <c r="A3769" t="s">
        <v>2</v>
      </c>
      <c r="B3769">
        <v>1210917</v>
      </c>
      <c r="C3769">
        <v>63830</v>
      </c>
      <c r="D3769" s="4">
        <f>+VLOOKUP(A3769,Portfolio!$G$3:$I$6,3)</f>
        <v>1</v>
      </c>
      <c r="E3769">
        <f t="shared" si="58"/>
        <v>63830</v>
      </c>
    </row>
    <row r="3770" spans="1:5" x14ac:dyDescent="0.25">
      <c r="A3770" t="s">
        <v>2</v>
      </c>
      <c r="B3770">
        <v>1210919</v>
      </c>
      <c r="C3770">
        <v>62840</v>
      </c>
      <c r="D3770" s="4">
        <f>+VLOOKUP(A3770,Portfolio!$G$3:$I$6,3)</f>
        <v>1</v>
      </c>
      <c r="E3770">
        <f t="shared" si="58"/>
        <v>62840</v>
      </c>
    </row>
    <row r="3771" spans="1:5" x14ac:dyDescent="0.25">
      <c r="A3771" t="s">
        <v>2</v>
      </c>
      <c r="B3771">
        <v>1210920</v>
      </c>
      <c r="C3771">
        <v>63600</v>
      </c>
      <c r="D3771" s="4">
        <f>+VLOOKUP(A3771,Portfolio!$G$3:$I$6,3)</f>
        <v>1</v>
      </c>
      <c r="E3771">
        <f t="shared" si="58"/>
        <v>63600</v>
      </c>
    </row>
    <row r="3772" spans="1:5" x14ac:dyDescent="0.25">
      <c r="A3772" t="s">
        <v>2</v>
      </c>
      <c r="B3772">
        <v>1210921</v>
      </c>
      <c r="C3772">
        <v>63370</v>
      </c>
      <c r="D3772" s="4">
        <f>+VLOOKUP(A3772,Portfolio!$G$3:$I$6,3)</f>
        <v>1</v>
      </c>
      <c r="E3772">
        <f t="shared" si="58"/>
        <v>63370</v>
      </c>
    </row>
    <row r="3773" spans="1:5" x14ac:dyDescent="0.25">
      <c r="A3773" t="s">
        <v>2</v>
      </c>
      <c r="B3773">
        <v>1210922</v>
      </c>
      <c r="C3773">
        <v>64930</v>
      </c>
      <c r="D3773" s="4">
        <f>+VLOOKUP(A3773,Portfolio!$G$3:$I$6,3)</f>
        <v>1</v>
      </c>
      <c r="E3773">
        <f t="shared" si="58"/>
        <v>64930</v>
      </c>
    </row>
    <row r="3774" spans="1:5" x14ac:dyDescent="0.25">
      <c r="A3774" t="s">
        <v>2</v>
      </c>
      <c r="B3774">
        <v>1210923</v>
      </c>
      <c r="C3774">
        <v>65970</v>
      </c>
      <c r="D3774" s="4">
        <f>+VLOOKUP(A3774,Portfolio!$G$3:$I$6,3)</f>
        <v>1</v>
      </c>
      <c r="E3774">
        <f t="shared" si="58"/>
        <v>65970</v>
      </c>
    </row>
    <row r="3775" spans="1:5" x14ac:dyDescent="0.25">
      <c r="A3775" t="s">
        <v>2</v>
      </c>
      <c r="B3775">
        <v>1210924</v>
      </c>
      <c r="C3775">
        <v>64140</v>
      </c>
      <c r="D3775" s="4">
        <f>+VLOOKUP(A3775,Portfolio!$G$3:$I$6,3)</f>
        <v>1</v>
      </c>
      <c r="E3775">
        <f t="shared" si="58"/>
        <v>64140</v>
      </c>
    </row>
    <row r="3776" spans="1:5" x14ac:dyDescent="0.25">
      <c r="A3776" t="s">
        <v>2</v>
      </c>
      <c r="B3776">
        <v>1210926</v>
      </c>
      <c r="C3776">
        <v>63530</v>
      </c>
      <c r="D3776" s="4">
        <f>+VLOOKUP(A3776,Portfolio!$G$3:$I$6,3)</f>
        <v>1</v>
      </c>
      <c r="E3776">
        <f t="shared" si="58"/>
        <v>63530</v>
      </c>
    </row>
    <row r="3777" spans="1:5" x14ac:dyDescent="0.25">
      <c r="A3777" t="s">
        <v>2</v>
      </c>
      <c r="B3777">
        <v>1210927</v>
      </c>
      <c r="C3777">
        <v>62510</v>
      </c>
      <c r="D3777" s="4">
        <f>+VLOOKUP(A3777,Portfolio!$G$3:$I$6,3)</f>
        <v>1</v>
      </c>
      <c r="E3777">
        <f t="shared" si="58"/>
        <v>62510</v>
      </c>
    </row>
    <row r="3778" spans="1:5" x14ac:dyDescent="0.25">
      <c r="A3778" t="s">
        <v>2</v>
      </c>
      <c r="B3778">
        <v>1210928</v>
      </c>
      <c r="C3778">
        <v>62810</v>
      </c>
      <c r="D3778" s="4">
        <f>+VLOOKUP(A3778,Portfolio!$G$3:$I$6,3)</f>
        <v>1</v>
      </c>
      <c r="E3778">
        <f t="shared" si="58"/>
        <v>62810</v>
      </c>
    </row>
    <row r="3779" spans="1:5" x14ac:dyDescent="0.25">
      <c r="A3779" t="s">
        <v>2</v>
      </c>
      <c r="B3779">
        <v>1210929</v>
      </c>
      <c r="C3779">
        <v>62270</v>
      </c>
      <c r="D3779" s="4">
        <f>+VLOOKUP(A3779,Portfolio!$G$3:$I$6,3)</f>
        <v>1</v>
      </c>
      <c r="E3779">
        <f t="shared" ref="E3779:E3842" si="59">+C3779*D3779</f>
        <v>62270</v>
      </c>
    </row>
    <row r="3780" spans="1:5" x14ac:dyDescent="0.25">
      <c r="A3780" t="s">
        <v>2</v>
      </c>
      <c r="B3780">
        <v>1210930</v>
      </c>
      <c r="C3780">
        <v>61090</v>
      </c>
      <c r="D3780" s="4">
        <f>+VLOOKUP(A3780,Portfolio!$G$3:$I$6,3)</f>
        <v>1</v>
      </c>
      <c r="E3780">
        <f t="shared" si="59"/>
        <v>61090</v>
      </c>
    </row>
    <row r="3781" spans="1:5" x14ac:dyDescent="0.25">
      <c r="A3781" t="s">
        <v>2</v>
      </c>
      <c r="B3781">
        <v>1211001</v>
      </c>
      <c r="C3781">
        <v>61770</v>
      </c>
      <c r="D3781" s="4">
        <f>+VLOOKUP(A3781,Portfolio!$G$3:$I$6,3)</f>
        <v>1</v>
      </c>
      <c r="E3781">
        <f t="shared" si="59"/>
        <v>61770</v>
      </c>
    </row>
    <row r="3782" spans="1:5" x14ac:dyDescent="0.25">
      <c r="A3782" t="s">
        <v>2</v>
      </c>
      <c r="B3782">
        <v>1211003</v>
      </c>
      <c r="C3782">
        <v>61430</v>
      </c>
      <c r="D3782" s="4">
        <f>+VLOOKUP(A3782,Portfolio!$G$3:$I$6,3)</f>
        <v>1</v>
      </c>
      <c r="E3782">
        <f t="shared" si="59"/>
        <v>61430</v>
      </c>
    </row>
    <row r="3783" spans="1:5" x14ac:dyDescent="0.25">
      <c r="A3783" t="s">
        <v>2</v>
      </c>
      <c r="B3783">
        <v>1211004</v>
      </c>
      <c r="C3783">
        <v>60860</v>
      </c>
      <c r="D3783" s="4">
        <f>+VLOOKUP(A3783,Portfolio!$G$3:$I$6,3)</f>
        <v>1</v>
      </c>
      <c r="E3783">
        <f t="shared" si="59"/>
        <v>60860</v>
      </c>
    </row>
    <row r="3784" spans="1:5" x14ac:dyDescent="0.25">
      <c r="A3784" t="s">
        <v>2</v>
      </c>
      <c r="B3784">
        <v>1211005</v>
      </c>
      <c r="C3784">
        <v>59440</v>
      </c>
      <c r="D3784" s="4">
        <f>+VLOOKUP(A3784,Portfolio!$G$3:$I$6,3)</f>
        <v>1</v>
      </c>
      <c r="E3784">
        <f t="shared" si="59"/>
        <v>59440</v>
      </c>
    </row>
    <row r="3785" spans="1:5" x14ac:dyDescent="0.25">
      <c r="A3785" t="s">
        <v>2</v>
      </c>
      <c r="B3785">
        <v>1211006</v>
      </c>
      <c r="C3785">
        <v>59580</v>
      </c>
      <c r="D3785" s="4">
        <f>+VLOOKUP(A3785,Portfolio!$G$3:$I$6,3)</f>
        <v>1</v>
      </c>
      <c r="E3785">
        <f t="shared" si="59"/>
        <v>59580</v>
      </c>
    </row>
    <row r="3786" spans="1:5" x14ac:dyDescent="0.25">
      <c r="A3786" t="s">
        <v>2</v>
      </c>
      <c r="B3786">
        <v>1211007</v>
      </c>
      <c r="C3786">
        <v>59870</v>
      </c>
      <c r="D3786" s="4">
        <f>+VLOOKUP(A3786,Portfolio!$G$3:$I$6,3)</f>
        <v>1</v>
      </c>
      <c r="E3786">
        <f t="shared" si="59"/>
        <v>59870</v>
      </c>
    </row>
    <row r="3787" spans="1:5" x14ac:dyDescent="0.25">
      <c r="A3787" t="s">
        <v>2</v>
      </c>
      <c r="B3787">
        <v>1211008</v>
      </c>
      <c r="C3787">
        <v>59100</v>
      </c>
      <c r="D3787" s="4">
        <f>+VLOOKUP(A3787,Portfolio!$G$3:$I$6,3)</f>
        <v>1</v>
      </c>
      <c r="E3787">
        <f t="shared" si="59"/>
        <v>59100</v>
      </c>
    </row>
    <row r="3788" spans="1:5" x14ac:dyDescent="0.25">
      <c r="A3788" t="s">
        <v>2</v>
      </c>
      <c r="B3788">
        <v>1211010</v>
      </c>
      <c r="C3788">
        <v>58430</v>
      </c>
      <c r="D3788" s="4">
        <f>+VLOOKUP(A3788,Portfolio!$G$3:$I$6,3)</f>
        <v>1</v>
      </c>
      <c r="E3788">
        <f t="shared" si="59"/>
        <v>58430</v>
      </c>
    </row>
    <row r="3789" spans="1:5" x14ac:dyDescent="0.25">
      <c r="A3789" t="s">
        <v>2</v>
      </c>
      <c r="B3789">
        <v>1211011</v>
      </c>
      <c r="C3789">
        <v>58450</v>
      </c>
      <c r="D3789" s="4">
        <f>+VLOOKUP(A3789,Portfolio!$G$3:$I$6,3)</f>
        <v>1</v>
      </c>
      <c r="E3789">
        <f t="shared" si="59"/>
        <v>58450</v>
      </c>
    </row>
    <row r="3790" spans="1:5" x14ac:dyDescent="0.25">
      <c r="A3790" t="s">
        <v>2</v>
      </c>
      <c r="B3790">
        <v>1211012</v>
      </c>
      <c r="C3790">
        <v>57730</v>
      </c>
      <c r="D3790" s="4">
        <f>+VLOOKUP(A3790,Portfolio!$G$3:$I$6,3)</f>
        <v>1</v>
      </c>
      <c r="E3790">
        <f t="shared" si="59"/>
        <v>57730</v>
      </c>
    </row>
    <row r="3791" spans="1:5" x14ac:dyDescent="0.25">
      <c r="A3791" t="s">
        <v>2</v>
      </c>
      <c r="B3791">
        <v>1211013</v>
      </c>
      <c r="C3791">
        <v>56150</v>
      </c>
      <c r="D3791" s="4">
        <f>+VLOOKUP(A3791,Portfolio!$G$3:$I$6,3)</f>
        <v>1</v>
      </c>
      <c r="E3791">
        <f t="shared" si="59"/>
        <v>56150</v>
      </c>
    </row>
    <row r="3792" spans="1:5" x14ac:dyDescent="0.25">
      <c r="A3792" t="s">
        <v>2</v>
      </c>
      <c r="B3792">
        <v>1211014</v>
      </c>
      <c r="C3792">
        <v>52250</v>
      </c>
      <c r="D3792" s="4">
        <f>+VLOOKUP(A3792,Portfolio!$G$3:$I$6,3)</f>
        <v>1</v>
      </c>
      <c r="E3792">
        <f t="shared" si="59"/>
        <v>52250</v>
      </c>
    </row>
    <row r="3793" spans="1:5" x14ac:dyDescent="0.25">
      <c r="A3793" t="s">
        <v>2</v>
      </c>
      <c r="B3793">
        <v>1211015</v>
      </c>
      <c r="C3793">
        <v>51590</v>
      </c>
      <c r="D3793" s="4">
        <f>+VLOOKUP(A3793,Portfolio!$G$3:$I$6,3)</f>
        <v>1</v>
      </c>
      <c r="E3793">
        <f t="shared" si="59"/>
        <v>51590</v>
      </c>
    </row>
    <row r="3794" spans="1:5" x14ac:dyDescent="0.25">
      <c r="A3794" t="s">
        <v>2</v>
      </c>
      <c r="B3794">
        <v>1211017</v>
      </c>
      <c r="C3794">
        <v>52330</v>
      </c>
      <c r="D3794" s="4">
        <f>+VLOOKUP(A3794,Portfolio!$G$3:$I$6,3)</f>
        <v>1</v>
      </c>
      <c r="E3794">
        <f t="shared" si="59"/>
        <v>52330</v>
      </c>
    </row>
    <row r="3795" spans="1:5" x14ac:dyDescent="0.25">
      <c r="A3795" t="s">
        <v>2</v>
      </c>
      <c r="B3795">
        <v>1211018</v>
      </c>
      <c r="C3795">
        <v>52440</v>
      </c>
      <c r="D3795" s="4">
        <f>+VLOOKUP(A3795,Portfolio!$G$3:$I$6,3)</f>
        <v>1</v>
      </c>
      <c r="E3795">
        <f t="shared" si="59"/>
        <v>52440</v>
      </c>
    </row>
    <row r="3796" spans="1:5" x14ac:dyDescent="0.25">
      <c r="A3796" t="s">
        <v>2</v>
      </c>
      <c r="B3796">
        <v>1211019</v>
      </c>
      <c r="C3796">
        <v>51700</v>
      </c>
      <c r="D3796" s="4">
        <f>+VLOOKUP(A3796,Portfolio!$G$3:$I$6,3)</f>
        <v>1</v>
      </c>
      <c r="E3796">
        <f t="shared" si="59"/>
        <v>51700</v>
      </c>
    </row>
    <row r="3797" spans="1:5" x14ac:dyDescent="0.25">
      <c r="A3797" t="s">
        <v>2</v>
      </c>
      <c r="B3797">
        <v>1211020</v>
      </c>
      <c r="C3797">
        <v>49940</v>
      </c>
      <c r="D3797" s="4">
        <f>+VLOOKUP(A3797,Portfolio!$G$3:$I$6,3)</f>
        <v>1</v>
      </c>
      <c r="E3797">
        <f t="shared" si="59"/>
        <v>49940</v>
      </c>
    </row>
    <row r="3798" spans="1:5" x14ac:dyDescent="0.25">
      <c r="A3798" t="s">
        <v>2</v>
      </c>
      <c r="B3798">
        <v>1211021</v>
      </c>
      <c r="C3798">
        <v>51210</v>
      </c>
      <c r="D3798" s="4">
        <f>+VLOOKUP(A3798,Portfolio!$G$3:$I$6,3)</f>
        <v>1</v>
      </c>
      <c r="E3798">
        <f t="shared" si="59"/>
        <v>51210</v>
      </c>
    </row>
    <row r="3799" spans="1:5" x14ac:dyDescent="0.25">
      <c r="A3799" t="s">
        <v>2</v>
      </c>
      <c r="B3799">
        <v>1211022</v>
      </c>
      <c r="C3799">
        <v>49940</v>
      </c>
      <c r="D3799" s="4">
        <f>+VLOOKUP(A3799,Portfolio!$G$3:$I$6,3)</f>
        <v>1</v>
      </c>
      <c r="E3799">
        <f t="shared" si="59"/>
        <v>49940</v>
      </c>
    </row>
    <row r="3800" spans="1:5" x14ac:dyDescent="0.25">
      <c r="A3800" t="s">
        <v>2</v>
      </c>
      <c r="B3800">
        <v>1211024</v>
      </c>
      <c r="C3800">
        <v>49110</v>
      </c>
      <c r="D3800" s="4">
        <f>+VLOOKUP(A3800,Portfolio!$G$3:$I$6,3)</f>
        <v>1</v>
      </c>
      <c r="E3800">
        <f t="shared" si="59"/>
        <v>49110</v>
      </c>
    </row>
    <row r="3801" spans="1:5" x14ac:dyDescent="0.25">
      <c r="A3801" t="s">
        <v>2</v>
      </c>
      <c r="B3801">
        <v>1211025</v>
      </c>
      <c r="C3801">
        <v>49570</v>
      </c>
      <c r="D3801" s="4">
        <f>+VLOOKUP(A3801,Portfolio!$G$3:$I$6,3)</f>
        <v>1</v>
      </c>
      <c r="E3801">
        <f t="shared" si="59"/>
        <v>49570</v>
      </c>
    </row>
    <row r="3802" spans="1:5" x14ac:dyDescent="0.25">
      <c r="A3802" t="s">
        <v>2</v>
      </c>
      <c r="B3802">
        <v>1211026</v>
      </c>
      <c r="C3802">
        <v>49920</v>
      </c>
      <c r="D3802" s="4">
        <f>+VLOOKUP(A3802,Portfolio!$G$3:$I$6,3)</f>
        <v>1</v>
      </c>
      <c r="E3802">
        <f t="shared" si="59"/>
        <v>49920</v>
      </c>
    </row>
    <row r="3803" spans="1:5" x14ac:dyDescent="0.25">
      <c r="A3803" t="s">
        <v>2</v>
      </c>
      <c r="B3803">
        <v>1211027</v>
      </c>
      <c r="C3803">
        <v>50720</v>
      </c>
      <c r="D3803" s="4">
        <f>+VLOOKUP(A3803,Portfolio!$G$3:$I$6,3)</f>
        <v>1</v>
      </c>
      <c r="E3803">
        <f t="shared" si="59"/>
        <v>50720</v>
      </c>
    </row>
    <row r="3804" spans="1:5" x14ac:dyDescent="0.25">
      <c r="A3804" t="s">
        <v>2</v>
      </c>
      <c r="B3804">
        <v>1211028</v>
      </c>
      <c r="C3804">
        <v>51670</v>
      </c>
      <c r="D3804" s="4">
        <f>+VLOOKUP(A3804,Portfolio!$G$3:$I$6,3)</f>
        <v>1</v>
      </c>
      <c r="E3804">
        <f t="shared" si="59"/>
        <v>51670</v>
      </c>
    </row>
    <row r="3805" spans="1:5" x14ac:dyDescent="0.25">
      <c r="A3805" t="s">
        <v>2</v>
      </c>
      <c r="B3805">
        <v>1211029</v>
      </c>
      <c r="C3805">
        <v>49960</v>
      </c>
      <c r="D3805" s="4">
        <f>+VLOOKUP(A3805,Portfolio!$G$3:$I$6,3)</f>
        <v>1</v>
      </c>
      <c r="E3805">
        <f t="shared" si="59"/>
        <v>49960</v>
      </c>
    </row>
    <row r="3806" spans="1:5" x14ac:dyDescent="0.25">
      <c r="A3806" t="s">
        <v>2</v>
      </c>
      <c r="B3806">
        <v>1211031</v>
      </c>
      <c r="C3806">
        <v>49490</v>
      </c>
      <c r="D3806" s="4">
        <f>+VLOOKUP(A3806,Portfolio!$G$3:$I$6,3)</f>
        <v>1</v>
      </c>
      <c r="E3806">
        <f t="shared" si="59"/>
        <v>49490</v>
      </c>
    </row>
    <row r="3807" spans="1:5" x14ac:dyDescent="0.25">
      <c r="A3807" t="s">
        <v>2</v>
      </c>
      <c r="B3807">
        <v>1211101</v>
      </c>
      <c r="C3807">
        <v>49130</v>
      </c>
      <c r="D3807" s="4">
        <f>+VLOOKUP(A3807,Portfolio!$G$3:$I$6,3)</f>
        <v>1</v>
      </c>
      <c r="E3807">
        <f t="shared" si="59"/>
        <v>49130</v>
      </c>
    </row>
    <row r="3808" spans="1:5" x14ac:dyDescent="0.25">
      <c r="A3808" t="s">
        <v>2</v>
      </c>
      <c r="B3808">
        <v>1211102</v>
      </c>
      <c r="C3808">
        <v>49170</v>
      </c>
      <c r="D3808" s="4">
        <f>+VLOOKUP(A3808,Portfolio!$G$3:$I$6,3)</f>
        <v>1</v>
      </c>
      <c r="E3808">
        <f t="shared" si="59"/>
        <v>49170</v>
      </c>
    </row>
    <row r="3809" spans="1:5" x14ac:dyDescent="0.25">
      <c r="A3809" t="s">
        <v>2</v>
      </c>
      <c r="B3809">
        <v>1211103</v>
      </c>
      <c r="C3809">
        <v>49670</v>
      </c>
      <c r="D3809" s="4">
        <f>+VLOOKUP(A3809,Portfolio!$G$3:$I$6,3)</f>
        <v>1</v>
      </c>
      <c r="E3809">
        <f t="shared" si="59"/>
        <v>49670</v>
      </c>
    </row>
    <row r="3810" spans="1:5" x14ac:dyDescent="0.25">
      <c r="A3810" t="s">
        <v>2</v>
      </c>
      <c r="B3810">
        <v>1211104</v>
      </c>
      <c r="C3810">
        <v>49340</v>
      </c>
      <c r="D3810" s="4">
        <f>+VLOOKUP(A3810,Portfolio!$G$3:$I$6,3)</f>
        <v>1</v>
      </c>
      <c r="E3810">
        <f t="shared" si="59"/>
        <v>49340</v>
      </c>
    </row>
    <row r="3811" spans="1:5" x14ac:dyDescent="0.25">
      <c r="A3811" t="s">
        <v>2</v>
      </c>
      <c r="B3811">
        <v>1211105</v>
      </c>
      <c r="C3811">
        <v>50550</v>
      </c>
      <c r="D3811" s="4">
        <f>+VLOOKUP(A3811,Portfolio!$G$3:$I$6,3)</f>
        <v>1</v>
      </c>
      <c r="E3811">
        <f t="shared" si="59"/>
        <v>50550</v>
      </c>
    </row>
    <row r="3812" spans="1:5" x14ac:dyDescent="0.25">
      <c r="A3812" t="s">
        <v>2</v>
      </c>
      <c r="B3812">
        <v>1211107</v>
      </c>
      <c r="C3812">
        <v>48350</v>
      </c>
      <c r="D3812" s="4">
        <f>+VLOOKUP(A3812,Portfolio!$G$3:$I$6,3)</f>
        <v>1</v>
      </c>
      <c r="E3812">
        <f t="shared" si="59"/>
        <v>48350</v>
      </c>
    </row>
    <row r="3813" spans="1:5" x14ac:dyDescent="0.25">
      <c r="A3813" t="s">
        <v>2</v>
      </c>
      <c r="B3813">
        <v>1211108</v>
      </c>
      <c r="C3813">
        <v>47930</v>
      </c>
      <c r="D3813" s="4">
        <f>+VLOOKUP(A3813,Portfolio!$G$3:$I$6,3)</f>
        <v>1</v>
      </c>
      <c r="E3813">
        <f t="shared" si="59"/>
        <v>47930</v>
      </c>
    </row>
    <row r="3814" spans="1:5" x14ac:dyDescent="0.25">
      <c r="A3814" t="s">
        <v>2</v>
      </c>
      <c r="B3814">
        <v>1211109</v>
      </c>
      <c r="C3814">
        <v>48090</v>
      </c>
      <c r="D3814" s="4">
        <f>+VLOOKUP(A3814,Portfolio!$G$3:$I$6,3)</f>
        <v>1</v>
      </c>
      <c r="E3814">
        <f t="shared" si="59"/>
        <v>48090</v>
      </c>
    </row>
    <row r="3815" spans="1:5" x14ac:dyDescent="0.25">
      <c r="A3815" t="s">
        <v>2</v>
      </c>
      <c r="B3815">
        <v>1211110</v>
      </c>
      <c r="C3815">
        <v>48330</v>
      </c>
      <c r="D3815" s="4">
        <f>+VLOOKUP(A3815,Portfolio!$G$3:$I$6,3)</f>
        <v>1</v>
      </c>
      <c r="E3815">
        <f t="shared" si="59"/>
        <v>48330</v>
      </c>
    </row>
    <row r="3816" spans="1:5" x14ac:dyDescent="0.25">
      <c r="A3816" t="s">
        <v>2</v>
      </c>
      <c r="B3816">
        <v>1211111</v>
      </c>
      <c r="C3816">
        <v>49900</v>
      </c>
      <c r="D3816" s="4">
        <f>+VLOOKUP(A3816,Portfolio!$G$3:$I$6,3)</f>
        <v>1</v>
      </c>
      <c r="E3816">
        <f t="shared" si="59"/>
        <v>49900</v>
      </c>
    </row>
    <row r="3817" spans="1:5" x14ac:dyDescent="0.25">
      <c r="A3817" t="s">
        <v>2</v>
      </c>
      <c r="B3817">
        <v>1211112</v>
      </c>
      <c r="C3817">
        <v>50940</v>
      </c>
      <c r="D3817" s="4">
        <f>+VLOOKUP(A3817,Portfolio!$G$3:$I$6,3)</f>
        <v>1</v>
      </c>
      <c r="E3817">
        <f t="shared" si="59"/>
        <v>50940</v>
      </c>
    </row>
    <row r="3818" spans="1:5" x14ac:dyDescent="0.25">
      <c r="A3818" t="s">
        <v>2</v>
      </c>
      <c r="B3818">
        <v>1211114</v>
      </c>
      <c r="C3818">
        <v>49570</v>
      </c>
      <c r="D3818" s="4">
        <f>+VLOOKUP(A3818,Portfolio!$G$3:$I$6,3)</f>
        <v>1</v>
      </c>
      <c r="E3818">
        <f t="shared" si="59"/>
        <v>49570</v>
      </c>
    </row>
    <row r="3819" spans="1:5" x14ac:dyDescent="0.25">
      <c r="A3819" t="s">
        <v>2</v>
      </c>
      <c r="B3819">
        <v>1211115</v>
      </c>
      <c r="C3819">
        <v>50250</v>
      </c>
      <c r="D3819" s="4">
        <f>+VLOOKUP(A3819,Portfolio!$G$3:$I$6,3)</f>
        <v>1</v>
      </c>
      <c r="E3819">
        <f t="shared" si="59"/>
        <v>50250</v>
      </c>
    </row>
    <row r="3820" spans="1:5" x14ac:dyDescent="0.25">
      <c r="A3820" t="s">
        <v>2</v>
      </c>
      <c r="B3820">
        <v>1211116</v>
      </c>
      <c r="C3820">
        <v>49990</v>
      </c>
      <c r="D3820" s="4">
        <f>+VLOOKUP(A3820,Portfolio!$G$3:$I$6,3)</f>
        <v>1</v>
      </c>
      <c r="E3820">
        <f t="shared" si="59"/>
        <v>49990</v>
      </c>
    </row>
    <row r="3821" spans="1:5" x14ac:dyDescent="0.25">
      <c r="A3821" t="s">
        <v>2</v>
      </c>
      <c r="B3821">
        <v>1211117</v>
      </c>
      <c r="C3821">
        <v>48780</v>
      </c>
      <c r="D3821" s="4">
        <f>+VLOOKUP(A3821,Portfolio!$G$3:$I$6,3)</f>
        <v>1</v>
      </c>
      <c r="E3821">
        <f t="shared" si="59"/>
        <v>48780</v>
      </c>
    </row>
    <row r="3822" spans="1:5" x14ac:dyDescent="0.25">
      <c r="A3822" t="s">
        <v>2</v>
      </c>
      <c r="B3822">
        <v>1211118</v>
      </c>
      <c r="C3822">
        <v>49990</v>
      </c>
      <c r="D3822" s="4">
        <f>+VLOOKUP(A3822,Portfolio!$G$3:$I$6,3)</f>
        <v>1</v>
      </c>
      <c r="E3822">
        <f t="shared" si="59"/>
        <v>49990</v>
      </c>
    </row>
    <row r="3823" spans="1:5" x14ac:dyDescent="0.25">
      <c r="A3823" t="s">
        <v>2</v>
      </c>
      <c r="B3823">
        <v>1211119</v>
      </c>
      <c r="C3823">
        <v>49980</v>
      </c>
      <c r="D3823" s="4">
        <f>+VLOOKUP(A3823,Portfolio!$G$3:$I$6,3)</f>
        <v>1</v>
      </c>
      <c r="E3823">
        <f t="shared" si="59"/>
        <v>49980</v>
      </c>
    </row>
    <row r="3824" spans="1:5" x14ac:dyDescent="0.25">
      <c r="A3824" t="s">
        <v>2</v>
      </c>
      <c r="B3824">
        <v>1211121</v>
      </c>
      <c r="C3824">
        <v>47920</v>
      </c>
      <c r="D3824" s="4">
        <f>+VLOOKUP(A3824,Portfolio!$G$3:$I$6,3)</f>
        <v>1</v>
      </c>
      <c r="E3824">
        <f t="shared" si="59"/>
        <v>47920</v>
      </c>
    </row>
    <row r="3825" spans="1:5" x14ac:dyDescent="0.25">
      <c r="A3825" t="s">
        <v>2</v>
      </c>
      <c r="B3825">
        <v>1211122</v>
      </c>
      <c r="C3825">
        <v>48190</v>
      </c>
      <c r="D3825" s="4">
        <f>+VLOOKUP(A3825,Portfolio!$G$3:$I$6,3)</f>
        <v>1</v>
      </c>
      <c r="E3825">
        <f t="shared" si="59"/>
        <v>48190</v>
      </c>
    </row>
    <row r="3826" spans="1:5" x14ac:dyDescent="0.25">
      <c r="A3826" t="s">
        <v>2</v>
      </c>
      <c r="B3826">
        <v>1211123</v>
      </c>
      <c r="C3826">
        <v>50800</v>
      </c>
      <c r="D3826" s="4">
        <f>+VLOOKUP(A3826,Portfolio!$G$3:$I$6,3)</f>
        <v>1</v>
      </c>
      <c r="E3826">
        <f t="shared" si="59"/>
        <v>50800</v>
      </c>
    </row>
    <row r="3827" spans="1:5" x14ac:dyDescent="0.25">
      <c r="A3827" t="s">
        <v>2</v>
      </c>
      <c r="B3827">
        <v>1211124</v>
      </c>
      <c r="C3827">
        <v>52210</v>
      </c>
      <c r="D3827" s="4">
        <f>+VLOOKUP(A3827,Portfolio!$G$3:$I$6,3)</f>
        <v>1</v>
      </c>
      <c r="E3827">
        <f t="shared" si="59"/>
        <v>52210</v>
      </c>
    </row>
    <row r="3828" spans="1:5" x14ac:dyDescent="0.25">
      <c r="A3828" t="s">
        <v>2</v>
      </c>
      <c r="B3828">
        <v>1211125</v>
      </c>
      <c r="C3828">
        <v>53140</v>
      </c>
      <c r="D3828" s="4">
        <f>+VLOOKUP(A3828,Portfolio!$G$3:$I$6,3)</f>
        <v>1</v>
      </c>
      <c r="E3828">
        <f t="shared" si="59"/>
        <v>53140</v>
      </c>
    </row>
    <row r="3829" spans="1:5" x14ac:dyDescent="0.25">
      <c r="A3829" t="s">
        <v>2</v>
      </c>
      <c r="B3829">
        <v>1211126</v>
      </c>
      <c r="C3829">
        <v>52530</v>
      </c>
      <c r="D3829" s="4">
        <f>+VLOOKUP(A3829,Portfolio!$G$3:$I$6,3)</f>
        <v>1</v>
      </c>
      <c r="E3829">
        <f t="shared" si="59"/>
        <v>52530</v>
      </c>
    </row>
    <row r="3830" spans="1:5" x14ac:dyDescent="0.25">
      <c r="A3830" t="s">
        <v>2</v>
      </c>
      <c r="B3830">
        <v>1211128</v>
      </c>
      <c r="C3830">
        <v>49890</v>
      </c>
      <c r="D3830" s="4">
        <f>+VLOOKUP(A3830,Portfolio!$G$3:$I$6,3)</f>
        <v>1</v>
      </c>
      <c r="E3830">
        <f t="shared" si="59"/>
        <v>49890</v>
      </c>
    </row>
    <row r="3831" spans="1:5" x14ac:dyDescent="0.25">
      <c r="A3831" t="s">
        <v>2</v>
      </c>
      <c r="B3831">
        <v>1211129</v>
      </c>
      <c r="C3831">
        <v>49600</v>
      </c>
      <c r="D3831" s="4">
        <f>+VLOOKUP(A3831,Portfolio!$G$3:$I$6,3)</f>
        <v>1</v>
      </c>
      <c r="E3831">
        <f t="shared" si="59"/>
        <v>49600</v>
      </c>
    </row>
    <row r="3832" spans="1:5" x14ac:dyDescent="0.25">
      <c r="A3832" t="s">
        <v>2</v>
      </c>
      <c r="B3832">
        <v>1211130</v>
      </c>
      <c r="C3832">
        <v>49660</v>
      </c>
      <c r="D3832" s="4">
        <f>+VLOOKUP(A3832,Portfolio!$G$3:$I$6,3)</f>
        <v>1</v>
      </c>
      <c r="E3832">
        <f t="shared" si="59"/>
        <v>49660</v>
      </c>
    </row>
    <row r="3833" spans="1:5" x14ac:dyDescent="0.25">
      <c r="A3833" t="s">
        <v>2</v>
      </c>
      <c r="B3833">
        <v>1211201</v>
      </c>
      <c r="C3833">
        <v>47180</v>
      </c>
      <c r="D3833" s="4">
        <f>+VLOOKUP(A3833,Portfolio!$G$3:$I$6,3)</f>
        <v>1</v>
      </c>
      <c r="E3833">
        <f t="shared" si="59"/>
        <v>47180</v>
      </c>
    </row>
    <row r="3834" spans="1:5" x14ac:dyDescent="0.25">
      <c r="A3834" t="s">
        <v>2</v>
      </c>
      <c r="B3834">
        <v>1211202</v>
      </c>
      <c r="C3834">
        <v>47850</v>
      </c>
      <c r="D3834" s="4">
        <f>+VLOOKUP(A3834,Portfolio!$G$3:$I$6,3)</f>
        <v>1</v>
      </c>
      <c r="E3834">
        <f t="shared" si="59"/>
        <v>47850</v>
      </c>
    </row>
    <row r="3835" spans="1:5" x14ac:dyDescent="0.25">
      <c r="A3835" t="s">
        <v>2</v>
      </c>
      <c r="B3835">
        <v>1211203</v>
      </c>
      <c r="C3835">
        <v>46870</v>
      </c>
      <c r="D3835" s="4">
        <f>+VLOOKUP(A3835,Portfolio!$G$3:$I$6,3)</f>
        <v>1</v>
      </c>
      <c r="E3835">
        <f t="shared" si="59"/>
        <v>46870</v>
      </c>
    </row>
    <row r="3836" spans="1:5" x14ac:dyDescent="0.25">
      <c r="A3836" t="s">
        <v>2</v>
      </c>
      <c r="B3836">
        <v>1211205</v>
      </c>
      <c r="C3836">
        <v>42940</v>
      </c>
      <c r="D3836" s="4">
        <f>+VLOOKUP(A3836,Portfolio!$G$3:$I$6,3)</f>
        <v>1</v>
      </c>
      <c r="E3836">
        <f t="shared" si="59"/>
        <v>42940</v>
      </c>
    </row>
    <row r="3837" spans="1:5" x14ac:dyDescent="0.25">
      <c r="A3837" t="s">
        <v>2</v>
      </c>
      <c r="B3837">
        <v>1211206</v>
      </c>
      <c r="C3837">
        <v>43110</v>
      </c>
      <c r="D3837" s="4">
        <f>+VLOOKUP(A3837,Portfolio!$G$3:$I$6,3)</f>
        <v>1</v>
      </c>
      <c r="E3837">
        <f t="shared" si="59"/>
        <v>43110</v>
      </c>
    </row>
    <row r="3838" spans="1:5" x14ac:dyDescent="0.25">
      <c r="A3838" t="s">
        <v>2</v>
      </c>
      <c r="B3838">
        <v>1211207</v>
      </c>
      <c r="C3838">
        <v>43470</v>
      </c>
      <c r="D3838" s="4">
        <f>+VLOOKUP(A3838,Portfolio!$G$3:$I$6,3)</f>
        <v>1</v>
      </c>
      <c r="E3838">
        <f t="shared" si="59"/>
        <v>43470</v>
      </c>
    </row>
    <row r="3839" spans="1:5" x14ac:dyDescent="0.25">
      <c r="A3839" t="s">
        <v>2</v>
      </c>
      <c r="B3839">
        <v>1211208</v>
      </c>
      <c r="C3839">
        <v>41400</v>
      </c>
      <c r="D3839" s="4">
        <f>+VLOOKUP(A3839,Portfolio!$G$3:$I$6,3)</f>
        <v>1</v>
      </c>
      <c r="E3839">
        <f t="shared" si="59"/>
        <v>41400</v>
      </c>
    </row>
    <row r="3840" spans="1:5" x14ac:dyDescent="0.25">
      <c r="A3840" t="s">
        <v>2</v>
      </c>
      <c r="B3840">
        <v>1211209</v>
      </c>
      <c r="C3840">
        <v>40480</v>
      </c>
      <c r="D3840" s="4">
        <f>+VLOOKUP(A3840,Portfolio!$G$3:$I$6,3)</f>
        <v>1</v>
      </c>
      <c r="E3840">
        <f t="shared" si="59"/>
        <v>40480</v>
      </c>
    </row>
    <row r="3841" spans="1:5" x14ac:dyDescent="0.25">
      <c r="A3841" t="s">
        <v>2</v>
      </c>
      <c r="B3841">
        <v>1211210</v>
      </c>
      <c r="C3841">
        <v>41280</v>
      </c>
      <c r="D3841" s="4">
        <f>+VLOOKUP(A3841,Portfolio!$G$3:$I$6,3)</f>
        <v>1</v>
      </c>
      <c r="E3841">
        <f t="shared" si="59"/>
        <v>41280</v>
      </c>
    </row>
    <row r="3842" spans="1:5" x14ac:dyDescent="0.25">
      <c r="A3842" t="s">
        <v>2</v>
      </c>
      <c r="B3842">
        <v>1211212</v>
      </c>
      <c r="C3842">
        <v>41490</v>
      </c>
      <c r="D3842" s="4">
        <f>+VLOOKUP(A3842,Portfolio!$G$3:$I$6,3)</f>
        <v>1</v>
      </c>
      <c r="E3842">
        <f t="shared" si="59"/>
        <v>41490</v>
      </c>
    </row>
    <row r="3843" spans="1:5" x14ac:dyDescent="0.25">
      <c r="A3843" t="s">
        <v>2</v>
      </c>
      <c r="B3843">
        <v>1211213</v>
      </c>
      <c r="C3843">
        <v>41790</v>
      </c>
      <c r="D3843" s="4">
        <f>+VLOOKUP(A3843,Portfolio!$G$3:$I$6,3)</f>
        <v>1</v>
      </c>
      <c r="E3843">
        <f t="shared" ref="E3843:E3906" si="60">+C3843*D3843</f>
        <v>41790</v>
      </c>
    </row>
    <row r="3844" spans="1:5" x14ac:dyDescent="0.25">
      <c r="A3844" t="s">
        <v>2</v>
      </c>
      <c r="B3844">
        <v>1211214</v>
      </c>
      <c r="C3844">
        <v>41200</v>
      </c>
      <c r="D3844" s="4">
        <f>+VLOOKUP(A3844,Portfolio!$G$3:$I$6,3)</f>
        <v>1</v>
      </c>
      <c r="E3844">
        <f t="shared" si="60"/>
        <v>41200</v>
      </c>
    </row>
    <row r="3845" spans="1:5" x14ac:dyDescent="0.25">
      <c r="A3845" t="s">
        <v>2</v>
      </c>
      <c r="B3845">
        <v>1211215</v>
      </c>
      <c r="C3845">
        <v>42170</v>
      </c>
      <c r="D3845" s="4">
        <f>+VLOOKUP(A3845,Portfolio!$G$3:$I$6,3)</f>
        <v>1</v>
      </c>
      <c r="E3845">
        <f t="shared" si="60"/>
        <v>42170</v>
      </c>
    </row>
    <row r="3846" spans="1:5" x14ac:dyDescent="0.25">
      <c r="A3846" t="s">
        <v>2</v>
      </c>
      <c r="B3846">
        <v>1211216</v>
      </c>
      <c r="C3846">
        <v>43190</v>
      </c>
      <c r="D3846" s="4">
        <f>+VLOOKUP(A3846,Portfolio!$G$3:$I$6,3)</f>
        <v>1</v>
      </c>
      <c r="E3846">
        <f t="shared" si="60"/>
        <v>43190</v>
      </c>
    </row>
    <row r="3847" spans="1:5" x14ac:dyDescent="0.25">
      <c r="A3847" t="s">
        <v>2</v>
      </c>
      <c r="B3847">
        <v>1211217</v>
      </c>
      <c r="C3847">
        <v>43910</v>
      </c>
      <c r="D3847" s="4">
        <f>+VLOOKUP(A3847,Portfolio!$G$3:$I$6,3)</f>
        <v>1</v>
      </c>
      <c r="E3847">
        <f t="shared" si="60"/>
        <v>43910</v>
      </c>
    </row>
    <row r="3848" spans="1:5" x14ac:dyDescent="0.25">
      <c r="A3848" t="s">
        <v>2</v>
      </c>
      <c r="B3848">
        <v>1211219</v>
      </c>
      <c r="C3848">
        <v>42880</v>
      </c>
      <c r="D3848" s="4">
        <f>+VLOOKUP(A3848,Portfolio!$G$3:$I$6,3)</f>
        <v>1</v>
      </c>
      <c r="E3848">
        <f t="shared" si="60"/>
        <v>42880</v>
      </c>
    </row>
    <row r="3849" spans="1:5" x14ac:dyDescent="0.25">
      <c r="A3849" t="s">
        <v>2</v>
      </c>
      <c r="B3849">
        <v>1211220</v>
      </c>
      <c r="C3849">
        <v>42990</v>
      </c>
      <c r="D3849" s="4">
        <f>+VLOOKUP(A3849,Portfolio!$G$3:$I$6,3)</f>
        <v>1</v>
      </c>
      <c r="E3849">
        <f t="shared" si="60"/>
        <v>42990</v>
      </c>
    </row>
    <row r="3850" spans="1:5" x14ac:dyDescent="0.25">
      <c r="A3850" t="s">
        <v>2</v>
      </c>
      <c r="B3850">
        <v>1211221</v>
      </c>
      <c r="C3850">
        <v>43140</v>
      </c>
      <c r="D3850" s="4">
        <f>+VLOOKUP(A3850,Portfolio!$G$3:$I$6,3)</f>
        <v>1</v>
      </c>
      <c r="E3850">
        <f t="shared" si="60"/>
        <v>43140</v>
      </c>
    </row>
    <row r="3851" spans="1:5" x14ac:dyDescent="0.25">
      <c r="A3851" t="s">
        <v>2</v>
      </c>
      <c r="B3851">
        <v>1211222</v>
      </c>
      <c r="C3851">
        <v>41550</v>
      </c>
      <c r="D3851" s="4">
        <f>+VLOOKUP(A3851,Portfolio!$G$3:$I$6,3)</f>
        <v>1</v>
      </c>
      <c r="E3851">
        <f t="shared" si="60"/>
        <v>41550</v>
      </c>
    </row>
    <row r="3852" spans="1:5" x14ac:dyDescent="0.25">
      <c r="A3852" t="s">
        <v>2</v>
      </c>
      <c r="B3852">
        <v>1211223</v>
      </c>
      <c r="C3852">
        <v>42120</v>
      </c>
      <c r="D3852" s="4">
        <f>+VLOOKUP(A3852,Portfolio!$G$3:$I$6,3)</f>
        <v>1</v>
      </c>
      <c r="E3852">
        <f t="shared" si="60"/>
        <v>42120</v>
      </c>
    </row>
    <row r="3853" spans="1:5" x14ac:dyDescent="0.25">
      <c r="A3853" t="s">
        <v>2</v>
      </c>
      <c r="B3853">
        <v>1211226</v>
      </c>
      <c r="C3853">
        <v>41640</v>
      </c>
      <c r="D3853" s="4">
        <f>+VLOOKUP(A3853,Portfolio!$G$3:$I$6,3)</f>
        <v>1</v>
      </c>
      <c r="E3853">
        <f t="shared" si="60"/>
        <v>41640</v>
      </c>
    </row>
    <row r="3854" spans="1:5" x14ac:dyDescent="0.25">
      <c r="A3854" t="s">
        <v>2</v>
      </c>
      <c r="B3854">
        <v>1211227</v>
      </c>
      <c r="C3854">
        <v>41840</v>
      </c>
      <c r="D3854" s="4">
        <f>+VLOOKUP(A3854,Portfolio!$G$3:$I$6,3)</f>
        <v>1</v>
      </c>
      <c r="E3854">
        <f t="shared" si="60"/>
        <v>41840</v>
      </c>
    </row>
    <row r="3855" spans="1:5" x14ac:dyDescent="0.25">
      <c r="A3855" t="s">
        <v>2</v>
      </c>
      <c r="B3855">
        <v>1211228</v>
      </c>
      <c r="C3855">
        <v>41030</v>
      </c>
      <c r="D3855" s="4">
        <f>+VLOOKUP(A3855,Portfolio!$G$3:$I$6,3)</f>
        <v>1</v>
      </c>
      <c r="E3855">
        <f t="shared" si="60"/>
        <v>41030</v>
      </c>
    </row>
    <row r="3856" spans="1:5" x14ac:dyDescent="0.25">
      <c r="A3856" t="s">
        <v>2</v>
      </c>
      <c r="B3856">
        <v>1211229</v>
      </c>
      <c r="C3856">
        <v>39230</v>
      </c>
      <c r="D3856" s="4">
        <f>+VLOOKUP(A3856,Portfolio!$G$3:$I$6,3)</f>
        <v>1</v>
      </c>
      <c r="E3856">
        <f t="shared" si="60"/>
        <v>39230</v>
      </c>
    </row>
    <row r="3857" spans="1:5" x14ac:dyDescent="0.25">
      <c r="A3857" t="s">
        <v>2</v>
      </c>
      <c r="B3857">
        <v>1211230</v>
      </c>
      <c r="C3857">
        <v>38980</v>
      </c>
      <c r="D3857" s="4">
        <f>+VLOOKUP(A3857,Portfolio!$G$3:$I$6,3)</f>
        <v>1</v>
      </c>
      <c r="E3857">
        <f t="shared" si="60"/>
        <v>38980</v>
      </c>
    </row>
    <row r="3858" spans="1:5" x14ac:dyDescent="0.25">
      <c r="A3858" t="s">
        <v>2</v>
      </c>
      <c r="B3858">
        <v>1211231</v>
      </c>
      <c r="C3858">
        <v>40230</v>
      </c>
      <c r="D3858" s="4">
        <f>+VLOOKUP(A3858,Portfolio!$G$3:$I$6,3)</f>
        <v>1</v>
      </c>
      <c r="E3858">
        <f t="shared" si="60"/>
        <v>40230</v>
      </c>
    </row>
    <row r="3859" spans="1:5" x14ac:dyDescent="0.25">
      <c r="A3859" t="s">
        <v>2</v>
      </c>
      <c r="B3859">
        <v>1220102</v>
      </c>
      <c r="C3859">
        <v>41140</v>
      </c>
      <c r="D3859" s="4">
        <f>+VLOOKUP(A3859,Portfolio!$G$3:$I$6,3)</f>
        <v>1</v>
      </c>
      <c r="E3859">
        <f t="shared" si="60"/>
        <v>41140</v>
      </c>
    </row>
    <row r="3860" spans="1:5" x14ac:dyDescent="0.25">
      <c r="A3860" t="s">
        <v>2</v>
      </c>
      <c r="B3860">
        <v>1220103</v>
      </c>
      <c r="C3860">
        <v>40800</v>
      </c>
      <c r="D3860" s="4">
        <f>+VLOOKUP(A3860,Portfolio!$G$3:$I$6,3)</f>
        <v>1</v>
      </c>
      <c r="E3860">
        <f t="shared" si="60"/>
        <v>40800</v>
      </c>
    </row>
    <row r="3861" spans="1:5" x14ac:dyDescent="0.25">
      <c r="A3861" t="s">
        <v>2</v>
      </c>
      <c r="B3861">
        <v>1220104</v>
      </c>
      <c r="C3861">
        <v>42210</v>
      </c>
      <c r="D3861" s="4">
        <f>+VLOOKUP(A3861,Portfolio!$G$3:$I$6,3)</f>
        <v>1</v>
      </c>
      <c r="E3861">
        <f t="shared" si="60"/>
        <v>42210</v>
      </c>
    </row>
    <row r="3862" spans="1:5" x14ac:dyDescent="0.25">
      <c r="A3862" t="s">
        <v>2</v>
      </c>
      <c r="B3862">
        <v>1220105</v>
      </c>
      <c r="C3862">
        <v>40010</v>
      </c>
      <c r="D3862" s="4">
        <f>+VLOOKUP(A3862,Portfolio!$G$3:$I$6,3)</f>
        <v>1</v>
      </c>
      <c r="E3862">
        <f t="shared" si="60"/>
        <v>40010</v>
      </c>
    </row>
    <row r="3863" spans="1:5" x14ac:dyDescent="0.25">
      <c r="A3863" t="s">
        <v>2</v>
      </c>
      <c r="B3863">
        <v>1220106</v>
      </c>
      <c r="C3863">
        <v>38380</v>
      </c>
      <c r="D3863" s="4">
        <f>+VLOOKUP(A3863,Portfolio!$G$3:$I$6,3)</f>
        <v>1</v>
      </c>
      <c r="E3863">
        <f t="shared" si="60"/>
        <v>38380</v>
      </c>
    </row>
    <row r="3864" spans="1:5" x14ac:dyDescent="0.25">
      <c r="A3864" t="s">
        <v>2</v>
      </c>
      <c r="B3864">
        <v>1220107</v>
      </c>
      <c r="C3864">
        <v>37450</v>
      </c>
      <c r="D3864" s="4">
        <f>+VLOOKUP(A3864,Portfolio!$G$3:$I$6,3)</f>
        <v>1</v>
      </c>
      <c r="E3864">
        <f t="shared" si="60"/>
        <v>37450</v>
      </c>
    </row>
    <row r="3865" spans="1:5" x14ac:dyDescent="0.25">
      <c r="A3865" t="s">
        <v>2</v>
      </c>
      <c r="B3865">
        <v>1220109</v>
      </c>
      <c r="C3865">
        <v>36030</v>
      </c>
      <c r="D3865" s="4">
        <f>+VLOOKUP(A3865,Portfolio!$G$3:$I$6,3)</f>
        <v>1</v>
      </c>
      <c r="E3865">
        <f t="shared" si="60"/>
        <v>36030</v>
      </c>
    </row>
    <row r="3866" spans="1:5" x14ac:dyDescent="0.25">
      <c r="A3866" t="s">
        <v>2</v>
      </c>
      <c r="B3866">
        <v>1220110</v>
      </c>
      <c r="C3866">
        <v>36360</v>
      </c>
      <c r="D3866" s="4">
        <f>+VLOOKUP(A3866,Portfolio!$G$3:$I$6,3)</f>
        <v>1</v>
      </c>
      <c r="E3866">
        <f t="shared" si="60"/>
        <v>36360</v>
      </c>
    </row>
    <row r="3867" spans="1:5" x14ac:dyDescent="0.25">
      <c r="A3867" t="s">
        <v>2</v>
      </c>
      <c r="B3867">
        <v>1220111</v>
      </c>
      <c r="C3867">
        <v>36940</v>
      </c>
      <c r="D3867" s="4">
        <f>+VLOOKUP(A3867,Portfolio!$G$3:$I$6,3)</f>
        <v>1</v>
      </c>
      <c r="E3867">
        <f t="shared" si="60"/>
        <v>36940</v>
      </c>
    </row>
    <row r="3868" spans="1:5" x14ac:dyDescent="0.25">
      <c r="A3868" t="s">
        <v>2</v>
      </c>
      <c r="B3868">
        <v>1220112</v>
      </c>
      <c r="C3868">
        <v>35410</v>
      </c>
      <c r="D3868" s="4">
        <f>+VLOOKUP(A3868,Portfolio!$G$3:$I$6,3)</f>
        <v>1</v>
      </c>
      <c r="E3868">
        <f t="shared" si="60"/>
        <v>35410</v>
      </c>
    </row>
    <row r="3869" spans="1:5" x14ac:dyDescent="0.25">
      <c r="A3869" t="s">
        <v>2</v>
      </c>
      <c r="B3869">
        <v>1220113</v>
      </c>
      <c r="C3869">
        <v>35950</v>
      </c>
      <c r="D3869" s="4">
        <f>+VLOOKUP(A3869,Portfolio!$G$3:$I$6,3)</f>
        <v>1</v>
      </c>
      <c r="E3869">
        <f t="shared" si="60"/>
        <v>35950</v>
      </c>
    </row>
    <row r="3870" spans="1:5" x14ac:dyDescent="0.25">
      <c r="A3870" t="s">
        <v>2</v>
      </c>
      <c r="B3870">
        <v>1220114</v>
      </c>
      <c r="C3870">
        <v>34810</v>
      </c>
      <c r="D3870" s="4">
        <f>+VLOOKUP(A3870,Portfolio!$G$3:$I$6,3)</f>
        <v>1</v>
      </c>
      <c r="E3870">
        <f t="shared" si="60"/>
        <v>34810</v>
      </c>
    </row>
    <row r="3871" spans="1:5" x14ac:dyDescent="0.25">
      <c r="A3871" t="s">
        <v>2</v>
      </c>
      <c r="B3871">
        <v>1220116</v>
      </c>
      <c r="C3871">
        <v>35810</v>
      </c>
      <c r="D3871" s="4">
        <f>+VLOOKUP(A3871,Portfolio!$G$3:$I$6,3)</f>
        <v>1</v>
      </c>
      <c r="E3871">
        <f t="shared" si="60"/>
        <v>35810</v>
      </c>
    </row>
    <row r="3872" spans="1:5" x14ac:dyDescent="0.25">
      <c r="A3872" t="s">
        <v>2</v>
      </c>
      <c r="B3872">
        <v>1220117</v>
      </c>
      <c r="C3872">
        <v>35490</v>
      </c>
      <c r="D3872" s="4">
        <f>+VLOOKUP(A3872,Portfolio!$G$3:$I$6,3)</f>
        <v>1</v>
      </c>
      <c r="E3872">
        <f t="shared" si="60"/>
        <v>35490</v>
      </c>
    </row>
    <row r="3873" spans="1:5" x14ac:dyDescent="0.25">
      <c r="A3873" t="s">
        <v>2</v>
      </c>
      <c r="B3873">
        <v>1220118</v>
      </c>
      <c r="C3873">
        <v>35460</v>
      </c>
      <c r="D3873" s="4">
        <f>+VLOOKUP(A3873,Portfolio!$G$3:$I$6,3)</f>
        <v>1</v>
      </c>
      <c r="E3873">
        <f t="shared" si="60"/>
        <v>35460</v>
      </c>
    </row>
    <row r="3874" spans="1:5" x14ac:dyDescent="0.25">
      <c r="A3874" t="s">
        <v>2</v>
      </c>
      <c r="B3874">
        <v>1220119</v>
      </c>
      <c r="C3874">
        <v>35430</v>
      </c>
      <c r="D3874" s="4">
        <f>+VLOOKUP(A3874,Portfolio!$G$3:$I$6,3)</f>
        <v>1</v>
      </c>
      <c r="E3874">
        <f t="shared" si="60"/>
        <v>35430</v>
      </c>
    </row>
    <row r="3875" spans="1:5" x14ac:dyDescent="0.25">
      <c r="A3875" t="s">
        <v>2</v>
      </c>
      <c r="B3875">
        <v>1220120</v>
      </c>
      <c r="C3875">
        <v>37390</v>
      </c>
      <c r="D3875" s="4">
        <f>+VLOOKUP(A3875,Portfolio!$G$3:$I$6,3)</f>
        <v>1</v>
      </c>
      <c r="E3875">
        <f t="shared" si="60"/>
        <v>37390</v>
      </c>
    </row>
    <row r="3876" spans="1:5" x14ac:dyDescent="0.25">
      <c r="A3876" t="s">
        <v>2</v>
      </c>
      <c r="B3876">
        <v>1220121</v>
      </c>
      <c r="C3876">
        <v>36740</v>
      </c>
      <c r="D3876" s="4">
        <f>+VLOOKUP(A3876,Portfolio!$G$3:$I$6,3)</f>
        <v>1</v>
      </c>
      <c r="E3876">
        <f t="shared" si="60"/>
        <v>36740</v>
      </c>
    </row>
    <row r="3877" spans="1:5" x14ac:dyDescent="0.25">
      <c r="A3877" t="s">
        <v>2</v>
      </c>
      <c r="B3877">
        <v>1220123</v>
      </c>
      <c r="C3877">
        <v>36660</v>
      </c>
      <c r="D3877" s="4">
        <f>+VLOOKUP(A3877,Portfolio!$G$3:$I$6,3)</f>
        <v>1</v>
      </c>
      <c r="E3877">
        <f t="shared" si="60"/>
        <v>36660</v>
      </c>
    </row>
    <row r="3878" spans="1:5" x14ac:dyDescent="0.25">
      <c r="A3878" t="s">
        <v>2</v>
      </c>
      <c r="B3878">
        <v>1220124</v>
      </c>
      <c r="C3878">
        <v>36660</v>
      </c>
      <c r="D3878" s="4">
        <f>+VLOOKUP(A3878,Portfolio!$G$3:$I$6,3)</f>
        <v>1</v>
      </c>
      <c r="E3878">
        <f t="shared" si="60"/>
        <v>36660</v>
      </c>
    </row>
    <row r="3879" spans="1:5" x14ac:dyDescent="0.25">
      <c r="A3879" t="s">
        <v>2</v>
      </c>
      <c r="B3879">
        <v>1220125</v>
      </c>
      <c r="C3879">
        <v>35340</v>
      </c>
      <c r="D3879" s="4">
        <f>+VLOOKUP(A3879,Portfolio!$G$3:$I$6,3)</f>
        <v>1</v>
      </c>
      <c r="E3879">
        <f t="shared" si="60"/>
        <v>35340</v>
      </c>
    </row>
    <row r="3880" spans="1:5" x14ac:dyDescent="0.25">
      <c r="A3880" t="s">
        <v>2</v>
      </c>
      <c r="B3880">
        <v>1220126</v>
      </c>
      <c r="C3880">
        <v>34060</v>
      </c>
      <c r="D3880" s="4">
        <f>+VLOOKUP(A3880,Portfolio!$G$3:$I$6,3)</f>
        <v>1</v>
      </c>
      <c r="E3880">
        <f t="shared" si="60"/>
        <v>34060</v>
      </c>
    </row>
    <row r="3881" spans="1:5" x14ac:dyDescent="0.25">
      <c r="A3881" t="s">
        <v>2</v>
      </c>
      <c r="B3881">
        <v>1220127</v>
      </c>
      <c r="C3881">
        <v>37020</v>
      </c>
      <c r="D3881" s="4">
        <f>+VLOOKUP(A3881,Portfolio!$G$3:$I$6,3)</f>
        <v>1</v>
      </c>
      <c r="E3881">
        <f t="shared" si="60"/>
        <v>37020</v>
      </c>
    </row>
    <row r="3882" spans="1:5" x14ac:dyDescent="0.25">
      <c r="A3882" t="s">
        <v>2</v>
      </c>
      <c r="B3882">
        <v>1220128</v>
      </c>
      <c r="C3882">
        <v>38800</v>
      </c>
      <c r="D3882" s="4">
        <f>+VLOOKUP(A3882,Portfolio!$G$3:$I$6,3)</f>
        <v>1</v>
      </c>
      <c r="E3882">
        <f t="shared" si="60"/>
        <v>38800</v>
      </c>
    </row>
    <row r="3883" spans="1:5" x14ac:dyDescent="0.25">
      <c r="A3883" t="s">
        <v>2</v>
      </c>
      <c r="B3883">
        <v>1220130</v>
      </c>
      <c r="C3883">
        <v>40010</v>
      </c>
      <c r="D3883" s="4">
        <f>+VLOOKUP(A3883,Portfolio!$G$3:$I$6,3)</f>
        <v>1</v>
      </c>
      <c r="E3883">
        <f t="shared" si="60"/>
        <v>40010</v>
      </c>
    </row>
    <row r="3884" spans="1:5" x14ac:dyDescent="0.25">
      <c r="A3884" t="s">
        <v>2</v>
      </c>
      <c r="B3884">
        <v>1220131</v>
      </c>
      <c r="C3884">
        <v>40010</v>
      </c>
      <c r="D3884" s="4">
        <f>+VLOOKUP(A3884,Portfolio!$G$3:$I$6,3)</f>
        <v>1</v>
      </c>
      <c r="E3884">
        <f t="shared" si="60"/>
        <v>40010</v>
      </c>
    </row>
    <row r="3885" spans="1:5" x14ac:dyDescent="0.25">
      <c r="A3885" t="s">
        <v>2</v>
      </c>
      <c r="B3885">
        <v>1220201</v>
      </c>
      <c r="C3885">
        <v>40710</v>
      </c>
      <c r="D3885" s="4">
        <f>+VLOOKUP(A3885,Portfolio!$G$3:$I$6,3)</f>
        <v>1</v>
      </c>
      <c r="E3885">
        <f t="shared" si="60"/>
        <v>40710</v>
      </c>
    </row>
    <row r="3886" spans="1:5" x14ac:dyDescent="0.25">
      <c r="A3886" t="s">
        <v>2</v>
      </c>
      <c r="B3886">
        <v>1220202</v>
      </c>
      <c r="C3886">
        <v>40510</v>
      </c>
      <c r="D3886" s="4">
        <f>+VLOOKUP(A3886,Portfolio!$G$3:$I$6,3)</f>
        <v>1</v>
      </c>
      <c r="E3886">
        <f t="shared" si="60"/>
        <v>40510</v>
      </c>
    </row>
    <row r="3887" spans="1:5" x14ac:dyDescent="0.25">
      <c r="A3887" t="s">
        <v>2</v>
      </c>
      <c r="B3887">
        <v>1220203</v>
      </c>
      <c r="C3887">
        <v>41400</v>
      </c>
      <c r="D3887" s="4">
        <f>+VLOOKUP(A3887,Portfolio!$G$3:$I$6,3)</f>
        <v>1</v>
      </c>
      <c r="E3887">
        <f t="shared" si="60"/>
        <v>41400</v>
      </c>
    </row>
    <row r="3888" spans="1:5" x14ac:dyDescent="0.25">
      <c r="A3888" t="s">
        <v>2</v>
      </c>
      <c r="B3888">
        <v>1220204</v>
      </c>
      <c r="C3888">
        <v>40580</v>
      </c>
      <c r="D3888" s="4">
        <f>+VLOOKUP(A3888,Portfolio!$G$3:$I$6,3)</f>
        <v>1</v>
      </c>
      <c r="E3888">
        <f t="shared" si="60"/>
        <v>40580</v>
      </c>
    </row>
    <row r="3889" spans="1:5" x14ac:dyDescent="0.25">
      <c r="A3889" t="s">
        <v>2</v>
      </c>
      <c r="B3889">
        <v>1220206</v>
      </c>
      <c r="C3889">
        <v>39310</v>
      </c>
      <c r="D3889" s="4">
        <f>+VLOOKUP(A3889,Portfolio!$G$3:$I$6,3)</f>
        <v>1</v>
      </c>
      <c r="E3889">
        <f t="shared" si="60"/>
        <v>39310</v>
      </c>
    </row>
    <row r="3890" spans="1:5" x14ac:dyDescent="0.25">
      <c r="A3890" t="s">
        <v>2</v>
      </c>
      <c r="B3890">
        <v>1220207</v>
      </c>
      <c r="C3890">
        <v>39250</v>
      </c>
      <c r="D3890" s="4">
        <f>+VLOOKUP(A3890,Portfolio!$G$3:$I$6,3)</f>
        <v>1</v>
      </c>
      <c r="E3890">
        <f t="shared" si="60"/>
        <v>39250</v>
      </c>
    </row>
    <row r="3891" spans="1:5" x14ac:dyDescent="0.25">
      <c r="A3891" t="s">
        <v>2</v>
      </c>
      <c r="B3891">
        <v>1220208</v>
      </c>
      <c r="C3891">
        <v>39590</v>
      </c>
      <c r="D3891" s="4">
        <f>+VLOOKUP(A3891,Portfolio!$G$3:$I$6,3)</f>
        <v>1</v>
      </c>
      <c r="E3891">
        <f t="shared" si="60"/>
        <v>39590</v>
      </c>
    </row>
    <row r="3892" spans="1:5" x14ac:dyDescent="0.25">
      <c r="A3892" t="s">
        <v>2</v>
      </c>
      <c r="B3892">
        <v>1220209</v>
      </c>
      <c r="C3892">
        <v>39900</v>
      </c>
      <c r="D3892" s="4">
        <f>+VLOOKUP(A3892,Portfolio!$G$3:$I$6,3)</f>
        <v>1</v>
      </c>
      <c r="E3892">
        <f t="shared" si="60"/>
        <v>39900</v>
      </c>
    </row>
    <row r="3893" spans="1:5" x14ac:dyDescent="0.25">
      <c r="A3893" t="s">
        <v>2</v>
      </c>
      <c r="B3893">
        <v>1220210</v>
      </c>
      <c r="C3893">
        <v>40010</v>
      </c>
      <c r="D3893" s="4">
        <f>+VLOOKUP(A3893,Portfolio!$G$3:$I$6,3)</f>
        <v>1</v>
      </c>
      <c r="E3893">
        <f t="shared" si="60"/>
        <v>40010</v>
      </c>
    </row>
    <row r="3894" spans="1:5" x14ac:dyDescent="0.25">
      <c r="A3894" t="s">
        <v>2</v>
      </c>
      <c r="B3894">
        <v>1220211</v>
      </c>
      <c r="C3894">
        <v>40250</v>
      </c>
      <c r="D3894" s="4">
        <f>+VLOOKUP(A3894,Portfolio!$G$3:$I$6,3)</f>
        <v>1</v>
      </c>
      <c r="E3894">
        <f t="shared" si="60"/>
        <v>40250</v>
      </c>
    </row>
    <row r="3895" spans="1:5" x14ac:dyDescent="0.25">
      <c r="A3895" t="s">
        <v>2</v>
      </c>
      <c r="B3895">
        <v>1220213</v>
      </c>
      <c r="C3895">
        <v>43090</v>
      </c>
      <c r="D3895" s="4">
        <f>+VLOOKUP(A3895,Portfolio!$G$3:$I$6,3)</f>
        <v>1</v>
      </c>
      <c r="E3895">
        <f t="shared" si="60"/>
        <v>43090</v>
      </c>
    </row>
    <row r="3896" spans="1:5" x14ac:dyDescent="0.25">
      <c r="A3896" t="s">
        <v>2</v>
      </c>
      <c r="B3896">
        <v>1220214</v>
      </c>
      <c r="C3896">
        <v>42270</v>
      </c>
      <c r="D3896" s="4">
        <f>+VLOOKUP(A3896,Portfolio!$G$3:$I$6,3)</f>
        <v>1</v>
      </c>
      <c r="E3896">
        <f t="shared" si="60"/>
        <v>42270</v>
      </c>
    </row>
    <row r="3897" spans="1:5" x14ac:dyDescent="0.25">
      <c r="A3897" t="s">
        <v>2</v>
      </c>
      <c r="B3897">
        <v>1220215</v>
      </c>
      <c r="C3897">
        <v>44720</v>
      </c>
      <c r="D3897" s="4">
        <f>+VLOOKUP(A3897,Portfolio!$G$3:$I$6,3)</f>
        <v>1</v>
      </c>
      <c r="E3897">
        <f t="shared" si="60"/>
        <v>44720</v>
      </c>
    </row>
    <row r="3898" spans="1:5" x14ac:dyDescent="0.25">
      <c r="A3898" t="s">
        <v>2</v>
      </c>
      <c r="B3898">
        <v>1220216</v>
      </c>
      <c r="C3898">
        <v>43020</v>
      </c>
      <c r="D3898" s="4">
        <f>+VLOOKUP(A3898,Portfolio!$G$3:$I$6,3)</f>
        <v>1</v>
      </c>
      <c r="E3898">
        <f t="shared" si="60"/>
        <v>43020</v>
      </c>
    </row>
    <row r="3899" spans="1:5" x14ac:dyDescent="0.25">
      <c r="A3899" t="s">
        <v>2</v>
      </c>
      <c r="B3899">
        <v>1220217</v>
      </c>
      <c r="C3899">
        <v>43100</v>
      </c>
      <c r="D3899" s="4">
        <f>+VLOOKUP(A3899,Portfolio!$G$3:$I$6,3)</f>
        <v>1</v>
      </c>
      <c r="E3899">
        <f t="shared" si="60"/>
        <v>43100</v>
      </c>
    </row>
    <row r="3900" spans="1:5" x14ac:dyDescent="0.25">
      <c r="A3900" t="s">
        <v>2</v>
      </c>
      <c r="B3900">
        <v>1220218</v>
      </c>
      <c r="C3900">
        <v>45030</v>
      </c>
      <c r="D3900" s="4">
        <f>+VLOOKUP(A3900,Portfolio!$G$3:$I$6,3)</f>
        <v>1</v>
      </c>
      <c r="E3900">
        <f t="shared" si="60"/>
        <v>45030</v>
      </c>
    </row>
    <row r="3901" spans="1:5" x14ac:dyDescent="0.25">
      <c r="A3901" t="s">
        <v>2</v>
      </c>
      <c r="B3901">
        <v>1220220</v>
      </c>
      <c r="C3901">
        <v>45330</v>
      </c>
      <c r="D3901" s="4">
        <f>+VLOOKUP(A3901,Portfolio!$G$3:$I$6,3)</f>
        <v>1</v>
      </c>
      <c r="E3901">
        <f t="shared" si="60"/>
        <v>45330</v>
      </c>
    </row>
    <row r="3902" spans="1:5" x14ac:dyDescent="0.25">
      <c r="A3902" t="s">
        <v>2</v>
      </c>
      <c r="B3902">
        <v>1220221</v>
      </c>
      <c r="C3902">
        <v>44000</v>
      </c>
      <c r="D3902" s="4">
        <f>+VLOOKUP(A3902,Portfolio!$G$3:$I$6,3)</f>
        <v>1</v>
      </c>
      <c r="E3902">
        <f t="shared" si="60"/>
        <v>44000</v>
      </c>
    </row>
    <row r="3903" spans="1:5" x14ac:dyDescent="0.25">
      <c r="A3903" t="s">
        <v>2</v>
      </c>
      <c r="B3903">
        <v>1220222</v>
      </c>
      <c r="C3903">
        <v>44330</v>
      </c>
      <c r="D3903" s="4">
        <f>+VLOOKUP(A3903,Portfolio!$G$3:$I$6,3)</f>
        <v>1</v>
      </c>
      <c r="E3903">
        <f t="shared" si="60"/>
        <v>44330</v>
      </c>
    </row>
    <row r="3904" spans="1:5" x14ac:dyDescent="0.25">
      <c r="A3904" t="s">
        <v>2</v>
      </c>
      <c r="B3904">
        <v>1220223</v>
      </c>
      <c r="C3904">
        <v>44140</v>
      </c>
      <c r="D3904" s="4">
        <f>+VLOOKUP(A3904,Portfolio!$G$3:$I$6,3)</f>
        <v>1</v>
      </c>
      <c r="E3904">
        <f t="shared" si="60"/>
        <v>44140</v>
      </c>
    </row>
    <row r="3905" spans="1:5" x14ac:dyDescent="0.25">
      <c r="A3905" t="s">
        <v>2</v>
      </c>
      <c r="B3905">
        <v>1220224</v>
      </c>
      <c r="C3905">
        <v>47930</v>
      </c>
      <c r="D3905" s="4">
        <f>+VLOOKUP(A3905,Portfolio!$G$3:$I$6,3)</f>
        <v>1</v>
      </c>
      <c r="E3905">
        <f t="shared" si="60"/>
        <v>47930</v>
      </c>
    </row>
    <row r="3906" spans="1:5" x14ac:dyDescent="0.25">
      <c r="A3906" t="s">
        <v>2</v>
      </c>
      <c r="B3906">
        <v>1220225</v>
      </c>
      <c r="C3906">
        <v>47770</v>
      </c>
      <c r="D3906" s="4">
        <f>+VLOOKUP(A3906,Portfolio!$G$3:$I$6,3)</f>
        <v>1</v>
      </c>
      <c r="E3906">
        <f t="shared" si="60"/>
        <v>47770</v>
      </c>
    </row>
    <row r="3907" spans="1:5" x14ac:dyDescent="0.25">
      <c r="A3907" t="s">
        <v>2</v>
      </c>
      <c r="B3907">
        <v>1220227</v>
      </c>
      <c r="C3907">
        <v>47580</v>
      </c>
      <c r="D3907" s="4">
        <f>+VLOOKUP(A3907,Portfolio!$G$3:$I$6,3)</f>
        <v>1</v>
      </c>
      <c r="E3907">
        <f t="shared" ref="E3907:E3970" si="61">+C3907*D3907</f>
        <v>47580</v>
      </c>
    </row>
    <row r="3908" spans="1:5" x14ac:dyDescent="0.25">
      <c r="A3908" t="s">
        <v>2</v>
      </c>
      <c r="B3908">
        <v>1220228</v>
      </c>
      <c r="C3908">
        <v>47470</v>
      </c>
      <c r="D3908" s="4">
        <f>+VLOOKUP(A3908,Portfolio!$G$3:$I$6,3)</f>
        <v>1</v>
      </c>
      <c r="E3908">
        <f t="shared" si="61"/>
        <v>47470</v>
      </c>
    </row>
    <row r="3909" spans="1:5" x14ac:dyDescent="0.25">
      <c r="A3909" t="s">
        <v>2</v>
      </c>
      <c r="B3909">
        <v>1220301</v>
      </c>
      <c r="C3909">
        <v>47320</v>
      </c>
      <c r="D3909" s="4">
        <f>+VLOOKUP(A3909,Portfolio!$G$3:$I$6,3)</f>
        <v>1</v>
      </c>
      <c r="E3909">
        <f t="shared" si="61"/>
        <v>47320</v>
      </c>
    </row>
    <row r="3910" spans="1:5" x14ac:dyDescent="0.25">
      <c r="A3910" t="s">
        <v>2</v>
      </c>
      <c r="B3910">
        <v>1220302</v>
      </c>
      <c r="C3910">
        <v>48490</v>
      </c>
      <c r="D3910" s="4">
        <f>+VLOOKUP(A3910,Portfolio!$G$3:$I$6,3)</f>
        <v>1</v>
      </c>
      <c r="E3910">
        <f t="shared" si="61"/>
        <v>48490</v>
      </c>
    </row>
    <row r="3911" spans="1:5" x14ac:dyDescent="0.25">
      <c r="A3911" t="s">
        <v>2</v>
      </c>
      <c r="B3911">
        <v>1220303</v>
      </c>
      <c r="C3911">
        <v>49350</v>
      </c>
      <c r="D3911" s="4">
        <f>+VLOOKUP(A3911,Portfolio!$G$3:$I$6,3)</f>
        <v>1</v>
      </c>
      <c r="E3911">
        <f t="shared" si="61"/>
        <v>49350</v>
      </c>
    </row>
    <row r="3912" spans="1:5" x14ac:dyDescent="0.25">
      <c r="A3912" t="s">
        <v>2</v>
      </c>
      <c r="B3912">
        <v>1220304</v>
      </c>
      <c r="C3912">
        <v>48610</v>
      </c>
      <c r="D3912" s="4">
        <f>+VLOOKUP(A3912,Portfolio!$G$3:$I$6,3)</f>
        <v>1</v>
      </c>
      <c r="E3912">
        <f t="shared" si="61"/>
        <v>48610</v>
      </c>
    </row>
    <row r="3913" spans="1:5" x14ac:dyDescent="0.25">
      <c r="A3913" t="s">
        <v>2</v>
      </c>
      <c r="B3913">
        <v>1220306</v>
      </c>
      <c r="C3913">
        <v>53660</v>
      </c>
      <c r="D3913" s="4">
        <f>+VLOOKUP(A3913,Portfolio!$G$3:$I$6,3)</f>
        <v>1</v>
      </c>
      <c r="E3913">
        <f t="shared" si="61"/>
        <v>53660</v>
      </c>
    </row>
    <row r="3914" spans="1:5" x14ac:dyDescent="0.25">
      <c r="A3914" t="s">
        <v>2</v>
      </c>
      <c r="B3914">
        <v>1220307</v>
      </c>
      <c r="C3914">
        <v>53880</v>
      </c>
      <c r="D3914" s="4">
        <f>+VLOOKUP(A3914,Portfolio!$G$3:$I$6,3)</f>
        <v>1</v>
      </c>
      <c r="E3914">
        <f t="shared" si="61"/>
        <v>53880</v>
      </c>
    </row>
    <row r="3915" spans="1:5" x14ac:dyDescent="0.25">
      <c r="A3915" t="s">
        <v>2</v>
      </c>
      <c r="B3915">
        <v>1220308</v>
      </c>
      <c r="C3915">
        <v>51230</v>
      </c>
      <c r="D3915" s="4">
        <f>+VLOOKUP(A3915,Portfolio!$G$3:$I$6,3)</f>
        <v>1</v>
      </c>
      <c r="E3915">
        <f t="shared" si="61"/>
        <v>51230</v>
      </c>
    </row>
    <row r="3916" spans="1:5" x14ac:dyDescent="0.25">
      <c r="A3916" t="s">
        <v>2</v>
      </c>
      <c r="B3916">
        <v>1220309</v>
      </c>
      <c r="C3916">
        <v>46180</v>
      </c>
      <c r="D3916" s="4">
        <f>+VLOOKUP(A3916,Portfolio!$G$3:$I$6,3)</f>
        <v>1</v>
      </c>
      <c r="E3916">
        <f t="shared" si="61"/>
        <v>46180</v>
      </c>
    </row>
    <row r="3917" spans="1:5" x14ac:dyDescent="0.25">
      <c r="A3917" t="s">
        <v>2</v>
      </c>
      <c r="B3917">
        <v>1220310</v>
      </c>
      <c r="C3917">
        <v>52430</v>
      </c>
      <c r="D3917" s="4">
        <f>+VLOOKUP(A3917,Portfolio!$G$3:$I$6,3)</f>
        <v>1</v>
      </c>
      <c r="E3917">
        <f t="shared" si="61"/>
        <v>52430</v>
      </c>
    </row>
    <row r="3918" spans="1:5" x14ac:dyDescent="0.25">
      <c r="A3918" t="s">
        <v>2</v>
      </c>
      <c r="B3918">
        <v>1220311</v>
      </c>
      <c r="C3918">
        <v>51110</v>
      </c>
      <c r="D3918" s="4">
        <f>+VLOOKUP(A3918,Portfolio!$G$3:$I$6,3)</f>
        <v>1</v>
      </c>
      <c r="E3918">
        <f t="shared" si="61"/>
        <v>51110</v>
      </c>
    </row>
    <row r="3919" spans="1:5" x14ac:dyDescent="0.25">
      <c r="A3919" t="s">
        <v>2</v>
      </c>
      <c r="B3919">
        <v>1220313</v>
      </c>
      <c r="C3919">
        <v>50620</v>
      </c>
      <c r="D3919" s="4">
        <f>+VLOOKUP(A3919,Portfolio!$G$3:$I$6,3)</f>
        <v>1</v>
      </c>
      <c r="E3919">
        <f t="shared" si="61"/>
        <v>50620</v>
      </c>
    </row>
    <row r="3920" spans="1:5" x14ac:dyDescent="0.25">
      <c r="A3920" t="s">
        <v>2</v>
      </c>
      <c r="B3920">
        <v>1220314</v>
      </c>
      <c r="C3920">
        <v>51040</v>
      </c>
      <c r="D3920" s="4">
        <f>+VLOOKUP(A3920,Portfolio!$G$3:$I$6,3)</f>
        <v>1</v>
      </c>
      <c r="E3920">
        <f t="shared" si="61"/>
        <v>51040</v>
      </c>
    </row>
    <row r="3921" spans="1:5" x14ac:dyDescent="0.25">
      <c r="A3921" t="s">
        <v>2</v>
      </c>
      <c r="B3921">
        <v>1220315</v>
      </c>
      <c r="C3921">
        <v>54580</v>
      </c>
      <c r="D3921" s="4">
        <f>+VLOOKUP(A3921,Portfolio!$G$3:$I$6,3)</f>
        <v>1</v>
      </c>
      <c r="E3921">
        <f t="shared" si="61"/>
        <v>54580</v>
      </c>
    </row>
    <row r="3922" spans="1:5" x14ac:dyDescent="0.25">
      <c r="A3922" t="s">
        <v>2</v>
      </c>
      <c r="B3922">
        <v>1220316</v>
      </c>
      <c r="C3922">
        <v>56560</v>
      </c>
      <c r="D3922" s="4">
        <f>+VLOOKUP(A3922,Portfolio!$G$3:$I$6,3)</f>
        <v>1</v>
      </c>
      <c r="E3922">
        <f t="shared" si="61"/>
        <v>56560</v>
      </c>
    </row>
    <row r="3923" spans="1:5" x14ac:dyDescent="0.25">
      <c r="A3923" t="s">
        <v>2</v>
      </c>
      <c r="B3923">
        <v>1220317</v>
      </c>
      <c r="C3923">
        <v>56720</v>
      </c>
      <c r="D3923" s="4">
        <f>+VLOOKUP(A3923,Portfolio!$G$3:$I$6,3)</f>
        <v>1</v>
      </c>
      <c r="E3923">
        <f t="shared" si="61"/>
        <v>56720</v>
      </c>
    </row>
    <row r="3924" spans="1:5" x14ac:dyDescent="0.25">
      <c r="A3924" t="s">
        <v>2</v>
      </c>
      <c r="B3924">
        <v>1220318</v>
      </c>
      <c r="C3924">
        <v>56540</v>
      </c>
      <c r="D3924" s="4">
        <f>+VLOOKUP(A3924,Portfolio!$G$3:$I$6,3)</f>
        <v>1</v>
      </c>
      <c r="E3924">
        <f t="shared" si="61"/>
        <v>56540</v>
      </c>
    </row>
    <row r="3925" spans="1:5" x14ac:dyDescent="0.25">
      <c r="A3925" t="s">
        <v>2</v>
      </c>
      <c r="B3925">
        <v>1220320</v>
      </c>
      <c r="C3925">
        <v>56590</v>
      </c>
      <c r="D3925" s="4">
        <f>+VLOOKUP(A3925,Portfolio!$G$3:$I$6,3)</f>
        <v>1</v>
      </c>
      <c r="E3925">
        <f t="shared" si="61"/>
        <v>56590</v>
      </c>
    </row>
    <row r="3926" spans="1:5" x14ac:dyDescent="0.25">
      <c r="A3926" t="s">
        <v>2</v>
      </c>
      <c r="B3926">
        <v>1220321</v>
      </c>
      <c r="C3926">
        <v>56590</v>
      </c>
      <c r="D3926" s="4">
        <f>+VLOOKUP(A3926,Portfolio!$G$3:$I$6,3)</f>
        <v>1</v>
      </c>
      <c r="E3926">
        <f t="shared" si="61"/>
        <v>56590</v>
      </c>
    </row>
    <row r="3927" spans="1:5" x14ac:dyDescent="0.25">
      <c r="A3927" t="s">
        <v>2</v>
      </c>
      <c r="B3927">
        <v>1220322</v>
      </c>
      <c r="C3927">
        <v>55020</v>
      </c>
      <c r="D3927" s="4">
        <f>+VLOOKUP(A3927,Portfolio!$G$3:$I$6,3)</f>
        <v>1</v>
      </c>
      <c r="E3927">
        <f t="shared" si="61"/>
        <v>55020</v>
      </c>
    </row>
    <row r="3928" spans="1:5" x14ac:dyDescent="0.25">
      <c r="A3928" t="s">
        <v>2</v>
      </c>
      <c r="B3928">
        <v>1220323</v>
      </c>
      <c r="C3928">
        <v>56440</v>
      </c>
      <c r="D3928" s="4">
        <f>+VLOOKUP(A3928,Portfolio!$G$3:$I$6,3)</f>
        <v>1</v>
      </c>
      <c r="E3928">
        <f t="shared" si="61"/>
        <v>56440</v>
      </c>
    </row>
    <row r="3929" spans="1:5" x14ac:dyDescent="0.25">
      <c r="A3929" t="s">
        <v>2</v>
      </c>
      <c r="B3929">
        <v>1220324</v>
      </c>
      <c r="C3929">
        <v>57940</v>
      </c>
      <c r="D3929" s="4">
        <f>+VLOOKUP(A3929,Portfolio!$G$3:$I$6,3)</f>
        <v>1</v>
      </c>
      <c r="E3929">
        <f t="shared" si="61"/>
        <v>57940</v>
      </c>
    </row>
    <row r="3930" spans="1:5" x14ac:dyDescent="0.25">
      <c r="A3930" t="s">
        <v>2</v>
      </c>
      <c r="B3930">
        <v>1220325</v>
      </c>
      <c r="C3930">
        <v>58850</v>
      </c>
      <c r="D3930" s="4">
        <f>+VLOOKUP(A3930,Portfolio!$G$3:$I$6,3)</f>
        <v>1</v>
      </c>
      <c r="E3930">
        <f t="shared" si="61"/>
        <v>58850</v>
      </c>
    </row>
    <row r="3931" spans="1:5" x14ac:dyDescent="0.25">
      <c r="A3931" t="s">
        <v>2</v>
      </c>
      <c r="B3931">
        <v>1220327</v>
      </c>
      <c r="C3931">
        <v>57840</v>
      </c>
      <c r="D3931" s="4">
        <f>+VLOOKUP(A3931,Portfolio!$G$3:$I$6,3)</f>
        <v>1</v>
      </c>
      <c r="E3931">
        <f t="shared" si="61"/>
        <v>57840</v>
      </c>
    </row>
    <row r="3932" spans="1:5" x14ac:dyDescent="0.25">
      <c r="A3932" t="s">
        <v>2</v>
      </c>
      <c r="B3932">
        <v>1220328</v>
      </c>
      <c r="C3932">
        <v>58990</v>
      </c>
      <c r="D3932" s="4">
        <f>+VLOOKUP(A3932,Portfolio!$G$3:$I$6,3)</f>
        <v>1</v>
      </c>
      <c r="E3932">
        <f t="shared" si="61"/>
        <v>58990</v>
      </c>
    </row>
    <row r="3933" spans="1:5" x14ac:dyDescent="0.25">
      <c r="A3933" t="s">
        <v>2</v>
      </c>
      <c r="B3933">
        <v>1220329</v>
      </c>
      <c r="C3933">
        <v>60910</v>
      </c>
      <c r="D3933" s="4">
        <f>+VLOOKUP(A3933,Portfolio!$G$3:$I$6,3)</f>
        <v>1</v>
      </c>
      <c r="E3933">
        <f t="shared" si="61"/>
        <v>60910</v>
      </c>
    </row>
    <row r="3934" spans="1:5" x14ac:dyDescent="0.25">
      <c r="A3934" t="s">
        <v>2</v>
      </c>
      <c r="B3934">
        <v>1220330</v>
      </c>
      <c r="C3934">
        <v>62790</v>
      </c>
      <c r="D3934" s="4">
        <f>+VLOOKUP(A3934,Portfolio!$G$3:$I$6,3)</f>
        <v>1</v>
      </c>
      <c r="E3934">
        <f t="shared" si="61"/>
        <v>62790</v>
      </c>
    </row>
    <row r="3935" spans="1:5" x14ac:dyDescent="0.25">
      <c r="A3935" t="s">
        <v>2</v>
      </c>
      <c r="B3935">
        <v>1220331</v>
      </c>
      <c r="C3935">
        <v>61570</v>
      </c>
      <c r="D3935" s="4">
        <f>+VLOOKUP(A3935,Portfolio!$G$3:$I$6,3)</f>
        <v>1</v>
      </c>
      <c r="E3935">
        <f t="shared" si="61"/>
        <v>61570</v>
      </c>
    </row>
    <row r="3936" spans="1:5" x14ac:dyDescent="0.25">
      <c r="A3936" t="s">
        <v>2</v>
      </c>
      <c r="B3936">
        <v>1220401</v>
      </c>
      <c r="C3936">
        <v>62900</v>
      </c>
      <c r="D3936" s="4">
        <f>+VLOOKUP(A3936,Portfolio!$G$3:$I$6,3)</f>
        <v>1</v>
      </c>
      <c r="E3936">
        <f t="shared" si="61"/>
        <v>62900</v>
      </c>
    </row>
    <row r="3937" spans="1:5" x14ac:dyDescent="0.25">
      <c r="A3937" t="s">
        <v>2</v>
      </c>
      <c r="B3937">
        <v>1220403</v>
      </c>
      <c r="C3937">
        <v>63560</v>
      </c>
      <c r="D3937" s="4">
        <f>+VLOOKUP(A3937,Portfolio!$G$3:$I$6,3)</f>
        <v>1</v>
      </c>
      <c r="E3937">
        <f t="shared" si="61"/>
        <v>63560</v>
      </c>
    </row>
    <row r="3938" spans="1:5" x14ac:dyDescent="0.25">
      <c r="A3938" t="s">
        <v>2</v>
      </c>
      <c r="B3938">
        <v>1220404</v>
      </c>
      <c r="C3938">
        <v>63990</v>
      </c>
      <c r="D3938" s="4">
        <f>+VLOOKUP(A3938,Portfolio!$G$3:$I$6,3)</f>
        <v>1</v>
      </c>
      <c r="E3938">
        <f t="shared" si="61"/>
        <v>63990</v>
      </c>
    </row>
    <row r="3939" spans="1:5" x14ac:dyDescent="0.25">
      <c r="A3939" t="s">
        <v>2</v>
      </c>
      <c r="B3939">
        <v>1220405</v>
      </c>
      <c r="C3939">
        <v>62460</v>
      </c>
      <c r="D3939" s="4">
        <f>+VLOOKUP(A3939,Portfolio!$G$3:$I$6,3)</f>
        <v>1</v>
      </c>
      <c r="E3939">
        <f t="shared" si="61"/>
        <v>62460</v>
      </c>
    </row>
    <row r="3940" spans="1:5" x14ac:dyDescent="0.25">
      <c r="A3940" t="s">
        <v>2</v>
      </c>
      <c r="B3940">
        <v>1220406</v>
      </c>
      <c r="C3940">
        <v>60400</v>
      </c>
      <c r="D3940" s="4">
        <f>+VLOOKUP(A3940,Portfolio!$G$3:$I$6,3)</f>
        <v>1</v>
      </c>
      <c r="E3940">
        <f t="shared" si="61"/>
        <v>60400</v>
      </c>
    </row>
    <row r="3941" spans="1:5" x14ac:dyDescent="0.25">
      <c r="A3941" t="s">
        <v>2</v>
      </c>
      <c r="B3941">
        <v>1220407</v>
      </c>
      <c r="C3941">
        <v>61150</v>
      </c>
      <c r="D3941" s="4">
        <f>+VLOOKUP(A3941,Portfolio!$G$3:$I$6,3)</f>
        <v>1</v>
      </c>
      <c r="E3941">
        <f t="shared" si="61"/>
        <v>61150</v>
      </c>
    </row>
    <row r="3942" spans="1:5" x14ac:dyDescent="0.25">
      <c r="A3942" t="s">
        <v>2</v>
      </c>
      <c r="B3942">
        <v>1220408</v>
      </c>
      <c r="C3942">
        <v>61410</v>
      </c>
      <c r="D3942" s="4">
        <f>+VLOOKUP(A3942,Portfolio!$G$3:$I$6,3)</f>
        <v>1</v>
      </c>
      <c r="E3942">
        <f t="shared" si="61"/>
        <v>61410</v>
      </c>
    </row>
    <row r="3943" spans="1:5" x14ac:dyDescent="0.25">
      <c r="A3943" t="s">
        <v>2</v>
      </c>
      <c r="B3943">
        <v>1220410</v>
      </c>
      <c r="C3943">
        <v>62990</v>
      </c>
      <c r="D3943" s="4">
        <f>+VLOOKUP(A3943,Portfolio!$G$3:$I$6,3)</f>
        <v>1</v>
      </c>
      <c r="E3943">
        <f t="shared" si="61"/>
        <v>62990</v>
      </c>
    </row>
    <row r="3944" spans="1:5" x14ac:dyDescent="0.25">
      <c r="A3944" t="s">
        <v>2</v>
      </c>
      <c r="B3944">
        <v>1220411</v>
      </c>
      <c r="C3944">
        <v>62520</v>
      </c>
      <c r="D3944" s="4">
        <f>+VLOOKUP(A3944,Portfolio!$G$3:$I$6,3)</f>
        <v>1</v>
      </c>
      <c r="E3944">
        <f t="shared" si="61"/>
        <v>62520</v>
      </c>
    </row>
    <row r="3945" spans="1:5" x14ac:dyDescent="0.25">
      <c r="A3945" t="s">
        <v>2</v>
      </c>
      <c r="B3945">
        <v>1220412</v>
      </c>
      <c r="C3945">
        <v>64240</v>
      </c>
      <c r="D3945" s="4">
        <f>+VLOOKUP(A3945,Portfolio!$G$3:$I$6,3)</f>
        <v>1</v>
      </c>
      <c r="E3945">
        <f t="shared" si="61"/>
        <v>64240</v>
      </c>
    </row>
    <row r="3946" spans="1:5" x14ac:dyDescent="0.25">
      <c r="A3946" t="s">
        <v>2</v>
      </c>
      <c r="B3946">
        <v>1220413</v>
      </c>
      <c r="C3946">
        <v>63600</v>
      </c>
      <c r="D3946" s="4">
        <f>+VLOOKUP(A3946,Portfolio!$G$3:$I$6,3)</f>
        <v>1</v>
      </c>
      <c r="E3946">
        <f t="shared" si="61"/>
        <v>63600</v>
      </c>
    </row>
    <row r="3947" spans="1:5" x14ac:dyDescent="0.25">
      <c r="A3947" t="s">
        <v>2</v>
      </c>
      <c r="B3947">
        <v>1220414</v>
      </c>
      <c r="C3947">
        <v>64340</v>
      </c>
      <c r="D3947" s="4">
        <f>+VLOOKUP(A3947,Portfolio!$G$3:$I$6,3)</f>
        <v>1</v>
      </c>
      <c r="E3947">
        <f t="shared" si="61"/>
        <v>64340</v>
      </c>
    </row>
    <row r="3948" spans="1:5" x14ac:dyDescent="0.25">
      <c r="A3948" t="s">
        <v>2</v>
      </c>
      <c r="B3948">
        <v>1220417</v>
      </c>
      <c r="C3948">
        <v>63410</v>
      </c>
      <c r="D3948" s="4">
        <f>+VLOOKUP(A3948,Portfolio!$G$3:$I$6,3)</f>
        <v>1</v>
      </c>
      <c r="E3948">
        <f t="shared" si="61"/>
        <v>63410</v>
      </c>
    </row>
    <row r="3949" spans="1:5" x14ac:dyDescent="0.25">
      <c r="A3949" t="s">
        <v>2</v>
      </c>
      <c r="B3949">
        <v>1220418</v>
      </c>
      <c r="C3949">
        <v>62790</v>
      </c>
      <c r="D3949" s="4">
        <f>+VLOOKUP(A3949,Portfolio!$G$3:$I$6,3)</f>
        <v>1</v>
      </c>
      <c r="E3949">
        <f t="shared" si="61"/>
        <v>62790</v>
      </c>
    </row>
    <row r="3950" spans="1:5" x14ac:dyDescent="0.25">
      <c r="A3950" t="s">
        <v>2</v>
      </c>
      <c r="B3950">
        <v>1220419</v>
      </c>
      <c r="C3950">
        <v>60490</v>
      </c>
      <c r="D3950" s="4">
        <f>+VLOOKUP(A3950,Portfolio!$G$3:$I$6,3)</f>
        <v>1</v>
      </c>
      <c r="E3950">
        <f t="shared" si="61"/>
        <v>60490</v>
      </c>
    </row>
    <row r="3951" spans="1:5" x14ac:dyDescent="0.25">
      <c r="A3951" t="s">
        <v>2</v>
      </c>
      <c r="B3951">
        <v>1220420</v>
      </c>
      <c r="C3951">
        <v>62450</v>
      </c>
      <c r="D3951" s="4">
        <f>+VLOOKUP(A3951,Portfolio!$G$3:$I$6,3)</f>
        <v>1</v>
      </c>
      <c r="E3951">
        <f t="shared" si="61"/>
        <v>62450</v>
      </c>
    </row>
    <row r="3952" spans="1:5" x14ac:dyDescent="0.25">
      <c r="A3952" t="s">
        <v>2</v>
      </c>
      <c r="B3952">
        <v>1220421</v>
      </c>
      <c r="C3952">
        <v>62350</v>
      </c>
      <c r="D3952" s="4">
        <f>+VLOOKUP(A3952,Portfolio!$G$3:$I$6,3)</f>
        <v>1</v>
      </c>
      <c r="E3952">
        <f t="shared" si="61"/>
        <v>62350</v>
      </c>
    </row>
    <row r="3953" spans="1:5" x14ac:dyDescent="0.25">
      <c r="A3953" t="s">
        <v>2</v>
      </c>
      <c r="B3953">
        <v>1220422</v>
      </c>
      <c r="C3953">
        <v>62090</v>
      </c>
      <c r="D3953" s="4">
        <f>+VLOOKUP(A3953,Portfolio!$G$3:$I$6,3)</f>
        <v>1</v>
      </c>
      <c r="E3953">
        <f t="shared" si="61"/>
        <v>62090</v>
      </c>
    </row>
    <row r="3954" spans="1:5" x14ac:dyDescent="0.25">
      <c r="A3954" t="s">
        <v>2</v>
      </c>
      <c r="B3954">
        <v>1220424</v>
      </c>
      <c r="C3954">
        <v>64180</v>
      </c>
      <c r="D3954" s="4">
        <f>+VLOOKUP(A3954,Portfolio!$G$3:$I$6,3)</f>
        <v>1</v>
      </c>
      <c r="E3954">
        <f t="shared" si="61"/>
        <v>64180</v>
      </c>
    </row>
    <row r="3955" spans="1:5" x14ac:dyDescent="0.25">
      <c r="A3955" t="s">
        <v>2</v>
      </c>
      <c r="B3955">
        <v>1220425</v>
      </c>
      <c r="C3955">
        <v>64770</v>
      </c>
      <c r="D3955" s="4">
        <f>+VLOOKUP(A3955,Portfolio!$G$3:$I$6,3)</f>
        <v>1</v>
      </c>
      <c r="E3955">
        <f t="shared" si="61"/>
        <v>64770</v>
      </c>
    </row>
    <row r="3956" spans="1:5" x14ac:dyDescent="0.25">
      <c r="A3956" t="s">
        <v>2</v>
      </c>
      <c r="B3956">
        <v>1220426</v>
      </c>
      <c r="C3956">
        <v>66980</v>
      </c>
      <c r="D3956" s="4">
        <f>+VLOOKUP(A3956,Portfolio!$G$3:$I$6,3)</f>
        <v>1</v>
      </c>
      <c r="E3956">
        <f t="shared" si="61"/>
        <v>66980</v>
      </c>
    </row>
    <row r="3957" spans="1:5" x14ac:dyDescent="0.25">
      <c r="A3957" t="s">
        <v>2</v>
      </c>
      <c r="B3957">
        <v>1220427</v>
      </c>
      <c r="C3957">
        <v>65560</v>
      </c>
      <c r="D3957" s="4">
        <f>+VLOOKUP(A3957,Portfolio!$G$3:$I$6,3)</f>
        <v>1</v>
      </c>
      <c r="E3957">
        <f t="shared" si="61"/>
        <v>65560</v>
      </c>
    </row>
    <row r="3958" spans="1:5" x14ac:dyDescent="0.25">
      <c r="A3958" t="s">
        <v>2</v>
      </c>
      <c r="B3958">
        <v>1220428</v>
      </c>
      <c r="C3958">
        <v>61440</v>
      </c>
      <c r="D3958" s="4">
        <f>+VLOOKUP(A3958,Portfolio!$G$3:$I$6,3)</f>
        <v>1</v>
      </c>
      <c r="E3958">
        <f t="shared" si="61"/>
        <v>61440</v>
      </c>
    </row>
    <row r="3959" spans="1:5" x14ac:dyDescent="0.25">
      <c r="A3959" t="s">
        <v>2</v>
      </c>
      <c r="B3959">
        <v>1220429</v>
      </c>
      <c r="C3959">
        <v>62640</v>
      </c>
      <c r="D3959" s="4">
        <f>+VLOOKUP(A3959,Portfolio!$G$3:$I$6,3)</f>
        <v>1</v>
      </c>
      <c r="E3959">
        <f t="shared" si="61"/>
        <v>62640</v>
      </c>
    </row>
    <row r="3960" spans="1:5" x14ac:dyDescent="0.25">
      <c r="A3960" t="s">
        <v>2</v>
      </c>
      <c r="B3960">
        <v>1220501</v>
      </c>
      <c r="C3960">
        <v>60590</v>
      </c>
      <c r="D3960" s="4">
        <f>+VLOOKUP(A3960,Portfolio!$G$3:$I$6,3)</f>
        <v>1</v>
      </c>
      <c r="E3960">
        <f t="shared" si="61"/>
        <v>60590</v>
      </c>
    </row>
    <row r="3961" spans="1:5" x14ac:dyDescent="0.25">
      <c r="A3961" t="s">
        <v>2</v>
      </c>
      <c r="B3961">
        <v>1220502</v>
      </c>
      <c r="C3961">
        <v>59600</v>
      </c>
      <c r="D3961" s="4">
        <f>+VLOOKUP(A3961,Portfolio!$G$3:$I$6,3)</f>
        <v>1</v>
      </c>
      <c r="E3961">
        <f t="shared" si="61"/>
        <v>59600</v>
      </c>
    </row>
    <row r="3962" spans="1:5" x14ac:dyDescent="0.25">
      <c r="A3962" t="s">
        <v>2</v>
      </c>
      <c r="B3962">
        <v>1220503</v>
      </c>
      <c r="C3962">
        <v>61050</v>
      </c>
      <c r="D3962" s="4">
        <f>+VLOOKUP(A3962,Portfolio!$G$3:$I$6,3)</f>
        <v>1</v>
      </c>
      <c r="E3962">
        <f t="shared" si="61"/>
        <v>61050</v>
      </c>
    </row>
    <row r="3963" spans="1:5" x14ac:dyDescent="0.25">
      <c r="A3963" t="s">
        <v>2</v>
      </c>
      <c r="B3963">
        <v>1220504</v>
      </c>
      <c r="C3963">
        <v>61450</v>
      </c>
      <c r="D3963" s="4">
        <f>+VLOOKUP(A3963,Portfolio!$G$3:$I$6,3)</f>
        <v>1</v>
      </c>
      <c r="E3963">
        <f t="shared" si="61"/>
        <v>61450</v>
      </c>
    </row>
    <row r="3964" spans="1:5" x14ac:dyDescent="0.25">
      <c r="A3964" t="s">
        <v>2</v>
      </c>
      <c r="B3964">
        <v>1220505</v>
      </c>
      <c r="C3964">
        <v>61240</v>
      </c>
      <c r="D3964" s="4">
        <f>+VLOOKUP(A3964,Portfolio!$G$3:$I$6,3)</f>
        <v>1</v>
      </c>
      <c r="E3964">
        <f t="shared" si="61"/>
        <v>61240</v>
      </c>
    </row>
    <row r="3965" spans="1:5" x14ac:dyDescent="0.25">
      <c r="A3965" t="s">
        <v>2</v>
      </c>
      <c r="B3965">
        <v>1220506</v>
      </c>
      <c r="C3965">
        <v>57390</v>
      </c>
      <c r="D3965" s="4">
        <f>+VLOOKUP(A3965,Portfolio!$G$3:$I$6,3)</f>
        <v>1</v>
      </c>
      <c r="E3965">
        <f t="shared" si="61"/>
        <v>57390</v>
      </c>
    </row>
    <row r="3966" spans="1:5" x14ac:dyDescent="0.25">
      <c r="A3966" t="s">
        <v>2</v>
      </c>
      <c r="B3966">
        <v>1220508</v>
      </c>
      <c r="C3966">
        <v>57860</v>
      </c>
      <c r="D3966" s="4">
        <f>+VLOOKUP(A3966,Portfolio!$G$3:$I$6,3)</f>
        <v>1</v>
      </c>
      <c r="E3966">
        <f t="shared" si="61"/>
        <v>57860</v>
      </c>
    </row>
    <row r="3967" spans="1:5" x14ac:dyDescent="0.25">
      <c r="A3967" t="s">
        <v>2</v>
      </c>
      <c r="B3967">
        <v>1220509</v>
      </c>
      <c r="C3967">
        <v>57860</v>
      </c>
      <c r="D3967" s="4">
        <f>+VLOOKUP(A3967,Portfolio!$G$3:$I$6,3)</f>
        <v>1</v>
      </c>
      <c r="E3967">
        <f t="shared" si="61"/>
        <v>57860</v>
      </c>
    </row>
    <row r="3968" spans="1:5" x14ac:dyDescent="0.25">
      <c r="A3968" t="s">
        <v>2</v>
      </c>
      <c r="B3968">
        <v>1220510</v>
      </c>
      <c r="C3968">
        <v>58020</v>
      </c>
      <c r="D3968" s="4">
        <f>+VLOOKUP(A3968,Portfolio!$G$3:$I$6,3)</f>
        <v>1</v>
      </c>
      <c r="E3968">
        <f t="shared" si="61"/>
        <v>58020</v>
      </c>
    </row>
    <row r="3969" spans="1:5" x14ac:dyDescent="0.25">
      <c r="A3969" t="s">
        <v>2</v>
      </c>
      <c r="B3969">
        <v>1220511</v>
      </c>
      <c r="C3969">
        <v>58670</v>
      </c>
      <c r="D3969" s="4">
        <f>+VLOOKUP(A3969,Portfolio!$G$3:$I$6,3)</f>
        <v>1</v>
      </c>
      <c r="E3969">
        <f t="shared" si="61"/>
        <v>58670</v>
      </c>
    </row>
    <row r="3970" spans="1:5" x14ac:dyDescent="0.25">
      <c r="A3970" t="s">
        <v>2</v>
      </c>
      <c r="B3970">
        <v>1220512</v>
      </c>
      <c r="C3970">
        <v>55300</v>
      </c>
      <c r="D3970" s="4">
        <f>+VLOOKUP(A3970,Portfolio!$G$3:$I$6,3)</f>
        <v>1</v>
      </c>
      <c r="E3970">
        <f t="shared" si="61"/>
        <v>55300</v>
      </c>
    </row>
    <row r="3971" spans="1:5" x14ac:dyDescent="0.25">
      <c r="A3971" t="s">
        <v>2</v>
      </c>
      <c r="B3971">
        <v>1220513</v>
      </c>
      <c r="C3971">
        <v>56710</v>
      </c>
      <c r="D3971" s="4">
        <f>+VLOOKUP(A3971,Portfolio!$G$3:$I$6,3)</f>
        <v>1</v>
      </c>
      <c r="E3971">
        <f t="shared" ref="E3971:E4034" si="62">+C3971*D3971</f>
        <v>56710</v>
      </c>
    </row>
    <row r="3972" spans="1:5" x14ac:dyDescent="0.25">
      <c r="A3972" t="s">
        <v>2</v>
      </c>
      <c r="B3972">
        <v>1220515</v>
      </c>
      <c r="C3972">
        <v>57720</v>
      </c>
      <c r="D3972" s="4">
        <f>+VLOOKUP(A3972,Portfolio!$G$3:$I$6,3)</f>
        <v>1</v>
      </c>
      <c r="E3972">
        <f t="shared" si="62"/>
        <v>57720</v>
      </c>
    </row>
    <row r="3973" spans="1:5" x14ac:dyDescent="0.25">
      <c r="A3973" t="s">
        <v>2</v>
      </c>
      <c r="B3973">
        <v>1220516</v>
      </c>
      <c r="C3973">
        <v>57820</v>
      </c>
      <c r="D3973" s="4">
        <f>+VLOOKUP(A3973,Portfolio!$G$3:$I$6,3)</f>
        <v>1</v>
      </c>
      <c r="E3973">
        <f t="shared" si="62"/>
        <v>57820</v>
      </c>
    </row>
    <row r="3974" spans="1:5" x14ac:dyDescent="0.25">
      <c r="A3974" t="s">
        <v>2</v>
      </c>
      <c r="B3974">
        <v>1220517</v>
      </c>
      <c r="C3974">
        <v>58840</v>
      </c>
      <c r="D3974" s="4">
        <f>+VLOOKUP(A3974,Portfolio!$G$3:$I$6,3)</f>
        <v>1</v>
      </c>
      <c r="E3974">
        <f t="shared" si="62"/>
        <v>58840</v>
      </c>
    </row>
    <row r="3975" spans="1:5" x14ac:dyDescent="0.25">
      <c r="A3975" t="s">
        <v>2</v>
      </c>
      <c r="B3975">
        <v>1220518</v>
      </c>
      <c r="C3975">
        <v>56490</v>
      </c>
      <c r="D3975" s="4">
        <f>+VLOOKUP(A3975,Portfolio!$G$3:$I$6,3)</f>
        <v>1</v>
      </c>
      <c r="E3975">
        <f t="shared" si="62"/>
        <v>56490</v>
      </c>
    </row>
    <row r="3976" spans="1:5" x14ac:dyDescent="0.25">
      <c r="A3976" t="s">
        <v>2</v>
      </c>
      <c r="B3976">
        <v>1220519</v>
      </c>
      <c r="C3976">
        <v>55520</v>
      </c>
      <c r="D3976" s="4">
        <f>+VLOOKUP(A3976,Portfolio!$G$3:$I$6,3)</f>
        <v>1</v>
      </c>
      <c r="E3976">
        <f t="shared" si="62"/>
        <v>55520</v>
      </c>
    </row>
    <row r="3977" spans="1:5" x14ac:dyDescent="0.25">
      <c r="A3977" t="s">
        <v>2</v>
      </c>
      <c r="B3977">
        <v>1220520</v>
      </c>
      <c r="C3977">
        <v>57780</v>
      </c>
      <c r="D3977" s="4">
        <f>+VLOOKUP(A3977,Portfolio!$G$3:$I$6,3)</f>
        <v>1</v>
      </c>
      <c r="E3977">
        <f t="shared" si="62"/>
        <v>57780</v>
      </c>
    </row>
    <row r="3978" spans="1:5" x14ac:dyDescent="0.25">
      <c r="A3978" t="s">
        <v>2</v>
      </c>
      <c r="B3978">
        <v>1220522</v>
      </c>
      <c r="C3978">
        <v>58260</v>
      </c>
      <c r="D3978" s="4">
        <f>+VLOOKUP(A3978,Portfolio!$G$3:$I$6,3)</f>
        <v>1</v>
      </c>
      <c r="E3978">
        <f t="shared" si="62"/>
        <v>58260</v>
      </c>
    </row>
    <row r="3979" spans="1:5" x14ac:dyDescent="0.25">
      <c r="A3979" t="s">
        <v>2</v>
      </c>
      <c r="B3979">
        <v>1220523</v>
      </c>
      <c r="C3979">
        <v>58260</v>
      </c>
      <c r="D3979" s="4">
        <f>+VLOOKUP(A3979,Portfolio!$G$3:$I$6,3)</f>
        <v>1</v>
      </c>
      <c r="E3979">
        <f t="shared" si="62"/>
        <v>58260</v>
      </c>
    </row>
    <row r="3980" spans="1:5" x14ac:dyDescent="0.25">
      <c r="A3980" t="s">
        <v>2</v>
      </c>
      <c r="B3980">
        <v>1220524</v>
      </c>
      <c r="C3980">
        <v>57960</v>
      </c>
      <c r="D3980" s="4">
        <f>+VLOOKUP(A3980,Portfolio!$G$3:$I$6,3)</f>
        <v>1</v>
      </c>
      <c r="E3980">
        <f t="shared" si="62"/>
        <v>57960</v>
      </c>
    </row>
    <row r="3981" spans="1:5" x14ac:dyDescent="0.25">
      <c r="A3981" t="s">
        <v>2</v>
      </c>
      <c r="B3981">
        <v>1220525</v>
      </c>
      <c r="C3981">
        <v>58300</v>
      </c>
      <c r="D3981" s="4">
        <f>+VLOOKUP(A3981,Portfolio!$G$3:$I$6,3)</f>
        <v>1</v>
      </c>
      <c r="E3981">
        <f t="shared" si="62"/>
        <v>58300</v>
      </c>
    </row>
    <row r="3982" spans="1:5" x14ac:dyDescent="0.25">
      <c r="A3982" t="s">
        <v>2</v>
      </c>
      <c r="B3982">
        <v>1220526</v>
      </c>
      <c r="C3982">
        <v>58210</v>
      </c>
      <c r="D3982" s="4">
        <f>+VLOOKUP(A3982,Portfolio!$G$3:$I$6,3)</f>
        <v>1</v>
      </c>
      <c r="E3982">
        <f t="shared" si="62"/>
        <v>58210</v>
      </c>
    </row>
    <row r="3983" spans="1:5" x14ac:dyDescent="0.25">
      <c r="A3983" t="s">
        <v>2</v>
      </c>
      <c r="B3983">
        <v>1220527</v>
      </c>
      <c r="C3983">
        <v>57560</v>
      </c>
      <c r="D3983" s="4">
        <f>+VLOOKUP(A3983,Portfolio!$G$3:$I$6,3)</f>
        <v>1</v>
      </c>
      <c r="E3983">
        <f t="shared" si="62"/>
        <v>57560</v>
      </c>
    </row>
    <row r="3984" spans="1:5" x14ac:dyDescent="0.25">
      <c r="A3984" t="s">
        <v>2</v>
      </c>
      <c r="B3984">
        <v>1220529</v>
      </c>
      <c r="C3984">
        <v>56420</v>
      </c>
      <c r="D3984" s="4">
        <f>+VLOOKUP(A3984,Portfolio!$G$3:$I$6,3)</f>
        <v>1</v>
      </c>
      <c r="E3984">
        <f t="shared" si="62"/>
        <v>56420</v>
      </c>
    </row>
    <row r="3985" spans="1:5" x14ac:dyDescent="0.25">
      <c r="A3985" t="s">
        <v>2</v>
      </c>
      <c r="B3985">
        <v>1220530</v>
      </c>
      <c r="C3985">
        <v>55410</v>
      </c>
      <c r="D3985" s="4">
        <f>+VLOOKUP(A3985,Portfolio!$G$3:$I$6,3)</f>
        <v>1</v>
      </c>
      <c r="E3985">
        <f t="shared" si="62"/>
        <v>55410</v>
      </c>
    </row>
    <row r="3986" spans="1:5" x14ac:dyDescent="0.25">
      <c r="A3986" t="s">
        <v>2</v>
      </c>
      <c r="B3986">
        <v>1220531</v>
      </c>
      <c r="C3986">
        <v>55610</v>
      </c>
      <c r="D3986" s="4">
        <f>+VLOOKUP(A3986,Portfolio!$G$3:$I$6,3)</f>
        <v>1</v>
      </c>
      <c r="E3986">
        <f t="shared" si="62"/>
        <v>55610</v>
      </c>
    </row>
    <row r="3987" spans="1:5" x14ac:dyDescent="0.25">
      <c r="A3987" t="s">
        <v>2</v>
      </c>
      <c r="B3987">
        <v>1220601</v>
      </c>
      <c r="C3987">
        <v>55980</v>
      </c>
      <c r="D3987" s="4">
        <f>+VLOOKUP(A3987,Portfolio!$G$3:$I$6,3)</f>
        <v>1</v>
      </c>
      <c r="E3987">
        <f t="shared" si="62"/>
        <v>55980</v>
      </c>
    </row>
    <row r="3988" spans="1:5" x14ac:dyDescent="0.25">
      <c r="A3988" t="s">
        <v>2</v>
      </c>
      <c r="B3988">
        <v>1220602</v>
      </c>
      <c r="C3988">
        <v>56580</v>
      </c>
      <c r="D3988" s="4">
        <f>+VLOOKUP(A3988,Portfolio!$G$3:$I$6,3)</f>
        <v>1</v>
      </c>
      <c r="E3988">
        <f t="shared" si="62"/>
        <v>56580</v>
      </c>
    </row>
    <row r="3989" spans="1:5" x14ac:dyDescent="0.25">
      <c r="A3989" t="s">
        <v>2</v>
      </c>
      <c r="B3989">
        <v>1220603</v>
      </c>
      <c r="C3989">
        <v>58600</v>
      </c>
      <c r="D3989" s="4">
        <f>+VLOOKUP(A3989,Portfolio!$G$3:$I$6,3)</f>
        <v>1</v>
      </c>
      <c r="E3989">
        <f t="shared" si="62"/>
        <v>58600</v>
      </c>
    </row>
    <row r="3990" spans="1:5" x14ac:dyDescent="0.25">
      <c r="A3990" t="s">
        <v>2</v>
      </c>
      <c r="B3990">
        <v>1220605</v>
      </c>
      <c r="C3990">
        <v>59820</v>
      </c>
      <c r="D3990" s="4">
        <f>+VLOOKUP(A3990,Portfolio!$G$3:$I$6,3)</f>
        <v>1</v>
      </c>
      <c r="E3990">
        <f t="shared" si="62"/>
        <v>59820</v>
      </c>
    </row>
    <row r="3991" spans="1:5" x14ac:dyDescent="0.25">
      <c r="A3991" t="s">
        <v>2</v>
      </c>
      <c r="B3991">
        <v>1220606</v>
      </c>
      <c r="C3991">
        <v>59450</v>
      </c>
      <c r="D3991" s="4">
        <f>+VLOOKUP(A3991,Portfolio!$G$3:$I$6,3)</f>
        <v>1</v>
      </c>
      <c r="E3991">
        <f t="shared" si="62"/>
        <v>59450</v>
      </c>
    </row>
    <row r="3992" spans="1:5" x14ac:dyDescent="0.25">
      <c r="A3992" t="s">
        <v>2</v>
      </c>
      <c r="B3992">
        <v>1220607</v>
      </c>
      <c r="C3992">
        <v>57580</v>
      </c>
      <c r="D3992" s="4">
        <f>+VLOOKUP(A3992,Portfolio!$G$3:$I$6,3)</f>
        <v>1</v>
      </c>
      <c r="E3992">
        <f t="shared" si="62"/>
        <v>57580</v>
      </c>
    </row>
    <row r="3993" spans="1:5" x14ac:dyDescent="0.25">
      <c r="A3993" t="s">
        <v>2</v>
      </c>
      <c r="B3993">
        <v>1220608</v>
      </c>
      <c r="C3993">
        <v>58750</v>
      </c>
      <c r="D3993" s="4">
        <f>+VLOOKUP(A3993,Portfolio!$G$3:$I$6,3)</f>
        <v>1</v>
      </c>
      <c r="E3993">
        <f t="shared" si="62"/>
        <v>58750</v>
      </c>
    </row>
    <row r="3994" spans="1:5" x14ac:dyDescent="0.25">
      <c r="A3994" t="s">
        <v>2</v>
      </c>
      <c r="B3994">
        <v>1220609</v>
      </c>
      <c r="C3994">
        <v>57920</v>
      </c>
      <c r="D3994" s="4">
        <f>+VLOOKUP(A3994,Portfolio!$G$3:$I$6,3)</f>
        <v>1</v>
      </c>
      <c r="E3994">
        <f t="shared" si="62"/>
        <v>57920</v>
      </c>
    </row>
    <row r="3995" spans="1:5" x14ac:dyDescent="0.25">
      <c r="A3995" t="s">
        <v>2</v>
      </c>
      <c r="B3995">
        <v>1220610</v>
      </c>
      <c r="C3995">
        <v>57680</v>
      </c>
      <c r="D3995" s="4">
        <f>+VLOOKUP(A3995,Portfolio!$G$3:$I$6,3)</f>
        <v>1</v>
      </c>
      <c r="E3995">
        <f t="shared" si="62"/>
        <v>57680</v>
      </c>
    </row>
    <row r="3996" spans="1:5" x14ac:dyDescent="0.25">
      <c r="A3996" t="s">
        <v>2</v>
      </c>
      <c r="B3996">
        <v>1220612</v>
      </c>
      <c r="C3996">
        <v>54360</v>
      </c>
      <c r="D3996" s="4">
        <f>+VLOOKUP(A3996,Portfolio!$G$3:$I$6,3)</f>
        <v>1</v>
      </c>
      <c r="E3996">
        <f t="shared" si="62"/>
        <v>54360</v>
      </c>
    </row>
    <row r="3997" spans="1:5" x14ac:dyDescent="0.25">
      <c r="A3997" t="s">
        <v>2</v>
      </c>
      <c r="B3997">
        <v>1220613</v>
      </c>
      <c r="C3997">
        <v>55670</v>
      </c>
      <c r="D3997" s="4">
        <f>+VLOOKUP(A3997,Portfolio!$G$3:$I$6,3)</f>
        <v>1</v>
      </c>
      <c r="E3997">
        <f t="shared" si="62"/>
        <v>55670</v>
      </c>
    </row>
    <row r="3998" spans="1:5" x14ac:dyDescent="0.25">
      <c r="A3998" t="s">
        <v>2</v>
      </c>
      <c r="B3998">
        <v>1220614</v>
      </c>
      <c r="C3998">
        <v>59690</v>
      </c>
      <c r="D3998" s="4">
        <f>+VLOOKUP(A3998,Portfolio!$G$3:$I$6,3)</f>
        <v>1</v>
      </c>
      <c r="E3998">
        <f t="shared" si="62"/>
        <v>59690</v>
      </c>
    </row>
    <row r="3999" spans="1:5" x14ac:dyDescent="0.25">
      <c r="A3999" t="s">
        <v>2</v>
      </c>
      <c r="B3999">
        <v>1220615</v>
      </c>
      <c r="C3999">
        <v>60650</v>
      </c>
      <c r="D3999" s="4">
        <f>+VLOOKUP(A3999,Portfolio!$G$3:$I$6,3)</f>
        <v>1</v>
      </c>
      <c r="E3999">
        <f t="shared" si="62"/>
        <v>60650</v>
      </c>
    </row>
    <row r="4000" spans="1:5" x14ac:dyDescent="0.25">
      <c r="A4000" t="s">
        <v>2</v>
      </c>
      <c r="B4000">
        <v>1220616</v>
      </c>
      <c r="C4000">
        <v>61580</v>
      </c>
      <c r="D4000" s="4">
        <f>+VLOOKUP(A4000,Portfolio!$G$3:$I$6,3)</f>
        <v>1</v>
      </c>
      <c r="E4000">
        <f t="shared" si="62"/>
        <v>61580</v>
      </c>
    </row>
    <row r="4001" spans="1:5" x14ac:dyDescent="0.25">
      <c r="A4001" t="s">
        <v>2</v>
      </c>
      <c r="B4001">
        <v>1220617</v>
      </c>
      <c r="C4001">
        <v>59180</v>
      </c>
      <c r="D4001" s="4">
        <f>+VLOOKUP(A4001,Portfolio!$G$3:$I$6,3)</f>
        <v>1</v>
      </c>
      <c r="E4001">
        <f t="shared" si="62"/>
        <v>59180</v>
      </c>
    </row>
    <row r="4002" spans="1:5" x14ac:dyDescent="0.25">
      <c r="A4002" t="s">
        <v>2</v>
      </c>
      <c r="B4002">
        <v>1220619</v>
      </c>
      <c r="C4002">
        <v>57170</v>
      </c>
      <c r="D4002" s="4">
        <f>+VLOOKUP(A4002,Portfolio!$G$3:$I$6,3)</f>
        <v>1</v>
      </c>
      <c r="E4002">
        <f t="shared" si="62"/>
        <v>57170</v>
      </c>
    </row>
    <row r="4003" spans="1:5" x14ac:dyDescent="0.25">
      <c r="A4003" t="s">
        <v>2</v>
      </c>
      <c r="B4003">
        <v>1220620</v>
      </c>
      <c r="C4003">
        <v>57680</v>
      </c>
      <c r="D4003" s="4">
        <f>+VLOOKUP(A4003,Portfolio!$G$3:$I$6,3)</f>
        <v>1</v>
      </c>
      <c r="E4003">
        <f t="shared" si="62"/>
        <v>57680</v>
      </c>
    </row>
    <row r="4004" spans="1:5" x14ac:dyDescent="0.25">
      <c r="A4004" t="s">
        <v>2</v>
      </c>
      <c r="B4004">
        <v>1220621</v>
      </c>
      <c r="C4004">
        <v>57380</v>
      </c>
      <c r="D4004" s="4">
        <f>+VLOOKUP(A4004,Portfolio!$G$3:$I$6,3)</f>
        <v>1</v>
      </c>
      <c r="E4004">
        <f t="shared" si="62"/>
        <v>57380</v>
      </c>
    </row>
    <row r="4005" spans="1:5" x14ac:dyDescent="0.25">
      <c r="A4005" t="s">
        <v>2</v>
      </c>
      <c r="B4005">
        <v>1220622</v>
      </c>
      <c r="C4005">
        <v>57860</v>
      </c>
      <c r="D4005" s="4">
        <f>+VLOOKUP(A4005,Portfolio!$G$3:$I$6,3)</f>
        <v>1</v>
      </c>
      <c r="E4005">
        <f t="shared" si="62"/>
        <v>57860</v>
      </c>
    </row>
    <row r="4006" spans="1:5" x14ac:dyDescent="0.25">
      <c r="A4006" t="s">
        <v>2</v>
      </c>
      <c r="B4006">
        <v>1220623</v>
      </c>
      <c r="C4006">
        <v>57390</v>
      </c>
      <c r="D4006" s="4">
        <f>+VLOOKUP(A4006,Portfolio!$G$3:$I$6,3)</f>
        <v>1</v>
      </c>
      <c r="E4006">
        <f t="shared" si="62"/>
        <v>57390</v>
      </c>
    </row>
    <row r="4007" spans="1:5" x14ac:dyDescent="0.25">
      <c r="A4007" t="s">
        <v>2</v>
      </c>
      <c r="B4007">
        <v>1220624</v>
      </c>
      <c r="C4007">
        <v>57840</v>
      </c>
      <c r="D4007" s="4">
        <f>+VLOOKUP(A4007,Portfolio!$G$3:$I$6,3)</f>
        <v>1</v>
      </c>
      <c r="E4007">
        <f t="shared" si="62"/>
        <v>57840</v>
      </c>
    </row>
    <row r="4008" spans="1:5" x14ac:dyDescent="0.25">
      <c r="A4008" t="s">
        <v>2</v>
      </c>
      <c r="B4008">
        <v>1220626</v>
      </c>
      <c r="C4008">
        <v>57800</v>
      </c>
      <c r="D4008" s="4">
        <f>+VLOOKUP(A4008,Portfolio!$G$3:$I$6,3)</f>
        <v>1</v>
      </c>
      <c r="E4008">
        <f t="shared" si="62"/>
        <v>57800</v>
      </c>
    </row>
    <row r="4009" spans="1:5" x14ac:dyDescent="0.25">
      <c r="A4009" t="s">
        <v>2</v>
      </c>
      <c r="B4009">
        <v>1220627</v>
      </c>
      <c r="C4009">
        <v>57800</v>
      </c>
      <c r="D4009" s="4">
        <f>+VLOOKUP(A4009,Portfolio!$G$3:$I$6,3)</f>
        <v>1</v>
      </c>
      <c r="E4009">
        <f t="shared" si="62"/>
        <v>57800</v>
      </c>
    </row>
    <row r="4010" spans="1:5" x14ac:dyDescent="0.25">
      <c r="A4010" t="s">
        <v>2</v>
      </c>
      <c r="B4010">
        <v>1220628</v>
      </c>
      <c r="C4010">
        <v>58670</v>
      </c>
      <c r="D4010" s="4">
        <f>+VLOOKUP(A4010,Portfolio!$G$3:$I$6,3)</f>
        <v>1</v>
      </c>
      <c r="E4010">
        <f t="shared" si="62"/>
        <v>58670</v>
      </c>
    </row>
    <row r="4011" spans="1:5" x14ac:dyDescent="0.25">
      <c r="A4011" t="s">
        <v>2</v>
      </c>
      <c r="B4011">
        <v>1220629</v>
      </c>
      <c r="C4011">
        <v>57870</v>
      </c>
      <c r="D4011" s="4">
        <f>+VLOOKUP(A4011,Portfolio!$G$3:$I$6,3)</f>
        <v>1</v>
      </c>
      <c r="E4011">
        <f t="shared" si="62"/>
        <v>57870</v>
      </c>
    </row>
    <row r="4012" spans="1:5" x14ac:dyDescent="0.25">
      <c r="A4012" t="s">
        <v>2</v>
      </c>
      <c r="B4012">
        <v>1220630</v>
      </c>
      <c r="C4012">
        <v>57070</v>
      </c>
      <c r="D4012" s="4">
        <f>+VLOOKUP(A4012,Portfolio!$G$3:$I$6,3)</f>
        <v>1</v>
      </c>
      <c r="E4012">
        <f t="shared" si="62"/>
        <v>57070</v>
      </c>
    </row>
    <row r="4013" spans="1:5" x14ac:dyDescent="0.25">
      <c r="A4013" t="s">
        <v>2</v>
      </c>
      <c r="B4013">
        <v>1220701</v>
      </c>
      <c r="C4013">
        <v>53270</v>
      </c>
      <c r="D4013" s="4">
        <f>+VLOOKUP(A4013,Portfolio!$G$3:$I$6,3)</f>
        <v>1</v>
      </c>
      <c r="E4013">
        <f t="shared" si="62"/>
        <v>53270</v>
      </c>
    </row>
    <row r="4014" spans="1:5" x14ac:dyDescent="0.25">
      <c r="A4014" t="s">
        <v>2</v>
      </c>
      <c r="B4014">
        <v>1220703</v>
      </c>
      <c r="C4014">
        <v>50210</v>
      </c>
      <c r="D4014" s="4">
        <f>+VLOOKUP(A4014,Portfolio!$G$3:$I$6,3)</f>
        <v>1</v>
      </c>
      <c r="E4014">
        <f t="shared" si="62"/>
        <v>50210</v>
      </c>
    </row>
    <row r="4015" spans="1:5" x14ac:dyDescent="0.25">
      <c r="A4015" t="s">
        <v>2</v>
      </c>
      <c r="B4015">
        <v>1220704</v>
      </c>
      <c r="C4015">
        <v>50080</v>
      </c>
      <c r="D4015" s="4">
        <f>+VLOOKUP(A4015,Portfolio!$G$3:$I$6,3)</f>
        <v>1</v>
      </c>
      <c r="E4015">
        <f t="shared" si="62"/>
        <v>50080</v>
      </c>
    </row>
    <row r="4016" spans="1:5" x14ac:dyDescent="0.25">
      <c r="A4016" t="s">
        <v>2</v>
      </c>
      <c r="B4016">
        <v>1220705</v>
      </c>
      <c r="C4016">
        <v>50160</v>
      </c>
      <c r="D4016" s="4">
        <f>+VLOOKUP(A4016,Portfolio!$G$3:$I$6,3)</f>
        <v>1</v>
      </c>
      <c r="E4016">
        <f t="shared" si="62"/>
        <v>50160</v>
      </c>
    </row>
    <row r="4017" spans="1:5" x14ac:dyDescent="0.25">
      <c r="A4017" t="s">
        <v>2</v>
      </c>
      <c r="B4017">
        <v>1220706</v>
      </c>
      <c r="C4017">
        <v>54480</v>
      </c>
      <c r="D4017" s="4">
        <f>+VLOOKUP(A4017,Portfolio!$G$3:$I$6,3)</f>
        <v>1</v>
      </c>
      <c r="E4017">
        <f t="shared" si="62"/>
        <v>54480</v>
      </c>
    </row>
    <row r="4018" spans="1:5" x14ac:dyDescent="0.25">
      <c r="A4018" t="s">
        <v>2</v>
      </c>
      <c r="B4018">
        <v>1220707</v>
      </c>
      <c r="C4018">
        <v>55120</v>
      </c>
      <c r="D4018" s="4">
        <f>+VLOOKUP(A4018,Portfolio!$G$3:$I$6,3)</f>
        <v>1</v>
      </c>
      <c r="E4018">
        <f t="shared" si="62"/>
        <v>55120</v>
      </c>
    </row>
    <row r="4019" spans="1:5" x14ac:dyDescent="0.25">
      <c r="A4019" t="s">
        <v>2</v>
      </c>
      <c r="B4019">
        <v>1220708</v>
      </c>
      <c r="C4019">
        <v>55280</v>
      </c>
      <c r="D4019" s="4">
        <f>+VLOOKUP(A4019,Portfolio!$G$3:$I$6,3)</f>
        <v>1</v>
      </c>
      <c r="E4019">
        <f t="shared" si="62"/>
        <v>55280</v>
      </c>
    </row>
    <row r="4020" spans="1:5" x14ac:dyDescent="0.25">
      <c r="A4020" t="s">
        <v>2</v>
      </c>
      <c r="B4020">
        <v>1220710</v>
      </c>
      <c r="C4020">
        <v>52970</v>
      </c>
      <c r="D4020" s="4">
        <f>+VLOOKUP(A4020,Portfolio!$G$3:$I$6,3)</f>
        <v>1</v>
      </c>
      <c r="E4020">
        <f t="shared" si="62"/>
        <v>52970</v>
      </c>
    </row>
    <row r="4021" spans="1:5" x14ac:dyDescent="0.25">
      <c r="A4021" t="s">
        <v>2</v>
      </c>
      <c r="B4021">
        <v>1220711</v>
      </c>
      <c r="C4021">
        <v>53140</v>
      </c>
      <c r="D4021" s="4">
        <f>+VLOOKUP(A4021,Portfolio!$G$3:$I$6,3)</f>
        <v>1</v>
      </c>
      <c r="E4021">
        <f t="shared" si="62"/>
        <v>53140</v>
      </c>
    </row>
    <row r="4022" spans="1:5" x14ac:dyDescent="0.25">
      <c r="A4022" t="s">
        <v>2</v>
      </c>
      <c r="B4022">
        <v>1220712</v>
      </c>
      <c r="C4022">
        <v>53220</v>
      </c>
      <c r="D4022" s="4">
        <f>+VLOOKUP(A4022,Portfolio!$G$3:$I$6,3)</f>
        <v>1</v>
      </c>
      <c r="E4022">
        <f t="shared" si="62"/>
        <v>53220</v>
      </c>
    </row>
    <row r="4023" spans="1:5" x14ac:dyDescent="0.25">
      <c r="A4023" t="s">
        <v>2</v>
      </c>
      <c r="B4023">
        <v>1220713</v>
      </c>
      <c r="C4023">
        <v>52150</v>
      </c>
      <c r="D4023" s="4">
        <f>+VLOOKUP(A4023,Portfolio!$G$3:$I$6,3)</f>
        <v>1</v>
      </c>
      <c r="E4023">
        <f t="shared" si="62"/>
        <v>52150</v>
      </c>
    </row>
    <row r="4024" spans="1:5" x14ac:dyDescent="0.25">
      <c r="A4024" t="s">
        <v>2</v>
      </c>
      <c r="B4024">
        <v>1220714</v>
      </c>
      <c r="C4024">
        <v>50520</v>
      </c>
      <c r="D4024" s="4">
        <f>+VLOOKUP(A4024,Portfolio!$G$3:$I$6,3)</f>
        <v>1</v>
      </c>
      <c r="E4024">
        <f t="shared" si="62"/>
        <v>50520</v>
      </c>
    </row>
    <row r="4025" spans="1:5" x14ac:dyDescent="0.25">
      <c r="A4025" t="s">
        <v>2</v>
      </c>
      <c r="B4025">
        <v>1220715</v>
      </c>
      <c r="C4025">
        <v>53490</v>
      </c>
      <c r="D4025" s="4">
        <f>+VLOOKUP(A4025,Portfolio!$G$3:$I$6,3)</f>
        <v>1</v>
      </c>
      <c r="E4025">
        <f t="shared" si="62"/>
        <v>53490</v>
      </c>
    </row>
    <row r="4026" spans="1:5" x14ac:dyDescent="0.25">
      <c r="A4026" t="s">
        <v>2</v>
      </c>
      <c r="B4026">
        <v>1220717</v>
      </c>
      <c r="C4026">
        <v>52600</v>
      </c>
      <c r="D4026" s="4">
        <f>+VLOOKUP(A4026,Portfolio!$G$3:$I$6,3)</f>
        <v>1</v>
      </c>
      <c r="E4026">
        <f t="shared" si="62"/>
        <v>52600</v>
      </c>
    </row>
    <row r="4027" spans="1:5" x14ac:dyDescent="0.25">
      <c r="A4027" t="s">
        <v>2</v>
      </c>
      <c r="B4027">
        <v>1220718</v>
      </c>
      <c r="C4027">
        <v>51860</v>
      </c>
      <c r="D4027" s="4">
        <f>+VLOOKUP(A4027,Portfolio!$G$3:$I$6,3)</f>
        <v>1</v>
      </c>
      <c r="E4027">
        <f t="shared" si="62"/>
        <v>51860</v>
      </c>
    </row>
    <row r="4028" spans="1:5" x14ac:dyDescent="0.25">
      <c r="A4028" t="s">
        <v>2</v>
      </c>
      <c r="B4028">
        <v>1220719</v>
      </c>
      <c r="C4028">
        <v>50840</v>
      </c>
      <c r="D4028" s="4">
        <f>+VLOOKUP(A4028,Portfolio!$G$3:$I$6,3)</f>
        <v>1</v>
      </c>
      <c r="E4028">
        <f t="shared" si="62"/>
        <v>50840</v>
      </c>
    </row>
    <row r="4029" spans="1:5" x14ac:dyDescent="0.25">
      <c r="A4029" t="s">
        <v>2</v>
      </c>
      <c r="B4029">
        <v>1220720</v>
      </c>
      <c r="C4029">
        <v>50700</v>
      </c>
      <c r="D4029" s="4">
        <f>+VLOOKUP(A4029,Portfolio!$G$3:$I$6,3)</f>
        <v>1</v>
      </c>
      <c r="E4029">
        <f t="shared" si="62"/>
        <v>50700</v>
      </c>
    </row>
    <row r="4030" spans="1:5" x14ac:dyDescent="0.25">
      <c r="A4030" t="s">
        <v>2</v>
      </c>
      <c r="B4030">
        <v>1220721</v>
      </c>
      <c r="C4030">
        <v>50760</v>
      </c>
      <c r="D4030" s="4">
        <f>+VLOOKUP(A4030,Portfolio!$G$3:$I$6,3)</f>
        <v>1</v>
      </c>
      <c r="E4030">
        <f t="shared" si="62"/>
        <v>50760</v>
      </c>
    </row>
    <row r="4031" spans="1:5" x14ac:dyDescent="0.25">
      <c r="A4031" t="s">
        <v>2</v>
      </c>
      <c r="B4031">
        <v>1220722</v>
      </c>
      <c r="C4031">
        <v>51840</v>
      </c>
      <c r="D4031" s="4">
        <f>+VLOOKUP(A4031,Portfolio!$G$3:$I$6,3)</f>
        <v>1</v>
      </c>
      <c r="E4031">
        <f t="shared" si="62"/>
        <v>51840</v>
      </c>
    </row>
    <row r="4032" spans="1:5" x14ac:dyDescent="0.25">
      <c r="A4032" t="s">
        <v>2</v>
      </c>
      <c r="B4032">
        <v>1220724</v>
      </c>
      <c r="C4032">
        <v>53960</v>
      </c>
      <c r="D4032" s="4">
        <f>+VLOOKUP(A4032,Portfolio!$G$3:$I$6,3)</f>
        <v>1</v>
      </c>
      <c r="E4032">
        <f t="shared" si="62"/>
        <v>53960</v>
      </c>
    </row>
    <row r="4033" spans="1:5" x14ac:dyDescent="0.25">
      <c r="A4033" t="s">
        <v>2</v>
      </c>
      <c r="B4033">
        <v>1220725</v>
      </c>
      <c r="C4033">
        <v>53960</v>
      </c>
      <c r="D4033" s="4">
        <f>+VLOOKUP(A4033,Portfolio!$G$3:$I$6,3)</f>
        <v>1</v>
      </c>
      <c r="E4033">
        <f t="shared" si="62"/>
        <v>53960</v>
      </c>
    </row>
    <row r="4034" spans="1:5" x14ac:dyDescent="0.25">
      <c r="A4034" t="s">
        <v>2</v>
      </c>
      <c r="B4034">
        <v>1220726</v>
      </c>
      <c r="C4034">
        <v>53450</v>
      </c>
      <c r="D4034" s="4">
        <f>+VLOOKUP(A4034,Portfolio!$G$3:$I$6,3)</f>
        <v>1</v>
      </c>
      <c r="E4034">
        <f t="shared" si="62"/>
        <v>53450</v>
      </c>
    </row>
    <row r="4035" spans="1:5" x14ac:dyDescent="0.25">
      <c r="A4035" t="s">
        <v>2</v>
      </c>
      <c r="B4035">
        <v>1220727</v>
      </c>
      <c r="C4035">
        <v>53570</v>
      </c>
      <c r="D4035" s="4">
        <f>+VLOOKUP(A4035,Portfolio!$G$3:$I$6,3)</f>
        <v>1</v>
      </c>
      <c r="E4035">
        <f t="shared" ref="E4035:E4098" si="63">+C4035*D4035</f>
        <v>53570</v>
      </c>
    </row>
    <row r="4036" spans="1:5" x14ac:dyDescent="0.25">
      <c r="A4036" t="s">
        <v>2</v>
      </c>
      <c r="B4036">
        <v>1220728</v>
      </c>
      <c r="C4036">
        <v>54570</v>
      </c>
      <c r="D4036" s="4">
        <f>+VLOOKUP(A4036,Portfolio!$G$3:$I$6,3)</f>
        <v>1</v>
      </c>
      <c r="E4036">
        <f t="shared" si="63"/>
        <v>54570</v>
      </c>
    </row>
    <row r="4037" spans="1:5" x14ac:dyDescent="0.25">
      <c r="A4037" t="s">
        <v>2</v>
      </c>
      <c r="B4037">
        <v>1220729</v>
      </c>
      <c r="C4037">
        <v>56750</v>
      </c>
      <c r="D4037" s="4">
        <f>+VLOOKUP(A4037,Portfolio!$G$3:$I$6,3)</f>
        <v>1</v>
      </c>
      <c r="E4037">
        <f t="shared" si="63"/>
        <v>56750</v>
      </c>
    </row>
    <row r="4038" spans="1:5" x14ac:dyDescent="0.25">
      <c r="A4038" t="s">
        <v>2</v>
      </c>
      <c r="B4038">
        <v>1220731</v>
      </c>
      <c r="C4038">
        <v>55870</v>
      </c>
      <c r="D4038" s="4">
        <f>+VLOOKUP(A4038,Portfolio!$G$3:$I$6,3)</f>
        <v>1</v>
      </c>
      <c r="E4038">
        <f t="shared" si="63"/>
        <v>55870</v>
      </c>
    </row>
    <row r="4039" spans="1:5" x14ac:dyDescent="0.25">
      <c r="A4039" t="s">
        <v>2</v>
      </c>
      <c r="B4039">
        <v>1220801</v>
      </c>
      <c r="C4039">
        <v>55870</v>
      </c>
      <c r="D4039" s="4">
        <f>+VLOOKUP(A4039,Portfolio!$G$3:$I$6,3)</f>
        <v>1</v>
      </c>
      <c r="E4039">
        <f t="shared" si="63"/>
        <v>55870</v>
      </c>
    </row>
    <row r="4040" spans="1:5" x14ac:dyDescent="0.25">
      <c r="A4040" t="s">
        <v>2</v>
      </c>
      <c r="B4040">
        <v>1220802</v>
      </c>
      <c r="C4040">
        <v>56580</v>
      </c>
      <c r="D4040" s="4">
        <f>+VLOOKUP(A4040,Portfolio!$G$3:$I$6,3)</f>
        <v>1</v>
      </c>
      <c r="E4040">
        <f t="shared" si="63"/>
        <v>56580</v>
      </c>
    </row>
    <row r="4041" spans="1:5" x14ac:dyDescent="0.25">
      <c r="A4041" t="s">
        <v>2</v>
      </c>
      <c r="B4041">
        <v>1220803</v>
      </c>
      <c r="C4041">
        <v>55500</v>
      </c>
      <c r="D4041" s="4">
        <f>+VLOOKUP(A4041,Portfolio!$G$3:$I$6,3)</f>
        <v>1</v>
      </c>
      <c r="E4041">
        <f t="shared" si="63"/>
        <v>55500</v>
      </c>
    </row>
    <row r="4042" spans="1:5" x14ac:dyDescent="0.25">
      <c r="A4042" t="s">
        <v>2</v>
      </c>
      <c r="B4042">
        <v>1220804</v>
      </c>
      <c r="C4042">
        <v>54260</v>
      </c>
      <c r="D4042" s="4">
        <f>+VLOOKUP(A4042,Portfolio!$G$3:$I$6,3)</f>
        <v>1</v>
      </c>
      <c r="E4042">
        <f t="shared" si="63"/>
        <v>54260</v>
      </c>
    </row>
    <row r="4043" spans="1:5" x14ac:dyDescent="0.25">
      <c r="A4043" t="s">
        <v>2</v>
      </c>
      <c r="B4043">
        <v>1220805</v>
      </c>
      <c r="C4043">
        <v>55540</v>
      </c>
      <c r="D4043" s="4">
        <f>+VLOOKUP(A4043,Portfolio!$G$3:$I$6,3)</f>
        <v>1</v>
      </c>
      <c r="E4043">
        <f t="shared" si="63"/>
        <v>55540</v>
      </c>
    </row>
    <row r="4044" spans="1:5" x14ac:dyDescent="0.25">
      <c r="A4044" t="s">
        <v>2</v>
      </c>
      <c r="B4044">
        <v>1220807</v>
      </c>
      <c r="C4044">
        <v>57040</v>
      </c>
      <c r="D4044" s="4">
        <f>+VLOOKUP(A4044,Portfolio!$G$3:$I$6,3)</f>
        <v>1</v>
      </c>
      <c r="E4044">
        <f t="shared" si="63"/>
        <v>57040</v>
      </c>
    </row>
    <row r="4045" spans="1:5" x14ac:dyDescent="0.25">
      <c r="A4045" t="s">
        <v>2</v>
      </c>
      <c r="B4045">
        <v>1220808</v>
      </c>
      <c r="C4045">
        <v>57130</v>
      </c>
      <c r="D4045" s="4">
        <f>+VLOOKUP(A4045,Portfolio!$G$3:$I$6,3)</f>
        <v>1</v>
      </c>
      <c r="E4045">
        <f t="shared" si="63"/>
        <v>57130</v>
      </c>
    </row>
    <row r="4046" spans="1:5" x14ac:dyDescent="0.25">
      <c r="A4046" t="s">
        <v>2</v>
      </c>
      <c r="B4046">
        <v>1220809</v>
      </c>
      <c r="C4046">
        <v>57350</v>
      </c>
      <c r="D4046" s="4">
        <f>+VLOOKUP(A4046,Portfolio!$G$3:$I$6,3)</f>
        <v>1</v>
      </c>
      <c r="E4046">
        <f t="shared" si="63"/>
        <v>57350</v>
      </c>
    </row>
    <row r="4047" spans="1:5" x14ac:dyDescent="0.25">
      <c r="A4047" t="s">
        <v>2</v>
      </c>
      <c r="B4047">
        <v>1220810</v>
      </c>
      <c r="C4047">
        <v>57870</v>
      </c>
      <c r="D4047" s="4">
        <f>+VLOOKUP(A4047,Portfolio!$G$3:$I$6,3)</f>
        <v>1</v>
      </c>
      <c r="E4047">
        <f t="shared" si="63"/>
        <v>57870</v>
      </c>
    </row>
    <row r="4048" spans="1:5" x14ac:dyDescent="0.25">
      <c r="A4048" t="s">
        <v>2</v>
      </c>
      <c r="B4048">
        <v>1220811</v>
      </c>
      <c r="C4048">
        <v>55760</v>
      </c>
      <c r="D4048" s="4">
        <f>+VLOOKUP(A4048,Portfolio!$G$3:$I$6,3)</f>
        <v>1</v>
      </c>
      <c r="E4048">
        <f t="shared" si="63"/>
        <v>55760</v>
      </c>
    </row>
    <row r="4049" spans="1:5" x14ac:dyDescent="0.25">
      <c r="A4049" t="s">
        <v>2</v>
      </c>
      <c r="B4049">
        <v>1220812</v>
      </c>
      <c r="C4049">
        <v>56920</v>
      </c>
      <c r="D4049" s="4">
        <f>+VLOOKUP(A4049,Portfolio!$G$3:$I$6,3)</f>
        <v>1</v>
      </c>
      <c r="E4049">
        <f t="shared" si="63"/>
        <v>56920</v>
      </c>
    </row>
    <row r="4050" spans="1:5" x14ac:dyDescent="0.25">
      <c r="A4050" t="s">
        <v>2</v>
      </c>
      <c r="B4050">
        <v>1220814</v>
      </c>
      <c r="C4050">
        <v>56820</v>
      </c>
      <c r="D4050" s="4">
        <f>+VLOOKUP(A4050,Portfolio!$G$3:$I$6,3)</f>
        <v>1</v>
      </c>
      <c r="E4050">
        <f t="shared" si="63"/>
        <v>56820</v>
      </c>
    </row>
    <row r="4051" spans="1:5" x14ac:dyDescent="0.25">
      <c r="A4051" t="s">
        <v>2</v>
      </c>
      <c r="B4051">
        <v>1220815</v>
      </c>
      <c r="C4051">
        <v>56290</v>
      </c>
      <c r="D4051" s="4">
        <f>+VLOOKUP(A4051,Portfolio!$G$3:$I$6,3)</f>
        <v>1</v>
      </c>
      <c r="E4051">
        <f t="shared" si="63"/>
        <v>56290</v>
      </c>
    </row>
    <row r="4052" spans="1:5" x14ac:dyDescent="0.25">
      <c r="A4052" t="s">
        <v>2</v>
      </c>
      <c r="B4052">
        <v>1220816</v>
      </c>
      <c r="C4052">
        <v>55820</v>
      </c>
      <c r="D4052" s="4">
        <f>+VLOOKUP(A4052,Portfolio!$G$3:$I$6,3)</f>
        <v>1</v>
      </c>
      <c r="E4052">
        <f t="shared" si="63"/>
        <v>55820</v>
      </c>
    </row>
    <row r="4053" spans="1:5" x14ac:dyDescent="0.25">
      <c r="A4053" t="s">
        <v>2</v>
      </c>
      <c r="B4053">
        <v>1220817</v>
      </c>
      <c r="C4053">
        <v>56430</v>
      </c>
      <c r="D4053" s="4">
        <f>+VLOOKUP(A4053,Portfolio!$G$3:$I$6,3)</f>
        <v>1</v>
      </c>
      <c r="E4053">
        <f t="shared" si="63"/>
        <v>56430</v>
      </c>
    </row>
    <row r="4054" spans="1:5" x14ac:dyDescent="0.25">
      <c r="A4054" t="s">
        <v>2</v>
      </c>
      <c r="B4054">
        <v>1220818</v>
      </c>
      <c r="C4054">
        <v>57850</v>
      </c>
      <c r="D4054" s="4">
        <f>+VLOOKUP(A4054,Portfolio!$G$3:$I$6,3)</f>
        <v>1</v>
      </c>
      <c r="E4054">
        <f t="shared" si="63"/>
        <v>57850</v>
      </c>
    </row>
    <row r="4055" spans="1:5" x14ac:dyDescent="0.25">
      <c r="A4055" t="s">
        <v>2</v>
      </c>
      <c r="B4055">
        <v>1220819</v>
      </c>
      <c r="C4055">
        <v>56160</v>
      </c>
      <c r="D4055" s="4">
        <f>+VLOOKUP(A4055,Portfolio!$G$3:$I$6,3)</f>
        <v>1</v>
      </c>
      <c r="E4055">
        <f t="shared" si="63"/>
        <v>56160</v>
      </c>
    </row>
    <row r="4056" spans="1:5" x14ac:dyDescent="0.25">
      <c r="A4056" t="s">
        <v>2</v>
      </c>
      <c r="B4056">
        <v>1220821</v>
      </c>
      <c r="C4056">
        <v>54340</v>
      </c>
      <c r="D4056" s="4">
        <f>+VLOOKUP(A4056,Portfolio!$G$3:$I$6,3)</f>
        <v>1</v>
      </c>
      <c r="E4056">
        <f t="shared" si="63"/>
        <v>54340</v>
      </c>
    </row>
    <row r="4057" spans="1:5" x14ac:dyDescent="0.25">
      <c r="A4057" t="s">
        <v>2</v>
      </c>
      <c r="B4057">
        <v>1220822</v>
      </c>
      <c r="C4057">
        <v>54220</v>
      </c>
      <c r="D4057" s="4">
        <f>+VLOOKUP(A4057,Portfolio!$G$3:$I$6,3)</f>
        <v>1</v>
      </c>
      <c r="E4057">
        <f t="shared" si="63"/>
        <v>54220</v>
      </c>
    </row>
    <row r="4058" spans="1:5" x14ac:dyDescent="0.25">
      <c r="A4058" t="s">
        <v>2</v>
      </c>
      <c r="B4058">
        <v>1220823</v>
      </c>
      <c r="C4058">
        <v>53000</v>
      </c>
      <c r="D4058" s="4">
        <f>+VLOOKUP(A4058,Portfolio!$G$3:$I$6,3)</f>
        <v>1</v>
      </c>
      <c r="E4058">
        <f t="shared" si="63"/>
        <v>53000</v>
      </c>
    </row>
    <row r="4059" spans="1:5" x14ac:dyDescent="0.25">
      <c r="A4059" t="s">
        <v>2</v>
      </c>
      <c r="B4059">
        <v>1220824</v>
      </c>
      <c r="C4059">
        <v>50990</v>
      </c>
      <c r="D4059" s="4">
        <f>+VLOOKUP(A4059,Portfolio!$G$3:$I$6,3)</f>
        <v>1</v>
      </c>
      <c r="E4059">
        <f t="shared" si="63"/>
        <v>50990</v>
      </c>
    </row>
    <row r="4060" spans="1:5" x14ac:dyDescent="0.25">
      <c r="A4060" t="s">
        <v>2</v>
      </c>
      <c r="B4060">
        <v>1220825</v>
      </c>
      <c r="C4060">
        <v>49080</v>
      </c>
      <c r="D4060" s="4">
        <f>+VLOOKUP(A4060,Portfolio!$G$3:$I$6,3)</f>
        <v>1</v>
      </c>
      <c r="E4060">
        <f t="shared" si="63"/>
        <v>49080</v>
      </c>
    </row>
    <row r="4061" spans="1:5" x14ac:dyDescent="0.25">
      <c r="A4061" t="s">
        <v>2</v>
      </c>
      <c r="B4061">
        <v>1220826</v>
      </c>
      <c r="C4061">
        <v>47660</v>
      </c>
      <c r="D4061" s="4">
        <f>+VLOOKUP(A4061,Portfolio!$G$3:$I$6,3)</f>
        <v>1</v>
      </c>
      <c r="E4061">
        <f t="shared" si="63"/>
        <v>47660</v>
      </c>
    </row>
    <row r="4062" spans="1:5" x14ac:dyDescent="0.25">
      <c r="A4062" t="s">
        <v>2</v>
      </c>
      <c r="B4062">
        <v>1220828</v>
      </c>
      <c r="C4062">
        <v>48750</v>
      </c>
      <c r="D4062" s="4">
        <f>+VLOOKUP(A4062,Portfolio!$G$3:$I$6,3)</f>
        <v>1</v>
      </c>
      <c r="E4062">
        <f t="shared" si="63"/>
        <v>48750</v>
      </c>
    </row>
    <row r="4063" spans="1:5" x14ac:dyDescent="0.25">
      <c r="A4063" t="s">
        <v>2</v>
      </c>
      <c r="B4063">
        <v>1220829</v>
      </c>
      <c r="C4063">
        <v>49870</v>
      </c>
      <c r="D4063" s="4">
        <f>+VLOOKUP(A4063,Portfolio!$G$3:$I$6,3)</f>
        <v>1</v>
      </c>
      <c r="E4063">
        <f t="shared" si="63"/>
        <v>49870</v>
      </c>
    </row>
    <row r="4064" spans="1:5" x14ac:dyDescent="0.25">
      <c r="A4064" t="s">
        <v>2</v>
      </c>
      <c r="B4064">
        <v>1220830</v>
      </c>
      <c r="C4064">
        <v>50770</v>
      </c>
      <c r="D4064" s="4">
        <f>+VLOOKUP(A4064,Portfolio!$G$3:$I$6,3)</f>
        <v>1</v>
      </c>
      <c r="E4064">
        <f t="shared" si="63"/>
        <v>50770</v>
      </c>
    </row>
    <row r="4065" spans="1:5" x14ac:dyDescent="0.25">
      <c r="A4065" t="s">
        <v>2</v>
      </c>
      <c r="B4065">
        <v>1220831</v>
      </c>
      <c r="C4065">
        <v>51080</v>
      </c>
      <c r="D4065" s="4">
        <f>+VLOOKUP(A4065,Portfolio!$G$3:$I$6,3)</f>
        <v>1</v>
      </c>
      <c r="E4065">
        <f t="shared" si="63"/>
        <v>51080</v>
      </c>
    </row>
    <row r="4066" spans="1:5" x14ac:dyDescent="0.25">
      <c r="A4066" t="s">
        <v>2</v>
      </c>
      <c r="B4066">
        <v>1220901</v>
      </c>
      <c r="C4066">
        <v>51820</v>
      </c>
      <c r="D4066" s="4">
        <f>+VLOOKUP(A4066,Portfolio!$G$3:$I$6,3)</f>
        <v>1</v>
      </c>
      <c r="E4066">
        <f t="shared" si="63"/>
        <v>51820</v>
      </c>
    </row>
    <row r="4067" spans="1:5" x14ac:dyDescent="0.25">
      <c r="A4067" t="s">
        <v>2</v>
      </c>
      <c r="B4067">
        <v>1220902</v>
      </c>
      <c r="C4067">
        <v>50770</v>
      </c>
      <c r="D4067" s="4">
        <f>+VLOOKUP(A4067,Portfolio!$G$3:$I$6,3)</f>
        <v>1</v>
      </c>
      <c r="E4067">
        <f t="shared" si="63"/>
        <v>50770</v>
      </c>
    </row>
    <row r="4068" spans="1:5" x14ac:dyDescent="0.25">
      <c r="A4068" t="s">
        <v>2</v>
      </c>
      <c r="B4068">
        <v>1220904</v>
      </c>
      <c r="C4068">
        <v>50820</v>
      </c>
      <c r="D4068" s="4">
        <f>+VLOOKUP(A4068,Portfolio!$G$3:$I$6,3)</f>
        <v>1</v>
      </c>
      <c r="E4068">
        <f t="shared" si="63"/>
        <v>50820</v>
      </c>
    </row>
    <row r="4069" spans="1:5" x14ac:dyDescent="0.25">
      <c r="A4069" t="s">
        <v>2</v>
      </c>
      <c r="B4069">
        <v>1220905</v>
      </c>
      <c r="C4069">
        <v>51010</v>
      </c>
      <c r="D4069" s="4">
        <f>+VLOOKUP(A4069,Portfolio!$G$3:$I$6,3)</f>
        <v>1</v>
      </c>
      <c r="E4069">
        <f t="shared" si="63"/>
        <v>51010</v>
      </c>
    </row>
    <row r="4070" spans="1:5" x14ac:dyDescent="0.25">
      <c r="A4070" t="s">
        <v>2</v>
      </c>
      <c r="B4070">
        <v>1220906</v>
      </c>
      <c r="C4070">
        <v>51620</v>
      </c>
      <c r="D4070" s="4">
        <f>+VLOOKUP(A4070,Portfolio!$G$3:$I$6,3)</f>
        <v>1</v>
      </c>
      <c r="E4070">
        <f t="shared" si="63"/>
        <v>51620</v>
      </c>
    </row>
    <row r="4071" spans="1:5" x14ac:dyDescent="0.25">
      <c r="A4071" t="s">
        <v>2</v>
      </c>
      <c r="B4071">
        <v>1220907</v>
      </c>
      <c r="C4071">
        <v>53240</v>
      </c>
      <c r="D4071" s="4">
        <f>+VLOOKUP(A4071,Portfolio!$G$3:$I$6,3)</f>
        <v>1</v>
      </c>
      <c r="E4071">
        <f t="shared" si="63"/>
        <v>53240</v>
      </c>
    </row>
    <row r="4072" spans="1:5" x14ac:dyDescent="0.25">
      <c r="A4072" t="s">
        <v>2</v>
      </c>
      <c r="B4072">
        <v>1220908</v>
      </c>
      <c r="C4072">
        <v>53290</v>
      </c>
      <c r="D4072" s="4">
        <f>+VLOOKUP(A4072,Portfolio!$G$3:$I$6,3)</f>
        <v>1</v>
      </c>
      <c r="E4072">
        <f t="shared" si="63"/>
        <v>53290</v>
      </c>
    </row>
    <row r="4073" spans="1:5" x14ac:dyDescent="0.25">
      <c r="A4073" t="s">
        <v>2</v>
      </c>
      <c r="B4073">
        <v>1220909</v>
      </c>
      <c r="C4073">
        <v>52470</v>
      </c>
      <c r="D4073" s="4">
        <f>+VLOOKUP(A4073,Portfolio!$G$3:$I$6,3)</f>
        <v>1</v>
      </c>
      <c r="E4073">
        <f t="shared" si="63"/>
        <v>52470</v>
      </c>
    </row>
    <row r="4074" spans="1:5" x14ac:dyDescent="0.25">
      <c r="A4074" t="s">
        <v>2</v>
      </c>
      <c r="B4074">
        <v>1220911</v>
      </c>
      <c r="C4074">
        <v>50440</v>
      </c>
      <c r="D4074" s="4">
        <f>+VLOOKUP(A4074,Portfolio!$G$3:$I$6,3)</f>
        <v>1</v>
      </c>
      <c r="E4074">
        <f t="shared" si="63"/>
        <v>50440</v>
      </c>
    </row>
    <row r="4075" spans="1:5" x14ac:dyDescent="0.25">
      <c r="A4075" t="s">
        <v>2</v>
      </c>
      <c r="B4075">
        <v>1220912</v>
      </c>
      <c r="C4075">
        <v>49760</v>
      </c>
      <c r="D4075" s="4">
        <f>+VLOOKUP(A4075,Portfolio!$G$3:$I$6,3)</f>
        <v>1</v>
      </c>
      <c r="E4075">
        <f t="shared" si="63"/>
        <v>49760</v>
      </c>
    </row>
    <row r="4076" spans="1:5" x14ac:dyDescent="0.25">
      <c r="A4076" t="s">
        <v>2</v>
      </c>
      <c r="B4076">
        <v>1220913</v>
      </c>
      <c r="C4076">
        <v>50550</v>
      </c>
      <c r="D4076" s="4">
        <f>+VLOOKUP(A4076,Portfolio!$G$3:$I$6,3)</f>
        <v>1</v>
      </c>
      <c r="E4076">
        <f t="shared" si="63"/>
        <v>50550</v>
      </c>
    </row>
    <row r="4077" spans="1:5" x14ac:dyDescent="0.25">
      <c r="A4077" t="s">
        <v>2</v>
      </c>
      <c r="B4077">
        <v>1220914</v>
      </c>
      <c r="C4077">
        <v>52420</v>
      </c>
      <c r="D4077" s="4">
        <f>+VLOOKUP(A4077,Portfolio!$G$3:$I$6,3)</f>
        <v>1</v>
      </c>
      <c r="E4077">
        <f t="shared" si="63"/>
        <v>52420</v>
      </c>
    </row>
    <row r="4078" spans="1:5" x14ac:dyDescent="0.25">
      <c r="A4078" t="s">
        <v>2</v>
      </c>
      <c r="B4078">
        <v>1220915</v>
      </c>
      <c r="C4078">
        <v>50650</v>
      </c>
      <c r="D4078" s="4">
        <f>+VLOOKUP(A4078,Portfolio!$G$3:$I$6,3)</f>
        <v>1</v>
      </c>
      <c r="E4078">
        <f t="shared" si="63"/>
        <v>50650</v>
      </c>
    </row>
    <row r="4079" spans="1:5" x14ac:dyDescent="0.25">
      <c r="A4079" t="s">
        <v>2</v>
      </c>
      <c r="B4079">
        <v>1220916</v>
      </c>
      <c r="C4079">
        <v>52490</v>
      </c>
      <c r="D4079" s="4">
        <f>+VLOOKUP(A4079,Portfolio!$G$3:$I$6,3)</f>
        <v>1</v>
      </c>
      <c r="E4079">
        <f t="shared" si="63"/>
        <v>52490</v>
      </c>
    </row>
    <row r="4080" spans="1:5" x14ac:dyDescent="0.25">
      <c r="A4080" t="s">
        <v>2</v>
      </c>
      <c r="B4080">
        <v>1220918</v>
      </c>
      <c r="C4080">
        <v>53710</v>
      </c>
      <c r="D4080" s="4">
        <f>+VLOOKUP(A4080,Portfolio!$G$3:$I$6,3)</f>
        <v>1</v>
      </c>
      <c r="E4080">
        <f t="shared" si="63"/>
        <v>53710</v>
      </c>
    </row>
    <row r="4081" spans="1:5" x14ac:dyDescent="0.25">
      <c r="A4081" t="s">
        <v>2</v>
      </c>
      <c r="B4081">
        <v>1220919</v>
      </c>
      <c r="C4081">
        <v>52740</v>
      </c>
      <c r="D4081" s="4">
        <f>+VLOOKUP(A4081,Portfolio!$G$3:$I$6,3)</f>
        <v>1</v>
      </c>
      <c r="E4081">
        <f t="shared" si="63"/>
        <v>52740</v>
      </c>
    </row>
    <row r="4082" spans="1:5" x14ac:dyDescent="0.25">
      <c r="A4082" t="s">
        <v>2</v>
      </c>
      <c r="B4082">
        <v>1220920</v>
      </c>
      <c r="C4082">
        <v>52310</v>
      </c>
      <c r="D4082" s="4">
        <f>+VLOOKUP(A4082,Portfolio!$G$3:$I$6,3)</f>
        <v>1</v>
      </c>
      <c r="E4082">
        <f t="shared" si="63"/>
        <v>52310</v>
      </c>
    </row>
    <row r="4083" spans="1:5" x14ac:dyDescent="0.25">
      <c r="A4083" t="s">
        <v>2</v>
      </c>
      <c r="B4083">
        <v>1220921</v>
      </c>
      <c r="C4083">
        <v>52970</v>
      </c>
      <c r="D4083" s="4">
        <f>+VLOOKUP(A4083,Portfolio!$G$3:$I$6,3)</f>
        <v>1</v>
      </c>
      <c r="E4083">
        <f t="shared" si="63"/>
        <v>52970</v>
      </c>
    </row>
    <row r="4084" spans="1:5" x14ac:dyDescent="0.25">
      <c r="A4084" t="s">
        <v>2</v>
      </c>
      <c r="B4084">
        <v>1220922</v>
      </c>
      <c r="C4084">
        <v>50310</v>
      </c>
      <c r="D4084" s="4">
        <f>+VLOOKUP(A4084,Portfolio!$G$3:$I$6,3)</f>
        <v>1</v>
      </c>
      <c r="E4084">
        <f t="shared" si="63"/>
        <v>50310</v>
      </c>
    </row>
    <row r="4085" spans="1:5" x14ac:dyDescent="0.25">
      <c r="A4085" t="s">
        <v>2</v>
      </c>
      <c r="B4085">
        <v>1220923</v>
      </c>
      <c r="C4085">
        <v>52540</v>
      </c>
      <c r="D4085" s="4">
        <f>+VLOOKUP(A4085,Portfolio!$G$3:$I$6,3)</f>
        <v>1</v>
      </c>
      <c r="E4085">
        <f t="shared" si="63"/>
        <v>52540</v>
      </c>
    </row>
    <row r="4086" spans="1:5" x14ac:dyDescent="0.25">
      <c r="A4086" t="s">
        <v>2</v>
      </c>
      <c r="B4086">
        <v>1220925</v>
      </c>
      <c r="C4086">
        <v>54760</v>
      </c>
      <c r="D4086" s="4">
        <f>+VLOOKUP(A4086,Portfolio!$G$3:$I$6,3)</f>
        <v>1</v>
      </c>
      <c r="E4086">
        <f t="shared" si="63"/>
        <v>54760</v>
      </c>
    </row>
    <row r="4087" spans="1:5" x14ac:dyDescent="0.25">
      <c r="A4087" t="s">
        <v>2</v>
      </c>
      <c r="B4087">
        <v>1220926</v>
      </c>
      <c r="C4087">
        <v>55360</v>
      </c>
      <c r="D4087" s="4">
        <f>+VLOOKUP(A4087,Portfolio!$G$3:$I$6,3)</f>
        <v>1</v>
      </c>
      <c r="E4087">
        <f t="shared" si="63"/>
        <v>55360</v>
      </c>
    </row>
    <row r="4088" spans="1:5" x14ac:dyDescent="0.25">
      <c r="A4088" t="s">
        <v>2</v>
      </c>
      <c r="B4088">
        <v>1220927</v>
      </c>
      <c r="C4088">
        <v>54970</v>
      </c>
      <c r="D4088" s="4">
        <f>+VLOOKUP(A4088,Portfolio!$G$3:$I$6,3)</f>
        <v>1</v>
      </c>
      <c r="E4088">
        <f t="shared" si="63"/>
        <v>54970</v>
      </c>
    </row>
    <row r="4089" spans="1:5" x14ac:dyDescent="0.25">
      <c r="A4089" t="s">
        <v>2</v>
      </c>
      <c r="B4089">
        <v>1220928</v>
      </c>
      <c r="C4089">
        <v>53300</v>
      </c>
      <c r="D4089" s="4">
        <f>+VLOOKUP(A4089,Portfolio!$G$3:$I$6,3)</f>
        <v>1</v>
      </c>
      <c r="E4089">
        <f t="shared" si="63"/>
        <v>53300</v>
      </c>
    </row>
    <row r="4090" spans="1:5" x14ac:dyDescent="0.25">
      <c r="A4090" t="s">
        <v>2</v>
      </c>
      <c r="B4090">
        <v>1220929</v>
      </c>
      <c r="C4090">
        <v>54470</v>
      </c>
      <c r="D4090" s="4">
        <f>+VLOOKUP(A4090,Portfolio!$G$3:$I$6,3)</f>
        <v>1</v>
      </c>
      <c r="E4090">
        <f t="shared" si="63"/>
        <v>54470</v>
      </c>
    </row>
    <row r="4091" spans="1:5" x14ac:dyDescent="0.25">
      <c r="A4091" t="s">
        <v>2</v>
      </c>
      <c r="B4091">
        <v>1220930</v>
      </c>
      <c r="C4091">
        <v>55080</v>
      </c>
      <c r="D4091" s="4">
        <f>+VLOOKUP(A4091,Portfolio!$G$3:$I$6,3)</f>
        <v>1</v>
      </c>
      <c r="E4091">
        <f t="shared" si="63"/>
        <v>55080</v>
      </c>
    </row>
    <row r="4092" spans="1:5" x14ac:dyDescent="0.25">
      <c r="A4092" t="s">
        <v>2</v>
      </c>
      <c r="B4092">
        <v>1221002</v>
      </c>
      <c r="C4092">
        <v>55910</v>
      </c>
      <c r="D4092" s="4">
        <f>+VLOOKUP(A4092,Portfolio!$G$3:$I$6,3)</f>
        <v>1</v>
      </c>
      <c r="E4092">
        <f t="shared" si="63"/>
        <v>55910</v>
      </c>
    </row>
    <row r="4093" spans="1:5" x14ac:dyDescent="0.25">
      <c r="A4093" t="s">
        <v>2</v>
      </c>
      <c r="B4093">
        <v>1221003</v>
      </c>
      <c r="C4093">
        <v>55910</v>
      </c>
      <c r="D4093" s="4">
        <f>+VLOOKUP(A4093,Portfolio!$G$3:$I$6,3)</f>
        <v>1</v>
      </c>
      <c r="E4093">
        <f t="shared" si="63"/>
        <v>55910</v>
      </c>
    </row>
    <row r="4094" spans="1:5" x14ac:dyDescent="0.25">
      <c r="A4094" t="s">
        <v>2</v>
      </c>
      <c r="B4094">
        <v>1221004</v>
      </c>
      <c r="C4094">
        <v>58320</v>
      </c>
      <c r="D4094" s="4">
        <f>+VLOOKUP(A4094,Portfolio!$G$3:$I$6,3)</f>
        <v>1</v>
      </c>
      <c r="E4094">
        <f t="shared" si="63"/>
        <v>58320</v>
      </c>
    </row>
    <row r="4095" spans="1:5" x14ac:dyDescent="0.25">
      <c r="A4095" t="s">
        <v>2</v>
      </c>
      <c r="B4095">
        <v>1221005</v>
      </c>
      <c r="C4095">
        <v>59330</v>
      </c>
      <c r="D4095" s="4">
        <f>+VLOOKUP(A4095,Portfolio!$G$3:$I$6,3)</f>
        <v>1</v>
      </c>
      <c r="E4095">
        <f t="shared" si="63"/>
        <v>59330</v>
      </c>
    </row>
    <row r="4096" spans="1:5" x14ac:dyDescent="0.25">
      <c r="A4096" t="s">
        <v>2</v>
      </c>
      <c r="B4096">
        <v>1221006</v>
      </c>
      <c r="C4096">
        <v>58610</v>
      </c>
      <c r="D4096" s="4">
        <f>+VLOOKUP(A4096,Portfolio!$G$3:$I$6,3)</f>
        <v>1</v>
      </c>
      <c r="E4096">
        <f t="shared" si="63"/>
        <v>58610</v>
      </c>
    </row>
    <row r="4097" spans="1:5" x14ac:dyDescent="0.25">
      <c r="A4097" t="s">
        <v>2</v>
      </c>
      <c r="B4097">
        <v>1221007</v>
      </c>
      <c r="C4097">
        <v>59920</v>
      </c>
      <c r="D4097" s="4">
        <f>+VLOOKUP(A4097,Portfolio!$G$3:$I$6,3)</f>
        <v>1</v>
      </c>
      <c r="E4097">
        <f t="shared" si="63"/>
        <v>59920</v>
      </c>
    </row>
    <row r="4098" spans="1:5" x14ac:dyDescent="0.25">
      <c r="A4098" t="s">
        <v>2</v>
      </c>
      <c r="B4098">
        <v>1221009</v>
      </c>
      <c r="C4098">
        <v>60010</v>
      </c>
      <c r="D4098" s="4">
        <f>+VLOOKUP(A4098,Portfolio!$G$3:$I$6,3)</f>
        <v>1</v>
      </c>
      <c r="E4098">
        <f t="shared" si="63"/>
        <v>60010</v>
      </c>
    </row>
    <row r="4099" spans="1:5" x14ac:dyDescent="0.25">
      <c r="A4099" t="s">
        <v>2</v>
      </c>
      <c r="B4099">
        <v>1221010</v>
      </c>
      <c r="C4099">
        <v>60930</v>
      </c>
      <c r="D4099" s="4">
        <f>+VLOOKUP(A4099,Portfolio!$G$3:$I$6,3)</f>
        <v>1</v>
      </c>
      <c r="E4099">
        <f t="shared" ref="E4099:E4162" si="64">+C4099*D4099</f>
        <v>60930</v>
      </c>
    </row>
    <row r="4100" spans="1:5" x14ac:dyDescent="0.25">
      <c r="A4100" t="s">
        <v>2</v>
      </c>
      <c r="B4100">
        <v>1221011</v>
      </c>
      <c r="C4100">
        <v>63450</v>
      </c>
      <c r="D4100" s="4">
        <f>+VLOOKUP(A4100,Portfolio!$G$3:$I$6,3)</f>
        <v>1</v>
      </c>
      <c r="E4100">
        <f t="shared" si="64"/>
        <v>63450</v>
      </c>
    </row>
    <row r="4101" spans="1:5" x14ac:dyDescent="0.25">
      <c r="A4101" t="s">
        <v>2</v>
      </c>
      <c r="B4101">
        <v>1221012</v>
      </c>
      <c r="C4101">
        <v>60780</v>
      </c>
      <c r="D4101" s="4">
        <f>+VLOOKUP(A4101,Portfolio!$G$3:$I$6,3)</f>
        <v>1</v>
      </c>
      <c r="E4101">
        <f t="shared" si="64"/>
        <v>60780</v>
      </c>
    </row>
    <row r="4102" spans="1:5" x14ac:dyDescent="0.25">
      <c r="A4102" t="s">
        <v>2</v>
      </c>
      <c r="B4102">
        <v>1221013</v>
      </c>
      <c r="C4102">
        <v>61440</v>
      </c>
      <c r="D4102" s="4">
        <f>+VLOOKUP(A4102,Portfolio!$G$3:$I$6,3)</f>
        <v>1</v>
      </c>
      <c r="E4102">
        <f t="shared" si="64"/>
        <v>61440</v>
      </c>
    </row>
    <row r="4103" spans="1:5" x14ac:dyDescent="0.25">
      <c r="A4103" t="s">
        <v>2</v>
      </c>
      <c r="B4103">
        <v>1221014</v>
      </c>
      <c r="C4103">
        <v>60720</v>
      </c>
      <c r="D4103" s="4">
        <f>+VLOOKUP(A4103,Portfolio!$G$3:$I$6,3)</f>
        <v>1</v>
      </c>
      <c r="E4103">
        <f t="shared" si="64"/>
        <v>60720</v>
      </c>
    </row>
    <row r="4104" spans="1:5" x14ac:dyDescent="0.25">
      <c r="A4104" t="s">
        <v>2</v>
      </c>
      <c r="B4104">
        <v>1221016</v>
      </c>
      <c r="C4104">
        <v>62580</v>
      </c>
      <c r="D4104" s="4">
        <f>+VLOOKUP(A4104,Portfolio!$G$3:$I$6,3)</f>
        <v>1</v>
      </c>
      <c r="E4104">
        <f t="shared" si="64"/>
        <v>62580</v>
      </c>
    </row>
    <row r="4105" spans="1:5" x14ac:dyDescent="0.25">
      <c r="A4105" t="s">
        <v>2</v>
      </c>
      <c r="B4105">
        <v>1221017</v>
      </c>
      <c r="C4105">
        <v>62580</v>
      </c>
      <c r="D4105" s="4">
        <f>+VLOOKUP(A4105,Portfolio!$G$3:$I$6,3)</f>
        <v>1</v>
      </c>
      <c r="E4105">
        <f t="shared" si="64"/>
        <v>62580</v>
      </c>
    </row>
    <row r="4106" spans="1:5" x14ac:dyDescent="0.25">
      <c r="A4106" t="s">
        <v>2</v>
      </c>
      <c r="B4106">
        <v>1221018</v>
      </c>
      <c r="C4106">
        <v>62060</v>
      </c>
      <c r="D4106" s="4">
        <f>+VLOOKUP(A4106,Portfolio!$G$3:$I$6,3)</f>
        <v>1</v>
      </c>
      <c r="E4106">
        <f t="shared" si="64"/>
        <v>62060</v>
      </c>
    </row>
    <row r="4107" spans="1:5" x14ac:dyDescent="0.25">
      <c r="A4107" t="s">
        <v>2</v>
      </c>
      <c r="B4107">
        <v>1221019</v>
      </c>
      <c r="C4107">
        <v>61720</v>
      </c>
      <c r="D4107" s="4">
        <f>+VLOOKUP(A4107,Portfolio!$G$3:$I$6,3)</f>
        <v>1</v>
      </c>
      <c r="E4107">
        <f t="shared" si="64"/>
        <v>61720</v>
      </c>
    </row>
    <row r="4108" spans="1:5" x14ac:dyDescent="0.25">
      <c r="A4108" t="s">
        <v>2</v>
      </c>
      <c r="B4108">
        <v>1221020</v>
      </c>
      <c r="C4108">
        <v>64120</v>
      </c>
      <c r="D4108" s="4">
        <f>+VLOOKUP(A4108,Portfolio!$G$3:$I$6,3)</f>
        <v>1</v>
      </c>
      <c r="E4108">
        <f t="shared" si="64"/>
        <v>64120</v>
      </c>
    </row>
    <row r="4109" spans="1:5" x14ac:dyDescent="0.25">
      <c r="A4109" t="s">
        <v>2</v>
      </c>
      <c r="B4109">
        <v>1221021</v>
      </c>
      <c r="C4109">
        <v>61840</v>
      </c>
      <c r="D4109" s="4">
        <f>+VLOOKUP(A4109,Portfolio!$G$3:$I$6,3)</f>
        <v>1</v>
      </c>
      <c r="E4109">
        <f t="shared" si="64"/>
        <v>61840</v>
      </c>
    </row>
    <row r="4110" spans="1:5" x14ac:dyDescent="0.25">
      <c r="A4110" t="s">
        <v>2</v>
      </c>
      <c r="B4110">
        <v>1221023</v>
      </c>
      <c r="C4110">
        <v>65440</v>
      </c>
      <c r="D4110" s="4">
        <f>+VLOOKUP(A4110,Portfolio!$G$3:$I$6,3)</f>
        <v>1</v>
      </c>
      <c r="E4110">
        <f t="shared" si="64"/>
        <v>65440</v>
      </c>
    </row>
    <row r="4111" spans="1:5" x14ac:dyDescent="0.25">
      <c r="A4111" t="s">
        <v>2</v>
      </c>
      <c r="B4111">
        <v>1221024</v>
      </c>
      <c r="C4111">
        <v>64950</v>
      </c>
      <c r="D4111" s="4">
        <f>+VLOOKUP(A4111,Portfolio!$G$3:$I$6,3)</f>
        <v>1</v>
      </c>
      <c r="E4111">
        <f t="shared" si="64"/>
        <v>64950</v>
      </c>
    </row>
    <row r="4112" spans="1:5" x14ac:dyDescent="0.25">
      <c r="A4112" t="s">
        <v>2</v>
      </c>
      <c r="B4112">
        <v>1221025</v>
      </c>
      <c r="C4112">
        <v>64110</v>
      </c>
      <c r="D4112" s="4">
        <f>+VLOOKUP(A4112,Portfolio!$G$3:$I$6,3)</f>
        <v>1</v>
      </c>
      <c r="E4112">
        <f t="shared" si="64"/>
        <v>64110</v>
      </c>
    </row>
    <row r="4113" spans="1:5" x14ac:dyDescent="0.25">
      <c r="A4113" t="s">
        <v>2</v>
      </c>
      <c r="B4113">
        <v>1221026</v>
      </c>
      <c r="C4113">
        <v>63570</v>
      </c>
      <c r="D4113" s="4">
        <f>+VLOOKUP(A4113,Portfolio!$G$3:$I$6,3)</f>
        <v>1</v>
      </c>
      <c r="E4113">
        <f t="shared" si="64"/>
        <v>63570</v>
      </c>
    </row>
    <row r="4114" spans="1:5" x14ac:dyDescent="0.25">
      <c r="A4114" t="s">
        <v>2</v>
      </c>
      <c r="B4114">
        <v>1221027</v>
      </c>
      <c r="C4114">
        <v>61310</v>
      </c>
      <c r="D4114" s="4">
        <f>+VLOOKUP(A4114,Portfolio!$G$3:$I$6,3)</f>
        <v>1</v>
      </c>
      <c r="E4114">
        <f t="shared" si="64"/>
        <v>61310</v>
      </c>
    </row>
    <row r="4115" spans="1:5" x14ac:dyDescent="0.25">
      <c r="A4115" t="s">
        <v>2</v>
      </c>
      <c r="B4115">
        <v>1221028</v>
      </c>
      <c r="C4115">
        <v>60460</v>
      </c>
      <c r="D4115" s="4">
        <f>+VLOOKUP(A4115,Portfolio!$G$3:$I$6,3)</f>
        <v>1</v>
      </c>
      <c r="E4115">
        <f t="shared" si="64"/>
        <v>60460</v>
      </c>
    </row>
    <row r="4116" spans="1:5" x14ac:dyDescent="0.25">
      <c r="A4116" t="s">
        <v>2</v>
      </c>
      <c r="B4116">
        <v>1221030</v>
      </c>
      <c r="C4116">
        <v>62320</v>
      </c>
      <c r="D4116" s="4">
        <f>+VLOOKUP(A4116,Portfolio!$G$3:$I$6,3)</f>
        <v>1</v>
      </c>
      <c r="E4116">
        <f t="shared" si="64"/>
        <v>62320</v>
      </c>
    </row>
    <row r="4117" spans="1:5" x14ac:dyDescent="0.25">
      <c r="A4117" t="s">
        <v>2</v>
      </c>
      <c r="B4117">
        <v>1221031</v>
      </c>
      <c r="C4117">
        <v>62320</v>
      </c>
      <c r="D4117" s="4">
        <f>+VLOOKUP(A4117,Portfolio!$G$3:$I$6,3)</f>
        <v>1</v>
      </c>
      <c r="E4117">
        <f t="shared" si="64"/>
        <v>62320</v>
      </c>
    </row>
    <row r="4118" spans="1:5" x14ac:dyDescent="0.25">
      <c r="A4118" t="s">
        <v>2</v>
      </c>
      <c r="B4118">
        <v>1221101</v>
      </c>
      <c r="C4118">
        <v>62590</v>
      </c>
      <c r="D4118" s="4">
        <f>+VLOOKUP(A4118,Portfolio!$G$3:$I$6,3)</f>
        <v>1</v>
      </c>
      <c r="E4118">
        <f t="shared" si="64"/>
        <v>62590</v>
      </c>
    </row>
    <row r="4119" spans="1:5" x14ac:dyDescent="0.25">
      <c r="A4119" t="s">
        <v>2</v>
      </c>
      <c r="B4119">
        <v>1221102</v>
      </c>
      <c r="C4119">
        <v>61470</v>
      </c>
      <c r="D4119" s="4">
        <f>+VLOOKUP(A4119,Portfolio!$G$3:$I$6,3)</f>
        <v>1</v>
      </c>
      <c r="E4119">
        <f t="shared" si="64"/>
        <v>61470</v>
      </c>
    </row>
    <row r="4120" spans="1:5" x14ac:dyDescent="0.25">
      <c r="A4120" t="s">
        <v>2</v>
      </c>
      <c r="B4120">
        <v>1221103</v>
      </c>
      <c r="C4120">
        <v>60090</v>
      </c>
      <c r="D4120" s="4">
        <f>+VLOOKUP(A4120,Portfolio!$G$3:$I$6,3)</f>
        <v>1</v>
      </c>
      <c r="E4120">
        <f t="shared" si="64"/>
        <v>60090</v>
      </c>
    </row>
    <row r="4121" spans="1:5" x14ac:dyDescent="0.25">
      <c r="A4121" t="s">
        <v>2</v>
      </c>
      <c r="B4121">
        <v>1221104</v>
      </c>
      <c r="C4121">
        <v>57960</v>
      </c>
      <c r="D4121" s="4">
        <f>+VLOOKUP(A4121,Portfolio!$G$3:$I$6,3)</f>
        <v>1</v>
      </c>
      <c r="E4121">
        <f t="shared" si="64"/>
        <v>57960</v>
      </c>
    </row>
    <row r="4122" spans="1:5" x14ac:dyDescent="0.25">
      <c r="A4122" t="s">
        <v>2</v>
      </c>
      <c r="B4122">
        <v>1221106</v>
      </c>
      <c r="C4122">
        <v>59240</v>
      </c>
      <c r="D4122" s="4">
        <f>+VLOOKUP(A4122,Portfolio!$G$3:$I$6,3)</f>
        <v>1</v>
      </c>
      <c r="E4122">
        <f t="shared" si="64"/>
        <v>59240</v>
      </c>
    </row>
    <row r="4123" spans="1:5" x14ac:dyDescent="0.25">
      <c r="A4123" t="s">
        <v>2</v>
      </c>
      <c r="B4123">
        <v>1221107</v>
      </c>
      <c r="C4123">
        <v>59220</v>
      </c>
      <c r="D4123" s="4">
        <f>+VLOOKUP(A4123,Portfolio!$G$3:$I$6,3)</f>
        <v>1</v>
      </c>
      <c r="E4123">
        <f t="shared" si="64"/>
        <v>59220</v>
      </c>
    </row>
    <row r="4124" spans="1:5" x14ac:dyDescent="0.25">
      <c r="A4124" t="s">
        <v>2</v>
      </c>
      <c r="B4124">
        <v>1221108</v>
      </c>
      <c r="C4124">
        <v>58920</v>
      </c>
      <c r="D4124" s="4">
        <f>+VLOOKUP(A4124,Portfolio!$G$3:$I$6,3)</f>
        <v>1</v>
      </c>
      <c r="E4124">
        <f t="shared" si="64"/>
        <v>58920</v>
      </c>
    </row>
    <row r="4125" spans="1:5" x14ac:dyDescent="0.25">
      <c r="A4125" t="s">
        <v>2</v>
      </c>
      <c r="B4125">
        <v>1221109</v>
      </c>
      <c r="C4125">
        <v>61210</v>
      </c>
      <c r="D4125" s="4">
        <f>+VLOOKUP(A4125,Portfolio!$G$3:$I$6,3)</f>
        <v>1</v>
      </c>
      <c r="E4125">
        <f t="shared" si="64"/>
        <v>61210</v>
      </c>
    </row>
    <row r="4126" spans="1:5" x14ac:dyDescent="0.25">
      <c r="A4126" t="s">
        <v>2</v>
      </c>
      <c r="B4126">
        <v>1221110</v>
      </c>
      <c r="C4126">
        <v>60870</v>
      </c>
      <c r="D4126" s="4">
        <f>+VLOOKUP(A4126,Portfolio!$G$3:$I$6,3)</f>
        <v>1</v>
      </c>
      <c r="E4126">
        <f t="shared" si="64"/>
        <v>60870</v>
      </c>
    </row>
    <row r="4127" spans="1:5" x14ac:dyDescent="0.25">
      <c r="A4127" t="s">
        <v>2</v>
      </c>
      <c r="B4127">
        <v>1221111</v>
      </c>
      <c r="C4127">
        <v>65090</v>
      </c>
      <c r="D4127" s="4">
        <f>+VLOOKUP(A4127,Portfolio!$G$3:$I$6,3)</f>
        <v>1</v>
      </c>
      <c r="E4127">
        <f t="shared" si="64"/>
        <v>65090</v>
      </c>
    </row>
    <row r="4128" spans="1:5" x14ac:dyDescent="0.25">
      <c r="A4128" t="s">
        <v>2</v>
      </c>
      <c r="B4128">
        <v>1221113</v>
      </c>
      <c r="C4128">
        <v>65800</v>
      </c>
      <c r="D4128" s="4">
        <f>+VLOOKUP(A4128,Portfolio!$G$3:$I$6,3)</f>
        <v>1</v>
      </c>
      <c r="E4128">
        <f t="shared" si="64"/>
        <v>65800</v>
      </c>
    </row>
    <row r="4129" spans="1:5" x14ac:dyDescent="0.25">
      <c r="A4129" t="s">
        <v>2</v>
      </c>
      <c r="B4129">
        <v>1221114</v>
      </c>
      <c r="C4129">
        <v>65800</v>
      </c>
      <c r="D4129" s="4">
        <f>+VLOOKUP(A4129,Portfolio!$G$3:$I$6,3)</f>
        <v>1</v>
      </c>
      <c r="E4129">
        <f t="shared" si="64"/>
        <v>65800</v>
      </c>
    </row>
    <row r="4130" spans="1:5" x14ac:dyDescent="0.25">
      <c r="A4130" t="s">
        <v>2</v>
      </c>
      <c r="B4130">
        <v>1221115</v>
      </c>
      <c r="C4130">
        <v>64500</v>
      </c>
      <c r="D4130" s="4">
        <f>+VLOOKUP(A4130,Portfolio!$G$3:$I$6,3)</f>
        <v>1</v>
      </c>
      <c r="E4130">
        <f t="shared" si="64"/>
        <v>64500</v>
      </c>
    </row>
    <row r="4131" spans="1:5" x14ac:dyDescent="0.25">
      <c r="A4131" t="s">
        <v>2</v>
      </c>
      <c r="B4131">
        <v>1221116</v>
      </c>
      <c r="C4131">
        <v>62700</v>
      </c>
      <c r="D4131" s="4">
        <f>+VLOOKUP(A4131,Portfolio!$G$3:$I$6,3)</f>
        <v>1</v>
      </c>
      <c r="E4131">
        <f t="shared" si="64"/>
        <v>62700</v>
      </c>
    </row>
    <row r="4132" spans="1:5" x14ac:dyDescent="0.25">
      <c r="A4132" t="s">
        <v>2</v>
      </c>
      <c r="B4132">
        <v>1221117</v>
      </c>
      <c r="C4132">
        <v>63020</v>
      </c>
      <c r="D4132" s="4">
        <f>+VLOOKUP(A4132,Portfolio!$G$3:$I$6,3)</f>
        <v>1</v>
      </c>
      <c r="E4132">
        <f t="shared" si="64"/>
        <v>63020</v>
      </c>
    </row>
    <row r="4133" spans="1:5" x14ac:dyDescent="0.25">
      <c r="A4133" t="s">
        <v>2</v>
      </c>
      <c r="B4133">
        <v>1221118</v>
      </c>
      <c r="C4133">
        <v>62960</v>
      </c>
      <c r="D4133" s="4">
        <f>+VLOOKUP(A4133,Portfolio!$G$3:$I$6,3)</f>
        <v>1</v>
      </c>
      <c r="E4133">
        <f t="shared" si="64"/>
        <v>62960</v>
      </c>
    </row>
    <row r="4134" spans="1:5" x14ac:dyDescent="0.25">
      <c r="A4134" t="s">
        <v>2</v>
      </c>
      <c r="B4134">
        <v>1221120</v>
      </c>
      <c r="C4134">
        <v>62780</v>
      </c>
      <c r="D4134" s="4">
        <f>+VLOOKUP(A4134,Portfolio!$G$3:$I$6,3)</f>
        <v>1</v>
      </c>
      <c r="E4134">
        <f t="shared" si="64"/>
        <v>62780</v>
      </c>
    </row>
    <row r="4135" spans="1:5" x14ac:dyDescent="0.25">
      <c r="A4135" t="s">
        <v>2</v>
      </c>
      <c r="B4135">
        <v>1221121</v>
      </c>
      <c r="C4135">
        <v>63500</v>
      </c>
      <c r="D4135" s="4">
        <f>+VLOOKUP(A4135,Portfolio!$G$3:$I$6,3)</f>
        <v>1</v>
      </c>
      <c r="E4135">
        <f t="shared" si="64"/>
        <v>63500</v>
      </c>
    </row>
    <row r="4136" spans="1:5" x14ac:dyDescent="0.25">
      <c r="A4136" t="s">
        <v>2</v>
      </c>
      <c r="B4136">
        <v>1221122</v>
      </c>
      <c r="C4136">
        <v>63620</v>
      </c>
      <c r="D4136" s="4">
        <f>+VLOOKUP(A4136,Portfolio!$G$3:$I$6,3)</f>
        <v>1</v>
      </c>
      <c r="E4136">
        <f t="shared" si="64"/>
        <v>63620</v>
      </c>
    </row>
    <row r="4137" spans="1:5" x14ac:dyDescent="0.25">
      <c r="A4137" t="s">
        <v>2</v>
      </c>
      <c r="B4137">
        <v>1221123</v>
      </c>
      <c r="C4137">
        <v>62210</v>
      </c>
      <c r="D4137" s="4">
        <f>+VLOOKUP(A4137,Portfolio!$G$3:$I$6,3)</f>
        <v>1</v>
      </c>
      <c r="E4137">
        <f t="shared" si="64"/>
        <v>62210</v>
      </c>
    </row>
    <row r="4138" spans="1:5" x14ac:dyDescent="0.25">
      <c r="A4138" t="s">
        <v>2</v>
      </c>
      <c r="B4138">
        <v>1221124</v>
      </c>
      <c r="C4138">
        <v>60150</v>
      </c>
      <c r="D4138" s="4">
        <f>+VLOOKUP(A4138,Portfolio!$G$3:$I$6,3)</f>
        <v>1</v>
      </c>
      <c r="E4138">
        <f t="shared" si="64"/>
        <v>60150</v>
      </c>
    </row>
    <row r="4139" spans="1:5" x14ac:dyDescent="0.25">
      <c r="A4139" t="s">
        <v>2</v>
      </c>
      <c r="B4139">
        <v>1221125</v>
      </c>
      <c r="C4139">
        <v>60040</v>
      </c>
      <c r="D4139" s="4">
        <f>+VLOOKUP(A4139,Portfolio!$G$3:$I$6,3)</f>
        <v>1</v>
      </c>
      <c r="E4139">
        <f t="shared" si="64"/>
        <v>60040</v>
      </c>
    </row>
    <row r="4140" spans="1:5" x14ac:dyDescent="0.25">
      <c r="A4140" t="s">
        <v>2</v>
      </c>
      <c r="B4140">
        <v>1221127</v>
      </c>
      <c r="C4140">
        <v>59140</v>
      </c>
      <c r="D4140" s="4">
        <f>+VLOOKUP(A4140,Portfolio!$G$3:$I$6,3)</f>
        <v>1</v>
      </c>
      <c r="E4140">
        <f t="shared" si="64"/>
        <v>59140</v>
      </c>
    </row>
    <row r="4141" spans="1:5" x14ac:dyDescent="0.25">
      <c r="A4141" t="s">
        <v>2</v>
      </c>
      <c r="B4141">
        <v>1221128</v>
      </c>
      <c r="C4141">
        <v>59050</v>
      </c>
      <c r="D4141" s="4">
        <f>+VLOOKUP(A4141,Portfolio!$G$3:$I$6,3)</f>
        <v>1</v>
      </c>
      <c r="E4141">
        <f t="shared" si="64"/>
        <v>59050</v>
      </c>
    </row>
    <row r="4142" spans="1:5" x14ac:dyDescent="0.25">
      <c r="A4142" t="s">
        <v>2</v>
      </c>
      <c r="B4142">
        <v>1221129</v>
      </c>
      <c r="C4142">
        <v>57460</v>
      </c>
      <c r="D4142" s="4">
        <f>+VLOOKUP(A4142,Portfolio!$G$3:$I$6,3)</f>
        <v>1</v>
      </c>
      <c r="E4142">
        <f t="shared" si="64"/>
        <v>57460</v>
      </c>
    </row>
    <row r="4143" spans="1:5" x14ac:dyDescent="0.25">
      <c r="A4143" t="s">
        <v>2</v>
      </c>
      <c r="B4143">
        <v>1221130</v>
      </c>
      <c r="C4143">
        <v>57660</v>
      </c>
      <c r="D4143" s="4">
        <f>+VLOOKUP(A4143,Portfolio!$G$3:$I$6,3)</f>
        <v>1</v>
      </c>
      <c r="E4143">
        <f t="shared" si="64"/>
        <v>57660</v>
      </c>
    </row>
    <row r="4144" spans="1:5" x14ac:dyDescent="0.25">
      <c r="A4144" t="s">
        <v>2</v>
      </c>
      <c r="B4144">
        <v>1221201</v>
      </c>
      <c r="C4144">
        <v>59640</v>
      </c>
      <c r="D4144" s="4">
        <f>+VLOOKUP(A4144,Portfolio!$G$3:$I$6,3)</f>
        <v>1</v>
      </c>
      <c r="E4144">
        <f t="shared" si="64"/>
        <v>59640</v>
      </c>
    </row>
    <row r="4145" spans="1:5" x14ac:dyDescent="0.25">
      <c r="A4145" t="s">
        <v>2</v>
      </c>
      <c r="B4145">
        <v>1221202</v>
      </c>
      <c r="C4145">
        <v>60730</v>
      </c>
      <c r="D4145" s="4">
        <f>+VLOOKUP(A4145,Portfolio!$G$3:$I$6,3)</f>
        <v>1</v>
      </c>
      <c r="E4145">
        <f t="shared" si="64"/>
        <v>60730</v>
      </c>
    </row>
    <row r="4146" spans="1:5" x14ac:dyDescent="0.25">
      <c r="A4146" t="s">
        <v>2</v>
      </c>
      <c r="B4146">
        <v>1221204</v>
      </c>
      <c r="C4146">
        <v>60280</v>
      </c>
      <c r="D4146" s="4">
        <f>+VLOOKUP(A4146,Portfolio!$G$3:$I$6,3)</f>
        <v>1</v>
      </c>
      <c r="E4146">
        <f t="shared" si="64"/>
        <v>60280</v>
      </c>
    </row>
    <row r="4147" spans="1:5" x14ac:dyDescent="0.25">
      <c r="A4147" t="s">
        <v>2</v>
      </c>
      <c r="B4147">
        <v>1221205</v>
      </c>
      <c r="C4147">
        <v>59380</v>
      </c>
      <c r="D4147" s="4">
        <f>+VLOOKUP(A4147,Portfolio!$G$3:$I$6,3)</f>
        <v>1</v>
      </c>
      <c r="E4147">
        <f t="shared" si="64"/>
        <v>59380</v>
      </c>
    </row>
    <row r="4148" spans="1:5" x14ac:dyDescent="0.25">
      <c r="A4148" t="s">
        <v>2</v>
      </c>
      <c r="B4148">
        <v>1221206</v>
      </c>
      <c r="C4148">
        <v>62310</v>
      </c>
      <c r="D4148" s="4">
        <f>+VLOOKUP(A4148,Portfolio!$G$3:$I$6,3)</f>
        <v>1</v>
      </c>
      <c r="E4148">
        <f t="shared" si="64"/>
        <v>62310</v>
      </c>
    </row>
    <row r="4149" spans="1:5" x14ac:dyDescent="0.25">
      <c r="A4149" t="s">
        <v>2</v>
      </c>
      <c r="B4149">
        <v>1221207</v>
      </c>
      <c r="C4149">
        <v>61800</v>
      </c>
      <c r="D4149" s="4">
        <f>+VLOOKUP(A4149,Portfolio!$G$3:$I$6,3)</f>
        <v>1</v>
      </c>
      <c r="E4149">
        <f t="shared" si="64"/>
        <v>61800</v>
      </c>
    </row>
    <row r="4150" spans="1:5" x14ac:dyDescent="0.25">
      <c r="A4150" t="s">
        <v>2</v>
      </c>
      <c r="B4150">
        <v>1221208</v>
      </c>
      <c r="C4150">
        <v>62940</v>
      </c>
      <c r="D4150" s="4">
        <f>+VLOOKUP(A4150,Portfolio!$G$3:$I$6,3)</f>
        <v>1</v>
      </c>
      <c r="E4150">
        <f t="shared" si="64"/>
        <v>62940</v>
      </c>
    </row>
    <row r="4151" spans="1:5" x14ac:dyDescent="0.25">
      <c r="A4151" t="s">
        <v>2</v>
      </c>
      <c r="B4151">
        <v>1221209</v>
      </c>
      <c r="C4151">
        <v>63870</v>
      </c>
      <c r="D4151" s="4">
        <f>+VLOOKUP(A4151,Portfolio!$G$3:$I$6,3)</f>
        <v>1</v>
      </c>
      <c r="E4151">
        <f t="shared" si="64"/>
        <v>63870</v>
      </c>
    </row>
    <row r="4152" spans="1:5" x14ac:dyDescent="0.25">
      <c r="A4152" t="s">
        <v>2</v>
      </c>
      <c r="B4152">
        <v>1221211</v>
      </c>
      <c r="C4152">
        <v>61110</v>
      </c>
      <c r="D4152" s="4">
        <f>+VLOOKUP(A4152,Portfolio!$G$3:$I$6,3)</f>
        <v>1</v>
      </c>
      <c r="E4152">
        <f t="shared" si="64"/>
        <v>61110</v>
      </c>
    </row>
    <row r="4153" spans="1:5" x14ac:dyDescent="0.25">
      <c r="A4153" t="s">
        <v>2</v>
      </c>
      <c r="B4153">
        <v>1221212</v>
      </c>
      <c r="C4153">
        <v>60330</v>
      </c>
      <c r="D4153" s="4">
        <f>+VLOOKUP(A4153,Portfolio!$G$3:$I$6,3)</f>
        <v>1</v>
      </c>
      <c r="E4153">
        <f t="shared" si="64"/>
        <v>60330</v>
      </c>
    </row>
    <row r="4154" spans="1:5" x14ac:dyDescent="0.25">
      <c r="A4154" t="s">
        <v>2</v>
      </c>
      <c r="B4154">
        <v>1221213</v>
      </c>
      <c r="C4154">
        <v>60440</v>
      </c>
      <c r="D4154" s="4">
        <f>+VLOOKUP(A4154,Portfolio!$G$3:$I$6,3)</f>
        <v>1</v>
      </c>
      <c r="E4154">
        <f t="shared" si="64"/>
        <v>60440</v>
      </c>
    </row>
    <row r="4155" spans="1:5" x14ac:dyDescent="0.25">
      <c r="A4155" t="s">
        <v>2</v>
      </c>
      <c r="B4155">
        <v>1221214</v>
      </c>
      <c r="C4155">
        <v>62540</v>
      </c>
      <c r="D4155" s="4">
        <f>+VLOOKUP(A4155,Portfolio!$G$3:$I$6,3)</f>
        <v>1</v>
      </c>
      <c r="E4155">
        <f t="shared" si="64"/>
        <v>62540</v>
      </c>
    </row>
    <row r="4156" spans="1:5" x14ac:dyDescent="0.25">
      <c r="A4156" t="s">
        <v>2</v>
      </c>
      <c r="B4156">
        <v>1221215</v>
      </c>
      <c r="C4156">
        <v>63980</v>
      </c>
      <c r="D4156" s="4">
        <f>+VLOOKUP(A4156,Portfolio!$G$3:$I$6,3)</f>
        <v>1</v>
      </c>
      <c r="E4156">
        <f t="shared" si="64"/>
        <v>63980</v>
      </c>
    </row>
    <row r="4157" spans="1:5" x14ac:dyDescent="0.25">
      <c r="A4157" t="s">
        <v>2</v>
      </c>
      <c r="B4157">
        <v>1221216</v>
      </c>
      <c r="C4157">
        <v>65320</v>
      </c>
      <c r="D4157" s="4">
        <f>+VLOOKUP(A4157,Portfolio!$G$3:$I$6,3)</f>
        <v>1</v>
      </c>
      <c r="E4157">
        <f t="shared" si="64"/>
        <v>65320</v>
      </c>
    </row>
    <row r="4158" spans="1:5" x14ac:dyDescent="0.25">
      <c r="A4158" t="s">
        <v>2</v>
      </c>
      <c r="B4158">
        <v>1221218</v>
      </c>
      <c r="C4158">
        <v>65920</v>
      </c>
      <c r="D4158" s="4">
        <f>+VLOOKUP(A4158,Portfolio!$G$3:$I$6,3)</f>
        <v>1</v>
      </c>
      <c r="E4158">
        <f t="shared" si="64"/>
        <v>65920</v>
      </c>
    </row>
    <row r="4159" spans="1:5" x14ac:dyDescent="0.25">
      <c r="A4159" t="s">
        <v>2</v>
      </c>
      <c r="B4159">
        <v>1221219</v>
      </c>
      <c r="C4159">
        <v>66160</v>
      </c>
      <c r="D4159" s="4">
        <f>+VLOOKUP(A4159,Portfolio!$G$3:$I$6,3)</f>
        <v>1</v>
      </c>
      <c r="E4159">
        <f t="shared" si="64"/>
        <v>66160</v>
      </c>
    </row>
    <row r="4160" spans="1:5" x14ac:dyDescent="0.25">
      <c r="A4160" t="s">
        <v>2</v>
      </c>
      <c r="B4160">
        <v>1221220</v>
      </c>
      <c r="C4160">
        <v>66180</v>
      </c>
      <c r="D4160" s="4">
        <f>+VLOOKUP(A4160,Portfolio!$G$3:$I$6,3)</f>
        <v>1</v>
      </c>
      <c r="E4160">
        <f t="shared" si="64"/>
        <v>66180</v>
      </c>
    </row>
    <row r="4161" spans="1:5" x14ac:dyDescent="0.25">
      <c r="A4161" t="s">
        <v>2</v>
      </c>
      <c r="B4161">
        <v>1221221</v>
      </c>
      <c r="C4161">
        <v>67070</v>
      </c>
      <c r="D4161" s="4">
        <f>+VLOOKUP(A4161,Portfolio!$G$3:$I$6,3)</f>
        <v>1</v>
      </c>
      <c r="E4161">
        <f t="shared" si="64"/>
        <v>67070</v>
      </c>
    </row>
    <row r="4162" spans="1:5" x14ac:dyDescent="0.25">
      <c r="A4162" t="s">
        <v>2</v>
      </c>
      <c r="B4162">
        <v>1221222</v>
      </c>
      <c r="C4162">
        <v>66610</v>
      </c>
      <c r="D4162" s="4">
        <f>+VLOOKUP(A4162,Portfolio!$G$3:$I$6,3)</f>
        <v>1</v>
      </c>
      <c r="E4162">
        <f t="shared" si="64"/>
        <v>66610</v>
      </c>
    </row>
    <row r="4163" spans="1:5" x14ac:dyDescent="0.25">
      <c r="A4163" t="s">
        <v>2</v>
      </c>
      <c r="B4163">
        <v>1221223</v>
      </c>
      <c r="C4163">
        <v>67950</v>
      </c>
      <c r="D4163" s="4">
        <f>+VLOOKUP(A4163,Portfolio!$G$3:$I$6,3)</f>
        <v>1</v>
      </c>
      <c r="E4163">
        <f t="shared" ref="E4163:E4226" si="65">+C4163*D4163</f>
        <v>67950</v>
      </c>
    </row>
    <row r="4164" spans="1:5" x14ac:dyDescent="0.25">
      <c r="A4164" t="s">
        <v>2</v>
      </c>
      <c r="B4164">
        <v>1221226</v>
      </c>
      <c r="C4164">
        <v>68010</v>
      </c>
      <c r="D4164" s="4">
        <f>+VLOOKUP(A4164,Portfolio!$G$3:$I$6,3)</f>
        <v>1</v>
      </c>
      <c r="E4164">
        <f t="shared" si="65"/>
        <v>68010</v>
      </c>
    </row>
    <row r="4165" spans="1:5" x14ac:dyDescent="0.25">
      <c r="A4165" t="s">
        <v>2</v>
      </c>
      <c r="B4165">
        <v>1221227</v>
      </c>
      <c r="C4165">
        <v>68280</v>
      </c>
      <c r="D4165" s="4">
        <f>+VLOOKUP(A4165,Portfolio!$G$3:$I$6,3)</f>
        <v>1</v>
      </c>
      <c r="E4165">
        <f t="shared" si="65"/>
        <v>68280</v>
      </c>
    </row>
    <row r="4166" spans="1:5" x14ac:dyDescent="0.25">
      <c r="A4166" t="s">
        <v>2</v>
      </c>
      <c r="B4166">
        <v>1221228</v>
      </c>
      <c r="C4166">
        <v>68810</v>
      </c>
      <c r="D4166" s="4">
        <f>+VLOOKUP(A4166,Portfolio!$G$3:$I$6,3)</f>
        <v>1</v>
      </c>
      <c r="E4166">
        <f t="shared" si="65"/>
        <v>68810</v>
      </c>
    </row>
    <row r="4167" spans="1:5" x14ac:dyDescent="0.25">
      <c r="A4167" t="s">
        <v>2</v>
      </c>
      <c r="B4167">
        <v>1221229</v>
      </c>
      <c r="C4167">
        <v>67310</v>
      </c>
      <c r="D4167" s="4">
        <f>+VLOOKUP(A4167,Portfolio!$G$3:$I$6,3)</f>
        <v>1</v>
      </c>
      <c r="E4167">
        <f t="shared" si="65"/>
        <v>67310</v>
      </c>
    </row>
    <row r="4168" spans="1:5" x14ac:dyDescent="0.25">
      <c r="A4168" t="s">
        <v>2</v>
      </c>
      <c r="B4168">
        <v>1221230</v>
      </c>
      <c r="C4168">
        <v>66510</v>
      </c>
      <c r="D4168" s="4">
        <f>+VLOOKUP(A4168,Portfolio!$G$3:$I$6,3)</f>
        <v>1</v>
      </c>
      <c r="E4168">
        <f t="shared" si="65"/>
        <v>66510</v>
      </c>
    </row>
    <row r="4169" spans="1:5" x14ac:dyDescent="0.25">
      <c r="A4169" t="s">
        <v>2</v>
      </c>
      <c r="B4169">
        <v>1230102</v>
      </c>
      <c r="C4169">
        <v>65040</v>
      </c>
      <c r="D4169" s="4">
        <f>+VLOOKUP(A4169,Portfolio!$G$3:$I$6,3)</f>
        <v>1</v>
      </c>
      <c r="E4169">
        <f t="shared" si="65"/>
        <v>65040</v>
      </c>
    </row>
    <row r="4170" spans="1:5" x14ac:dyDescent="0.25">
      <c r="A4170" t="s">
        <v>2</v>
      </c>
      <c r="B4170">
        <v>1230103</v>
      </c>
      <c r="C4170">
        <v>63930</v>
      </c>
      <c r="D4170" s="4">
        <f>+VLOOKUP(A4170,Portfolio!$G$3:$I$6,3)</f>
        <v>1</v>
      </c>
      <c r="E4170">
        <f t="shared" si="65"/>
        <v>63930</v>
      </c>
    </row>
    <row r="4171" spans="1:5" x14ac:dyDescent="0.25">
      <c r="A4171" t="s">
        <v>2</v>
      </c>
      <c r="B4171">
        <v>1230104</v>
      </c>
      <c r="C4171">
        <v>63360</v>
      </c>
      <c r="D4171" s="4">
        <f>+VLOOKUP(A4171,Portfolio!$G$3:$I$6,3)</f>
        <v>1</v>
      </c>
      <c r="E4171">
        <f t="shared" si="65"/>
        <v>63360</v>
      </c>
    </row>
    <row r="4172" spans="1:5" x14ac:dyDescent="0.25">
      <c r="A4172" t="s">
        <v>2</v>
      </c>
      <c r="B4172">
        <v>1230105</v>
      </c>
      <c r="C4172">
        <v>62670</v>
      </c>
      <c r="D4172" s="4">
        <f>+VLOOKUP(A4172,Portfolio!$G$3:$I$6,3)</f>
        <v>1</v>
      </c>
      <c r="E4172">
        <f t="shared" si="65"/>
        <v>62670</v>
      </c>
    </row>
    <row r="4173" spans="1:5" x14ac:dyDescent="0.25">
      <c r="A4173" t="s">
        <v>2</v>
      </c>
      <c r="B4173">
        <v>1230106</v>
      </c>
      <c r="C4173">
        <v>63320</v>
      </c>
      <c r="D4173" s="4">
        <f>+VLOOKUP(A4173,Portfolio!$G$3:$I$6,3)</f>
        <v>1</v>
      </c>
      <c r="E4173">
        <f t="shared" si="65"/>
        <v>63320</v>
      </c>
    </row>
    <row r="4174" spans="1:5" x14ac:dyDescent="0.25">
      <c r="A4174" t="s">
        <v>2</v>
      </c>
      <c r="B4174">
        <v>1230108</v>
      </c>
      <c r="C4174">
        <v>65920</v>
      </c>
      <c r="D4174" s="4">
        <f>+VLOOKUP(A4174,Portfolio!$G$3:$I$6,3)</f>
        <v>1</v>
      </c>
      <c r="E4174">
        <f t="shared" si="65"/>
        <v>65920</v>
      </c>
    </row>
    <row r="4175" spans="1:5" x14ac:dyDescent="0.25">
      <c r="A4175" t="s">
        <v>2</v>
      </c>
      <c r="B4175">
        <v>1230109</v>
      </c>
      <c r="C4175">
        <v>66670</v>
      </c>
      <c r="D4175" s="4">
        <f>+VLOOKUP(A4175,Portfolio!$G$3:$I$6,3)</f>
        <v>1</v>
      </c>
      <c r="E4175">
        <f t="shared" si="65"/>
        <v>66670</v>
      </c>
    </row>
    <row r="4176" spans="1:5" x14ac:dyDescent="0.25">
      <c r="A4176" t="s">
        <v>2</v>
      </c>
      <c r="B4176">
        <v>1230110</v>
      </c>
      <c r="C4176">
        <v>66630</v>
      </c>
      <c r="D4176" s="4">
        <f>+VLOOKUP(A4176,Portfolio!$G$3:$I$6,3)</f>
        <v>1</v>
      </c>
      <c r="E4176">
        <f t="shared" si="65"/>
        <v>66630</v>
      </c>
    </row>
    <row r="4177" spans="1:5" x14ac:dyDescent="0.25">
      <c r="A4177" t="s">
        <v>2</v>
      </c>
      <c r="B4177">
        <v>1230111</v>
      </c>
      <c r="C4177">
        <v>66270</v>
      </c>
      <c r="D4177" s="4">
        <f>+VLOOKUP(A4177,Portfolio!$G$3:$I$6,3)</f>
        <v>1</v>
      </c>
      <c r="E4177">
        <f t="shared" si="65"/>
        <v>66270</v>
      </c>
    </row>
    <row r="4178" spans="1:5" x14ac:dyDescent="0.25">
      <c r="A4178" t="s">
        <v>2</v>
      </c>
      <c r="B4178">
        <v>1230112</v>
      </c>
      <c r="C4178">
        <v>66980</v>
      </c>
      <c r="D4178" s="4">
        <f>+VLOOKUP(A4178,Portfolio!$G$3:$I$6,3)</f>
        <v>1</v>
      </c>
      <c r="E4178">
        <f t="shared" si="65"/>
        <v>66980</v>
      </c>
    </row>
    <row r="4179" spans="1:5" x14ac:dyDescent="0.25">
      <c r="A4179" t="s">
        <v>2</v>
      </c>
      <c r="B4179">
        <v>1230113</v>
      </c>
      <c r="C4179">
        <v>66920</v>
      </c>
      <c r="D4179" s="4">
        <f>+VLOOKUP(A4179,Portfolio!$G$3:$I$6,3)</f>
        <v>1</v>
      </c>
      <c r="E4179">
        <f t="shared" si="65"/>
        <v>66920</v>
      </c>
    </row>
    <row r="4180" spans="1:5" x14ac:dyDescent="0.25">
      <c r="A4180" t="s">
        <v>2</v>
      </c>
      <c r="B4180">
        <v>1230115</v>
      </c>
      <c r="C4180">
        <v>68510</v>
      </c>
      <c r="D4180" s="4">
        <f>+VLOOKUP(A4180,Portfolio!$G$3:$I$6,3)</f>
        <v>1</v>
      </c>
      <c r="E4180">
        <f t="shared" si="65"/>
        <v>68510</v>
      </c>
    </row>
    <row r="4181" spans="1:5" x14ac:dyDescent="0.25">
      <c r="A4181" t="s">
        <v>2</v>
      </c>
      <c r="B4181">
        <v>1230116</v>
      </c>
      <c r="C4181">
        <v>68510</v>
      </c>
      <c r="D4181" s="4">
        <f>+VLOOKUP(A4181,Portfolio!$G$3:$I$6,3)</f>
        <v>1</v>
      </c>
      <c r="E4181">
        <f t="shared" si="65"/>
        <v>68510</v>
      </c>
    </row>
    <row r="4182" spans="1:5" x14ac:dyDescent="0.25">
      <c r="A4182" t="s">
        <v>2</v>
      </c>
      <c r="B4182">
        <v>1230117</v>
      </c>
      <c r="C4182">
        <v>68510</v>
      </c>
      <c r="D4182" s="4">
        <f>+VLOOKUP(A4182,Portfolio!$G$3:$I$6,3)</f>
        <v>1</v>
      </c>
      <c r="E4182">
        <f t="shared" si="65"/>
        <v>68510</v>
      </c>
    </row>
    <row r="4183" spans="1:5" x14ac:dyDescent="0.25">
      <c r="A4183" t="s">
        <v>2</v>
      </c>
      <c r="B4183">
        <v>1230118</v>
      </c>
      <c r="C4183">
        <v>66450</v>
      </c>
      <c r="D4183" s="4">
        <f>+VLOOKUP(A4183,Portfolio!$G$3:$I$6,3)</f>
        <v>1</v>
      </c>
      <c r="E4183">
        <f t="shared" si="65"/>
        <v>66450</v>
      </c>
    </row>
    <row r="4184" spans="1:5" x14ac:dyDescent="0.25">
      <c r="A4184" t="s">
        <v>2</v>
      </c>
      <c r="B4184">
        <v>1230119</v>
      </c>
      <c r="C4184">
        <v>68640</v>
      </c>
      <c r="D4184" s="4">
        <f>+VLOOKUP(A4184,Portfolio!$G$3:$I$6,3)</f>
        <v>1</v>
      </c>
      <c r="E4184">
        <f t="shared" si="65"/>
        <v>68640</v>
      </c>
    </row>
    <row r="4185" spans="1:5" x14ac:dyDescent="0.25">
      <c r="A4185" t="s">
        <v>2</v>
      </c>
      <c r="B4185">
        <v>1230120</v>
      </c>
      <c r="C4185">
        <v>68640</v>
      </c>
      <c r="D4185" s="4">
        <f>+VLOOKUP(A4185,Portfolio!$G$3:$I$6,3)</f>
        <v>1</v>
      </c>
      <c r="E4185">
        <f t="shared" si="65"/>
        <v>68640</v>
      </c>
    </row>
    <row r="4186" spans="1:5" x14ac:dyDescent="0.25">
      <c r="A4186" t="s">
        <v>2</v>
      </c>
      <c r="B4186">
        <v>1230122</v>
      </c>
      <c r="C4186">
        <v>68640</v>
      </c>
      <c r="D4186" s="4">
        <f>+VLOOKUP(A4186,Portfolio!$G$3:$I$6,3)</f>
        <v>1</v>
      </c>
      <c r="E4186">
        <f t="shared" si="65"/>
        <v>68640</v>
      </c>
    </row>
    <row r="4187" spans="1:5" x14ac:dyDescent="0.25">
      <c r="A4187" t="s">
        <v>2</v>
      </c>
      <c r="B4187">
        <v>1230123</v>
      </c>
      <c r="C4187">
        <v>68640</v>
      </c>
      <c r="D4187" s="4">
        <f>+VLOOKUP(A4187,Portfolio!$G$3:$I$6,3)</f>
        <v>1</v>
      </c>
      <c r="E4187">
        <f t="shared" si="65"/>
        <v>68640</v>
      </c>
    </row>
    <row r="4188" spans="1:5" x14ac:dyDescent="0.25">
      <c r="A4188" t="s">
        <v>2</v>
      </c>
      <c r="B4188">
        <v>1230124</v>
      </c>
      <c r="C4188">
        <v>67280</v>
      </c>
      <c r="D4188" s="4">
        <f>+VLOOKUP(A4188,Portfolio!$G$3:$I$6,3)</f>
        <v>1</v>
      </c>
      <c r="E4188">
        <f t="shared" si="65"/>
        <v>67280</v>
      </c>
    </row>
    <row r="4189" spans="1:5" x14ac:dyDescent="0.25">
      <c r="A4189" t="s">
        <v>2</v>
      </c>
      <c r="B4189">
        <v>1230125</v>
      </c>
      <c r="C4189">
        <v>68450</v>
      </c>
      <c r="D4189" s="4">
        <f>+VLOOKUP(A4189,Portfolio!$G$3:$I$6,3)</f>
        <v>1</v>
      </c>
      <c r="E4189">
        <f t="shared" si="65"/>
        <v>68450</v>
      </c>
    </row>
    <row r="4190" spans="1:5" x14ac:dyDescent="0.25">
      <c r="A4190" t="s">
        <v>2</v>
      </c>
      <c r="B4190">
        <v>1230126</v>
      </c>
      <c r="C4190">
        <v>66450</v>
      </c>
      <c r="D4190" s="4">
        <f>+VLOOKUP(A4190,Portfolio!$G$3:$I$6,3)</f>
        <v>1</v>
      </c>
      <c r="E4190">
        <f t="shared" si="65"/>
        <v>66450</v>
      </c>
    </row>
    <row r="4191" spans="1:5" x14ac:dyDescent="0.25">
      <c r="A4191" t="s">
        <v>2</v>
      </c>
      <c r="B4191">
        <v>1230127</v>
      </c>
      <c r="C4191">
        <v>68990</v>
      </c>
      <c r="D4191" s="4">
        <f>+VLOOKUP(A4191,Portfolio!$G$3:$I$6,3)</f>
        <v>1</v>
      </c>
      <c r="E4191">
        <f t="shared" si="65"/>
        <v>68990</v>
      </c>
    </row>
    <row r="4192" spans="1:5" x14ac:dyDescent="0.25">
      <c r="A4192" t="s">
        <v>2</v>
      </c>
      <c r="B4192">
        <v>1230129</v>
      </c>
      <c r="C4192">
        <v>68430</v>
      </c>
      <c r="D4192" s="4">
        <f>+VLOOKUP(A4192,Portfolio!$G$3:$I$6,3)</f>
        <v>1</v>
      </c>
      <c r="E4192">
        <f t="shared" si="65"/>
        <v>68430</v>
      </c>
    </row>
    <row r="4193" spans="1:5" x14ac:dyDescent="0.25">
      <c r="A4193" t="s">
        <v>2</v>
      </c>
      <c r="B4193">
        <v>1230130</v>
      </c>
      <c r="C4193">
        <v>68820</v>
      </c>
      <c r="D4193" s="4">
        <f>+VLOOKUP(A4193,Portfolio!$G$3:$I$6,3)</f>
        <v>1</v>
      </c>
      <c r="E4193">
        <f t="shared" si="65"/>
        <v>68820</v>
      </c>
    </row>
    <row r="4194" spans="1:5" x14ac:dyDescent="0.25">
      <c r="A4194" t="s">
        <v>2</v>
      </c>
      <c r="B4194">
        <v>1230131</v>
      </c>
      <c r="C4194">
        <v>68560</v>
      </c>
      <c r="D4194" s="4">
        <f>+VLOOKUP(A4194,Portfolio!$G$3:$I$6,3)</f>
        <v>1</v>
      </c>
      <c r="E4194">
        <f t="shared" si="65"/>
        <v>68560</v>
      </c>
    </row>
    <row r="4195" spans="1:5" x14ac:dyDescent="0.25">
      <c r="A4195" t="s">
        <v>2</v>
      </c>
      <c r="B4195">
        <v>1230201</v>
      </c>
      <c r="C4195">
        <v>66460</v>
      </c>
      <c r="D4195" s="4">
        <f>+VLOOKUP(A4195,Portfolio!$G$3:$I$6,3)</f>
        <v>1</v>
      </c>
      <c r="E4195">
        <f t="shared" si="65"/>
        <v>66460</v>
      </c>
    </row>
    <row r="4196" spans="1:5" x14ac:dyDescent="0.25">
      <c r="A4196" t="s">
        <v>2</v>
      </c>
      <c r="B4196">
        <v>1230202</v>
      </c>
      <c r="C4196">
        <v>68800</v>
      </c>
      <c r="D4196" s="4">
        <f>+VLOOKUP(A4196,Portfolio!$G$3:$I$6,3)</f>
        <v>1</v>
      </c>
      <c r="E4196">
        <f t="shared" si="65"/>
        <v>68800</v>
      </c>
    </row>
    <row r="4197" spans="1:5" x14ac:dyDescent="0.25">
      <c r="A4197" t="s">
        <v>2</v>
      </c>
      <c r="B4197">
        <v>1230203</v>
      </c>
      <c r="C4197">
        <v>72490</v>
      </c>
      <c r="D4197" s="4">
        <f>+VLOOKUP(A4197,Portfolio!$G$3:$I$6,3)</f>
        <v>1</v>
      </c>
      <c r="E4197">
        <f t="shared" si="65"/>
        <v>72490</v>
      </c>
    </row>
    <row r="4198" spans="1:5" x14ac:dyDescent="0.25">
      <c r="A4198" t="s">
        <v>2</v>
      </c>
      <c r="B4198">
        <v>1230205</v>
      </c>
      <c r="C4198">
        <v>75900</v>
      </c>
      <c r="D4198" s="4">
        <f>+VLOOKUP(A4198,Portfolio!$G$3:$I$6,3)</f>
        <v>1</v>
      </c>
      <c r="E4198">
        <f t="shared" si="65"/>
        <v>75900</v>
      </c>
    </row>
    <row r="4199" spans="1:5" x14ac:dyDescent="0.25">
      <c r="A4199" t="s">
        <v>2</v>
      </c>
      <c r="B4199">
        <v>1230206</v>
      </c>
      <c r="C4199">
        <v>75900</v>
      </c>
      <c r="D4199" s="4">
        <f>+VLOOKUP(A4199,Portfolio!$G$3:$I$6,3)</f>
        <v>1</v>
      </c>
      <c r="E4199">
        <f t="shared" si="65"/>
        <v>75900</v>
      </c>
    </row>
    <row r="4200" spans="1:5" x14ac:dyDescent="0.25">
      <c r="A4200" t="s">
        <v>2</v>
      </c>
      <c r="B4200">
        <v>1230207</v>
      </c>
      <c r="C4200">
        <v>75820</v>
      </c>
      <c r="D4200" s="4">
        <f>+VLOOKUP(A4200,Portfolio!$G$3:$I$6,3)</f>
        <v>1</v>
      </c>
      <c r="E4200">
        <f t="shared" si="65"/>
        <v>75820</v>
      </c>
    </row>
    <row r="4201" spans="1:5" x14ac:dyDescent="0.25">
      <c r="A4201" t="s">
        <v>2</v>
      </c>
      <c r="B4201">
        <v>1230208</v>
      </c>
      <c r="C4201">
        <v>74230</v>
      </c>
      <c r="D4201" s="4">
        <f>+VLOOKUP(A4201,Portfolio!$G$3:$I$6,3)</f>
        <v>1</v>
      </c>
      <c r="E4201">
        <f t="shared" si="65"/>
        <v>74230</v>
      </c>
    </row>
    <row r="4202" spans="1:5" x14ac:dyDescent="0.25">
      <c r="A4202" t="s">
        <v>2</v>
      </c>
      <c r="B4202">
        <v>1230209</v>
      </c>
      <c r="C4202">
        <v>73380</v>
      </c>
      <c r="D4202" s="4">
        <f>+VLOOKUP(A4202,Portfolio!$G$3:$I$6,3)</f>
        <v>1</v>
      </c>
      <c r="E4202">
        <f t="shared" si="65"/>
        <v>73380</v>
      </c>
    </row>
    <row r="4203" spans="1:5" x14ac:dyDescent="0.25">
      <c r="A4203" t="s">
        <v>2</v>
      </c>
      <c r="B4203">
        <v>1230210</v>
      </c>
      <c r="C4203">
        <v>69570</v>
      </c>
      <c r="D4203" s="4">
        <f>+VLOOKUP(A4203,Portfolio!$G$3:$I$6,3)</f>
        <v>1</v>
      </c>
      <c r="E4203">
        <f t="shared" si="65"/>
        <v>69570</v>
      </c>
    </row>
    <row r="4204" spans="1:5" x14ac:dyDescent="0.25">
      <c r="A4204" t="s">
        <v>2</v>
      </c>
      <c r="B4204">
        <v>1230212</v>
      </c>
      <c r="C4204">
        <v>70510</v>
      </c>
      <c r="D4204" s="4">
        <f>+VLOOKUP(A4204,Portfolio!$G$3:$I$6,3)</f>
        <v>1</v>
      </c>
      <c r="E4204">
        <f t="shared" si="65"/>
        <v>70510</v>
      </c>
    </row>
    <row r="4205" spans="1:5" x14ac:dyDescent="0.25">
      <c r="A4205" t="s">
        <v>2</v>
      </c>
      <c r="B4205">
        <v>1230213</v>
      </c>
      <c r="C4205">
        <v>70510</v>
      </c>
      <c r="D4205" s="4">
        <f>+VLOOKUP(A4205,Portfolio!$G$3:$I$6,3)</f>
        <v>1</v>
      </c>
      <c r="E4205">
        <f t="shared" si="65"/>
        <v>70510</v>
      </c>
    </row>
    <row r="4206" spans="1:5" x14ac:dyDescent="0.25">
      <c r="A4206" t="s">
        <v>2</v>
      </c>
      <c r="B4206">
        <v>1230214</v>
      </c>
      <c r="C4206">
        <v>70450</v>
      </c>
      <c r="D4206" s="4">
        <f>+VLOOKUP(A4206,Portfolio!$G$3:$I$6,3)</f>
        <v>1</v>
      </c>
      <c r="E4206">
        <f t="shared" si="65"/>
        <v>70450</v>
      </c>
    </row>
    <row r="4207" spans="1:5" x14ac:dyDescent="0.25">
      <c r="A4207" t="s">
        <v>2</v>
      </c>
      <c r="B4207">
        <v>1230215</v>
      </c>
      <c r="C4207">
        <v>69460</v>
      </c>
      <c r="D4207" s="4">
        <f>+VLOOKUP(A4207,Portfolio!$G$3:$I$6,3)</f>
        <v>1</v>
      </c>
      <c r="E4207">
        <f t="shared" si="65"/>
        <v>69460</v>
      </c>
    </row>
    <row r="4208" spans="1:5" x14ac:dyDescent="0.25">
      <c r="A4208" t="s">
        <v>2</v>
      </c>
      <c r="B4208">
        <v>1230216</v>
      </c>
      <c r="C4208">
        <v>70890</v>
      </c>
      <c r="D4208" s="4">
        <f>+VLOOKUP(A4208,Portfolio!$G$3:$I$6,3)</f>
        <v>1</v>
      </c>
      <c r="E4208">
        <f t="shared" si="65"/>
        <v>70890</v>
      </c>
    </row>
    <row r="4209" spans="1:5" x14ac:dyDescent="0.25">
      <c r="A4209" t="s">
        <v>2</v>
      </c>
      <c r="B4209">
        <v>1230217</v>
      </c>
      <c r="C4209">
        <v>71650</v>
      </c>
      <c r="D4209" s="4">
        <f>+VLOOKUP(A4209,Portfolio!$G$3:$I$6,3)</f>
        <v>1</v>
      </c>
      <c r="E4209">
        <f t="shared" si="65"/>
        <v>71650</v>
      </c>
    </row>
    <row r="4210" spans="1:5" x14ac:dyDescent="0.25">
      <c r="A4210" t="s">
        <v>2</v>
      </c>
      <c r="B4210">
        <v>1230219</v>
      </c>
      <c r="C4210">
        <v>72260</v>
      </c>
      <c r="D4210" s="4">
        <f>+VLOOKUP(A4210,Portfolio!$G$3:$I$6,3)</f>
        <v>1</v>
      </c>
      <c r="E4210">
        <f t="shared" si="65"/>
        <v>72260</v>
      </c>
    </row>
    <row r="4211" spans="1:5" x14ac:dyDescent="0.25">
      <c r="A4211" t="s">
        <v>2</v>
      </c>
      <c r="B4211">
        <v>1230220</v>
      </c>
      <c r="C4211">
        <v>72650</v>
      </c>
      <c r="D4211" s="4">
        <f>+VLOOKUP(A4211,Portfolio!$G$3:$I$6,3)</f>
        <v>1</v>
      </c>
      <c r="E4211">
        <f t="shared" si="65"/>
        <v>72650</v>
      </c>
    </row>
    <row r="4212" spans="1:5" x14ac:dyDescent="0.25">
      <c r="A4212" t="s">
        <v>2</v>
      </c>
      <c r="B4212">
        <v>1230221</v>
      </c>
      <c r="C4212">
        <v>73040</v>
      </c>
      <c r="D4212" s="4">
        <f>+VLOOKUP(A4212,Portfolio!$G$3:$I$6,3)</f>
        <v>1</v>
      </c>
      <c r="E4212">
        <f t="shared" si="65"/>
        <v>73040</v>
      </c>
    </row>
    <row r="4213" spans="1:5" x14ac:dyDescent="0.25">
      <c r="A4213" t="s">
        <v>2</v>
      </c>
      <c r="B4213">
        <v>1230222</v>
      </c>
      <c r="C4213">
        <v>72530</v>
      </c>
      <c r="D4213" s="4">
        <f>+VLOOKUP(A4213,Portfolio!$G$3:$I$6,3)</f>
        <v>1</v>
      </c>
      <c r="E4213">
        <f t="shared" si="65"/>
        <v>72530</v>
      </c>
    </row>
    <row r="4214" spans="1:5" x14ac:dyDescent="0.25">
      <c r="A4214" t="s">
        <v>2</v>
      </c>
      <c r="B4214">
        <v>1230223</v>
      </c>
      <c r="C4214">
        <v>70810</v>
      </c>
      <c r="D4214" s="4">
        <f>+VLOOKUP(A4214,Portfolio!$G$3:$I$6,3)</f>
        <v>1</v>
      </c>
      <c r="E4214">
        <f t="shared" si="65"/>
        <v>70810</v>
      </c>
    </row>
    <row r="4215" spans="1:5" x14ac:dyDescent="0.25">
      <c r="A4215" t="s">
        <v>2</v>
      </c>
      <c r="B4215">
        <v>1230224</v>
      </c>
      <c r="C4215">
        <v>70560</v>
      </c>
      <c r="D4215" s="4">
        <f>+VLOOKUP(A4215,Portfolio!$G$3:$I$6,3)</f>
        <v>1</v>
      </c>
      <c r="E4215">
        <f t="shared" si="65"/>
        <v>70560</v>
      </c>
    </row>
    <row r="4216" spans="1:5" x14ac:dyDescent="0.25">
      <c r="A4216" t="s">
        <v>2</v>
      </c>
      <c r="B4216">
        <v>1230226</v>
      </c>
      <c r="C4216">
        <v>71750</v>
      </c>
      <c r="D4216" s="4">
        <f>+VLOOKUP(A4216,Portfolio!$G$3:$I$6,3)</f>
        <v>1</v>
      </c>
      <c r="E4216">
        <f t="shared" si="65"/>
        <v>71750</v>
      </c>
    </row>
    <row r="4217" spans="1:5" x14ac:dyDescent="0.25">
      <c r="A4217" t="s">
        <v>2</v>
      </c>
      <c r="B4217">
        <v>1230227</v>
      </c>
      <c r="C4217">
        <v>72010</v>
      </c>
      <c r="D4217" s="4">
        <f>+VLOOKUP(A4217,Portfolio!$G$3:$I$6,3)</f>
        <v>1</v>
      </c>
      <c r="E4217">
        <f t="shared" si="65"/>
        <v>72010</v>
      </c>
    </row>
    <row r="4218" spans="1:5" x14ac:dyDescent="0.25">
      <c r="A4218" t="s">
        <v>2</v>
      </c>
      <c r="B4218">
        <v>1230228</v>
      </c>
      <c r="C4218">
        <v>71810</v>
      </c>
      <c r="D4218" s="4">
        <f>+VLOOKUP(A4218,Portfolio!$G$3:$I$6,3)</f>
        <v>1</v>
      </c>
      <c r="E4218">
        <f t="shared" si="65"/>
        <v>71810</v>
      </c>
    </row>
    <row r="4219" spans="1:5" x14ac:dyDescent="0.25">
      <c r="A4219" t="s">
        <v>2</v>
      </c>
      <c r="B4219">
        <v>1230301</v>
      </c>
      <c r="C4219">
        <v>72280</v>
      </c>
      <c r="D4219" s="4">
        <f>+VLOOKUP(A4219,Portfolio!$G$3:$I$6,3)</f>
        <v>1</v>
      </c>
      <c r="E4219">
        <f t="shared" si="65"/>
        <v>72280</v>
      </c>
    </row>
    <row r="4220" spans="1:5" x14ac:dyDescent="0.25">
      <c r="A4220" t="s">
        <v>2</v>
      </c>
      <c r="B4220">
        <v>1230302</v>
      </c>
      <c r="C4220">
        <v>71960</v>
      </c>
      <c r="D4220" s="4">
        <f>+VLOOKUP(A4220,Portfolio!$G$3:$I$6,3)</f>
        <v>1</v>
      </c>
      <c r="E4220">
        <f t="shared" si="65"/>
        <v>71960</v>
      </c>
    </row>
    <row r="4221" spans="1:5" x14ac:dyDescent="0.25">
      <c r="A4221" t="s">
        <v>2</v>
      </c>
      <c r="B4221">
        <v>1230303</v>
      </c>
      <c r="C4221">
        <v>70370</v>
      </c>
      <c r="D4221" s="4">
        <f>+VLOOKUP(A4221,Portfolio!$G$3:$I$6,3)</f>
        <v>1</v>
      </c>
      <c r="E4221">
        <f t="shared" si="65"/>
        <v>70370</v>
      </c>
    </row>
    <row r="4222" spans="1:5" x14ac:dyDescent="0.25">
      <c r="A4222" t="s">
        <v>2</v>
      </c>
      <c r="B4222">
        <v>1230305</v>
      </c>
      <c r="C4222">
        <v>70270</v>
      </c>
      <c r="D4222" s="4">
        <f>+VLOOKUP(A4222,Portfolio!$G$3:$I$6,3)</f>
        <v>1</v>
      </c>
      <c r="E4222">
        <f t="shared" si="65"/>
        <v>70270</v>
      </c>
    </row>
    <row r="4223" spans="1:5" x14ac:dyDescent="0.25">
      <c r="A4223" t="s">
        <v>2</v>
      </c>
      <c r="B4223">
        <v>1230306</v>
      </c>
      <c r="C4223">
        <v>70420</v>
      </c>
      <c r="D4223" s="4">
        <f>+VLOOKUP(A4223,Portfolio!$G$3:$I$6,3)</f>
        <v>1</v>
      </c>
      <c r="E4223">
        <f t="shared" si="65"/>
        <v>70420</v>
      </c>
    </row>
    <row r="4224" spans="1:5" x14ac:dyDescent="0.25">
      <c r="A4224" t="s">
        <v>2</v>
      </c>
      <c r="B4224">
        <v>1230307</v>
      </c>
      <c r="C4224">
        <v>70860</v>
      </c>
      <c r="D4224" s="4">
        <f>+VLOOKUP(A4224,Portfolio!$G$3:$I$6,3)</f>
        <v>1</v>
      </c>
      <c r="E4224">
        <f t="shared" si="65"/>
        <v>70860</v>
      </c>
    </row>
    <row r="4225" spans="1:5" x14ac:dyDescent="0.25">
      <c r="A4225" t="s">
        <v>2</v>
      </c>
      <c r="B4225">
        <v>1230308</v>
      </c>
      <c r="C4225">
        <v>74550</v>
      </c>
      <c r="D4225" s="4">
        <f>+VLOOKUP(A4225,Portfolio!$G$3:$I$6,3)</f>
        <v>1</v>
      </c>
      <c r="E4225">
        <f t="shared" si="65"/>
        <v>74550</v>
      </c>
    </row>
    <row r="4226" spans="1:5" x14ac:dyDescent="0.25">
      <c r="A4226" t="s">
        <v>2</v>
      </c>
      <c r="B4226">
        <v>1230309</v>
      </c>
      <c r="C4226">
        <v>73990</v>
      </c>
      <c r="D4226" s="4">
        <f>+VLOOKUP(A4226,Portfolio!$G$3:$I$6,3)</f>
        <v>1</v>
      </c>
      <c r="E4226">
        <f t="shared" si="65"/>
        <v>73990</v>
      </c>
    </row>
    <row r="4227" spans="1:5" x14ac:dyDescent="0.25">
      <c r="A4227" t="s">
        <v>2</v>
      </c>
      <c r="B4227">
        <v>1230310</v>
      </c>
      <c r="C4227">
        <v>75450</v>
      </c>
      <c r="D4227" s="4">
        <f>+VLOOKUP(A4227,Portfolio!$G$3:$I$6,3)</f>
        <v>1</v>
      </c>
      <c r="E4227">
        <f t="shared" ref="E4227:E4290" si="66">+C4227*D4227</f>
        <v>75450</v>
      </c>
    </row>
    <row r="4228" spans="1:5" x14ac:dyDescent="0.25">
      <c r="A4228" t="s">
        <v>2</v>
      </c>
      <c r="B4228">
        <v>1230312</v>
      </c>
      <c r="C4228">
        <v>69490</v>
      </c>
      <c r="D4228" s="4">
        <f>+VLOOKUP(A4228,Portfolio!$G$3:$I$6,3)</f>
        <v>1</v>
      </c>
      <c r="E4228">
        <f t="shared" si="66"/>
        <v>69490</v>
      </c>
    </row>
    <row r="4229" spans="1:5" x14ac:dyDescent="0.25">
      <c r="A4229" t="s">
        <v>2</v>
      </c>
      <c r="B4229">
        <v>1230313</v>
      </c>
      <c r="C4229">
        <v>69660</v>
      </c>
      <c r="D4229" s="4">
        <f>+VLOOKUP(A4229,Portfolio!$G$3:$I$6,3)</f>
        <v>1</v>
      </c>
      <c r="E4229">
        <f t="shared" si="66"/>
        <v>69660</v>
      </c>
    </row>
    <row r="4230" spans="1:5" x14ac:dyDescent="0.25">
      <c r="A4230" t="s">
        <v>2</v>
      </c>
      <c r="B4230">
        <v>1230314</v>
      </c>
      <c r="C4230">
        <v>70330</v>
      </c>
      <c r="D4230" s="4">
        <f>+VLOOKUP(A4230,Portfolio!$G$3:$I$6,3)</f>
        <v>1</v>
      </c>
      <c r="E4230">
        <f t="shared" si="66"/>
        <v>70330</v>
      </c>
    </row>
    <row r="4231" spans="1:5" x14ac:dyDescent="0.25">
      <c r="A4231" t="s">
        <v>2</v>
      </c>
      <c r="B4231">
        <v>1230315</v>
      </c>
      <c r="C4231">
        <v>70060</v>
      </c>
      <c r="D4231" s="4">
        <f>+VLOOKUP(A4231,Portfolio!$G$3:$I$6,3)</f>
        <v>1</v>
      </c>
      <c r="E4231">
        <f t="shared" si="66"/>
        <v>70060</v>
      </c>
    </row>
    <row r="4232" spans="1:5" x14ac:dyDescent="0.25">
      <c r="A4232" t="s">
        <v>2</v>
      </c>
      <c r="B4232">
        <v>1230316</v>
      </c>
      <c r="C4232">
        <v>71340</v>
      </c>
      <c r="D4232" s="4">
        <f>+VLOOKUP(A4232,Portfolio!$G$3:$I$6,3)</f>
        <v>1</v>
      </c>
      <c r="E4232">
        <f t="shared" si="66"/>
        <v>71340</v>
      </c>
    </row>
    <row r="4233" spans="1:5" x14ac:dyDescent="0.25">
      <c r="A4233" t="s">
        <v>2</v>
      </c>
      <c r="B4233">
        <v>1230317</v>
      </c>
      <c r="C4233">
        <v>72850</v>
      </c>
      <c r="D4233" s="4">
        <f>+VLOOKUP(A4233,Portfolio!$G$3:$I$6,3)</f>
        <v>1</v>
      </c>
      <c r="E4233">
        <f t="shared" si="66"/>
        <v>72850</v>
      </c>
    </row>
    <row r="4234" spans="1:5" x14ac:dyDescent="0.25">
      <c r="A4234" t="s">
        <v>2</v>
      </c>
      <c r="B4234">
        <v>1230319</v>
      </c>
      <c r="C4234">
        <v>75210</v>
      </c>
      <c r="D4234" s="4">
        <f>+VLOOKUP(A4234,Portfolio!$G$3:$I$6,3)</f>
        <v>1</v>
      </c>
      <c r="E4234">
        <f t="shared" si="66"/>
        <v>75210</v>
      </c>
    </row>
    <row r="4235" spans="1:5" x14ac:dyDescent="0.25">
      <c r="A4235" t="s">
        <v>2</v>
      </c>
      <c r="B4235">
        <v>1230320</v>
      </c>
      <c r="C4235">
        <v>75210</v>
      </c>
      <c r="D4235" s="4">
        <f>+VLOOKUP(A4235,Portfolio!$G$3:$I$6,3)</f>
        <v>1</v>
      </c>
      <c r="E4235">
        <f t="shared" si="66"/>
        <v>75210</v>
      </c>
    </row>
    <row r="4236" spans="1:5" x14ac:dyDescent="0.25">
      <c r="A4236" t="s">
        <v>2</v>
      </c>
      <c r="B4236">
        <v>1230321</v>
      </c>
      <c r="C4236">
        <v>75210</v>
      </c>
      <c r="D4236" s="4">
        <f>+VLOOKUP(A4236,Portfolio!$G$3:$I$6,3)</f>
        <v>1</v>
      </c>
      <c r="E4236">
        <f t="shared" si="66"/>
        <v>75210</v>
      </c>
    </row>
    <row r="4237" spans="1:5" x14ac:dyDescent="0.25">
      <c r="A4237" t="s">
        <v>2</v>
      </c>
      <c r="B4237">
        <v>1230322</v>
      </c>
      <c r="C4237">
        <v>78360</v>
      </c>
      <c r="D4237" s="4">
        <f>+VLOOKUP(A4237,Portfolio!$G$3:$I$6,3)</f>
        <v>1</v>
      </c>
      <c r="E4237">
        <f t="shared" si="66"/>
        <v>78360</v>
      </c>
    </row>
    <row r="4238" spans="1:5" x14ac:dyDescent="0.25">
      <c r="A4238" t="s">
        <v>2</v>
      </c>
      <c r="B4238">
        <v>1230323</v>
      </c>
      <c r="C4238">
        <v>81160</v>
      </c>
      <c r="D4238" s="4">
        <f>+VLOOKUP(A4238,Portfolio!$G$3:$I$6,3)</f>
        <v>1</v>
      </c>
      <c r="E4238">
        <f t="shared" si="66"/>
        <v>81160</v>
      </c>
    </row>
    <row r="4239" spans="1:5" x14ac:dyDescent="0.25">
      <c r="A4239" t="s">
        <v>2</v>
      </c>
      <c r="B4239">
        <v>1230324</v>
      </c>
      <c r="C4239">
        <v>78880</v>
      </c>
      <c r="D4239" s="4">
        <f>+VLOOKUP(A4239,Portfolio!$G$3:$I$6,3)</f>
        <v>1</v>
      </c>
      <c r="E4239">
        <f t="shared" si="66"/>
        <v>78880</v>
      </c>
    </row>
    <row r="4240" spans="1:5" x14ac:dyDescent="0.25">
      <c r="A4240" t="s">
        <v>2</v>
      </c>
      <c r="B4240">
        <v>1230326</v>
      </c>
      <c r="C4240">
        <v>76900</v>
      </c>
      <c r="D4240" s="4">
        <f>+VLOOKUP(A4240,Portfolio!$G$3:$I$6,3)</f>
        <v>1</v>
      </c>
      <c r="E4240">
        <f t="shared" si="66"/>
        <v>76900</v>
      </c>
    </row>
    <row r="4241" spans="1:5" x14ac:dyDescent="0.25">
      <c r="A4241" t="s">
        <v>2</v>
      </c>
      <c r="B4241">
        <v>1230327</v>
      </c>
      <c r="C4241">
        <v>76860</v>
      </c>
      <c r="D4241" s="4">
        <f>+VLOOKUP(A4241,Portfolio!$G$3:$I$6,3)</f>
        <v>1</v>
      </c>
      <c r="E4241">
        <f t="shared" si="66"/>
        <v>76860</v>
      </c>
    </row>
    <row r="4242" spans="1:5" x14ac:dyDescent="0.25">
      <c r="A4242" t="s">
        <v>2</v>
      </c>
      <c r="B4242">
        <v>1230328</v>
      </c>
      <c r="C4242">
        <v>76730</v>
      </c>
      <c r="D4242" s="4">
        <f>+VLOOKUP(A4242,Portfolio!$G$3:$I$6,3)</f>
        <v>1</v>
      </c>
      <c r="E4242">
        <f t="shared" si="66"/>
        <v>76730</v>
      </c>
    </row>
    <row r="4243" spans="1:5" x14ac:dyDescent="0.25">
      <c r="A4243" t="s">
        <v>2</v>
      </c>
      <c r="B4243">
        <v>1230329</v>
      </c>
      <c r="C4243">
        <v>77420</v>
      </c>
      <c r="D4243" s="4">
        <f>+VLOOKUP(A4243,Portfolio!$G$3:$I$6,3)</f>
        <v>1</v>
      </c>
      <c r="E4243">
        <f t="shared" si="66"/>
        <v>77420</v>
      </c>
    </row>
    <row r="4244" spans="1:5" x14ac:dyDescent="0.25">
      <c r="A4244" t="s">
        <v>2</v>
      </c>
      <c r="B4244">
        <v>1230330</v>
      </c>
      <c r="C4244">
        <v>77360</v>
      </c>
      <c r="D4244" s="4">
        <f>+VLOOKUP(A4244,Portfolio!$G$3:$I$6,3)</f>
        <v>1</v>
      </c>
      <c r="E4244">
        <f t="shared" si="66"/>
        <v>77360</v>
      </c>
    </row>
    <row r="4245" spans="1:5" x14ac:dyDescent="0.25">
      <c r="A4245" t="s">
        <v>2</v>
      </c>
      <c r="B4245">
        <v>1230331</v>
      </c>
      <c r="C4245">
        <v>78350</v>
      </c>
      <c r="D4245" s="4">
        <f>+VLOOKUP(A4245,Portfolio!$G$3:$I$6,3)</f>
        <v>1</v>
      </c>
      <c r="E4245">
        <f t="shared" si="66"/>
        <v>78350</v>
      </c>
    </row>
    <row r="4246" spans="1:5" x14ac:dyDescent="0.25">
      <c r="A4246" t="s">
        <v>2</v>
      </c>
      <c r="B4246">
        <v>1230402</v>
      </c>
      <c r="C4246">
        <v>74300</v>
      </c>
      <c r="D4246" s="4">
        <f>+VLOOKUP(A4246,Portfolio!$G$3:$I$6,3)</f>
        <v>1</v>
      </c>
      <c r="E4246">
        <f t="shared" si="66"/>
        <v>74300</v>
      </c>
    </row>
    <row r="4247" spans="1:5" x14ac:dyDescent="0.25">
      <c r="A4247" t="s">
        <v>2</v>
      </c>
      <c r="B4247">
        <v>1230403</v>
      </c>
      <c r="C4247">
        <v>73160</v>
      </c>
      <c r="D4247" s="4">
        <f>+VLOOKUP(A4247,Portfolio!$G$3:$I$6,3)</f>
        <v>1</v>
      </c>
      <c r="E4247">
        <f t="shared" si="66"/>
        <v>73160</v>
      </c>
    </row>
    <row r="4248" spans="1:5" x14ac:dyDescent="0.25">
      <c r="A4248" t="s">
        <v>2</v>
      </c>
      <c r="B4248">
        <v>1230404</v>
      </c>
      <c r="C4248">
        <v>75880</v>
      </c>
      <c r="D4248" s="4">
        <f>+VLOOKUP(A4248,Portfolio!$G$3:$I$6,3)</f>
        <v>1</v>
      </c>
      <c r="E4248">
        <f t="shared" si="66"/>
        <v>75880</v>
      </c>
    </row>
    <row r="4249" spans="1:5" x14ac:dyDescent="0.25">
      <c r="A4249" t="s">
        <v>2</v>
      </c>
      <c r="B4249">
        <v>1230405</v>
      </c>
      <c r="C4249">
        <v>79740</v>
      </c>
      <c r="D4249" s="4">
        <f>+VLOOKUP(A4249,Portfolio!$G$3:$I$6,3)</f>
        <v>1</v>
      </c>
      <c r="E4249">
        <f t="shared" si="66"/>
        <v>79740</v>
      </c>
    </row>
    <row r="4250" spans="1:5" x14ac:dyDescent="0.25">
      <c r="A4250" t="s">
        <v>2</v>
      </c>
      <c r="B4250">
        <v>1230406</v>
      </c>
      <c r="C4250">
        <v>78150</v>
      </c>
      <c r="D4250" s="4">
        <f>+VLOOKUP(A4250,Portfolio!$G$3:$I$6,3)</f>
        <v>1</v>
      </c>
      <c r="E4250">
        <f t="shared" si="66"/>
        <v>78150</v>
      </c>
    </row>
    <row r="4251" spans="1:5" x14ac:dyDescent="0.25">
      <c r="A4251" t="s">
        <v>2</v>
      </c>
      <c r="B4251">
        <v>1230409</v>
      </c>
      <c r="C4251">
        <v>77290</v>
      </c>
      <c r="D4251" s="4">
        <f>+VLOOKUP(A4251,Portfolio!$G$3:$I$6,3)</f>
        <v>1</v>
      </c>
      <c r="E4251">
        <f t="shared" si="66"/>
        <v>77290</v>
      </c>
    </row>
    <row r="4252" spans="1:5" x14ac:dyDescent="0.25">
      <c r="A4252" t="s">
        <v>2</v>
      </c>
      <c r="B4252">
        <v>1230410</v>
      </c>
      <c r="C4252">
        <v>77290</v>
      </c>
      <c r="D4252" s="4">
        <f>+VLOOKUP(A4252,Portfolio!$G$3:$I$6,3)</f>
        <v>1</v>
      </c>
      <c r="E4252">
        <f t="shared" si="66"/>
        <v>77290</v>
      </c>
    </row>
    <row r="4253" spans="1:5" x14ac:dyDescent="0.25">
      <c r="A4253" t="s">
        <v>2</v>
      </c>
      <c r="B4253">
        <v>1230411</v>
      </c>
      <c r="C4253">
        <v>75590</v>
      </c>
      <c r="D4253" s="4">
        <f>+VLOOKUP(A4253,Portfolio!$G$3:$I$6,3)</f>
        <v>1</v>
      </c>
      <c r="E4253">
        <f t="shared" si="66"/>
        <v>75590</v>
      </c>
    </row>
    <row r="4254" spans="1:5" x14ac:dyDescent="0.25">
      <c r="A4254" t="s">
        <v>2</v>
      </c>
      <c r="B4254">
        <v>1230412</v>
      </c>
      <c r="C4254">
        <v>76310</v>
      </c>
      <c r="D4254" s="4">
        <f>+VLOOKUP(A4254,Portfolio!$G$3:$I$6,3)</f>
        <v>1</v>
      </c>
      <c r="E4254">
        <f t="shared" si="66"/>
        <v>76310</v>
      </c>
    </row>
    <row r="4255" spans="1:5" x14ac:dyDescent="0.25">
      <c r="A4255" t="s">
        <v>2</v>
      </c>
      <c r="B4255">
        <v>1230413</v>
      </c>
      <c r="C4255">
        <v>74340</v>
      </c>
      <c r="D4255" s="4">
        <f>+VLOOKUP(A4255,Portfolio!$G$3:$I$6,3)</f>
        <v>1</v>
      </c>
      <c r="E4255">
        <f t="shared" si="66"/>
        <v>74340</v>
      </c>
    </row>
    <row r="4256" spans="1:5" x14ac:dyDescent="0.25">
      <c r="A4256" t="s">
        <v>2</v>
      </c>
      <c r="B4256">
        <v>1230414</v>
      </c>
      <c r="C4256">
        <v>77300</v>
      </c>
      <c r="D4256" s="4">
        <f>+VLOOKUP(A4256,Portfolio!$G$3:$I$6,3)</f>
        <v>1</v>
      </c>
      <c r="E4256">
        <f t="shared" si="66"/>
        <v>77300</v>
      </c>
    </row>
    <row r="4257" spans="1:5" x14ac:dyDescent="0.25">
      <c r="A4257" t="s">
        <v>2</v>
      </c>
      <c r="B4257">
        <v>1230416</v>
      </c>
      <c r="C4257">
        <v>80940</v>
      </c>
      <c r="D4257" s="4">
        <f>+VLOOKUP(A4257,Portfolio!$G$3:$I$6,3)</f>
        <v>1</v>
      </c>
      <c r="E4257">
        <f t="shared" si="66"/>
        <v>80940</v>
      </c>
    </row>
    <row r="4258" spans="1:5" x14ac:dyDescent="0.25">
      <c r="A4258" t="s">
        <v>2</v>
      </c>
      <c r="B4258">
        <v>1230417</v>
      </c>
      <c r="C4258">
        <v>80670</v>
      </c>
      <c r="D4258" s="4">
        <f>+VLOOKUP(A4258,Portfolio!$G$3:$I$6,3)</f>
        <v>1</v>
      </c>
      <c r="E4258">
        <f t="shared" si="66"/>
        <v>80670</v>
      </c>
    </row>
    <row r="4259" spans="1:5" x14ac:dyDescent="0.25">
      <c r="A4259" t="s">
        <v>2</v>
      </c>
      <c r="B4259">
        <v>1230418</v>
      </c>
      <c r="C4259">
        <v>80420</v>
      </c>
      <c r="D4259" s="4">
        <f>+VLOOKUP(A4259,Portfolio!$G$3:$I$6,3)</f>
        <v>1</v>
      </c>
      <c r="E4259">
        <f t="shared" si="66"/>
        <v>80420</v>
      </c>
    </row>
    <row r="4260" spans="1:5" x14ac:dyDescent="0.25">
      <c r="A4260" t="s">
        <v>2</v>
      </c>
      <c r="B4260">
        <v>1230419</v>
      </c>
      <c r="C4260">
        <v>79970</v>
      </c>
      <c r="D4260" s="4">
        <f>+VLOOKUP(A4260,Portfolio!$G$3:$I$6,3)</f>
        <v>1</v>
      </c>
      <c r="E4260">
        <f t="shared" si="66"/>
        <v>79970</v>
      </c>
    </row>
    <row r="4261" spans="1:5" x14ac:dyDescent="0.25">
      <c r="A4261" t="s">
        <v>2</v>
      </c>
      <c r="B4261">
        <v>1230420</v>
      </c>
      <c r="C4261">
        <v>77700</v>
      </c>
      <c r="D4261" s="4">
        <f>+VLOOKUP(A4261,Portfolio!$G$3:$I$6,3)</f>
        <v>1</v>
      </c>
      <c r="E4261">
        <f t="shared" si="66"/>
        <v>77700</v>
      </c>
    </row>
    <row r="4262" spans="1:5" x14ac:dyDescent="0.25">
      <c r="A4262" t="s">
        <v>2</v>
      </c>
      <c r="B4262">
        <v>1230421</v>
      </c>
      <c r="C4262">
        <v>76980</v>
      </c>
      <c r="D4262" s="4">
        <f>+VLOOKUP(A4262,Portfolio!$G$3:$I$6,3)</f>
        <v>1</v>
      </c>
      <c r="E4262">
        <f t="shared" si="66"/>
        <v>76980</v>
      </c>
    </row>
    <row r="4263" spans="1:5" x14ac:dyDescent="0.25">
      <c r="A4263" t="s">
        <v>2</v>
      </c>
      <c r="B4263">
        <v>1230423</v>
      </c>
      <c r="C4263">
        <v>75520</v>
      </c>
      <c r="D4263" s="4">
        <f>+VLOOKUP(A4263,Portfolio!$G$3:$I$6,3)</f>
        <v>1</v>
      </c>
      <c r="E4263">
        <f t="shared" si="66"/>
        <v>75520</v>
      </c>
    </row>
    <row r="4264" spans="1:5" x14ac:dyDescent="0.25">
      <c r="A4264" t="s">
        <v>2</v>
      </c>
      <c r="B4264">
        <v>1230424</v>
      </c>
      <c r="C4264">
        <v>75520</v>
      </c>
      <c r="D4264" s="4">
        <f>+VLOOKUP(A4264,Portfolio!$G$3:$I$6,3)</f>
        <v>1</v>
      </c>
      <c r="E4264">
        <f t="shared" si="66"/>
        <v>75520</v>
      </c>
    </row>
    <row r="4265" spans="1:5" x14ac:dyDescent="0.25">
      <c r="A4265" t="s">
        <v>2</v>
      </c>
      <c r="B4265">
        <v>1230425</v>
      </c>
      <c r="C4265">
        <v>76420</v>
      </c>
      <c r="D4265" s="4">
        <f>+VLOOKUP(A4265,Portfolio!$G$3:$I$6,3)</f>
        <v>1</v>
      </c>
      <c r="E4265">
        <f t="shared" si="66"/>
        <v>76420</v>
      </c>
    </row>
    <row r="4266" spans="1:5" x14ac:dyDescent="0.25">
      <c r="A4266" t="s">
        <v>2</v>
      </c>
      <c r="B4266">
        <v>1230426</v>
      </c>
      <c r="C4266">
        <v>75240</v>
      </c>
      <c r="D4266" s="4">
        <f>+VLOOKUP(A4266,Portfolio!$G$3:$I$6,3)</f>
        <v>1</v>
      </c>
      <c r="E4266">
        <f t="shared" si="66"/>
        <v>75240</v>
      </c>
    </row>
    <row r="4267" spans="1:5" x14ac:dyDescent="0.25">
      <c r="A4267" t="s">
        <v>2</v>
      </c>
      <c r="B4267">
        <v>1230427</v>
      </c>
      <c r="C4267">
        <v>73570</v>
      </c>
      <c r="D4267" s="4">
        <f>+VLOOKUP(A4267,Portfolio!$G$3:$I$6,3)</f>
        <v>1</v>
      </c>
      <c r="E4267">
        <f t="shared" si="66"/>
        <v>73570</v>
      </c>
    </row>
    <row r="4268" spans="1:5" x14ac:dyDescent="0.25">
      <c r="A4268" t="s">
        <v>2</v>
      </c>
      <c r="B4268">
        <v>1230428</v>
      </c>
      <c r="C4268">
        <v>72320</v>
      </c>
      <c r="D4268" s="4">
        <f>+VLOOKUP(A4268,Portfolio!$G$3:$I$6,3)</f>
        <v>1</v>
      </c>
      <c r="E4268">
        <f t="shared" si="66"/>
        <v>72320</v>
      </c>
    </row>
    <row r="4269" spans="1:5" x14ac:dyDescent="0.25">
      <c r="A4269" t="s">
        <v>2</v>
      </c>
      <c r="B4269">
        <v>1230430</v>
      </c>
      <c r="C4269">
        <v>72590</v>
      </c>
      <c r="D4269" s="4">
        <f>+VLOOKUP(A4269,Portfolio!$G$3:$I$6,3)</f>
        <v>1</v>
      </c>
      <c r="E4269">
        <f t="shared" si="66"/>
        <v>72590</v>
      </c>
    </row>
    <row r="4270" spans="1:5" x14ac:dyDescent="0.25">
      <c r="A4270" t="s">
        <v>2</v>
      </c>
      <c r="B4270">
        <v>1230501</v>
      </c>
      <c r="C4270">
        <v>72590</v>
      </c>
      <c r="D4270" s="4">
        <f>+VLOOKUP(A4270,Portfolio!$G$3:$I$6,3)</f>
        <v>1</v>
      </c>
      <c r="E4270">
        <f t="shared" si="66"/>
        <v>72590</v>
      </c>
    </row>
    <row r="4271" spans="1:5" x14ac:dyDescent="0.25">
      <c r="A4271" t="s">
        <v>2</v>
      </c>
      <c r="B4271">
        <v>1230502</v>
      </c>
      <c r="C4271">
        <v>71420</v>
      </c>
      <c r="D4271" s="4">
        <f>+VLOOKUP(A4271,Portfolio!$G$3:$I$6,3)</f>
        <v>1</v>
      </c>
      <c r="E4271">
        <f t="shared" si="66"/>
        <v>71420</v>
      </c>
    </row>
    <row r="4272" spans="1:5" x14ac:dyDescent="0.25">
      <c r="A4272" t="s">
        <v>2</v>
      </c>
      <c r="B4272">
        <v>1230503</v>
      </c>
      <c r="C4272">
        <v>73970</v>
      </c>
      <c r="D4272" s="4">
        <f>+VLOOKUP(A4272,Portfolio!$G$3:$I$6,3)</f>
        <v>1</v>
      </c>
      <c r="E4272">
        <f t="shared" si="66"/>
        <v>73970</v>
      </c>
    </row>
    <row r="4273" spans="1:5" x14ac:dyDescent="0.25">
      <c r="A4273" t="s">
        <v>2</v>
      </c>
      <c r="B4273">
        <v>1230504</v>
      </c>
      <c r="C4273">
        <v>70970</v>
      </c>
      <c r="D4273" s="4">
        <f>+VLOOKUP(A4273,Portfolio!$G$3:$I$6,3)</f>
        <v>1</v>
      </c>
      <c r="E4273">
        <f t="shared" si="66"/>
        <v>70970</v>
      </c>
    </row>
    <row r="4274" spans="1:5" x14ac:dyDescent="0.25">
      <c r="A4274" t="s">
        <v>2</v>
      </c>
      <c r="B4274">
        <v>1230505</v>
      </c>
      <c r="C4274">
        <v>70680</v>
      </c>
      <c r="D4274" s="4">
        <f>+VLOOKUP(A4274,Portfolio!$G$3:$I$6,3)</f>
        <v>1</v>
      </c>
      <c r="E4274">
        <f t="shared" si="66"/>
        <v>70680</v>
      </c>
    </row>
    <row r="4275" spans="1:5" x14ac:dyDescent="0.25">
      <c r="A4275" t="s">
        <v>2</v>
      </c>
      <c r="B4275">
        <v>1230507</v>
      </c>
      <c r="C4275">
        <v>73180</v>
      </c>
      <c r="D4275" s="4">
        <f>+VLOOKUP(A4275,Portfolio!$G$3:$I$6,3)</f>
        <v>1</v>
      </c>
      <c r="E4275">
        <f t="shared" si="66"/>
        <v>73180</v>
      </c>
    </row>
    <row r="4276" spans="1:5" x14ac:dyDescent="0.25">
      <c r="A4276" t="s">
        <v>2</v>
      </c>
      <c r="B4276">
        <v>1230508</v>
      </c>
      <c r="C4276">
        <v>72340</v>
      </c>
      <c r="D4276" s="4">
        <f>+VLOOKUP(A4276,Portfolio!$G$3:$I$6,3)</f>
        <v>1</v>
      </c>
      <c r="E4276">
        <f t="shared" si="66"/>
        <v>72340</v>
      </c>
    </row>
    <row r="4277" spans="1:5" x14ac:dyDescent="0.25">
      <c r="A4277" t="s">
        <v>2</v>
      </c>
      <c r="B4277">
        <v>1230509</v>
      </c>
      <c r="C4277">
        <v>72450</v>
      </c>
      <c r="D4277" s="4">
        <f>+VLOOKUP(A4277,Portfolio!$G$3:$I$6,3)</f>
        <v>1</v>
      </c>
      <c r="E4277">
        <f t="shared" si="66"/>
        <v>72450</v>
      </c>
    </row>
    <row r="4278" spans="1:5" x14ac:dyDescent="0.25">
      <c r="A4278" t="s">
        <v>2</v>
      </c>
      <c r="B4278">
        <v>1230510</v>
      </c>
      <c r="C4278">
        <v>73080</v>
      </c>
      <c r="D4278" s="4">
        <f>+VLOOKUP(A4278,Portfolio!$G$3:$I$6,3)</f>
        <v>1</v>
      </c>
      <c r="E4278">
        <f t="shared" si="66"/>
        <v>73080</v>
      </c>
    </row>
    <row r="4279" spans="1:5" x14ac:dyDescent="0.25">
      <c r="A4279" t="s">
        <v>2</v>
      </c>
      <c r="B4279">
        <v>1230511</v>
      </c>
      <c r="C4279">
        <v>71760</v>
      </c>
      <c r="D4279" s="4">
        <f>+VLOOKUP(A4279,Portfolio!$G$3:$I$6,3)</f>
        <v>1</v>
      </c>
      <c r="E4279">
        <f t="shared" si="66"/>
        <v>71760</v>
      </c>
    </row>
    <row r="4280" spans="1:5" x14ac:dyDescent="0.25">
      <c r="A4280" t="s">
        <v>2</v>
      </c>
      <c r="B4280">
        <v>1230512</v>
      </c>
      <c r="C4280">
        <v>67070</v>
      </c>
      <c r="D4280" s="4">
        <f>+VLOOKUP(A4280,Portfolio!$G$3:$I$6,3)</f>
        <v>1</v>
      </c>
      <c r="E4280">
        <f t="shared" si="66"/>
        <v>67070</v>
      </c>
    </row>
    <row r="4281" spans="1:5" x14ac:dyDescent="0.25">
      <c r="A4281" t="s">
        <v>2</v>
      </c>
      <c r="B4281">
        <v>1230514</v>
      </c>
      <c r="C4281">
        <v>65500</v>
      </c>
      <c r="D4281" s="4">
        <f>+VLOOKUP(A4281,Portfolio!$G$3:$I$6,3)</f>
        <v>1</v>
      </c>
      <c r="E4281">
        <f t="shared" si="66"/>
        <v>65500</v>
      </c>
    </row>
    <row r="4282" spans="1:5" x14ac:dyDescent="0.25">
      <c r="A4282" t="s">
        <v>2</v>
      </c>
      <c r="B4282">
        <v>1230515</v>
      </c>
      <c r="C4282">
        <v>65800</v>
      </c>
      <c r="D4282" s="4">
        <f>+VLOOKUP(A4282,Portfolio!$G$3:$I$6,3)</f>
        <v>1</v>
      </c>
      <c r="E4282">
        <f t="shared" si="66"/>
        <v>65800</v>
      </c>
    </row>
    <row r="4283" spans="1:5" x14ac:dyDescent="0.25">
      <c r="A4283" t="s">
        <v>2</v>
      </c>
      <c r="B4283">
        <v>1230516</v>
      </c>
      <c r="C4283">
        <v>65330</v>
      </c>
      <c r="D4283" s="4">
        <f>+VLOOKUP(A4283,Portfolio!$G$3:$I$6,3)</f>
        <v>1</v>
      </c>
      <c r="E4283">
        <f t="shared" si="66"/>
        <v>65330</v>
      </c>
    </row>
    <row r="4284" spans="1:5" x14ac:dyDescent="0.25">
      <c r="A4284" t="s">
        <v>2</v>
      </c>
      <c r="B4284">
        <v>1230517</v>
      </c>
      <c r="C4284">
        <v>65820</v>
      </c>
      <c r="D4284" s="4">
        <f>+VLOOKUP(A4284,Portfolio!$G$3:$I$6,3)</f>
        <v>1</v>
      </c>
      <c r="E4284">
        <f t="shared" si="66"/>
        <v>65820</v>
      </c>
    </row>
    <row r="4285" spans="1:5" x14ac:dyDescent="0.25">
      <c r="A4285" t="s">
        <v>2</v>
      </c>
      <c r="B4285">
        <v>1230518</v>
      </c>
      <c r="C4285">
        <v>66360</v>
      </c>
      <c r="D4285" s="4">
        <f>+VLOOKUP(A4285,Portfolio!$G$3:$I$6,3)</f>
        <v>1</v>
      </c>
      <c r="E4285">
        <f t="shared" si="66"/>
        <v>66360</v>
      </c>
    </row>
    <row r="4286" spans="1:5" x14ac:dyDescent="0.25">
      <c r="A4286" t="s">
        <v>2</v>
      </c>
      <c r="B4286">
        <v>1230519</v>
      </c>
      <c r="C4286">
        <v>67900</v>
      </c>
      <c r="D4286" s="4">
        <f>+VLOOKUP(A4286,Portfolio!$G$3:$I$6,3)</f>
        <v>1</v>
      </c>
      <c r="E4286">
        <f t="shared" si="66"/>
        <v>67900</v>
      </c>
    </row>
    <row r="4287" spans="1:5" x14ac:dyDescent="0.25">
      <c r="A4287" t="s">
        <v>2</v>
      </c>
      <c r="B4287">
        <v>1230521</v>
      </c>
      <c r="C4287">
        <v>68120</v>
      </c>
      <c r="D4287" s="4">
        <f>+VLOOKUP(A4287,Portfolio!$G$3:$I$6,3)</f>
        <v>1</v>
      </c>
      <c r="E4287">
        <f t="shared" si="66"/>
        <v>68120</v>
      </c>
    </row>
    <row r="4288" spans="1:5" x14ac:dyDescent="0.25">
      <c r="A4288" t="s">
        <v>2</v>
      </c>
      <c r="B4288">
        <v>1230522</v>
      </c>
      <c r="C4288">
        <v>68120</v>
      </c>
      <c r="D4288" s="4">
        <f>+VLOOKUP(A4288,Portfolio!$G$3:$I$6,3)</f>
        <v>1</v>
      </c>
      <c r="E4288">
        <f t="shared" si="66"/>
        <v>68120</v>
      </c>
    </row>
    <row r="4289" spans="1:5" x14ac:dyDescent="0.25">
      <c r="A4289" t="s">
        <v>2</v>
      </c>
      <c r="B4289">
        <v>1230523</v>
      </c>
      <c r="C4289">
        <v>68080</v>
      </c>
      <c r="D4289" s="4">
        <f>+VLOOKUP(A4289,Portfolio!$G$3:$I$6,3)</f>
        <v>1</v>
      </c>
      <c r="E4289">
        <f t="shared" si="66"/>
        <v>68080</v>
      </c>
    </row>
    <row r="4290" spans="1:5" x14ac:dyDescent="0.25">
      <c r="A4290" t="s">
        <v>2</v>
      </c>
      <c r="B4290">
        <v>1230524</v>
      </c>
      <c r="C4290">
        <v>68480</v>
      </c>
      <c r="D4290" s="4">
        <f>+VLOOKUP(A4290,Portfolio!$G$3:$I$6,3)</f>
        <v>1</v>
      </c>
      <c r="E4290">
        <f t="shared" si="66"/>
        <v>68480</v>
      </c>
    </row>
    <row r="4291" spans="1:5" x14ac:dyDescent="0.25">
      <c r="A4291" t="s">
        <v>2</v>
      </c>
      <c r="B4291">
        <v>1230525</v>
      </c>
      <c r="C4291">
        <v>66000</v>
      </c>
      <c r="D4291" s="4">
        <f>+VLOOKUP(A4291,Portfolio!$G$3:$I$6,3)</f>
        <v>1</v>
      </c>
      <c r="E4291">
        <f t="shared" ref="E4291:E4354" si="67">+C4291*D4291</f>
        <v>66000</v>
      </c>
    </row>
    <row r="4292" spans="1:5" x14ac:dyDescent="0.25">
      <c r="A4292" t="s">
        <v>2</v>
      </c>
      <c r="B4292">
        <v>1230526</v>
      </c>
      <c r="C4292">
        <v>66390</v>
      </c>
      <c r="D4292" s="4">
        <f>+VLOOKUP(A4292,Portfolio!$G$3:$I$6,3)</f>
        <v>1</v>
      </c>
      <c r="E4292">
        <f t="shared" si="67"/>
        <v>66390</v>
      </c>
    </row>
    <row r="4293" spans="1:5" x14ac:dyDescent="0.25">
      <c r="A4293" t="s">
        <v>2</v>
      </c>
      <c r="B4293">
        <v>1230528</v>
      </c>
      <c r="C4293">
        <v>66540</v>
      </c>
      <c r="D4293" s="4">
        <f>+VLOOKUP(A4293,Portfolio!$G$3:$I$6,3)</f>
        <v>1</v>
      </c>
      <c r="E4293">
        <f t="shared" si="67"/>
        <v>66540</v>
      </c>
    </row>
    <row r="4294" spans="1:5" x14ac:dyDescent="0.25">
      <c r="A4294" t="s">
        <v>2</v>
      </c>
      <c r="B4294">
        <v>1230529</v>
      </c>
      <c r="C4294">
        <v>66540</v>
      </c>
      <c r="D4294" s="4">
        <f>+VLOOKUP(A4294,Portfolio!$G$3:$I$6,3)</f>
        <v>1</v>
      </c>
      <c r="E4294">
        <f t="shared" si="67"/>
        <v>66540</v>
      </c>
    </row>
    <row r="4295" spans="1:5" x14ac:dyDescent="0.25">
      <c r="A4295" t="s">
        <v>2</v>
      </c>
      <c r="B4295">
        <v>1230530</v>
      </c>
      <c r="C4295">
        <v>64960</v>
      </c>
      <c r="D4295" s="4">
        <f>+VLOOKUP(A4295,Portfolio!$G$3:$I$6,3)</f>
        <v>1</v>
      </c>
      <c r="E4295">
        <f t="shared" si="67"/>
        <v>64960</v>
      </c>
    </row>
    <row r="4296" spans="1:5" x14ac:dyDescent="0.25">
      <c r="A4296" t="s">
        <v>2</v>
      </c>
      <c r="B4296">
        <v>1230531</v>
      </c>
      <c r="C4296">
        <v>67270</v>
      </c>
      <c r="D4296" s="4">
        <f>+VLOOKUP(A4296,Portfolio!$G$3:$I$6,3)</f>
        <v>1</v>
      </c>
      <c r="E4296">
        <f t="shared" si="67"/>
        <v>67270</v>
      </c>
    </row>
    <row r="4297" spans="1:5" x14ac:dyDescent="0.25">
      <c r="A4297" t="s">
        <v>2</v>
      </c>
      <c r="B4297">
        <v>1230601</v>
      </c>
      <c r="C4297">
        <v>67270</v>
      </c>
      <c r="D4297" s="4">
        <f>+VLOOKUP(A4297,Portfolio!$G$3:$I$6,3)</f>
        <v>1</v>
      </c>
      <c r="E4297">
        <f t="shared" si="67"/>
        <v>67270</v>
      </c>
    </row>
    <row r="4298" spans="1:5" x14ac:dyDescent="0.25">
      <c r="A4298" t="s">
        <v>2</v>
      </c>
      <c r="B4298">
        <v>1230602</v>
      </c>
      <c r="C4298">
        <v>67710</v>
      </c>
      <c r="D4298" s="4">
        <f>+VLOOKUP(A4298,Portfolio!$G$3:$I$6,3)</f>
        <v>1</v>
      </c>
      <c r="E4298">
        <f t="shared" si="67"/>
        <v>67710</v>
      </c>
    </row>
    <row r="4299" spans="1:5" x14ac:dyDescent="0.25">
      <c r="A4299" t="s">
        <v>2</v>
      </c>
      <c r="B4299">
        <v>1230604</v>
      </c>
      <c r="C4299">
        <v>69830</v>
      </c>
      <c r="D4299" s="4">
        <f>+VLOOKUP(A4299,Portfolio!$G$3:$I$6,3)</f>
        <v>1</v>
      </c>
      <c r="E4299">
        <f t="shared" si="67"/>
        <v>69830</v>
      </c>
    </row>
    <row r="4300" spans="1:5" x14ac:dyDescent="0.25">
      <c r="A4300" t="s">
        <v>2</v>
      </c>
      <c r="B4300">
        <v>1230605</v>
      </c>
      <c r="C4300">
        <v>70030</v>
      </c>
      <c r="D4300" s="4">
        <f>+VLOOKUP(A4300,Portfolio!$G$3:$I$6,3)</f>
        <v>1</v>
      </c>
      <c r="E4300">
        <f t="shared" si="67"/>
        <v>70030</v>
      </c>
    </row>
    <row r="4301" spans="1:5" x14ac:dyDescent="0.25">
      <c r="A4301" t="s">
        <v>2</v>
      </c>
      <c r="B4301">
        <v>1230606</v>
      </c>
      <c r="C4301">
        <v>68140</v>
      </c>
      <c r="D4301" s="4">
        <f>+VLOOKUP(A4301,Portfolio!$G$3:$I$6,3)</f>
        <v>1</v>
      </c>
      <c r="E4301">
        <f t="shared" si="67"/>
        <v>68140</v>
      </c>
    </row>
    <row r="4302" spans="1:5" x14ac:dyDescent="0.25">
      <c r="A4302" t="s">
        <v>2</v>
      </c>
      <c r="B4302">
        <v>1230607</v>
      </c>
      <c r="C4302">
        <v>67430</v>
      </c>
      <c r="D4302" s="4">
        <f>+VLOOKUP(A4302,Portfolio!$G$3:$I$6,3)</f>
        <v>1</v>
      </c>
      <c r="E4302">
        <f t="shared" si="67"/>
        <v>67430</v>
      </c>
    </row>
    <row r="4303" spans="1:5" x14ac:dyDescent="0.25">
      <c r="A4303" t="s">
        <v>2</v>
      </c>
      <c r="B4303">
        <v>1230608</v>
      </c>
      <c r="C4303">
        <v>67200</v>
      </c>
      <c r="D4303" s="4">
        <f>+VLOOKUP(A4303,Portfolio!$G$3:$I$6,3)</f>
        <v>1</v>
      </c>
      <c r="E4303">
        <f t="shared" si="67"/>
        <v>67200</v>
      </c>
    </row>
    <row r="4304" spans="1:5" x14ac:dyDescent="0.25">
      <c r="A4304" t="s">
        <v>2</v>
      </c>
      <c r="B4304">
        <v>1230609</v>
      </c>
      <c r="C4304">
        <v>68730</v>
      </c>
      <c r="D4304" s="4">
        <f>+VLOOKUP(A4304,Portfolio!$G$3:$I$6,3)</f>
        <v>1</v>
      </c>
      <c r="E4304">
        <f t="shared" si="67"/>
        <v>68730</v>
      </c>
    </row>
    <row r="4305" spans="1:5" x14ac:dyDescent="0.25">
      <c r="A4305" t="s">
        <v>2</v>
      </c>
      <c r="B4305">
        <v>1230611</v>
      </c>
      <c r="C4305">
        <v>66760</v>
      </c>
      <c r="D4305" s="4">
        <f>+VLOOKUP(A4305,Portfolio!$G$3:$I$6,3)</f>
        <v>1</v>
      </c>
      <c r="E4305">
        <f t="shared" si="67"/>
        <v>66760</v>
      </c>
    </row>
    <row r="4306" spans="1:5" x14ac:dyDescent="0.25">
      <c r="A4306" t="s">
        <v>2</v>
      </c>
      <c r="B4306">
        <v>1230612</v>
      </c>
      <c r="C4306">
        <v>66690</v>
      </c>
      <c r="D4306" s="4">
        <f>+VLOOKUP(A4306,Portfolio!$G$3:$I$6,3)</f>
        <v>1</v>
      </c>
      <c r="E4306">
        <f t="shared" si="67"/>
        <v>66690</v>
      </c>
    </row>
    <row r="4307" spans="1:5" x14ac:dyDescent="0.25">
      <c r="A4307" t="s">
        <v>2</v>
      </c>
      <c r="B4307">
        <v>1230613</v>
      </c>
      <c r="C4307">
        <v>66020</v>
      </c>
      <c r="D4307" s="4">
        <f>+VLOOKUP(A4307,Portfolio!$G$3:$I$6,3)</f>
        <v>1</v>
      </c>
      <c r="E4307">
        <f t="shared" si="67"/>
        <v>66020</v>
      </c>
    </row>
    <row r="4308" spans="1:5" x14ac:dyDescent="0.25">
      <c r="A4308" t="s">
        <v>2</v>
      </c>
      <c r="B4308">
        <v>1230614</v>
      </c>
      <c r="C4308">
        <v>65850</v>
      </c>
      <c r="D4308" s="4">
        <f>+VLOOKUP(A4308,Portfolio!$G$3:$I$6,3)</f>
        <v>1</v>
      </c>
      <c r="E4308">
        <f t="shared" si="67"/>
        <v>65850</v>
      </c>
    </row>
    <row r="4309" spans="1:5" x14ac:dyDescent="0.25">
      <c r="A4309" t="s">
        <v>2</v>
      </c>
      <c r="B4309">
        <v>1230615</v>
      </c>
      <c r="C4309">
        <v>63810</v>
      </c>
      <c r="D4309" s="4">
        <f>+VLOOKUP(A4309,Portfolio!$G$3:$I$6,3)</f>
        <v>1</v>
      </c>
      <c r="E4309">
        <f t="shared" si="67"/>
        <v>63810</v>
      </c>
    </row>
    <row r="4310" spans="1:5" x14ac:dyDescent="0.25">
      <c r="A4310" t="s">
        <v>2</v>
      </c>
      <c r="B4310">
        <v>1230616</v>
      </c>
      <c r="C4310">
        <v>60810</v>
      </c>
      <c r="D4310" s="4">
        <f>+VLOOKUP(A4310,Portfolio!$G$3:$I$6,3)</f>
        <v>1</v>
      </c>
      <c r="E4310">
        <f t="shared" si="67"/>
        <v>60810</v>
      </c>
    </row>
    <row r="4311" spans="1:5" x14ac:dyDescent="0.25">
      <c r="A4311" t="s">
        <v>2</v>
      </c>
      <c r="B4311">
        <v>1230618</v>
      </c>
      <c r="C4311">
        <v>59610</v>
      </c>
      <c r="D4311" s="4">
        <f>+VLOOKUP(A4311,Portfolio!$G$3:$I$6,3)</f>
        <v>1</v>
      </c>
      <c r="E4311">
        <f t="shared" si="67"/>
        <v>59610</v>
      </c>
    </row>
    <row r="4312" spans="1:5" x14ac:dyDescent="0.25">
      <c r="A4312" t="s">
        <v>2</v>
      </c>
      <c r="B4312">
        <v>1230619</v>
      </c>
      <c r="C4312">
        <v>59350</v>
      </c>
      <c r="D4312" s="4">
        <f>+VLOOKUP(A4312,Portfolio!$G$3:$I$6,3)</f>
        <v>1</v>
      </c>
      <c r="E4312">
        <f t="shared" si="67"/>
        <v>59350</v>
      </c>
    </row>
    <row r="4313" spans="1:5" x14ac:dyDescent="0.25">
      <c r="A4313" t="s">
        <v>2</v>
      </c>
      <c r="B4313">
        <v>1230620</v>
      </c>
      <c r="C4313">
        <v>59340</v>
      </c>
      <c r="D4313" s="4">
        <f>+VLOOKUP(A4313,Portfolio!$G$3:$I$6,3)</f>
        <v>1</v>
      </c>
      <c r="E4313">
        <f t="shared" si="67"/>
        <v>59340</v>
      </c>
    </row>
    <row r="4314" spans="1:5" x14ac:dyDescent="0.25">
      <c r="A4314" t="s">
        <v>2</v>
      </c>
      <c r="B4314">
        <v>1230621</v>
      </c>
      <c r="C4314">
        <v>59900</v>
      </c>
      <c r="D4314" s="4">
        <f>+VLOOKUP(A4314,Portfolio!$G$3:$I$6,3)</f>
        <v>1</v>
      </c>
      <c r="E4314">
        <f t="shared" si="67"/>
        <v>59900</v>
      </c>
    </row>
    <row r="4315" spans="1:5" x14ac:dyDescent="0.25">
      <c r="A4315" t="s">
        <v>2</v>
      </c>
      <c r="B4315">
        <v>1230622</v>
      </c>
      <c r="C4315">
        <v>59850</v>
      </c>
      <c r="D4315" s="4">
        <f>+VLOOKUP(A4315,Portfolio!$G$3:$I$6,3)</f>
        <v>1</v>
      </c>
      <c r="E4315">
        <f t="shared" si="67"/>
        <v>59850</v>
      </c>
    </row>
    <row r="4316" spans="1:5" x14ac:dyDescent="0.25">
      <c r="A4316" t="s">
        <v>2</v>
      </c>
      <c r="B4316">
        <v>1230623</v>
      </c>
      <c r="C4316">
        <v>60880</v>
      </c>
      <c r="D4316" s="4">
        <f>+VLOOKUP(A4316,Portfolio!$G$3:$I$6,3)</f>
        <v>1</v>
      </c>
      <c r="E4316">
        <f t="shared" si="67"/>
        <v>60880</v>
      </c>
    </row>
    <row r="4317" spans="1:5" x14ac:dyDescent="0.25">
      <c r="A4317" t="s">
        <v>2</v>
      </c>
      <c r="B4317">
        <v>1230625</v>
      </c>
      <c r="C4317">
        <v>61450</v>
      </c>
      <c r="D4317" s="4">
        <f>+VLOOKUP(A4317,Portfolio!$G$3:$I$6,3)</f>
        <v>1</v>
      </c>
      <c r="E4317">
        <f t="shared" si="67"/>
        <v>61450</v>
      </c>
    </row>
    <row r="4318" spans="1:5" x14ac:dyDescent="0.25">
      <c r="A4318" t="s">
        <v>2</v>
      </c>
      <c r="B4318">
        <v>1230626</v>
      </c>
      <c r="C4318">
        <v>61520</v>
      </c>
      <c r="D4318" s="4">
        <f>+VLOOKUP(A4318,Portfolio!$G$3:$I$6,3)</f>
        <v>1</v>
      </c>
      <c r="E4318">
        <f t="shared" si="67"/>
        <v>61520</v>
      </c>
    </row>
    <row r="4319" spans="1:5" x14ac:dyDescent="0.25">
      <c r="A4319" t="s">
        <v>2</v>
      </c>
      <c r="B4319">
        <v>1230627</v>
      </c>
      <c r="C4319">
        <v>61770</v>
      </c>
      <c r="D4319" s="4">
        <f>+VLOOKUP(A4319,Portfolio!$G$3:$I$6,3)</f>
        <v>1</v>
      </c>
      <c r="E4319">
        <f t="shared" si="67"/>
        <v>61770</v>
      </c>
    </row>
    <row r="4320" spans="1:5" x14ac:dyDescent="0.25">
      <c r="A4320" t="s">
        <v>2</v>
      </c>
      <c r="B4320">
        <v>1230628</v>
      </c>
      <c r="C4320">
        <v>59240</v>
      </c>
      <c r="D4320" s="4">
        <f>+VLOOKUP(A4320,Portfolio!$G$3:$I$6,3)</f>
        <v>1</v>
      </c>
      <c r="E4320">
        <f t="shared" si="67"/>
        <v>59240</v>
      </c>
    </row>
    <row r="4321" spans="1:5" x14ac:dyDescent="0.25">
      <c r="A4321" t="s">
        <v>2</v>
      </c>
      <c r="B4321">
        <v>1230629</v>
      </c>
      <c r="C4321">
        <v>58860</v>
      </c>
      <c r="D4321" s="4">
        <f>+VLOOKUP(A4321,Portfolio!$G$3:$I$6,3)</f>
        <v>1</v>
      </c>
      <c r="E4321">
        <f t="shared" si="67"/>
        <v>58860</v>
      </c>
    </row>
    <row r="4322" spans="1:5" x14ac:dyDescent="0.25">
      <c r="A4322" t="s">
        <v>2</v>
      </c>
      <c r="B4322">
        <v>1230630</v>
      </c>
      <c r="C4322">
        <v>57580</v>
      </c>
      <c r="D4322" s="4">
        <f>+VLOOKUP(A4322,Portfolio!$G$3:$I$6,3)</f>
        <v>1</v>
      </c>
      <c r="E4322">
        <f t="shared" si="67"/>
        <v>57580</v>
      </c>
    </row>
    <row r="4323" spans="1:5" x14ac:dyDescent="0.25">
      <c r="A4323" t="s">
        <v>2</v>
      </c>
      <c r="B4323">
        <v>1230702</v>
      </c>
      <c r="C4323">
        <v>58310</v>
      </c>
      <c r="D4323" s="4">
        <f>+VLOOKUP(A4323,Portfolio!$G$3:$I$6,3)</f>
        <v>1</v>
      </c>
      <c r="E4323">
        <f t="shared" si="67"/>
        <v>58310</v>
      </c>
    </row>
    <row r="4324" spans="1:5" x14ac:dyDescent="0.25">
      <c r="A4324" t="s">
        <v>2</v>
      </c>
      <c r="B4324">
        <v>1230703</v>
      </c>
      <c r="C4324">
        <v>58240</v>
      </c>
      <c r="D4324" s="4">
        <f>+VLOOKUP(A4324,Portfolio!$G$3:$I$6,3)</f>
        <v>1</v>
      </c>
      <c r="E4324">
        <f t="shared" si="67"/>
        <v>58240</v>
      </c>
    </row>
    <row r="4325" spans="1:5" x14ac:dyDescent="0.25">
      <c r="A4325" t="s">
        <v>2</v>
      </c>
      <c r="B4325">
        <v>1230704</v>
      </c>
      <c r="C4325">
        <v>56990</v>
      </c>
      <c r="D4325" s="4">
        <f>+VLOOKUP(A4325,Portfolio!$G$3:$I$6,3)</f>
        <v>1</v>
      </c>
      <c r="E4325">
        <f t="shared" si="67"/>
        <v>56990</v>
      </c>
    </row>
    <row r="4326" spans="1:5" x14ac:dyDescent="0.25">
      <c r="A4326" t="s">
        <v>2</v>
      </c>
      <c r="B4326">
        <v>1230705</v>
      </c>
      <c r="C4326">
        <v>57520</v>
      </c>
      <c r="D4326" s="4">
        <f>+VLOOKUP(A4326,Portfolio!$G$3:$I$6,3)</f>
        <v>1</v>
      </c>
      <c r="E4326">
        <f t="shared" si="67"/>
        <v>57520</v>
      </c>
    </row>
    <row r="4327" spans="1:5" x14ac:dyDescent="0.25">
      <c r="A4327" t="s">
        <v>2</v>
      </c>
      <c r="B4327">
        <v>1230706</v>
      </c>
      <c r="C4327">
        <v>56460</v>
      </c>
      <c r="D4327" s="4">
        <f>+VLOOKUP(A4327,Portfolio!$G$3:$I$6,3)</f>
        <v>1</v>
      </c>
      <c r="E4327">
        <f t="shared" si="67"/>
        <v>56460</v>
      </c>
    </row>
    <row r="4328" spans="1:5" x14ac:dyDescent="0.25">
      <c r="A4328" t="s">
        <v>2</v>
      </c>
      <c r="B4328">
        <v>1230707</v>
      </c>
      <c r="C4328">
        <v>56070</v>
      </c>
      <c r="D4328" s="4">
        <f>+VLOOKUP(A4328,Portfolio!$G$3:$I$6,3)</f>
        <v>1</v>
      </c>
      <c r="E4328">
        <f t="shared" si="67"/>
        <v>56070</v>
      </c>
    </row>
    <row r="4329" spans="1:5" x14ac:dyDescent="0.25">
      <c r="A4329" t="s">
        <v>2</v>
      </c>
      <c r="B4329">
        <v>1230709</v>
      </c>
      <c r="C4329">
        <v>56420</v>
      </c>
      <c r="D4329" s="4">
        <f>+VLOOKUP(A4329,Portfolio!$G$3:$I$6,3)</f>
        <v>1</v>
      </c>
      <c r="E4329">
        <f t="shared" si="67"/>
        <v>56420</v>
      </c>
    </row>
    <row r="4330" spans="1:5" x14ac:dyDescent="0.25">
      <c r="A4330" t="s">
        <v>2</v>
      </c>
      <c r="B4330">
        <v>1230710</v>
      </c>
      <c r="C4330">
        <v>56230</v>
      </c>
      <c r="D4330" s="4">
        <f>+VLOOKUP(A4330,Portfolio!$G$3:$I$6,3)</f>
        <v>1</v>
      </c>
      <c r="E4330">
        <f t="shared" si="67"/>
        <v>56230</v>
      </c>
    </row>
    <row r="4331" spans="1:5" x14ac:dyDescent="0.25">
      <c r="A4331" t="s">
        <v>2</v>
      </c>
      <c r="B4331">
        <v>1230711</v>
      </c>
      <c r="C4331">
        <v>54810</v>
      </c>
      <c r="D4331" s="4">
        <f>+VLOOKUP(A4331,Portfolio!$G$3:$I$6,3)</f>
        <v>1</v>
      </c>
      <c r="E4331">
        <f t="shared" si="67"/>
        <v>54810</v>
      </c>
    </row>
    <row r="4332" spans="1:5" x14ac:dyDescent="0.25">
      <c r="A4332" t="s">
        <v>2</v>
      </c>
      <c r="B4332">
        <v>1230712</v>
      </c>
      <c r="C4332">
        <v>54140</v>
      </c>
      <c r="D4332" s="4">
        <f>+VLOOKUP(A4332,Portfolio!$G$3:$I$6,3)</f>
        <v>1</v>
      </c>
      <c r="E4332">
        <f t="shared" si="67"/>
        <v>54140</v>
      </c>
    </row>
    <row r="4333" spans="1:5" x14ac:dyDescent="0.25">
      <c r="A4333" t="s">
        <v>2</v>
      </c>
      <c r="B4333">
        <v>1230713</v>
      </c>
      <c r="C4333">
        <v>55280</v>
      </c>
      <c r="D4333" s="4">
        <f>+VLOOKUP(A4333,Portfolio!$G$3:$I$6,3)</f>
        <v>1</v>
      </c>
      <c r="E4333">
        <f t="shared" si="67"/>
        <v>55280</v>
      </c>
    </row>
    <row r="4334" spans="1:5" x14ac:dyDescent="0.25">
      <c r="A4334" t="s">
        <v>2</v>
      </c>
      <c r="B4334">
        <v>1230714</v>
      </c>
      <c r="C4334">
        <v>54090</v>
      </c>
      <c r="D4334" s="4">
        <f>+VLOOKUP(A4334,Portfolio!$G$3:$I$6,3)</f>
        <v>1</v>
      </c>
      <c r="E4334">
        <f t="shared" si="67"/>
        <v>54090</v>
      </c>
    </row>
    <row r="4335" spans="1:5" x14ac:dyDescent="0.25">
      <c r="A4335" t="s">
        <v>2</v>
      </c>
      <c r="B4335">
        <v>1230716</v>
      </c>
      <c r="C4335">
        <v>54310</v>
      </c>
      <c r="D4335" s="4">
        <f>+VLOOKUP(A4335,Portfolio!$G$3:$I$6,3)</f>
        <v>1</v>
      </c>
      <c r="E4335">
        <f t="shared" si="67"/>
        <v>54310</v>
      </c>
    </row>
    <row r="4336" spans="1:5" x14ac:dyDescent="0.25">
      <c r="A4336" t="s">
        <v>2</v>
      </c>
      <c r="B4336">
        <v>1230717</v>
      </c>
      <c r="C4336">
        <v>54310</v>
      </c>
      <c r="D4336" s="4">
        <f>+VLOOKUP(A4336,Portfolio!$G$3:$I$6,3)</f>
        <v>1</v>
      </c>
      <c r="E4336">
        <f t="shared" si="67"/>
        <v>54310</v>
      </c>
    </row>
    <row r="4337" spans="1:5" x14ac:dyDescent="0.25">
      <c r="A4337" t="s">
        <v>2</v>
      </c>
      <c r="B4337">
        <v>1230718</v>
      </c>
      <c r="C4337">
        <v>52820</v>
      </c>
      <c r="D4337" s="4">
        <f>+VLOOKUP(A4337,Portfolio!$G$3:$I$6,3)</f>
        <v>1</v>
      </c>
      <c r="E4337">
        <f t="shared" si="67"/>
        <v>52820</v>
      </c>
    </row>
    <row r="4338" spans="1:5" x14ac:dyDescent="0.25">
      <c r="A4338" t="s">
        <v>2</v>
      </c>
      <c r="B4338">
        <v>1230719</v>
      </c>
      <c r="C4338">
        <v>53510</v>
      </c>
      <c r="D4338" s="4">
        <f>+VLOOKUP(A4338,Portfolio!$G$3:$I$6,3)</f>
        <v>1</v>
      </c>
      <c r="E4338">
        <f t="shared" si="67"/>
        <v>53510</v>
      </c>
    </row>
    <row r="4339" spans="1:5" x14ac:dyDescent="0.25">
      <c r="A4339" t="s">
        <v>2</v>
      </c>
      <c r="B4339">
        <v>1230720</v>
      </c>
      <c r="C4339">
        <v>52100</v>
      </c>
      <c r="D4339" s="4">
        <f>+VLOOKUP(A4339,Portfolio!$G$3:$I$6,3)</f>
        <v>1</v>
      </c>
      <c r="E4339">
        <f t="shared" si="67"/>
        <v>52100</v>
      </c>
    </row>
    <row r="4340" spans="1:5" x14ac:dyDescent="0.25">
      <c r="A4340" t="s">
        <v>2</v>
      </c>
      <c r="B4340">
        <v>1230721</v>
      </c>
      <c r="C4340">
        <v>53200</v>
      </c>
      <c r="D4340" s="4">
        <f>+VLOOKUP(A4340,Portfolio!$G$3:$I$6,3)</f>
        <v>1</v>
      </c>
      <c r="E4340">
        <f t="shared" si="67"/>
        <v>53200</v>
      </c>
    </row>
    <row r="4341" spans="1:5" x14ac:dyDescent="0.25">
      <c r="A4341" t="s">
        <v>2</v>
      </c>
      <c r="B4341">
        <v>1230723</v>
      </c>
      <c r="C4341">
        <v>53460</v>
      </c>
      <c r="D4341" s="4">
        <f>+VLOOKUP(A4341,Portfolio!$G$3:$I$6,3)</f>
        <v>1</v>
      </c>
      <c r="E4341">
        <f t="shared" si="67"/>
        <v>53460</v>
      </c>
    </row>
    <row r="4342" spans="1:5" x14ac:dyDescent="0.25">
      <c r="A4342" t="s">
        <v>2</v>
      </c>
      <c r="B4342">
        <v>1230724</v>
      </c>
      <c r="C4342">
        <v>53660</v>
      </c>
      <c r="D4342" s="4">
        <f>+VLOOKUP(A4342,Portfolio!$G$3:$I$6,3)</f>
        <v>1</v>
      </c>
      <c r="E4342">
        <f t="shared" si="67"/>
        <v>53660</v>
      </c>
    </row>
    <row r="4343" spans="1:5" x14ac:dyDescent="0.25">
      <c r="A4343" t="s">
        <v>2</v>
      </c>
      <c r="B4343">
        <v>1230725</v>
      </c>
      <c r="C4343">
        <v>52690</v>
      </c>
      <c r="D4343" s="4">
        <f>+VLOOKUP(A4343,Portfolio!$G$3:$I$6,3)</f>
        <v>1</v>
      </c>
      <c r="E4343">
        <f t="shared" si="67"/>
        <v>52690</v>
      </c>
    </row>
    <row r="4344" spans="1:5" x14ac:dyDescent="0.25">
      <c r="A4344" t="s">
        <v>2</v>
      </c>
      <c r="B4344">
        <v>1230726</v>
      </c>
      <c r="C4344">
        <v>52080</v>
      </c>
      <c r="D4344" s="4">
        <f>+VLOOKUP(A4344,Portfolio!$G$3:$I$6,3)</f>
        <v>1</v>
      </c>
      <c r="E4344">
        <f t="shared" si="67"/>
        <v>52080</v>
      </c>
    </row>
    <row r="4345" spans="1:5" x14ac:dyDescent="0.25">
      <c r="A4345" t="s">
        <v>2</v>
      </c>
      <c r="B4345">
        <v>1230727</v>
      </c>
      <c r="C4345">
        <v>51930</v>
      </c>
      <c r="D4345" s="4">
        <f>+VLOOKUP(A4345,Portfolio!$G$3:$I$6,3)</f>
        <v>1</v>
      </c>
      <c r="E4345">
        <f t="shared" si="67"/>
        <v>51930</v>
      </c>
    </row>
    <row r="4346" spans="1:5" x14ac:dyDescent="0.25">
      <c r="A4346" t="s">
        <v>2</v>
      </c>
      <c r="B4346">
        <v>1230728</v>
      </c>
      <c r="C4346">
        <v>53750</v>
      </c>
      <c r="D4346" s="4">
        <f>+VLOOKUP(A4346,Portfolio!$G$3:$I$6,3)</f>
        <v>1</v>
      </c>
      <c r="E4346">
        <f t="shared" si="67"/>
        <v>53750</v>
      </c>
    </row>
    <row r="4347" spans="1:5" x14ac:dyDescent="0.25">
      <c r="A4347" t="s">
        <v>2</v>
      </c>
      <c r="B4347">
        <v>1230730</v>
      </c>
      <c r="C4347">
        <v>54200</v>
      </c>
      <c r="D4347" s="4">
        <f>+VLOOKUP(A4347,Portfolio!$G$3:$I$6,3)</f>
        <v>1</v>
      </c>
      <c r="E4347">
        <f t="shared" si="67"/>
        <v>54200</v>
      </c>
    </row>
    <row r="4348" spans="1:5" x14ac:dyDescent="0.25">
      <c r="A4348" t="s">
        <v>2</v>
      </c>
      <c r="B4348">
        <v>1230731</v>
      </c>
      <c r="C4348">
        <v>53620</v>
      </c>
      <c r="D4348" s="4">
        <f>+VLOOKUP(A4348,Portfolio!$G$3:$I$6,3)</f>
        <v>1</v>
      </c>
      <c r="E4348">
        <f t="shared" si="67"/>
        <v>53620</v>
      </c>
    </row>
    <row r="4349" spans="1:5" x14ac:dyDescent="0.25">
      <c r="A4349" t="s">
        <v>2</v>
      </c>
      <c r="B4349">
        <v>1230801</v>
      </c>
      <c r="C4349">
        <v>53200</v>
      </c>
      <c r="D4349" s="4">
        <f>+VLOOKUP(A4349,Portfolio!$G$3:$I$6,3)</f>
        <v>1</v>
      </c>
      <c r="E4349">
        <f t="shared" si="67"/>
        <v>53200</v>
      </c>
    </row>
    <row r="4350" spans="1:5" x14ac:dyDescent="0.25">
      <c r="A4350" t="s">
        <v>2</v>
      </c>
      <c r="B4350">
        <v>1230802</v>
      </c>
      <c r="C4350">
        <v>53030</v>
      </c>
      <c r="D4350" s="4">
        <f>+VLOOKUP(A4350,Portfolio!$G$3:$I$6,3)</f>
        <v>1</v>
      </c>
      <c r="E4350">
        <f t="shared" si="67"/>
        <v>53030</v>
      </c>
    </row>
    <row r="4351" spans="1:5" x14ac:dyDescent="0.25">
      <c r="A4351" t="s">
        <v>2</v>
      </c>
      <c r="B4351">
        <v>1230803</v>
      </c>
      <c r="C4351">
        <v>53350</v>
      </c>
      <c r="D4351" s="4">
        <f>+VLOOKUP(A4351,Portfolio!$G$3:$I$6,3)</f>
        <v>1</v>
      </c>
      <c r="E4351">
        <f t="shared" si="67"/>
        <v>53350</v>
      </c>
    </row>
    <row r="4352" spans="1:5" x14ac:dyDescent="0.25">
      <c r="A4352" t="s">
        <v>2</v>
      </c>
      <c r="B4352">
        <v>1230804</v>
      </c>
      <c r="C4352">
        <v>53820</v>
      </c>
      <c r="D4352" s="4">
        <f>+VLOOKUP(A4352,Portfolio!$G$3:$I$6,3)</f>
        <v>1</v>
      </c>
      <c r="E4352">
        <f t="shared" si="67"/>
        <v>53820</v>
      </c>
    </row>
    <row r="4353" spans="1:5" x14ac:dyDescent="0.25">
      <c r="A4353" t="s">
        <v>2</v>
      </c>
      <c r="B4353">
        <v>1230806</v>
      </c>
      <c r="C4353">
        <v>51380</v>
      </c>
      <c r="D4353" s="4">
        <f>+VLOOKUP(A4353,Portfolio!$G$3:$I$6,3)</f>
        <v>1</v>
      </c>
      <c r="E4353">
        <f t="shared" si="67"/>
        <v>51380</v>
      </c>
    </row>
    <row r="4354" spans="1:5" x14ac:dyDescent="0.25">
      <c r="A4354" t="s">
        <v>2</v>
      </c>
      <c r="B4354">
        <v>1230807</v>
      </c>
      <c r="C4354">
        <v>51830</v>
      </c>
      <c r="D4354" s="4">
        <f>+VLOOKUP(A4354,Portfolio!$G$3:$I$6,3)</f>
        <v>1</v>
      </c>
      <c r="E4354">
        <f t="shared" si="67"/>
        <v>51830</v>
      </c>
    </row>
    <row r="4355" spans="1:5" x14ac:dyDescent="0.25">
      <c r="A4355" t="s">
        <v>2</v>
      </c>
      <c r="B4355">
        <v>1230808</v>
      </c>
      <c r="C4355">
        <v>52390</v>
      </c>
      <c r="D4355" s="4">
        <f>+VLOOKUP(A4355,Portfolio!$G$3:$I$6,3)</f>
        <v>1</v>
      </c>
      <c r="E4355">
        <f t="shared" ref="E4355:E4418" si="68">+C4355*D4355</f>
        <v>52390</v>
      </c>
    </row>
    <row r="4356" spans="1:5" x14ac:dyDescent="0.25">
      <c r="A4356" t="s">
        <v>2</v>
      </c>
      <c r="B4356">
        <v>1230809</v>
      </c>
      <c r="C4356">
        <v>51930</v>
      </c>
      <c r="D4356" s="4">
        <f>+VLOOKUP(A4356,Portfolio!$G$3:$I$6,3)</f>
        <v>1</v>
      </c>
      <c r="E4356">
        <f t="shared" si="68"/>
        <v>51930</v>
      </c>
    </row>
    <row r="4357" spans="1:5" x14ac:dyDescent="0.25">
      <c r="A4357" t="s">
        <v>2</v>
      </c>
      <c r="B4357">
        <v>1230810</v>
      </c>
      <c r="C4357">
        <v>52460</v>
      </c>
      <c r="D4357" s="4">
        <f>+VLOOKUP(A4357,Portfolio!$G$3:$I$6,3)</f>
        <v>1</v>
      </c>
      <c r="E4357">
        <f t="shared" si="68"/>
        <v>52460</v>
      </c>
    </row>
    <row r="4358" spans="1:5" x14ac:dyDescent="0.25">
      <c r="A4358" t="s">
        <v>2</v>
      </c>
      <c r="B4358">
        <v>1230811</v>
      </c>
      <c r="C4358">
        <v>51800</v>
      </c>
      <c r="D4358" s="4">
        <f>+VLOOKUP(A4358,Portfolio!$G$3:$I$6,3)</f>
        <v>1</v>
      </c>
      <c r="E4358">
        <f t="shared" si="68"/>
        <v>51800</v>
      </c>
    </row>
    <row r="4359" spans="1:5" x14ac:dyDescent="0.25">
      <c r="A4359" t="s">
        <v>2</v>
      </c>
      <c r="B4359">
        <v>1230813</v>
      </c>
      <c r="C4359">
        <v>51690</v>
      </c>
      <c r="D4359" s="4">
        <f>+VLOOKUP(A4359,Portfolio!$G$3:$I$6,3)</f>
        <v>1</v>
      </c>
      <c r="E4359">
        <f t="shared" si="68"/>
        <v>51690</v>
      </c>
    </row>
    <row r="4360" spans="1:5" x14ac:dyDescent="0.25">
      <c r="A4360" t="s">
        <v>2</v>
      </c>
      <c r="B4360">
        <v>1230814</v>
      </c>
      <c r="C4360">
        <v>51590</v>
      </c>
      <c r="D4360" s="4">
        <f>+VLOOKUP(A4360,Portfolio!$G$3:$I$6,3)</f>
        <v>1</v>
      </c>
      <c r="E4360">
        <f t="shared" si="68"/>
        <v>51590</v>
      </c>
    </row>
    <row r="4361" spans="1:5" x14ac:dyDescent="0.25">
      <c r="A4361" t="s">
        <v>2</v>
      </c>
      <c r="B4361">
        <v>1230815</v>
      </c>
      <c r="C4361">
        <v>52080</v>
      </c>
      <c r="D4361" s="4">
        <f>+VLOOKUP(A4361,Portfolio!$G$3:$I$6,3)</f>
        <v>1</v>
      </c>
      <c r="E4361">
        <f t="shared" si="68"/>
        <v>52080</v>
      </c>
    </row>
    <row r="4362" spans="1:5" x14ac:dyDescent="0.25">
      <c r="A4362" t="s">
        <v>2</v>
      </c>
      <c r="B4362">
        <v>1230816</v>
      </c>
      <c r="C4362">
        <v>52420</v>
      </c>
      <c r="D4362" s="4">
        <f>+VLOOKUP(A4362,Portfolio!$G$3:$I$6,3)</f>
        <v>1</v>
      </c>
      <c r="E4362">
        <f t="shared" si="68"/>
        <v>52420</v>
      </c>
    </row>
    <row r="4363" spans="1:5" x14ac:dyDescent="0.25">
      <c r="A4363" t="s">
        <v>2</v>
      </c>
      <c r="B4363">
        <v>1230817</v>
      </c>
      <c r="C4363">
        <v>53150</v>
      </c>
      <c r="D4363" s="4">
        <f>+VLOOKUP(A4363,Portfolio!$G$3:$I$6,3)</f>
        <v>1</v>
      </c>
      <c r="E4363">
        <f t="shared" si="68"/>
        <v>53150</v>
      </c>
    </row>
    <row r="4364" spans="1:5" x14ac:dyDescent="0.25">
      <c r="A4364" t="s">
        <v>2</v>
      </c>
      <c r="B4364">
        <v>1230818</v>
      </c>
      <c r="C4364">
        <v>52150</v>
      </c>
      <c r="D4364" s="4">
        <f>+VLOOKUP(A4364,Portfolio!$G$3:$I$6,3)</f>
        <v>1</v>
      </c>
      <c r="E4364">
        <f t="shared" si="68"/>
        <v>52150</v>
      </c>
    </row>
    <row r="4365" spans="1:5" x14ac:dyDescent="0.25">
      <c r="A4365" t="s">
        <v>2</v>
      </c>
      <c r="B4365">
        <v>1230820</v>
      </c>
      <c r="C4365">
        <v>51400</v>
      </c>
      <c r="D4365" s="4">
        <f>+VLOOKUP(A4365,Portfolio!$G$3:$I$6,3)</f>
        <v>1</v>
      </c>
      <c r="E4365">
        <f t="shared" si="68"/>
        <v>51400</v>
      </c>
    </row>
    <row r="4366" spans="1:5" x14ac:dyDescent="0.25">
      <c r="A4366" t="s">
        <v>2</v>
      </c>
      <c r="B4366">
        <v>1230821</v>
      </c>
      <c r="C4366">
        <v>51280</v>
      </c>
      <c r="D4366" s="4">
        <f>+VLOOKUP(A4366,Portfolio!$G$3:$I$6,3)</f>
        <v>1</v>
      </c>
      <c r="E4366">
        <f t="shared" si="68"/>
        <v>51280</v>
      </c>
    </row>
    <row r="4367" spans="1:5" x14ac:dyDescent="0.25">
      <c r="A4367" t="s">
        <v>2</v>
      </c>
      <c r="B4367">
        <v>1230822</v>
      </c>
      <c r="C4367">
        <v>51230</v>
      </c>
      <c r="D4367" s="4">
        <f>+VLOOKUP(A4367,Portfolio!$G$3:$I$6,3)</f>
        <v>1</v>
      </c>
      <c r="E4367">
        <f t="shared" si="68"/>
        <v>51230</v>
      </c>
    </row>
    <row r="4368" spans="1:5" x14ac:dyDescent="0.25">
      <c r="A4368" t="s">
        <v>2</v>
      </c>
      <c r="B4368">
        <v>1230823</v>
      </c>
      <c r="C4368">
        <v>50670</v>
      </c>
      <c r="D4368" s="4">
        <f>+VLOOKUP(A4368,Portfolio!$G$3:$I$6,3)</f>
        <v>1</v>
      </c>
      <c r="E4368">
        <f t="shared" si="68"/>
        <v>50670</v>
      </c>
    </row>
    <row r="4369" spans="1:5" x14ac:dyDescent="0.25">
      <c r="A4369" t="s">
        <v>2</v>
      </c>
      <c r="B4369">
        <v>1230824</v>
      </c>
      <c r="C4369">
        <v>52200</v>
      </c>
      <c r="D4369" s="4">
        <f>+VLOOKUP(A4369,Portfolio!$G$3:$I$6,3)</f>
        <v>1</v>
      </c>
      <c r="E4369">
        <f t="shared" si="68"/>
        <v>52200</v>
      </c>
    </row>
    <row r="4370" spans="1:5" x14ac:dyDescent="0.25">
      <c r="A4370" t="s">
        <v>2</v>
      </c>
      <c r="B4370">
        <v>1230825</v>
      </c>
      <c r="C4370">
        <v>52620</v>
      </c>
      <c r="D4370" s="4">
        <f>+VLOOKUP(A4370,Portfolio!$G$3:$I$6,3)</f>
        <v>1</v>
      </c>
      <c r="E4370">
        <f t="shared" si="68"/>
        <v>52620</v>
      </c>
    </row>
    <row r="4371" spans="1:5" x14ac:dyDescent="0.25">
      <c r="A4371" t="s">
        <v>2</v>
      </c>
      <c r="B4371">
        <v>1230827</v>
      </c>
      <c r="C4371">
        <v>51950</v>
      </c>
      <c r="D4371" s="4">
        <f>+VLOOKUP(A4371,Portfolio!$G$3:$I$6,3)</f>
        <v>1</v>
      </c>
      <c r="E4371">
        <f t="shared" si="68"/>
        <v>51950</v>
      </c>
    </row>
    <row r="4372" spans="1:5" x14ac:dyDescent="0.25">
      <c r="A4372" t="s">
        <v>2</v>
      </c>
      <c r="B4372">
        <v>1230828</v>
      </c>
      <c r="C4372">
        <v>52110</v>
      </c>
      <c r="D4372" s="4">
        <f>+VLOOKUP(A4372,Portfolio!$G$3:$I$6,3)</f>
        <v>1</v>
      </c>
      <c r="E4372">
        <f t="shared" si="68"/>
        <v>52110</v>
      </c>
    </row>
    <row r="4373" spans="1:5" x14ac:dyDescent="0.25">
      <c r="A4373" t="s">
        <v>2</v>
      </c>
      <c r="B4373">
        <v>1230829</v>
      </c>
      <c r="C4373">
        <v>50690</v>
      </c>
      <c r="D4373" s="4">
        <f>+VLOOKUP(A4373,Portfolio!$G$3:$I$6,3)</f>
        <v>1</v>
      </c>
      <c r="E4373">
        <f t="shared" si="68"/>
        <v>50690</v>
      </c>
    </row>
    <row r="4374" spans="1:5" x14ac:dyDescent="0.25">
      <c r="A4374" t="s">
        <v>2</v>
      </c>
      <c r="B4374">
        <v>1230830</v>
      </c>
      <c r="C4374">
        <v>49270</v>
      </c>
      <c r="D4374" s="4">
        <f>+VLOOKUP(A4374,Portfolio!$G$3:$I$6,3)</f>
        <v>1</v>
      </c>
      <c r="E4374">
        <f t="shared" si="68"/>
        <v>49270</v>
      </c>
    </row>
    <row r="4375" spans="1:5" x14ac:dyDescent="0.25">
      <c r="A4375" t="s">
        <v>2</v>
      </c>
      <c r="B4375">
        <v>1230831</v>
      </c>
      <c r="C4375">
        <v>49820</v>
      </c>
      <c r="D4375" s="4">
        <f>+VLOOKUP(A4375,Portfolio!$G$3:$I$6,3)</f>
        <v>1</v>
      </c>
      <c r="E4375">
        <f t="shared" si="68"/>
        <v>49820</v>
      </c>
    </row>
    <row r="4376" spans="1:5" x14ac:dyDescent="0.25">
      <c r="A4376" t="s">
        <v>2</v>
      </c>
      <c r="B4376">
        <v>1230901</v>
      </c>
      <c r="C4376">
        <v>49700</v>
      </c>
      <c r="D4376" s="4">
        <f>+VLOOKUP(A4376,Portfolio!$G$3:$I$6,3)</f>
        <v>1</v>
      </c>
      <c r="E4376">
        <f t="shared" si="68"/>
        <v>49700</v>
      </c>
    </row>
    <row r="4377" spans="1:5" x14ac:dyDescent="0.25">
      <c r="A4377" t="s">
        <v>2</v>
      </c>
      <c r="B4377">
        <v>1230903</v>
      </c>
      <c r="C4377">
        <v>48830</v>
      </c>
      <c r="D4377" s="4">
        <f>+VLOOKUP(A4377,Portfolio!$G$3:$I$6,3)</f>
        <v>1</v>
      </c>
      <c r="E4377">
        <f t="shared" si="68"/>
        <v>48830</v>
      </c>
    </row>
    <row r="4378" spans="1:5" x14ac:dyDescent="0.25">
      <c r="A4378" t="s">
        <v>2</v>
      </c>
      <c r="B4378">
        <v>1230904</v>
      </c>
      <c r="C4378">
        <v>49380</v>
      </c>
      <c r="D4378" s="4">
        <f>+VLOOKUP(A4378,Portfolio!$G$3:$I$6,3)</f>
        <v>1</v>
      </c>
      <c r="E4378">
        <f t="shared" si="68"/>
        <v>49380</v>
      </c>
    </row>
    <row r="4379" spans="1:5" x14ac:dyDescent="0.25">
      <c r="A4379" t="s">
        <v>2</v>
      </c>
      <c r="B4379">
        <v>1230905</v>
      </c>
      <c r="C4379">
        <v>49810</v>
      </c>
      <c r="D4379" s="4">
        <f>+VLOOKUP(A4379,Portfolio!$G$3:$I$6,3)</f>
        <v>1</v>
      </c>
      <c r="E4379">
        <f t="shared" si="68"/>
        <v>49810</v>
      </c>
    </row>
    <row r="4380" spans="1:5" x14ac:dyDescent="0.25">
      <c r="A4380" t="s">
        <v>2</v>
      </c>
      <c r="B4380">
        <v>1230906</v>
      </c>
      <c r="C4380">
        <v>50930</v>
      </c>
      <c r="D4380" s="4">
        <f>+VLOOKUP(A4380,Portfolio!$G$3:$I$6,3)</f>
        <v>1</v>
      </c>
      <c r="E4380">
        <f t="shared" si="68"/>
        <v>50930</v>
      </c>
    </row>
    <row r="4381" spans="1:5" x14ac:dyDescent="0.25">
      <c r="A4381" t="s">
        <v>2</v>
      </c>
      <c r="B4381">
        <v>1230907</v>
      </c>
      <c r="C4381">
        <v>50770</v>
      </c>
      <c r="D4381" s="4">
        <f>+VLOOKUP(A4381,Portfolio!$G$3:$I$6,3)</f>
        <v>1</v>
      </c>
      <c r="E4381">
        <f t="shared" si="68"/>
        <v>50770</v>
      </c>
    </row>
    <row r="4382" spans="1:5" x14ac:dyDescent="0.25">
      <c r="A4382" t="s">
        <v>2</v>
      </c>
      <c r="B4382">
        <v>1230908</v>
      </c>
      <c r="C4382">
        <v>50480</v>
      </c>
      <c r="D4382" s="4">
        <f>+VLOOKUP(A4382,Portfolio!$G$3:$I$6,3)</f>
        <v>1</v>
      </c>
      <c r="E4382">
        <f t="shared" si="68"/>
        <v>50480</v>
      </c>
    </row>
    <row r="4383" spans="1:5" x14ac:dyDescent="0.25">
      <c r="A4383" t="s">
        <v>2</v>
      </c>
      <c r="B4383">
        <v>1230910</v>
      </c>
      <c r="C4383">
        <v>50870</v>
      </c>
      <c r="D4383" s="4">
        <f>+VLOOKUP(A4383,Portfolio!$G$3:$I$6,3)</f>
        <v>1</v>
      </c>
      <c r="E4383">
        <f t="shared" si="68"/>
        <v>50870</v>
      </c>
    </row>
    <row r="4384" spans="1:5" x14ac:dyDescent="0.25">
      <c r="A4384" t="s">
        <v>2</v>
      </c>
      <c r="B4384">
        <v>1230911</v>
      </c>
      <c r="C4384">
        <v>50390</v>
      </c>
      <c r="D4384" s="4">
        <f>+VLOOKUP(A4384,Portfolio!$G$3:$I$6,3)</f>
        <v>1</v>
      </c>
      <c r="E4384">
        <f t="shared" si="68"/>
        <v>50390</v>
      </c>
    </row>
    <row r="4385" spans="1:5" x14ac:dyDescent="0.25">
      <c r="A4385" t="s">
        <v>2</v>
      </c>
      <c r="B4385">
        <v>1230912</v>
      </c>
      <c r="C4385">
        <v>50150</v>
      </c>
      <c r="D4385" s="4">
        <f>+VLOOKUP(A4385,Portfolio!$G$3:$I$6,3)</f>
        <v>1</v>
      </c>
      <c r="E4385">
        <f t="shared" si="68"/>
        <v>50150</v>
      </c>
    </row>
    <row r="4386" spans="1:5" x14ac:dyDescent="0.25">
      <c r="A4386" t="s">
        <v>2</v>
      </c>
      <c r="B4386">
        <v>1230913</v>
      </c>
      <c r="C4386">
        <v>51120</v>
      </c>
      <c r="D4386" s="4">
        <f>+VLOOKUP(A4386,Portfolio!$G$3:$I$6,3)</f>
        <v>1</v>
      </c>
      <c r="E4386">
        <f t="shared" si="68"/>
        <v>51120</v>
      </c>
    </row>
    <row r="4387" spans="1:5" x14ac:dyDescent="0.25">
      <c r="A4387" t="s">
        <v>2</v>
      </c>
      <c r="B4387">
        <v>1230914</v>
      </c>
      <c r="C4387">
        <v>50390</v>
      </c>
      <c r="D4387" s="4">
        <f>+VLOOKUP(A4387,Portfolio!$G$3:$I$6,3)</f>
        <v>1</v>
      </c>
      <c r="E4387">
        <f t="shared" si="68"/>
        <v>50390</v>
      </c>
    </row>
    <row r="4388" spans="1:5" x14ac:dyDescent="0.25">
      <c r="A4388" t="s">
        <v>2</v>
      </c>
      <c r="B4388">
        <v>1230915</v>
      </c>
      <c r="C4388">
        <v>51090</v>
      </c>
      <c r="D4388" s="4">
        <f>+VLOOKUP(A4388,Portfolio!$G$3:$I$6,3)</f>
        <v>1</v>
      </c>
      <c r="E4388">
        <f t="shared" si="68"/>
        <v>51090</v>
      </c>
    </row>
    <row r="4389" spans="1:5" x14ac:dyDescent="0.25">
      <c r="A4389" t="s">
        <v>2</v>
      </c>
      <c r="B4389">
        <v>1230917</v>
      </c>
      <c r="C4389">
        <v>51470</v>
      </c>
      <c r="D4389" s="4">
        <f>+VLOOKUP(A4389,Portfolio!$G$3:$I$6,3)</f>
        <v>1</v>
      </c>
      <c r="E4389">
        <f t="shared" si="68"/>
        <v>51470</v>
      </c>
    </row>
    <row r="4390" spans="1:5" x14ac:dyDescent="0.25">
      <c r="A4390" t="s">
        <v>2</v>
      </c>
      <c r="B4390">
        <v>1230918</v>
      </c>
      <c r="C4390">
        <v>51960</v>
      </c>
      <c r="D4390" s="4">
        <f>+VLOOKUP(A4390,Portfolio!$G$3:$I$6,3)</f>
        <v>1</v>
      </c>
      <c r="E4390">
        <f t="shared" si="68"/>
        <v>51960</v>
      </c>
    </row>
    <row r="4391" spans="1:5" x14ac:dyDescent="0.25">
      <c r="A4391" t="s">
        <v>2</v>
      </c>
      <c r="B4391">
        <v>1230919</v>
      </c>
      <c r="C4391">
        <v>50860</v>
      </c>
      <c r="D4391" s="4">
        <f>+VLOOKUP(A4391,Portfolio!$G$3:$I$6,3)</f>
        <v>1</v>
      </c>
      <c r="E4391">
        <f t="shared" si="68"/>
        <v>50860</v>
      </c>
    </row>
    <row r="4392" spans="1:5" x14ac:dyDescent="0.25">
      <c r="A4392" t="s">
        <v>2</v>
      </c>
      <c r="B4392">
        <v>1230920</v>
      </c>
      <c r="C4392">
        <v>50110</v>
      </c>
      <c r="D4392" s="4">
        <f>+VLOOKUP(A4392,Portfolio!$G$3:$I$6,3)</f>
        <v>1</v>
      </c>
      <c r="E4392">
        <f t="shared" si="68"/>
        <v>50110</v>
      </c>
    </row>
    <row r="4393" spans="1:5" x14ac:dyDescent="0.25">
      <c r="A4393" t="s">
        <v>2</v>
      </c>
      <c r="B4393">
        <v>1230921</v>
      </c>
      <c r="C4393">
        <v>49770</v>
      </c>
      <c r="D4393" s="4">
        <f>+VLOOKUP(A4393,Portfolio!$G$3:$I$6,3)</f>
        <v>1</v>
      </c>
      <c r="E4393">
        <f t="shared" si="68"/>
        <v>49770</v>
      </c>
    </row>
    <row r="4394" spans="1:5" x14ac:dyDescent="0.25">
      <c r="A4394" t="s">
        <v>2</v>
      </c>
      <c r="B4394">
        <v>1230922</v>
      </c>
      <c r="C4394">
        <v>49750</v>
      </c>
      <c r="D4394" s="4">
        <f>+VLOOKUP(A4394,Portfolio!$G$3:$I$6,3)</f>
        <v>1</v>
      </c>
      <c r="E4394">
        <f t="shared" si="68"/>
        <v>49750</v>
      </c>
    </row>
    <row r="4395" spans="1:5" x14ac:dyDescent="0.25">
      <c r="A4395" t="s">
        <v>2</v>
      </c>
      <c r="B4395">
        <v>1230924</v>
      </c>
      <c r="C4395">
        <v>49560</v>
      </c>
      <c r="D4395" s="4">
        <f>+VLOOKUP(A4395,Portfolio!$G$3:$I$6,3)</f>
        <v>1</v>
      </c>
      <c r="E4395">
        <f t="shared" si="68"/>
        <v>49560</v>
      </c>
    </row>
    <row r="4396" spans="1:5" x14ac:dyDescent="0.25">
      <c r="A4396" t="s">
        <v>2</v>
      </c>
      <c r="B4396">
        <v>1230925</v>
      </c>
      <c r="C4396">
        <v>49560</v>
      </c>
      <c r="D4396" s="4">
        <f>+VLOOKUP(A4396,Portfolio!$G$3:$I$6,3)</f>
        <v>1</v>
      </c>
      <c r="E4396">
        <f t="shared" si="68"/>
        <v>49560</v>
      </c>
    </row>
    <row r="4397" spans="1:5" x14ac:dyDescent="0.25">
      <c r="A4397" t="s">
        <v>2</v>
      </c>
      <c r="B4397">
        <v>1230926</v>
      </c>
      <c r="C4397">
        <v>49560</v>
      </c>
      <c r="D4397" s="4">
        <f>+VLOOKUP(A4397,Portfolio!$G$3:$I$6,3)</f>
        <v>1</v>
      </c>
      <c r="E4397">
        <f t="shared" si="68"/>
        <v>49560</v>
      </c>
    </row>
    <row r="4398" spans="1:5" x14ac:dyDescent="0.25">
      <c r="A4398" t="s">
        <v>2</v>
      </c>
      <c r="B4398">
        <v>1230927</v>
      </c>
      <c r="C4398">
        <v>50060</v>
      </c>
      <c r="D4398" s="4">
        <f>+VLOOKUP(A4398,Portfolio!$G$3:$I$6,3)</f>
        <v>1</v>
      </c>
      <c r="E4398">
        <f t="shared" si="68"/>
        <v>50060</v>
      </c>
    </row>
    <row r="4399" spans="1:5" x14ac:dyDescent="0.25">
      <c r="A4399" t="s">
        <v>2</v>
      </c>
      <c r="B4399">
        <v>1230928</v>
      </c>
      <c r="C4399">
        <v>51290</v>
      </c>
      <c r="D4399" s="4">
        <f>+VLOOKUP(A4399,Portfolio!$G$3:$I$6,3)</f>
        <v>1</v>
      </c>
      <c r="E4399">
        <f t="shared" si="68"/>
        <v>51290</v>
      </c>
    </row>
    <row r="4400" spans="1:5" x14ac:dyDescent="0.25">
      <c r="A4400" t="s">
        <v>2</v>
      </c>
      <c r="B4400">
        <v>1230929</v>
      </c>
      <c r="C4400">
        <v>51870</v>
      </c>
      <c r="D4400" s="4">
        <f>+VLOOKUP(A4400,Portfolio!$G$3:$I$6,3)</f>
        <v>1</v>
      </c>
      <c r="E4400">
        <f t="shared" si="68"/>
        <v>51870</v>
      </c>
    </row>
    <row r="4401" spans="1:5" x14ac:dyDescent="0.25">
      <c r="A4401" t="s">
        <v>2</v>
      </c>
      <c r="B4401">
        <v>1231001</v>
      </c>
      <c r="C4401">
        <v>47950</v>
      </c>
      <c r="D4401" s="4">
        <f>+VLOOKUP(A4401,Portfolio!$G$3:$I$6,3)</f>
        <v>1</v>
      </c>
      <c r="E4401">
        <f t="shared" si="68"/>
        <v>47950</v>
      </c>
    </row>
    <row r="4402" spans="1:5" x14ac:dyDescent="0.25">
      <c r="A4402" t="s">
        <v>2</v>
      </c>
      <c r="B4402">
        <v>1231002</v>
      </c>
      <c r="C4402">
        <v>47660</v>
      </c>
      <c r="D4402" s="4">
        <f>+VLOOKUP(A4402,Portfolio!$G$3:$I$6,3)</f>
        <v>1</v>
      </c>
      <c r="E4402">
        <f t="shared" si="68"/>
        <v>47660</v>
      </c>
    </row>
    <row r="4403" spans="1:5" x14ac:dyDescent="0.25">
      <c r="A4403" t="s">
        <v>2</v>
      </c>
      <c r="B4403">
        <v>1231003</v>
      </c>
      <c r="C4403">
        <v>49100</v>
      </c>
      <c r="D4403" s="4">
        <f>+VLOOKUP(A4403,Portfolio!$G$3:$I$6,3)</f>
        <v>1</v>
      </c>
      <c r="E4403">
        <f t="shared" si="68"/>
        <v>49100</v>
      </c>
    </row>
    <row r="4404" spans="1:5" x14ac:dyDescent="0.25">
      <c r="A4404" t="s">
        <v>2</v>
      </c>
      <c r="B4404">
        <v>1231004</v>
      </c>
      <c r="C4404">
        <v>48280</v>
      </c>
      <c r="D4404" s="4">
        <f>+VLOOKUP(A4404,Portfolio!$G$3:$I$6,3)</f>
        <v>1</v>
      </c>
      <c r="E4404">
        <f t="shared" si="68"/>
        <v>48280</v>
      </c>
    </row>
    <row r="4405" spans="1:5" x14ac:dyDescent="0.25">
      <c r="A4405" t="s">
        <v>2</v>
      </c>
      <c r="B4405">
        <v>1231005</v>
      </c>
      <c r="C4405">
        <v>48800</v>
      </c>
      <c r="D4405" s="4">
        <f>+VLOOKUP(A4405,Portfolio!$G$3:$I$6,3)</f>
        <v>1</v>
      </c>
      <c r="E4405">
        <f t="shared" si="68"/>
        <v>48800</v>
      </c>
    </row>
    <row r="4406" spans="1:5" x14ac:dyDescent="0.25">
      <c r="A4406" t="s">
        <v>2</v>
      </c>
      <c r="B4406">
        <v>1231006</v>
      </c>
      <c r="C4406">
        <v>47500</v>
      </c>
      <c r="D4406" s="4">
        <f>+VLOOKUP(A4406,Portfolio!$G$3:$I$6,3)</f>
        <v>1</v>
      </c>
      <c r="E4406">
        <f t="shared" si="68"/>
        <v>47500</v>
      </c>
    </row>
    <row r="4407" spans="1:5" x14ac:dyDescent="0.25">
      <c r="A4407" t="s">
        <v>2</v>
      </c>
      <c r="B4407">
        <v>1231008</v>
      </c>
      <c r="C4407">
        <v>44110</v>
      </c>
      <c r="D4407" s="4">
        <f>+VLOOKUP(A4407,Portfolio!$G$3:$I$6,3)</f>
        <v>1</v>
      </c>
      <c r="E4407">
        <f t="shared" si="68"/>
        <v>44110</v>
      </c>
    </row>
    <row r="4408" spans="1:5" x14ac:dyDescent="0.25">
      <c r="A4408" t="s">
        <v>2</v>
      </c>
      <c r="B4408">
        <v>1231009</v>
      </c>
      <c r="C4408">
        <v>43970</v>
      </c>
      <c r="D4408" s="4">
        <f>+VLOOKUP(A4408,Portfolio!$G$3:$I$6,3)</f>
        <v>1</v>
      </c>
      <c r="E4408">
        <f t="shared" si="68"/>
        <v>43970</v>
      </c>
    </row>
    <row r="4409" spans="1:5" x14ac:dyDescent="0.25">
      <c r="A4409" t="s">
        <v>2</v>
      </c>
      <c r="B4409">
        <v>1231010</v>
      </c>
      <c r="C4409">
        <v>44580</v>
      </c>
      <c r="D4409" s="4">
        <f>+VLOOKUP(A4409,Portfolio!$G$3:$I$6,3)</f>
        <v>1</v>
      </c>
      <c r="E4409">
        <f t="shared" si="68"/>
        <v>44580</v>
      </c>
    </row>
    <row r="4410" spans="1:5" x14ac:dyDescent="0.25">
      <c r="A4410" t="s">
        <v>2</v>
      </c>
      <c r="B4410">
        <v>1231011</v>
      </c>
      <c r="C4410">
        <v>44080</v>
      </c>
      <c r="D4410" s="4">
        <f>+VLOOKUP(A4410,Portfolio!$G$3:$I$6,3)</f>
        <v>1</v>
      </c>
      <c r="E4410">
        <f t="shared" si="68"/>
        <v>44080</v>
      </c>
    </row>
    <row r="4411" spans="1:5" x14ac:dyDescent="0.25">
      <c r="A4411" t="s">
        <v>2</v>
      </c>
      <c r="B4411">
        <v>1231012</v>
      </c>
      <c r="C4411">
        <v>44100</v>
      </c>
      <c r="D4411" s="4">
        <f>+VLOOKUP(A4411,Portfolio!$G$3:$I$6,3)</f>
        <v>1</v>
      </c>
      <c r="E4411">
        <f t="shared" si="68"/>
        <v>44100</v>
      </c>
    </row>
    <row r="4412" spans="1:5" x14ac:dyDescent="0.25">
      <c r="A4412" t="s">
        <v>2</v>
      </c>
      <c r="B4412">
        <v>1231013</v>
      </c>
      <c r="C4412">
        <v>43960</v>
      </c>
      <c r="D4412" s="4">
        <f>+VLOOKUP(A4412,Portfolio!$G$3:$I$6,3)</f>
        <v>1</v>
      </c>
      <c r="E4412">
        <f t="shared" si="68"/>
        <v>43960</v>
      </c>
    </row>
    <row r="4413" spans="1:5" x14ac:dyDescent="0.25">
      <c r="A4413" t="s">
        <v>2</v>
      </c>
      <c r="B4413">
        <v>1231015</v>
      </c>
      <c r="C4413">
        <v>47170</v>
      </c>
      <c r="D4413" s="4">
        <f>+VLOOKUP(A4413,Portfolio!$G$3:$I$6,3)</f>
        <v>1</v>
      </c>
      <c r="E4413">
        <f t="shared" si="68"/>
        <v>47170</v>
      </c>
    </row>
    <row r="4414" spans="1:5" x14ac:dyDescent="0.25">
      <c r="A4414" t="s">
        <v>2</v>
      </c>
      <c r="B4414">
        <v>1231016</v>
      </c>
      <c r="C4414">
        <v>46740</v>
      </c>
      <c r="D4414" s="4">
        <f>+VLOOKUP(A4414,Portfolio!$G$3:$I$6,3)</f>
        <v>1</v>
      </c>
      <c r="E4414">
        <f t="shared" si="68"/>
        <v>46740</v>
      </c>
    </row>
    <row r="4415" spans="1:5" x14ac:dyDescent="0.25">
      <c r="A4415" t="s">
        <v>2</v>
      </c>
      <c r="B4415">
        <v>1231017</v>
      </c>
      <c r="C4415">
        <v>45790</v>
      </c>
      <c r="D4415" s="4">
        <f>+VLOOKUP(A4415,Portfolio!$G$3:$I$6,3)</f>
        <v>1</v>
      </c>
      <c r="E4415">
        <f t="shared" si="68"/>
        <v>45790</v>
      </c>
    </row>
    <row r="4416" spans="1:5" x14ac:dyDescent="0.25">
      <c r="A4416" t="s">
        <v>2</v>
      </c>
      <c r="B4416">
        <v>1231018</v>
      </c>
      <c r="C4416">
        <v>46910</v>
      </c>
      <c r="D4416" s="4">
        <f>+VLOOKUP(A4416,Portfolio!$G$3:$I$6,3)</f>
        <v>1</v>
      </c>
      <c r="E4416">
        <f t="shared" si="68"/>
        <v>46910</v>
      </c>
    </row>
    <row r="4417" spans="1:5" x14ac:dyDescent="0.25">
      <c r="A4417" t="s">
        <v>2</v>
      </c>
      <c r="B4417">
        <v>1231019</v>
      </c>
      <c r="C4417">
        <v>47130</v>
      </c>
      <c r="D4417" s="4">
        <f>+VLOOKUP(A4417,Portfolio!$G$3:$I$6,3)</f>
        <v>1</v>
      </c>
      <c r="E4417">
        <f t="shared" si="68"/>
        <v>47130</v>
      </c>
    </row>
    <row r="4418" spans="1:5" x14ac:dyDescent="0.25">
      <c r="A4418" t="s">
        <v>2</v>
      </c>
      <c r="B4418">
        <v>1231020</v>
      </c>
      <c r="C4418">
        <v>50100</v>
      </c>
      <c r="D4418" s="4">
        <f>+VLOOKUP(A4418,Portfolio!$G$3:$I$6,3)</f>
        <v>1</v>
      </c>
      <c r="E4418">
        <f t="shared" si="68"/>
        <v>50100</v>
      </c>
    </row>
    <row r="4419" spans="1:5" x14ac:dyDescent="0.25">
      <c r="A4419" t="s">
        <v>2</v>
      </c>
      <c r="B4419">
        <v>1231022</v>
      </c>
      <c r="C4419">
        <v>49560</v>
      </c>
      <c r="D4419" s="4">
        <f>+VLOOKUP(A4419,Portfolio!$G$3:$I$6,3)</f>
        <v>1</v>
      </c>
      <c r="E4419">
        <f t="shared" ref="E4419:E4482" si="69">+C4419*D4419</f>
        <v>49560</v>
      </c>
    </row>
    <row r="4420" spans="1:5" x14ac:dyDescent="0.25">
      <c r="A4420" t="s">
        <v>2</v>
      </c>
      <c r="B4420">
        <v>1231023</v>
      </c>
      <c r="C4420">
        <v>49830</v>
      </c>
      <c r="D4420" s="4">
        <f>+VLOOKUP(A4420,Portfolio!$G$3:$I$6,3)</f>
        <v>1</v>
      </c>
      <c r="E4420">
        <f t="shared" si="69"/>
        <v>49830</v>
      </c>
    </row>
    <row r="4421" spans="1:5" x14ac:dyDescent="0.25">
      <c r="A4421" t="s">
        <v>2</v>
      </c>
      <c r="B4421">
        <v>1231024</v>
      </c>
      <c r="C4421">
        <v>48850</v>
      </c>
      <c r="D4421" s="4">
        <f>+VLOOKUP(A4421,Portfolio!$G$3:$I$6,3)</f>
        <v>1</v>
      </c>
      <c r="E4421">
        <f t="shared" si="69"/>
        <v>48850</v>
      </c>
    </row>
    <row r="4422" spans="1:5" x14ac:dyDescent="0.25">
      <c r="A4422" t="s">
        <v>2</v>
      </c>
      <c r="B4422">
        <v>1231025</v>
      </c>
      <c r="C4422">
        <v>48750</v>
      </c>
      <c r="D4422" s="4">
        <f>+VLOOKUP(A4422,Portfolio!$G$3:$I$6,3)</f>
        <v>1</v>
      </c>
      <c r="E4422">
        <f t="shared" si="69"/>
        <v>48750</v>
      </c>
    </row>
    <row r="4423" spans="1:5" x14ac:dyDescent="0.25">
      <c r="A4423" t="s">
        <v>2</v>
      </c>
      <c r="B4423">
        <v>1231026</v>
      </c>
      <c r="C4423">
        <v>50060</v>
      </c>
      <c r="D4423" s="4">
        <f>+VLOOKUP(A4423,Portfolio!$G$3:$I$6,3)</f>
        <v>1</v>
      </c>
      <c r="E4423">
        <f t="shared" si="69"/>
        <v>50060</v>
      </c>
    </row>
    <row r="4424" spans="1:5" x14ac:dyDescent="0.25">
      <c r="A4424" t="s">
        <v>2</v>
      </c>
      <c r="B4424">
        <v>1231027</v>
      </c>
      <c r="C4424">
        <v>49270</v>
      </c>
      <c r="D4424" s="4">
        <f>+VLOOKUP(A4424,Portfolio!$G$3:$I$6,3)</f>
        <v>1</v>
      </c>
      <c r="E4424">
        <f t="shared" si="69"/>
        <v>49270</v>
      </c>
    </row>
    <row r="4425" spans="1:5" x14ac:dyDescent="0.25">
      <c r="A4425" t="s">
        <v>2</v>
      </c>
      <c r="B4425">
        <v>1231029</v>
      </c>
      <c r="C4425">
        <v>50050</v>
      </c>
      <c r="D4425" s="4">
        <f>+VLOOKUP(A4425,Portfolio!$G$3:$I$6,3)</f>
        <v>1</v>
      </c>
      <c r="E4425">
        <f t="shared" si="69"/>
        <v>50050</v>
      </c>
    </row>
    <row r="4426" spans="1:5" x14ac:dyDescent="0.25">
      <c r="A4426" t="s">
        <v>2</v>
      </c>
      <c r="B4426">
        <v>1231030</v>
      </c>
      <c r="C4426">
        <v>50050</v>
      </c>
      <c r="D4426" s="4">
        <f>+VLOOKUP(A4426,Portfolio!$G$3:$I$6,3)</f>
        <v>1</v>
      </c>
      <c r="E4426">
        <f t="shared" si="69"/>
        <v>50050</v>
      </c>
    </row>
    <row r="4427" spans="1:5" x14ac:dyDescent="0.25">
      <c r="A4427" t="s">
        <v>2</v>
      </c>
      <c r="B4427">
        <v>1231031</v>
      </c>
      <c r="C4427">
        <v>50180</v>
      </c>
      <c r="D4427" s="4">
        <f>+VLOOKUP(A4427,Portfolio!$G$3:$I$6,3)</f>
        <v>1</v>
      </c>
      <c r="E4427">
        <f t="shared" si="69"/>
        <v>50180</v>
      </c>
    </row>
    <row r="4428" spans="1:5" x14ac:dyDescent="0.25">
      <c r="A4428" t="s">
        <v>2</v>
      </c>
      <c r="B4428">
        <v>1231101</v>
      </c>
      <c r="C4428">
        <v>47490</v>
      </c>
      <c r="D4428" s="4">
        <f>+VLOOKUP(A4428,Portfolio!$G$3:$I$6,3)</f>
        <v>1</v>
      </c>
      <c r="E4428">
        <f t="shared" si="69"/>
        <v>47490</v>
      </c>
    </row>
    <row r="4429" spans="1:5" x14ac:dyDescent="0.25">
      <c r="A4429" t="s">
        <v>2</v>
      </c>
      <c r="B4429">
        <v>1231102</v>
      </c>
      <c r="C4429">
        <v>48250</v>
      </c>
      <c r="D4429" s="4">
        <f>+VLOOKUP(A4429,Portfolio!$G$3:$I$6,3)</f>
        <v>1</v>
      </c>
      <c r="E4429">
        <f t="shared" si="69"/>
        <v>48250</v>
      </c>
    </row>
    <row r="4430" spans="1:5" x14ac:dyDescent="0.25">
      <c r="A4430" t="s">
        <v>2</v>
      </c>
      <c r="B4430">
        <v>1231103</v>
      </c>
      <c r="C4430">
        <v>48240</v>
      </c>
      <c r="D4430" s="4">
        <f>+VLOOKUP(A4430,Portfolio!$G$3:$I$6,3)</f>
        <v>1</v>
      </c>
      <c r="E4430">
        <f t="shared" si="69"/>
        <v>48240</v>
      </c>
    </row>
    <row r="4431" spans="1:5" x14ac:dyDescent="0.25">
      <c r="A4431" t="s">
        <v>2</v>
      </c>
      <c r="B4431">
        <v>1231105</v>
      </c>
      <c r="C4431">
        <v>47390</v>
      </c>
      <c r="D4431" s="4">
        <f>+VLOOKUP(A4431,Portfolio!$G$3:$I$6,3)</f>
        <v>1</v>
      </c>
      <c r="E4431">
        <f t="shared" si="69"/>
        <v>47390</v>
      </c>
    </row>
    <row r="4432" spans="1:5" x14ac:dyDescent="0.25">
      <c r="A4432" t="s">
        <v>2</v>
      </c>
      <c r="B4432">
        <v>1231106</v>
      </c>
      <c r="C4432">
        <v>46910</v>
      </c>
      <c r="D4432" s="4">
        <f>+VLOOKUP(A4432,Portfolio!$G$3:$I$6,3)</f>
        <v>1</v>
      </c>
      <c r="E4432">
        <f t="shared" si="69"/>
        <v>46910</v>
      </c>
    </row>
    <row r="4433" spans="1:5" x14ac:dyDescent="0.25">
      <c r="A4433" t="s">
        <v>2</v>
      </c>
      <c r="B4433">
        <v>1231107</v>
      </c>
      <c r="C4433">
        <v>47000</v>
      </c>
      <c r="D4433" s="4">
        <f>+VLOOKUP(A4433,Portfolio!$G$3:$I$6,3)</f>
        <v>1</v>
      </c>
      <c r="E4433">
        <f t="shared" si="69"/>
        <v>47000</v>
      </c>
    </row>
    <row r="4434" spans="1:5" x14ac:dyDescent="0.25">
      <c r="A4434" t="s">
        <v>2</v>
      </c>
      <c r="B4434">
        <v>1231108</v>
      </c>
      <c r="C4434">
        <v>46880</v>
      </c>
      <c r="D4434" s="4">
        <f>+VLOOKUP(A4434,Portfolio!$G$3:$I$6,3)</f>
        <v>1</v>
      </c>
      <c r="E4434">
        <f t="shared" si="69"/>
        <v>46880</v>
      </c>
    </row>
    <row r="4435" spans="1:5" x14ac:dyDescent="0.25">
      <c r="A4435" t="s">
        <v>2</v>
      </c>
      <c r="B4435">
        <v>1231109</v>
      </c>
      <c r="C4435">
        <v>48810</v>
      </c>
      <c r="D4435" s="4">
        <f>+VLOOKUP(A4435,Portfolio!$G$3:$I$6,3)</f>
        <v>1</v>
      </c>
      <c r="E4435">
        <f t="shared" si="69"/>
        <v>48810</v>
      </c>
    </row>
    <row r="4436" spans="1:5" x14ac:dyDescent="0.25">
      <c r="A4436" t="s">
        <v>2</v>
      </c>
      <c r="B4436">
        <v>1231110</v>
      </c>
      <c r="C4436">
        <v>49870</v>
      </c>
      <c r="D4436" s="4">
        <f>+VLOOKUP(A4436,Portfolio!$G$3:$I$6,3)</f>
        <v>1</v>
      </c>
      <c r="E4436">
        <f t="shared" si="69"/>
        <v>49870</v>
      </c>
    </row>
    <row r="4437" spans="1:5" x14ac:dyDescent="0.25">
      <c r="A4437" t="s">
        <v>2</v>
      </c>
      <c r="B4437">
        <v>1231112</v>
      </c>
      <c r="C4437">
        <v>50780</v>
      </c>
      <c r="D4437" s="4">
        <f>+VLOOKUP(A4437,Portfolio!$G$3:$I$6,3)</f>
        <v>1</v>
      </c>
      <c r="E4437">
        <f t="shared" si="69"/>
        <v>50780</v>
      </c>
    </row>
    <row r="4438" spans="1:5" x14ac:dyDescent="0.25">
      <c r="A4438" t="s">
        <v>2</v>
      </c>
      <c r="B4438">
        <v>1231113</v>
      </c>
      <c r="C4438">
        <v>51240</v>
      </c>
      <c r="D4438" s="4">
        <f>+VLOOKUP(A4438,Portfolio!$G$3:$I$6,3)</f>
        <v>1</v>
      </c>
      <c r="E4438">
        <f t="shared" si="69"/>
        <v>51240</v>
      </c>
    </row>
    <row r="4439" spans="1:5" x14ac:dyDescent="0.25">
      <c r="A4439" t="s">
        <v>2</v>
      </c>
      <c r="B4439">
        <v>1231114</v>
      </c>
      <c r="C4439">
        <v>49830</v>
      </c>
      <c r="D4439" s="4">
        <f>+VLOOKUP(A4439,Portfolio!$G$3:$I$6,3)</f>
        <v>1</v>
      </c>
      <c r="E4439">
        <f t="shared" si="69"/>
        <v>49830</v>
      </c>
    </row>
    <row r="4440" spans="1:5" x14ac:dyDescent="0.25">
      <c r="A4440" t="s">
        <v>2</v>
      </c>
      <c r="B4440">
        <v>1231115</v>
      </c>
      <c r="C4440">
        <v>51070</v>
      </c>
      <c r="D4440" s="4">
        <f>+VLOOKUP(A4440,Portfolio!$G$3:$I$6,3)</f>
        <v>1</v>
      </c>
      <c r="E4440">
        <f t="shared" si="69"/>
        <v>51070</v>
      </c>
    </row>
    <row r="4441" spans="1:5" x14ac:dyDescent="0.25">
      <c r="A4441" t="s">
        <v>2</v>
      </c>
      <c r="B4441">
        <v>1231116</v>
      </c>
      <c r="C4441">
        <v>51030</v>
      </c>
      <c r="D4441" s="4">
        <f>+VLOOKUP(A4441,Portfolio!$G$3:$I$6,3)</f>
        <v>1</v>
      </c>
      <c r="E4441">
        <f t="shared" si="69"/>
        <v>51030</v>
      </c>
    </row>
    <row r="4442" spans="1:5" x14ac:dyDescent="0.25">
      <c r="A4442" t="s">
        <v>2</v>
      </c>
      <c r="B4442">
        <v>1231117</v>
      </c>
      <c r="C4442">
        <v>52340</v>
      </c>
      <c r="D4442" s="4">
        <f>+VLOOKUP(A4442,Portfolio!$G$3:$I$6,3)</f>
        <v>1</v>
      </c>
      <c r="E4442">
        <f t="shared" si="69"/>
        <v>52340</v>
      </c>
    </row>
    <row r="4443" spans="1:5" x14ac:dyDescent="0.25">
      <c r="A4443" t="s">
        <v>2</v>
      </c>
      <c r="B4443">
        <v>1231119</v>
      </c>
      <c r="C4443">
        <v>51180</v>
      </c>
      <c r="D4443" s="4">
        <f>+VLOOKUP(A4443,Portfolio!$G$3:$I$6,3)</f>
        <v>1</v>
      </c>
      <c r="E4443">
        <f t="shared" si="69"/>
        <v>51180</v>
      </c>
    </row>
    <row r="4444" spans="1:5" x14ac:dyDescent="0.25">
      <c r="A4444" t="s">
        <v>2</v>
      </c>
      <c r="B4444">
        <v>1231120</v>
      </c>
      <c r="C4444">
        <v>51850</v>
      </c>
      <c r="D4444" s="4">
        <f>+VLOOKUP(A4444,Portfolio!$G$3:$I$6,3)</f>
        <v>1</v>
      </c>
      <c r="E4444">
        <f t="shared" si="69"/>
        <v>51850</v>
      </c>
    </row>
    <row r="4445" spans="1:5" x14ac:dyDescent="0.25">
      <c r="A4445" t="s">
        <v>2</v>
      </c>
      <c r="B4445">
        <v>1231121</v>
      </c>
      <c r="C4445">
        <v>49660</v>
      </c>
      <c r="D4445" s="4">
        <f>+VLOOKUP(A4445,Portfolio!$G$3:$I$6,3)</f>
        <v>1</v>
      </c>
      <c r="E4445">
        <f t="shared" si="69"/>
        <v>49660</v>
      </c>
    </row>
    <row r="4446" spans="1:5" x14ac:dyDescent="0.25">
      <c r="A4446" t="s">
        <v>2</v>
      </c>
      <c r="B4446">
        <v>1231122</v>
      </c>
      <c r="C4446">
        <v>50610</v>
      </c>
      <c r="D4446" s="4">
        <f>+VLOOKUP(A4446,Portfolio!$G$3:$I$6,3)</f>
        <v>1</v>
      </c>
      <c r="E4446">
        <f t="shared" si="69"/>
        <v>50610</v>
      </c>
    </row>
    <row r="4447" spans="1:5" x14ac:dyDescent="0.25">
      <c r="A4447" t="s">
        <v>2</v>
      </c>
      <c r="B4447">
        <v>1231123</v>
      </c>
      <c r="C4447">
        <v>50890</v>
      </c>
      <c r="D4447" s="4">
        <f>+VLOOKUP(A4447,Portfolio!$G$3:$I$6,3)</f>
        <v>1</v>
      </c>
      <c r="E4447">
        <f t="shared" si="69"/>
        <v>50890</v>
      </c>
    </row>
    <row r="4448" spans="1:5" x14ac:dyDescent="0.25">
      <c r="A4448" t="s">
        <v>2</v>
      </c>
      <c r="B4448">
        <v>1231124</v>
      </c>
      <c r="C4448">
        <v>50800</v>
      </c>
      <c r="D4448" s="4">
        <f>+VLOOKUP(A4448,Portfolio!$G$3:$I$6,3)</f>
        <v>1</v>
      </c>
      <c r="E4448">
        <f t="shared" si="69"/>
        <v>50800</v>
      </c>
    </row>
    <row r="4449" spans="1:5" x14ac:dyDescent="0.25">
      <c r="A4449" t="s">
        <v>2</v>
      </c>
      <c r="B4449">
        <v>1231126</v>
      </c>
      <c r="C4449">
        <v>51420</v>
      </c>
      <c r="D4449" s="4">
        <f>+VLOOKUP(A4449,Portfolio!$G$3:$I$6,3)</f>
        <v>1</v>
      </c>
      <c r="E4449">
        <f t="shared" si="69"/>
        <v>51420</v>
      </c>
    </row>
    <row r="4450" spans="1:5" x14ac:dyDescent="0.25">
      <c r="A4450" t="s">
        <v>2</v>
      </c>
      <c r="B4450">
        <v>1231127</v>
      </c>
      <c r="C4450">
        <v>52500</v>
      </c>
      <c r="D4450" s="4">
        <f>+VLOOKUP(A4450,Portfolio!$G$3:$I$6,3)</f>
        <v>1</v>
      </c>
      <c r="E4450">
        <f t="shared" si="69"/>
        <v>52500</v>
      </c>
    </row>
    <row r="4451" spans="1:5" x14ac:dyDescent="0.25">
      <c r="A4451" t="s">
        <v>2</v>
      </c>
      <c r="B4451">
        <v>1231128</v>
      </c>
      <c r="C4451">
        <v>52320</v>
      </c>
      <c r="D4451" s="4">
        <f>+VLOOKUP(A4451,Portfolio!$G$3:$I$6,3)</f>
        <v>1</v>
      </c>
      <c r="E4451">
        <f t="shared" si="69"/>
        <v>52320</v>
      </c>
    </row>
    <row r="4452" spans="1:5" x14ac:dyDescent="0.25">
      <c r="A4452" t="s">
        <v>2</v>
      </c>
      <c r="B4452">
        <v>1231129</v>
      </c>
      <c r="C4452">
        <v>54790</v>
      </c>
      <c r="D4452" s="4">
        <f>+VLOOKUP(A4452,Portfolio!$G$3:$I$6,3)</f>
        <v>1</v>
      </c>
      <c r="E4452">
        <f t="shared" si="69"/>
        <v>54790</v>
      </c>
    </row>
    <row r="4453" spans="1:5" x14ac:dyDescent="0.25">
      <c r="A4453" t="s">
        <v>2</v>
      </c>
      <c r="B4453">
        <v>1231130</v>
      </c>
      <c r="C4453">
        <v>53950</v>
      </c>
      <c r="D4453" s="4">
        <f>+VLOOKUP(A4453,Portfolio!$G$3:$I$6,3)</f>
        <v>1</v>
      </c>
      <c r="E4453">
        <f t="shared" si="69"/>
        <v>53950</v>
      </c>
    </row>
    <row r="4454" spans="1:5" x14ac:dyDescent="0.25">
      <c r="A4454" t="s">
        <v>2</v>
      </c>
      <c r="B4454">
        <v>1231201</v>
      </c>
      <c r="C4454">
        <v>54460</v>
      </c>
      <c r="D4454" s="4">
        <f>+VLOOKUP(A4454,Portfolio!$G$3:$I$6,3)</f>
        <v>1</v>
      </c>
      <c r="E4454">
        <f t="shared" si="69"/>
        <v>54460</v>
      </c>
    </row>
    <row r="4455" spans="1:5" x14ac:dyDescent="0.25">
      <c r="A4455" t="s">
        <v>2</v>
      </c>
      <c r="B4455">
        <v>1231203</v>
      </c>
      <c r="C4455">
        <v>45260</v>
      </c>
      <c r="D4455" s="4">
        <f>+VLOOKUP(A4455,Portfolio!$G$3:$I$6,3)</f>
        <v>1</v>
      </c>
      <c r="E4455">
        <f t="shared" si="69"/>
        <v>45260</v>
      </c>
    </row>
    <row r="4456" spans="1:5" x14ac:dyDescent="0.25">
      <c r="A4456" t="s">
        <v>2</v>
      </c>
      <c r="B4456">
        <v>1231204</v>
      </c>
      <c r="C4456">
        <v>48380</v>
      </c>
      <c r="D4456" s="4">
        <f>+VLOOKUP(A4456,Portfolio!$G$3:$I$6,3)</f>
        <v>1</v>
      </c>
      <c r="E4456">
        <f t="shared" si="69"/>
        <v>48380</v>
      </c>
    </row>
    <row r="4457" spans="1:5" x14ac:dyDescent="0.25">
      <c r="A4457" t="s">
        <v>2</v>
      </c>
      <c r="B4457">
        <v>1231205</v>
      </c>
      <c r="C4457">
        <v>52750</v>
      </c>
      <c r="D4457" s="4">
        <f>+VLOOKUP(A4457,Portfolio!$G$3:$I$6,3)</f>
        <v>1</v>
      </c>
      <c r="E4457">
        <f t="shared" si="69"/>
        <v>52750</v>
      </c>
    </row>
    <row r="4458" spans="1:5" x14ac:dyDescent="0.25">
      <c r="A4458" t="s">
        <v>2</v>
      </c>
      <c r="B4458">
        <v>1231206</v>
      </c>
      <c r="C4458">
        <v>54300</v>
      </c>
      <c r="D4458" s="4">
        <f>+VLOOKUP(A4458,Portfolio!$G$3:$I$6,3)</f>
        <v>1</v>
      </c>
      <c r="E4458">
        <f t="shared" si="69"/>
        <v>54300</v>
      </c>
    </row>
    <row r="4459" spans="1:5" x14ac:dyDescent="0.25">
      <c r="A4459" t="s">
        <v>2</v>
      </c>
      <c r="B4459">
        <v>1231207</v>
      </c>
      <c r="C4459">
        <v>53800</v>
      </c>
      <c r="D4459" s="4">
        <f>+VLOOKUP(A4459,Portfolio!$G$3:$I$6,3)</f>
        <v>1</v>
      </c>
      <c r="E4459">
        <f t="shared" si="69"/>
        <v>53800</v>
      </c>
    </row>
    <row r="4460" spans="1:5" x14ac:dyDescent="0.25">
      <c r="A4460" t="s">
        <v>2</v>
      </c>
      <c r="B4460">
        <v>1231208</v>
      </c>
      <c r="C4460">
        <v>52520</v>
      </c>
      <c r="D4460" s="4">
        <f>+VLOOKUP(A4460,Portfolio!$G$3:$I$6,3)</f>
        <v>1</v>
      </c>
      <c r="E4460">
        <f t="shared" si="69"/>
        <v>52520</v>
      </c>
    </row>
    <row r="4461" spans="1:5" x14ac:dyDescent="0.25">
      <c r="A4461" t="s">
        <v>2</v>
      </c>
      <c r="B4461">
        <v>1231210</v>
      </c>
      <c r="C4461">
        <v>54350</v>
      </c>
      <c r="D4461" s="4">
        <f>+VLOOKUP(A4461,Portfolio!$G$3:$I$6,3)</f>
        <v>1</v>
      </c>
      <c r="E4461">
        <f t="shared" si="69"/>
        <v>54350</v>
      </c>
    </row>
    <row r="4462" spans="1:5" x14ac:dyDescent="0.25">
      <c r="A4462" t="s">
        <v>2</v>
      </c>
      <c r="B4462">
        <v>1231211</v>
      </c>
      <c r="C4462">
        <v>55420</v>
      </c>
      <c r="D4462" s="4">
        <f>+VLOOKUP(A4462,Portfolio!$G$3:$I$6,3)</f>
        <v>1</v>
      </c>
      <c r="E4462">
        <f t="shared" si="69"/>
        <v>55420</v>
      </c>
    </row>
    <row r="4463" spans="1:5" x14ac:dyDescent="0.25">
      <c r="A4463" t="s">
        <v>2</v>
      </c>
      <c r="B4463">
        <v>1231212</v>
      </c>
      <c r="C4463">
        <v>56440</v>
      </c>
      <c r="D4463" s="4">
        <f>+VLOOKUP(A4463,Portfolio!$G$3:$I$6,3)</f>
        <v>1</v>
      </c>
      <c r="E4463">
        <f t="shared" si="69"/>
        <v>56440</v>
      </c>
    </row>
    <row r="4464" spans="1:5" x14ac:dyDescent="0.25">
      <c r="A4464" t="s">
        <v>2</v>
      </c>
      <c r="B4464">
        <v>1231213</v>
      </c>
      <c r="C4464">
        <v>55340</v>
      </c>
      <c r="D4464" s="4">
        <f>+VLOOKUP(A4464,Portfolio!$G$3:$I$6,3)</f>
        <v>1</v>
      </c>
      <c r="E4464">
        <f t="shared" si="69"/>
        <v>55340</v>
      </c>
    </row>
    <row r="4465" spans="1:5" x14ac:dyDescent="0.25">
      <c r="A4465" t="s">
        <v>2</v>
      </c>
      <c r="B4465">
        <v>1231214</v>
      </c>
      <c r="C4465">
        <v>55990</v>
      </c>
      <c r="D4465" s="4">
        <f>+VLOOKUP(A4465,Portfolio!$G$3:$I$6,3)</f>
        <v>1</v>
      </c>
      <c r="E4465">
        <f t="shared" si="69"/>
        <v>55990</v>
      </c>
    </row>
    <row r="4466" spans="1:5" x14ac:dyDescent="0.25">
      <c r="A4466" t="s">
        <v>2</v>
      </c>
      <c r="B4466">
        <v>1231215</v>
      </c>
      <c r="C4466">
        <v>55260</v>
      </c>
      <c r="D4466" s="4">
        <f>+VLOOKUP(A4466,Portfolio!$G$3:$I$6,3)</f>
        <v>1</v>
      </c>
      <c r="E4466">
        <f t="shared" si="69"/>
        <v>55260</v>
      </c>
    </row>
    <row r="4467" spans="1:5" x14ac:dyDescent="0.25">
      <c r="A4467" t="s">
        <v>2</v>
      </c>
      <c r="B4467">
        <v>1231217</v>
      </c>
      <c r="C4467">
        <v>55800</v>
      </c>
      <c r="D4467" s="4">
        <f>+VLOOKUP(A4467,Portfolio!$G$3:$I$6,3)</f>
        <v>1</v>
      </c>
      <c r="E4467">
        <f t="shared" si="69"/>
        <v>55800</v>
      </c>
    </row>
    <row r="4468" spans="1:5" x14ac:dyDescent="0.25">
      <c r="A4468" t="s">
        <v>2</v>
      </c>
      <c r="B4468">
        <v>1231218</v>
      </c>
      <c r="C4468">
        <v>55230</v>
      </c>
      <c r="D4468" s="4">
        <f>+VLOOKUP(A4468,Portfolio!$G$3:$I$6,3)</f>
        <v>1</v>
      </c>
      <c r="E4468">
        <f t="shared" si="69"/>
        <v>55230</v>
      </c>
    </row>
    <row r="4469" spans="1:5" x14ac:dyDescent="0.25">
      <c r="A4469" t="s">
        <v>2</v>
      </c>
      <c r="B4469">
        <v>1231219</v>
      </c>
      <c r="C4469">
        <v>54000</v>
      </c>
      <c r="D4469" s="4">
        <f>+VLOOKUP(A4469,Portfolio!$G$3:$I$6,3)</f>
        <v>1</v>
      </c>
      <c r="E4469">
        <f t="shared" si="69"/>
        <v>54000</v>
      </c>
    </row>
    <row r="4470" spans="1:5" x14ac:dyDescent="0.25">
      <c r="A4470" t="s">
        <v>2</v>
      </c>
      <c r="B4470">
        <v>1231220</v>
      </c>
      <c r="C4470">
        <v>54870</v>
      </c>
      <c r="D4470" s="4">
        <f>+VLOOKUP(A4470,Portfolio!$G$3:$I$6,3)</f>
        <v>1</v>
      </c>
      <c r="E4470">
        <f t="shared" si="69"/>
        <v>54870</v>
      </c>
    </row>
    <row r="4471" spans="1:5" x14ac:dyDescent="0.25">
      <c r="A4471" t="s">
        <v>2</v>
      </c>
      <c r="B4471">
        <v>1231221</v>
      </c>
      <c r="C4471">
        <v>55120</v>
      </c>
      <c r="D4471" s="4">
        <f>+VLOOKUP(A4471,Portfolio!$G$3:$I$6,3)</f>
        <v>1</v>
      </c>
      <c r="E4471">
        <f t="shared" si="69"/>
        <v>55120</v>
      </c>
    </row>
    <row r="4472" spans="1:5" x14ac:dyDescent="0.25">
      <c r="A4472" t="s">
        <v>2</v>
      </c>
      <c r="B4472">
        <v>1231222</v>
      </c>
      <c r="C4472">
        <v>55160</v>
      </c>
      <c r="D4472" s="4">
        <f>+VLOOKUP(A4472,Portfolio!$G$3:$I$6,3)</f>
        <v>1</v>
      </c>
      <c r="E4472">
        <f t="shared" si="69"/>
        <v>55160</v>
      </c>
    </row>
    <row r="4473" spans="1:5" x14ac:dyDescent="0.25">
      <c r="A4473" t="s">
        <v>2</v>
      </c>
      <c r="B4473">
        <v>1231225</v>
      </c>
      <c r="C4473">
        <v>57130</v>
      </c>
      <c r="D4473" s="4">
        <f>+VLOOKUP(A4473,Portfolio!$G$3:$I$6,3)</f>
        <v>1</v>
      </c>
      <c r="E4473">
        <f t="shared" si="69"/>
        <v>57130</v>
      </c>
    </row>
    <row r="4474" spans="1:5" x14ac:dyDescent="0.25">
      <c r="A4474" t="s">
        <v>2</v>
      </c>
      <c r="B4474">
        <v>1231226</v>
      </c>
      <c r="C4474">
        <v>57130</v>
      </c>
      <c r="D4474" s="4">
        <f>+VLOOKUP(A4474,Portfolio!$G$3:$I$6,3)</f>
        <v>1</v>
      </c>
      <c r="E4474">
        <f t="shared" si="69"/>
        <v>57130</v>
      </c>
    </row>
    <row r="4475" spans="1:5" x14ac:dyDescent="0.25">
      <c r="A4475" t="s">
        <v>2</v>
      </c>
      <c r="B4475">
        <v>1231227</v>
      </c>
      <c r="C4475">
        <v>56660</v>
      </c>
      <c r="D4475" s="4">
        <f>+VLOOKUP(A4475,Portfolio!$G$3:$I$6,3)</f>
        <v>1</v>
      </c>
      <c r="E4475">
        <f t="shared" si="69"/>
        <v>56660</v>
      </c>
    </row>
    <row r="4476" spans="1:5" x14ac:dyDescent="0.25">
      <c r="A4476" t="s">
        <v>2</v>
      </c>
      <c r="B4476">
        <v>1231228</v>
      </c>
      <c r="C4476">
        <v>57230</v>
      </c>
      <c r="D4476" s="4">
        <f>+VLOOKUP(A4476,Portfolio!$G$3:$I$6,3)</f>
        <v>1</v>
      </c>
      <c r="E4476">
        <f t="shared" si="69"/>
        <v>57230</v>
      </c>
    </row>
    <row r="4477" spans="1:5" x14ac:dyDescent="0.25">
      <c r="A4477" t="s">
        <v>2</v>
      </c>
      <c r="B4477">
        <v>1231229</v>
      </c>
      <c r="C4477">
        <v>57010</v>
      </c>
      <c r="D4477" s="4">
        <f>+VLOOKUP(A4477,Portfolio!$G$3:$I$6,3)</f>
        <v>1</v>
      </c>
      <c r="E4477">
        <f t="shared" si="69"/>
        <v>57010</v>
      </c>
    </row>
    <row r="4478" spans="1:5" x14ac:dyDescent="0.25">
      <c r="A4478" t="s">
        <v>2</v>
      </c>
      <c r="B4478">
        <v>1240101</v>
      </c>
      <c r="C4478">
        <v>57640</v>
      </c>
      <c r="D4478" s="4">
        <f>+VLOOKUP(A4478,Portfolio!$G$3:$I$6,3)</f>
        <v>1</v>
      </c>
      <c r="E4478">
        <f t="shared" si="69"/>
        <v>57640</v>
      </c>
    </row>
    <row r="4479" spans="1:5" x14ac:dyDescent="0.25">
      <c r="A4479" t="s">
        <v>2</v>
      </c>
      <c r="B4479">
        <v>1240102</v>
      </c>
      <c r="C4479">
        <v>57070</v>
      </c>
      <c r="D4479" s="4">
        <f>+VLOOKUP(A4479,Portfolio!$G$3:$I$6,3)</f>
        <v>1</v>
      </c>
      <c r="E4479">
        <f t="shared" si="69"/>
        <v>57070</v>
      </c>
    </row>
    <row r="4480" spans="1:5" x14ac:dyDescent="0.25">
      <c r="A4480" t="s">
        <v>2</v>
      </c>
      <c r="B4480">
        <v>1240103</v>
      </c>
      <c r="C4480">
        <v>55510</v>
      </c>
      <c r="D4480" s="4">
        <f>+VLOOKUP(A4480,Portfolio!$G$3:$I$6,3)</f>
        <v>1</v>
      </c>
      <c r="E4480">
        <f t="shared" si="69"/>
        <v>55510</v>
      </c>
    </row>
    <row r="4481" spans="1:5" x14ac:dyDescent="0.25">
      <c r="A4481" t="s">
        <v>2</v>
      </c>
      <c r="B4481">
        <v>1240104</v>
      </c>
      <c r="C4481">
        <v>57900</v>
      </c>
      <c r="D4481" s="4">
        <f>+VLOOKUP(A4481,Portfolio!$G$3:$I$6,3)</f>
        <v>1</v>
      </c>
      <c r="E4481">
        <f t="shared" si="69"/>
        <v>57900</v>
      </c>
    </row>
    <row r="4482" spans="1:5" x14ac:dyDescent="0.25">
      <c r="A4482" t="s">
        <v>2</v>
      </c>
      <c r="B4482">
        <v>1240105</v>
      </c>
      <c r="C4482">
        <v>57030</v>
      </c>
      <c r="D4482" s="4">
        <f>+VLOOKUP(A4482,Portfolio!$G$3:$I$6,3)</f>
        <v>1</v>
      </c>
      <c r="E4482">
        <f t="shared" si="69"/>
        <v>57030</v>
      </c>
    </row>
    <row r="4483" spans="1:5" x14ac:dyDescent="0.25">
      <c r="A4483" t="s">
        <v>2</v>
      </c>
      <c r="B4483">
        <v>1240107</v>
      </c>
      <c r="C4483">
        <v>56560</v>
      </c>
      <c r="D4483" s="4">
        <f>+VLOOKUP(A4483,Portfolio!$G$3:$I$6,3)</f>
        <v>1</v>
      </c>
      <c r="E4483">
        <f t="shared" ref="E4483:E4546" si="70">+C4483*D4483</f>
        <v>56560</v>
      </c>
    </row>
    <row r="4484" spans="1:5" x14ac:dyDescent="0.25">
      <c r="A4484" t="s">
        <v>2</v>
      </c>
      <c r="B4484">
        <v>1240108</v>
      </c>
      <c r="C4484">
        <v>56560</v>
      </c>
      <c r="D4484" s="4">
        <f>+VLOOKUP(A4484,Portfolio!$G$3:$I$6,3)</f>
        <v>1</v>
      </c>
      <c r="E4484">
        <f t="shared" si="70"/>
        <v>56560</v>
      </c>
    </row>
    <row r="4485" spans="1:5" x14ac:dyDescent="0.25">
      <c r="A4485" t="s">
        <v>2</v>
      </c>
      <c r="B4485">
        <v>1240109</v>
      </c>
      <c r="C4485">
        <v>56010</v>
      </c>
      <c r="D4485" s="4">
        <f>+VLOOKUP(A4485,Portfolio!$G$3:$I$6,3)</f>
        <v>1</v>
      </c>
      <c r="E4485">
        <f t="shared" si="70"/>
        <v>56010</v>
      </c>
    </row>
    <row r="4486" spans="1:5" x14ac:dyDescent="0.25">
      <c r="A4486" t="s">
        <v>2</v>
      </c>
      <c r="B4486">
        <v>1240110</v>
      </c>
      <c r="C4486">
        <v>54590</v>
      </c>
      <c r="D4486" s="4">
        <f>+VLOOKUP(A4486,Portfolio!$G$3:$I$6,3)</f>
        <v>1</v>
      </c>
      <c r="E4486">
        <f t="shared" si="70"/>
        <v>54590</v>
      </c>
    </row>
    <row r="4487" spans="1:5" x14ac:dyDescent="0.25">
      <c r="A4487" t="s">
        <v>2</v>
      </c>
      <c r="B4487">
        <v>1240111</v>
      </c>
      <c r="C4487">
        <v>55050</v>
      </c>
      <c r="D4487" s="4">
        <f>+VLOOKUP(A4487,Portfolio!$G$3:$I$6,3)</f>
        <v>1</v>
      </c>
      <c r="E4487">
        <f t="shared" si="70"/>
        <v>55050</v>
      </c>
    </row>
    <row r="4488" spans="1:5" x14ac:dyDescent="0.25">
      <c r="A4488" t="s">
        <v>2</v>
      </c>
      <c r="B4488">
        <v>1240112</v>
      </c>
      <c r="C4488">
        <v>54220</v>
      </c>
      <c r="D4488" s="4">
        <f>+VLOOKUP(A4488,Portfolio!$G$3:$I$6,3)</f>
        <v>1</v>
      </c>
      <c r="E4488">
        <f t="shared" si="70"/>
        <v>54220</v>
      </c>
    </row>
    <row r="4489" spans="1:5" x14ac:dyDescent="0.25">
      <c r="A4489" t="s">
        <v>2</v>
      </c>
      <c r="B4489">
        <v>1240114</v>
      </c>
      <c r="C4489">
        <v>56390</v>
      </c>
      <c r="D4489" s="4">
        <f>+VLOOKUP(A4489,Portfolio!$G$3:$I$6,3)</f>
        <v>1</v>
      </c>
      <c r="E4489">
        <f t="shared" si="70"/>
        <v>56390</v>
      </c>
    </row>
    <row r="4490" spans="1:5" x14ac:dyDescent="0.25">
      <c r="A4490" t="s">
        <v>2</v>
      </c>
      <c r="B4490">
        <v>1240115</v>
      </c>
      <c r="C4490">
        <v>56390</v>
      </c>
      <c r="D4490" s="4">
        <f>+VLOOKUP(A4490,Portfolio!$G$3:$I$6,3)</f>
        <v>1</v>
      </c>
      <c r="E4490">
        <f t="shared" si="70"/>
        <v>56390</v>
      </c>
    </row>
    <row r="4491" spans="1:5" x14ac:dyDescent="0.25">
      <c r="A4491" t="s">
        <v>2</v>
      </c>
      <c r="B4491">
        <v>1240116</v>
      </c>
      <c r="C4491">
        <v>56780</v>
      </c>
      <c r="D4491" s="4">
        <f>+VLOOKUP(A4491,Portfolio!$G$3:$I$6,3)</f>
        <v>1</v>
      </c>
      <c r="E4491">
        <f t="shared" si="70"/>
        <v>56780</v>
      </c>
    </row>
    <row r="4492" spans="1:5" x14ac:dyDescent="0.25">
      <c r="A4492" t="s">
        <v>2</v>
      </c>
      <c r="B4492">
        <v>1240117</v>
      </c>
      <c r="C4492">
        <v>57950</v>
      </c>
      <c r="D4492" s="4">
        <f>+VLOOKUP(A4492,Portfolio!$G$3:$I$6,3)</f>
        <v>1</v>
      </c>
      <c r="E4492">
        <f t="shared" si="70"/>
        <v>57950</v>
      </c>
    </row>
    <row r="4493" spans="1:5" x14ac:dyDescent="0.25">
      <c r="A4493" t="s">
        <v>2</v>
      </c>
      <c r="B4493">
        <v>1240118</v>
      </c>
      <c r="C4493">
        <v>55720</v>
      </c>
      <c r="D4493" s="4">
        <f>+VLOOKUP(A4493,Portfolio!$G$3:$I$6,3)</f>
        <v>1</v>
      </c>
      <c r="E4493">
        <f t="shared" si="70"/>
        <v>55720</v>
      </c>
    </row>
    <row r="4494" spans="1:5" x14ac:dyDescent="0.25">
      <c r="A4494" t="s">
        <v>2</v>
      </c>
      <c r="B4494">
        <v>1240119</v>
      </c>
      <c r="C4494">
        <v>55840</v>
      </c>
      <c r="D4494" s="4">
        <f>+VLOOKUP(A4494,Portfolio!$G$3:$I$6,3)</f>
        <v>1</v>
      </c>
      <c r="E4494">
        <f t="shared" si="70"/>
        <v>55840</v>
      </c>
    </row>
    <row r="4495" spans="1:5" x14ac:dyDescent="0.25">
      <c r="A4495" t="s">
        <v>2</v>
      </c>
      <c r="B4495">
        <v>1240121</v>
      </c>
      <c r="C4495">
        <v>55540</v>
      </c>
      <c r="D4495" s="4">
        <f>+VLOOKUP(A4495,Portfolio!$G$3:$I$6,3)</f>
        <v>1</v>
      </c>
      <c r="E4495">
        <f t="shared" si="70"/>
        <v>55540</v>
      </c>
    </row>
    <row r="4496" spans="1:5" x14ac:dyDescent="0.25">
      <c r="A4496" t="s">
        <v>2</v>
      </c>
      <c r="B4496">
        <v>1240122</v>
      </c>
      <c r="C4496">
        <v>55300</v>
      </c>
      <c r="D4496" s="4">
        <f>+VLOOKUP(A4496,Portfolio!$G$3:$I$6,3)</f>
        <v>1</v>
      </c>
      <c r="E4496">
        <f t="shared" si="70"/>
        <v>55300</v>
      </c>
    </row>
    <row r="4497" spans="1:5" x14ac:dyDescent="0.25">
      <c r="A4497" t="s">
        <v>2</v>
      </c>
      <c r="B4497">
        <v>1240123</v>
      </c>
      <c r="C4497">
        <v>54810</v>
      </c>
      <c r="D4497" s="4">
        <f>+VLOOKUP(A4497,Portfolio!$G$3:$I$6,3)</f>
        <v>1</v>
      </c>
      <c r="E4497">
        <f t="shared" si="70"/>
        <v>54810</v>
      </c>
    </row>
    <row r="4498" spans="1:5" x14ac:dyDescent="0.25">
      <c r="A4498" t="s">
        <v>2</v>
      </c>
      <c r="B4498">
        <v>1240124</v>
      </c>
      <c r="C4498">
        <v>54520</v>
      </c>
      <c r="D4498" s="4">
        <f>+VLOOKUP(A4498,Portfolio!$G$3:$I$6,3)</f>
        <v>1</v>
      </c>
      <c r="E4498">
        <f t="shared" si="70"/>
        <v>54520</v>
      </c>
    </row>
    <row r="4499" spans="1:5" x14ac:dyDescent="0.25">
      <c r="A4499" t="s">
        <v>2</v>
      </c>
      <c r="B4499">
        <v>1240125</v>
      </c>
      <c r="C4499">
        <v>52730</v>
      </c>
      <c r="D4499" s="4">
        <f>+VLOOKUP(A4499,Portfolio!$G$3:$I$6,3)</f>
        <v>1</v>
      </c>
      <c r="E4499">
        <f t="shared" si="70"/>
        <v>52730</v>
      </c>
    </row>
    <row r="4500" spans="1:5" x14ac:dyDescent="0.25">
      <c r="A4500" t="s">
        <v>2</v>
      </c>
      <c r="B4500">
        <v>1240126</v>
      </c>
      <c r="C4500">
        <v>52130</v>
      </c>
      <c r="D4500" s="4">
        <f>+VLOOKUP(A4500,Portfolio!$G$3:$I$6,3)</f>
        <v>1</v>
      </c>
      <c r="E4500">
        <f t="shared" si="70"/>
        <v>52130</v>
      </c>
    </row>
    <row r="4501" spans="1:5" x14ac:dyDescent="0.25">
      <c r="A4501" t="s">
        <v>2</v>
      </c>
      <c r="B4501">
        <v>1240128</v>
      </c>
      <c r="C4501">
        <v>50640</v>
      </c>
      <c r="D4501" s="4">
        <f>+VLOOKUP(A4501,Portfolio!$G$3:$I$6,3)</f>
        <v>1</v>
      </c>
      <c r="E4501">
        <f t="shared" si="70"/>
        <v>50640</v>
      </c>
    </row>
    <row r="4502" spans="1:5" x14ac:dyDescent="0.25">
      <c r="A4502" t="s">
        <v>2</v>
      </c>
      <c r="B4502">
        <v>1240129</v>
      </c>
      <c r="C4502">
        <v>51030</v>
      </c>
      <c r="D4502" s="4">
        <f>+VLOOKUP(A4502,Portfolio!$G$3:$I$6,3)</f>
        <v>1</v>
      </c>
      <c r="E4502">
        <f t="shared" si="70"/>
        <v>51030</v>
      </c>
    </row>
    <row r="4503" spans="1:5" x14ac:dyDescent="0.25">
      <c r="A4503" t="s">
        <v>2</v>
      </c>
      <c r="B4503">
        <v>1240130</v>
      </c>
      <c r="C4503">
        <v>50890</v>
      </c>
      <c r="D4503" s="4">
        <f>+VLOOKUP(A4503,Portfolio!$G$3:$I$6,3)</f>
        <v>1</v>
      </c>
      <c r="E4503">
        <f t="shared" si="70"/>
        <v>50890</v>
      </c>
    </row>
    <row r="4504" spans="1:5" x14ac:dyDescent="0.25">
      <c r="A4504" t="s">
        <v>2</v>
      </c>
      <c r="B4504">
        <v>1240131</v>
      </c>
      <c r="C4504">
        <v>50540</v>
      </c>
      <c r="D4504" s="4">
        <f>+VLOOKUP(A4504,Portfolio!$G$3:$I$6,3)</f>
        <v>1</v>
      </c>
      <c r="E4504">
        <f t="shared" si="70"/>
        <v>50540</v>
      </c>
    </row>
    <row r="4505" spans="1:5" x14ac:dyDescent="0.25">
      <c r="A4505" t="s">
        <v>2</v>
      </c>
      <c r="B4505">
        <v>1240201</v>
      </c>
      <c r="C4505">
        <v>50580</v>
      </c>
      <c r="D4505" s="4">
        <f>+VLOOKUP(A4505,Portfolio!$G$3:$I$6,3)</f>
        <v>1</v>
      </c>
      <c r="E4505">
        <f t="shared" si="70"/>
        <v>50580</v>
      </c>
    </row>
    <row r="4506" spans="1:5" x14ac:dyDescent="0.25">
      <c r="A4506" t="s">
        <v>2</v>
      </c>
      <c r="B4506">
        <v>1240202</v>
      </c>
      <c r="C4506">
        <v>48270</v>
      </c>
      <c r="D4506" s="4">
        <f>+VLOOKUP(A4506,Portfolio!$G$3:$I$6,3)</f>
        <v>1</v>
      </c>
      <c r="E4506">
        <f t="shared" si="70"/>
        <v>48270</v>
      </c>
    </row>
    <row r="4507" spans="1:5" x14ac:dyDescent="0.25">
      <c r="A4507" t="s">
        <v>2</v>
      </c>
      <c r="B4507">
        <v>1240204</v>
      </c>
      <c r="C4507">
        <v>48930</v>
      </c>
      <c r="D4507" s="4">
        <f>+VLOOKUP(A4507,Portfolio!$G$3:$I$6,3)</f>
        <v>1</v>
      </c>
      <c r="E4507">
        <f t="shared" si="70"/>
        <v>48930</v>
      </c>
    </row>
    <row r="4508" spans="1:5" x14ac:dyDescent="0.25">
      <c r="A4508" t="s">
        <v>2</v>
      </c>
      <c r="B4508">
        <v>1240205</v>
      </c>
      <c r="C4508">
        <v>49720</v>
      </c>
      <c r="D4508" s="4">
        <f>+VLOOKUP(A4508,Portfolio!$G$3:$I$6,3)</f>
        <v>1</v>
      </c>
      <c r="E4508">
        <f t="shared" si="70"/>
        <v>49720</v>
      </c>
    </row>
    <row r="4509" spans="1:5" x14ac:dyDescent="0.25">
      <c r="A4509" t="s">
        <v>2</v>
      </c>
      <c r="B4509">
        <v>1240206</v>
      </c>
      <c r="C4509">
        <v>51040</v>
      </c>
      <c r="D4509" s="4">
        <f>+VLOOKUP(A4509,Portfolio!$G$3:$I$6,3)</f>
        <v>1</v>
      </c>
      <c r="E4509">
        <f t="shared" si="70"/>
        <v>51040</v>
      </c>
    </row>
    <row r="4510" spans="1:5" x14ac:dyDescent="0.25">
      <c r="A4510" t="s">
        <v>2</v>
      </c>
      <c r="B4510">
        <v>1240207</v>
      </c>
      <c r="C4510">
        <v>50930</v>
      </c>
      <c r="D4510" s="4">
        <f>+VLOOKUP(A4510,Portfolio!$G$3:$I$6,3)</f>
        <v>1</v>
      </c>
      <c r="E4510">
        <f t="shared" si="70"/>
        <v>50930</v>
      </c>
    </row>
    <row r="4511" spans="1:5" x14ac:dyDescent="0.25">
      <c r="A4511" t="s">
        <v>2</v>
      </c>
      <c r="B4511">
        <v>1240208</v>
      </c>
      <c r="C4511">
        <v>49500</v>
      </c>
      <c r="D4511" s="4">
        <f>+VLOOKUP(A4511,Portfolio!$G$3:$I$6,3)</f>
        <v>1</v>
      </c>
      <c r="E4511">
        <f t="shared" si="70"/>
        <v>49500</v>
      </c>
    </row>
    <row r="4512" spans="1:5" x14ac:dyDescent="0.25">
      <c r="A4512" t="s">
        <v>2</v>
      </c>
      <c r="B4512">
        <v>1240209</v>
      </c>
      <c r="C4512">
        <v>48730</v>
      </c>
      <c r="D4512" s="4">
        <f>+VLOOKUP(A4512,Portfolio!$G$3:$I$6,3)</f>
        <v>1</v>
      </c>
      <c r="E4512">
        <f t="shared" si="70"/>
        <v>48730</v>
      </c>
    </row>
    <row r="4513" spans="1:5" x14ac:dyDescent="0.25">
      <c r="A4513" t="s">
        <v>2</v>
      </c>
      <c r="B4513">
        <v>1240211</v>
      </c>
      <c r="C4513">
        <v>47480</v>
      </c>
      <c r="D4513" s="4">
        <f>+VLOOKUP(A4513,Portfolio!$G$3:$I$6,3)</f>
        <v>1</v>
      </c>
      <c r="E4513">
        <f t="shared" si="70"/>
        <v>47480</v>
      </c>
    </row>
    <row r="4514" spans="1:5" x14ac:dyDescent="0.25">
      <c r="A4514" t="s">
        <v>2</v>
      </c>
      <c r="B4514">
        <v>1240212</v>
      </c>
      <c r="C4514">
        <v>47210</v>
      </c>
      <c r="D4514" s="4">
        <f>+VLOOKUP(A4514,Portfolio!$G$3:$I$6,3)</f>
        <v>1</v>
      </c>
      <c r="E4514">
        <f t="shared" si="70"/>
        <v>47210</v>
      </c>
    </row>
    <row r="4515" spans="1:5" x14ac:dyDescent="0.25">
      <c r="A4515" t="s">
        <v>2</v>
      </c>
      <c r="B4515">
        <v>1240213</v>
      </c>
      <c r="C4515">
        <v>46300</v>
      </c>
      <c r="D4515" s="4">
        <f>+VLOOKUP(A4515,Portfolio!$G$3:$I$6,3)</f>
        <v>1</v>
      </c>
      <c r="E4515">
        <f t="shared" si="70"/>
        <v>46300</v>
      </c>
    </row>
    <row r="4516" spans="1:5" x14ac:dyDescent="0.25">
      <c r="A4516" t="s">
        <v>2</v>
      </c>
      <c r="B4516">
        <v>1240214</v>
      </c>
      <c r="C4516">
        <v>47120</v>
      </c>
      <c r="D4516" s="4">
        <f>+VLOOKUP(A4516,Portfolio!$G$3:$I$6,3)</f>
        <v>1</v>
      </c>
      <c r="E4516">
        <f t="shared" si="70"/>
        <v>47120</v>
      </c>
    </row>
    <row r="4517" spans="1:5" x14ac:dyDescent="0.25">
      <c r="A4517" t="s">
        <v>2</v>
      </c>
      <c r="B4517">
        <v>1240215</v>
      </c>
      <c r="C4517">
        <v>46760</v>
      </c>
      <c r="D4517" s="4">
        <f>+VLOOKUP(A4517,Portfolio!$G$3:$I$6,3)</f>
        <v>1</v>
      </c>
      <c r="E4517">
        <f t="shared" si="70"/>
        <v>46760</v>
      </c>
    </row>
    <row r="4518" spans="1:5" x14ac:dyDescent="0.25">
      <c r="A4518" t="s">
        <v>2</v>
      </c>
      <c r="B4518">
        <v>1240216</v>
      </c>
      <c r="C4518">
        <v>47940</v>
      </c>
      <c r="D4518" s="4">
        <f>+VLOOKUP(A4518,Portfolio!$G$3:$I$6,3)</f>
        <v>1</v>
      </c>
      <c r="E4518">
        <f t="shared" si="70"/>
        <v>47940</v>
      </c>
    </row>
    <row r="4519" spans="1:5" x14ac:dyDescent="0.25">
      <c r="A4519" t="s">
        <v>2</v>
      </c>
      <c r="B4519">
        <v>1240218</v>
      </c>
      <c r="C4519">
        <v>46710</v>
      </c>
      <c r="D4519" s="4">
        <f>+VLOOKUP(A4519,Portfolio!$G$3:$I$6,3)</f>
        <v>1</v>
      </c>
      <c r="E4519">
        <f t="shared" si="70"/>
        <v>46710</v>
      </c>
    </row>
    <row r="4520" spans="1:5" x14ac:dyDescent="0.25">
      <c r="A4520" t="s">
        <v>2</v>
      </c>
      <c r="B4520">
        <v>1240219</v>
      </c>
      <c r="C4520">
        <v>46240</v>
      </c>
      <c r="D4520" s="4">
        <f>+VLOOKUP(A4520,Portfolio!$G$3:$I$6,3)</f>
        <v>1</v>
      </c>
      <c r="E4520">
        <f t="shared" si="70"/>
        <v>46240</v>
      </c>
    </row>
    <row r="4521" spans="1:5" x14ac:dyDescent="0.25">
      <c r="A4521" t="s">
        <v>2</v>
      </c>
      <c r="B4521">
        <v>1240220</v>
      </c>
      <c r="C4521">
        <v>46400</v>
      </c>
      <c r="D4521" s="4">
        <f>+VLOOKUP(A4521,Portfolio!$G$3:$I$6,3)</f>
        <v>1</v>
      </c>
      <c r="E4521">
        <f t="shared" si="70"/>
        <v>46400</v>
      </c>
    </row>
    <row r="4522" spans="1:5" x14ac:dyDescent="0.25">
      <c r="A4522" t="s">
        <v>2</v>
      </c>
      <c r="B4522">
        <v>1240221</v>
      </c>
      <c r="C4522">
        <v>47140</v>
      </c>
      <c r="D4522" s="4">
        <f>+VLOOKUP(A4522,Portfolio!$G$3:$I$6,3)</f>
        <v>1</v>
      </c>
      <c r="E4522">
        <f t="shared" si="70"/>
        <v>47140</v>
      </c>
    </row>
    <row r="4523" spans="1:5" x14ac:dyDescent="0.25">
      <c r="A4523" t="s">
        <v>2</v>
      </c>
      <c r="B4523">
        <v>1240222</v>
      </c>
      <c r="C4523">
        <v>46520</v>
      </c>
      <c r="D4523" s="4">
        <f>+VLOOKUP(A4523,Portfolio!$G$3:$I$6,3)</f>
        <v>1</v>
      </c>
      <c r="E4523">
        <f t="shared" si="70"/>
        <v>46520</v>
      </c>
    </row>
    <row r="4524" spans="1:5" x14ac:dyDescent="0.25">
      <c r="A4524" t="s">
        <v>2</v>
      </c>
      <c r="B4524">
        <v>1240223</v>
      </c>
      <c r="C4524">
        <v>46420</v>
      </c>
      <c r="D4524" s="4">
        <f>+VLOOKUP(A4524,Portfolio!$G$3:$I$6,3)</f>
        <v>1</v>
      </c>
      <c r="E4524">
        <f t="shared" si="70"/>
        <v>46420</v>
      </c>
    </row>
    <row r="4525" spans="1:5" x14ac:dyDescent="0.25">
      <c r="A4525" t="s">
        <v>2</v>
      </c>
      <c r="B4525">
        <v>1240225</v>
      </c>
      <c r="C4525">
        <v>47150</v>
      </c>
      <c r="D4525" s="4">
        <f>+VLOOKUP(A4525,Portfolio!$G$3:$I$6,3)</f>
        <v>1</v>
      </c>
      <c r="E4525">
        <f t="shared" si="70"/>
        <v>47150</v>
      </c>
    </row>
    <row r="4526" spans="1:5" x14ac:dyDescent="0.25">
      <c r="A4526" t="s">
        <v>2</v>
      </c>
      <c r="B4526">
        <v>1240226</v>
      </c>
      <c r="C4526">
        <v>46980</v>
      </c>
      <c r="D4526" s="4">
        <f>+VLOOKUP(A4526,Portfolio!$G$3:$I$6,3)</f>
        <v>1</v>
      </c>
      <c r="E4526">
        <f t="shared" si="70"/>
        <v>46980</v>
      </c>
    </row>
    <row r="4527" spans="1:5" x14ac:dyDescent="0.25">
      <c r="A4527" t="s">
        <v>2</v>
      </c>
      <c r="B4527">
        <v>1240227</v>
      </c>
      <c r="C4527">
        <v>46570</v>
      </c>
      <c r="D4527" s="4">
        <f>+VLOOKUP(A4527,Portfolio!$G$3:$I$6,3)</f>
        <v>1</v>
      </c>
      <c r="E4527">
        <f t="shared" si="70"/>
        <v>46570</v>
      </c>
    </row>
    <row r="4528" spans="1:5" x14ac:dyDescent="0.25">
      <c r="A4528" t="s">
        <v>2</v>
      </c>
      <c r="B4528">
        <v>1240228</v>
      </c>
      <c r="C4528">
        <v>46100</v>
      </c>
      <c r="D4528" s="4">
        <f>+VLOOKUP(A4528,Portfolio!$G$3:$I$6,3)</f>
        <v>1</v>
      </c>
      <c r="E4528">
        <f t="shared" si="70"/>
        <v>46100</v>
      </c>
    </row>
    <row r="4529" spans="1:5" x14ac:dyDescent="0.25">
      <c r="A4529" t="s">
        <v>2</v>
      </c>
      <c r="B4529">
        <v>1240229</v>
      </c>
      <c r="C4529">
        <v>45830</v>
      </c>
      <c r="D4529" s="4">
        <f>+VLOOKUP(A4529,Portfolio!$G$3:$I$6,3)</f>
        <v>1</v>
      </c>
      <c r="E4529">
        <f t="shared" si="70"/>
        <v>45830</v>
      </c>
    </row>
    <row r="4530" spans="1:5" x14ac:dyDescent="0.25">
      <c r="A4530" t="s">
        <v>2</v>
      </c>
      <c r="B4530">
        <v>1240301</v>
      </c>
      <c r="C4530">
        <v>46140</v>
      </c>
      <c r="D4530" s="4">
        <f>+VLOOKUP(A4530,Portfolio!$G$3:$I$6,3)</f>
        <v>1</v>
      </c>
      <c r="E4530">
        <f t="shared" si="70"/>
        <v>46140</v>
      </c>
    </row>
    <row r="4531" spans="1:5" x14ac:dyDescent="0.25">
      <c r="A4531" t="s">
        <v>2</v>
      </c>
      <c r="B4531">
        <v>1240303</v>
      </c>
      <c r="C4531">
        <v>46580</v>
      </c>
      <c r="D4531" s="4">
        <f>+VLOOKUP(A4531,Portfolio!$G$3:$I$6,3)</f>
        <v>1</v>
      </c>
      <c r="E4531">
        <f t="shared" si="70"/>
        <v>46580</v>
      </c>
    </row>
    <row r="4532" spans="1:5" x14ac:dyDescent="0.25">
      <c r="A4532" t="s">
        <v>2</v>
      </c>
      <c r="B4532">
        <v>1240304</v>
      </c>
      <c r="C4532">
        <v>46580</v>
      </c>
      <c r="D4532" s="4">
        <f>+VLOOKUP(A4532,Portfolio!$G$3:$I$6,3)</f>
        <v>1</v>
      </c>
      <c r="E4532">
        <f t="shared" si="70"/>
        <v>46580</v>
      </c>
    </row>
    <row r="4533" spans="1:5" x14ac:dyDescent="0.25">
      <c r="A4533" t="s">
        <v>2</v>
      </c>
      <c r="B4533">
        <v>1240305</v>
      </c>
      <c r="C4533">
        <v>49260</v>
      </c>
      <c r="D4533" s="4">
        <f>+VLOOKUP(A4533,Portfolio!$G$3:$I$6,3)</f>
        <v>1</v>
      </c>
      <c r="E4533">
        <f t="shared" si="70"/>
        <v>49260</v>
      </c>
    </row>
    <row r="4534" spans="1:5" x14ac:dyDescent="0.25">
      <c r="A4534" t="s">
        <v>2</v>
      </c>
      <c r="B4534">
        <v>1240306</v>
      </c>
      <c r="C4534">
        <v>50670</v>
      </c>
      <c r="D4534" s="4">
        <f>+VLOOKUP(A4534,Portfolio!$G$3:$I$6,3)</f>
        <v>1</v>
      </c>
      <c r="E4534">
        <f t="shared" si="70"/>
        <v>50670</v>
      </c>
    </row>
    <row r="4535" spans="1:5" x14ac:dyDescent="0.25">
      <c r="A4535" t="s">
        <v>2</v>
      </c>
      <c r="B4535">
        <v>1240307</v>
      </c>
      <c r="C4535">
        <v>53260</v>
      </c>
      <c r="D4535" s="4">
        <f>+VLOOKUP(A4535,Portfolio!$G$3:$I$6,3)</f>
        <v>1</v>
      </c>
      <c r="E4535">
        <f t="shared" si="70"/>
        <v>53260</v>
      </c>
    </row>
    <row r="4536" spans="1:5" x14ac:dyDescent="0.25">
      <c r="A4536" t="s">
        <v>2</v>
      </c>
      <c r="B4536">
        <v>1240308</v>
      </c>
      <c r="C4536">
        <v>52850</v>
      </c>
      <c r="D4536" s="4">
        <f>+VLOOKUP(A4536,Portfolio!$G$3:$I$6,3)</f>
        <v>1</v>
      </c>
      <c r="E4536">
        <f t="shared" si="70"/>
        <v>52850</v>
      </c>
    </row>
    <row r="4537" spans="1:5" x14ac:dyDescent="0.25">
      <c r="A4537" t="s">
        <v>2</v>
      </c>
      <c r="B4537">
        <v>1240310</v>
      </c>
      <c r="C4537">
        <v>54170</v>
      </c>
      <c r="D4537" s="4">
        <f>+VLOOKUP(A4537,Portfolio!$G$3:$I$6,3)</f>
        <v>1</v>
      </c>
      <c r="E4537">
        <f t="shared" si="70"/>
        <v>54170</v>
      </c>
    </row>
    <row r="4538" spans="1:5" x14ac:dyDescent="0.25">
      <c r="A4538" t="s">
        <v>2</v>
      </c>
      <c r="B4538">
        <v>1240311</v>
      </c>
      <c r="C4538">
        <v>54170</v>
      </c>
      <c r="D4538" s="4">
        <f>+VLOOKUP(A4538,Portfolio!$G$3:$I$6,3)</f>
        <v>1</v>
      </c>
      <c r="E4538">
        <f t="shared" si="70"/>
        <v>54170</v>
      </c>
    </row>
    <row r="4539" spans="1:5" x14ac:dyDescent="0.25">
      <c r="A4539" t="s">
        <v>2</v>
      </c>
      <c r="B4539">
        <v>1240312</v>
      </c>
      <c r="C4539">
        <v>53510</v>
      </c>
      <c r="D4539" s="4">
        <f>+VLOOKUP(A4539,Portfolio!$G$3:$I$6,3)</f>
        <v>1</v>
      </c>
      <c r="E4539">
        <f t="shared" si="70"/>
        <v>53510</v>
      </c>
    </row>
    <row r="4540" spans="1:5" x14ac:dyDescent="0.25">
      <c r="A4540" t="s">
        <v>2</v>
      </c>
      <c r="B4540">
        <v>1240313</v>
      </c>
      <c r="C4540">
        <v>55080</v>
      </c>
      <c r="D4540" s="4">
        <f>+VLOOKUP(A4540,Portfolio!$G$3:$I$6,3)</f>
        <v>1</v>
      </c>
      <c r="E4540">
        <f t="shared" si="70"/>
        <v>55080</v>
      </c>
    </row>
    <row r="4541" spans="1:5" x14ac:dyDescent="0.25">
      <c r="A4541" t="s">
        <v>2</v>
      </c>
      <c r="B4541">
        <v>1240314</v>
      </c>
      <c r="C4541">
        <v>55760</v>
      </c>
      <c r="D4541" s="4">
        <f>+VLOOKUP(A4541,Portfolio!$G$3:$I$6,3)</f>
        <v>1</v>
      </c>
      <c r="E4541">
        <f t="shared" si="70"/>
        <v>55760</v>
      </c>
    </row>
    <row r="4542" spans="1:5" x14ac:dyDescent="0.25">
      <c r="A4542" t="s">
        <v>2</v>
      </c>
      <c r="B4542">
        <v>1240315</v>
      </c>
      <c r="C4542">
        <v>55590</v>
      </c>
      <c r="D4542" s="4">
        <f>+VLOOKUP(A4542,Portfolio!$G$3:$I$6,3)</f>
        <v>1</v>
      </c>
      <c r="E4542">
        <f t="shared" si="70"/>
        <v>55590</v>
      </c>
    </row>
    <row r="4543" spans="1:5" x14ac:dyDescent="0.25">
      <c r="A4543" t="s">
        <v>2</v>
      </c>
      <c r="B4543">
        <v>1240317</v>
      </c>
      <c r="C4543">
        <v>54890</v>
      </c>
      <c r="D4543" s="4">
        <f>+VLOOKUP(A4543,Portfolio!$G$3:$I$6,3)</f>
        <v>1</v>
      </c>
      <c r="E4543">
        <f t="shared" si="70"/>
        <v>54890</v>
      </c>
    </row>
    <row r="4544" spans="1:5" x14ac:dyDescent="0.25">
      <c r="A4544" t="s">
        <v>2</v>
      </c>
      <c r="B4544">
        <v>1240318</v>
      </c>
      <c r="C4544">
        <v>55710</v>
      </c>
      <c r="D4544" s="4">
        <f>+VLOOKUP(A4544,Portfolio!$G$3:$I$6,3)</f>
        <v>1</v>
      </c>
      <c r="E4544">
        <f t="shared" si="70"/>
        <v>55710</v>
      </c>
    </row>
    <row r="4545" spans="1:5" x14ac:dyDescent="0.25">
      <c r="A4545" t="s">
        <v>2</v>
      </c>
      <c r="B4545">
        <v>1240319</v>
      </c>
      <c r="C4545">
        <v>55850</v>
      </c>
      <c r="D4545" s="4">
        <f>+VLOOKUP(A4545,Portfolio!$G$3:$I$6,3)</f>
        <v>1</v>
      </c>
      <c r="E4545">
        <f t="shared" si="70"/>
        <v>55850</v>
      </c>
    </row>
    <row r="4546" spans="1:5" x14ac:dyDescent="0.25">
      <c r="A4546" t="s">
        <v>2</v>
      </c>
      <c r="B4546">
        <v>1240320</v>
      </c>
      <c r="C4546">
        <v>54460</v>
      </c>
      <c r="D4546" s="4">
        <f>+VLOOKUP(A4546,Portfolio!$G$3:$I$6,3)</f>
        <v>1</v>
      </c>
      <c r="E4546">
        <f t="shared" si="70"/>
        <v>54460</v>
      </c>
    </row>
    <row r="4547" spans="1:5" x14ac:dyDescent="0.25">
      <c r="A4547" t="s">
        <v>2</v>
      </c>
      <c r="B4547">
        <v>1240321</v>
      </c>
      <c r="C4547">
        <v>50270</v>
      </c>
      <c r="D4547" s="4">
        <f>+VLOOKUP(A4547,Portfolio!$G$3:$I$6,3)</f>
        <v>1</v>
      </c>
      <c r="E4547">
        <f t="shared" ref="E4547:E4610" si="71">+C4547*D4547</f>
        <v>50270</v>
      </c>
    </row>
    <row r="4548" spans="1:5" x14ac:dyDescent="0.25">
      <c r="A4548" t="s">
        <v>2</v>
      </c>
      <c r="B4548">
        <v>1240322</v>
      </c>
      <c r="C4548">
        <v>45800</v>
      </c>
      <c r="D4548" s="4">
        <f>+VLOOKUP(A4548,Portfolio!$G$3:$I$6,3)</f>
        <v>1</v>
      </c>
      <c r="E4548">
        <f t="shared" si="71"/>
        <v>45800</v>
      </c>
    </row>
    <row r="4549" spans="1:5" x14ac:dyDescent="0.25">
      <c r="A4549" t="s">
        <v>2</v>
      </c>
      <c r="B4549">
        <v>1240324</v>
      </c>
      <c r="C4549">
        <v>45030</v>
      </c>
      <c r="D4549" s="4">
        <f>+VLOOKUP(A4549,Portfolio!$G$3:$I$6,3)</f>
        <v>1</v>
      </c>
      <c r="E4549">
        <f t="shared" si="71"/>
        <v>45030</v>
      </c>
    </row>
    <row r="4550" spans="1:5" x14ac:dyDescent="0.25">
      <c r="A4550" t="s">
        <v>2</v>
      </c>
      <c r="B4550">
        <v>1240325</v>
      </c>
      <c r="C4550">
        <v>45030</v>
      </c>
      <c r="D4550" s="4">
        <f>+VLOOKUP(A4550,Portfolio!$G$3:$I$6,3)</f>
        <v>1</v>
      </c>
      <c r="E4550">
        <f t="shared" si="71"/>
        <v>45030</v>
      </c>
    </row>
    <row r="4551" spans="1:5" x14ac:dyDescent="0.25">
      <c r="A4551" t="s">
        <v>2</v>
      </c>
      <c r="B4551">
        <v>1240326</v>
      </c>
      <c r="C4551">
        <v>45030</v>
      </c>
      <c r="D4551" s="4">
        <f>+VLOOKUP(A4551,Portfolio!$G$3:$I$6,3)</f>
        <v>1</v>
      </c>
      <c r="E4551">
        <f t="shared" si="71"/>
        <v>45030</v>
      </c>
    </row>
    <row r="4552" spans="1:5" x14ac:dyDescent="0.25">
      <c r="A4552" t="s">
        <v>2</v>
      </c>
      <c r="B4552">
        <v>1240327</v>
      </c>
      <c r="C4552">
        <v>45210</v>
      </c>
      <c r="D4552" s="4">
        <f>+VLOOKUP(A4552,Portfolio!$G$3:$I$6,3)</f>
        <v>1</v>
      </c>
      <c r="E4552">
        <f t="shared" si="71"/>
        <v>45210</v>
      </c>
    </row>
    <row r="4553" spans="1:5" x14ac:dyDescent="0.25">
      <c r="A4553" t="s">
        <v>2</v>
      </c>
      <c r="B4553">
        <v>1240328</v>
      </c>
      <c r="C4553">
        <v>46940</v>
      </c>
      <c r="D4553" s="4">
        <f>+VLOOKUP(A4553,Portfolio!$G$3:$I$6,3)</f>
        <v>1</v>
      </c>
      <c r="E4553">
        <f t="shared" si="71"/>
        <v>46940</v>
      </c>
    </row>
    <row r="4554" spans="1:5" x14ac:dyDescent="0.25">
      <c r="A4554" t="s">
        <v>2</v>
      </c>
      <c r="B4554">
        <v>1240331</v>
      </c>
      <c r="C4554">
        <v>51130</v>
      </c>
      <c r="D4554" s="4">
        <f>+VLOOKUP(A4554,Portfolio!$G$3:$I$6,3)</f>
        <v>1</v>
      </c>
      <c r="E4554">
        <f t="shared" si="71"/>
        <v>51130</v>
      </c>
    </row>
    <row r="4555" spans="1:5" x14ac:dyDescent="0.25">
      <c r="A4555" t="s">
        <v>2</v>
      </c>
      <c r="B4555">
        <v>1240401</v>
      </c>
      <c r="C4555">
        <v>53910</v>
      </c>
      <c r="D4555" s="4">
        <f>+VLOOKUP(A4555,Portfolio!$G$3:$I$6,3)</f>
        <v>1</v>
      </c>
      <c r="E4555">
        <f t="shared" si="71"/>
        <v>53910</v>
      </c>
    </row>
    <row r="4556" spans="1:5" x14ac:dyDescent="0.25">
      <c r="A4556" t="s">
        <v>2</v>
      </c>
      <c r="B4556">
        <v>1240402</v>
      </c>
      <c r="C4556">
        <v>53280</v>
      </c>
      <c r="D4556" s="4">
        <f>+VLOOKUP(A4556,Portfolio!$G$3:$I$6,3)</f>
        <v>1</v>
      </c>
      <c r="E4556">
        <f t="shared" si="71"/>
        <v>53280</v>
      </c>
    </row>
    <row r="4557" spans="1:5" x14ac:dyDescent="0.25">
      <c r="A4557" t="s">
        <v>2</v>
      </c>
      <c r="B4557">
        <v>1240403</v>
      </c>
      <c r="C4557">
        <v>54980</v>
      </c>
      <c r="D4557" s="4">
        <f>+VLOOKUP(A4557,Portfolio!$G$3:$I$6,3)</f>
        <v>1</v>
      </c>
      <c r="E4557">
        <f t="shared" si="71"/>
        <v>54980</v>
      </c>
    </row>
    <row r="4558" spans="1:5" x14ac:dyDescent="0.25">
      <c r="A4558" t="s">
        <v>2</v>
      </c>
      <c r="B4558">
        <v>1240404</v>
      </c>
      <c r="C4558">
        <v>50660</v>
      </c>
      <c r="D4558" s="4">
        <f>+VLOOKUP(A4558,Portfolio!$G$3:$I$6,3)</f>
        <v>1</v>
      </c>
      <c r="E4558">
        <f t="shared" si="71"/>
        <v>50660</v>
      </c>
    </row>
    <row r="4559" spans="1:5" x14ac:dyDescent="0.25">
      <c r="A4559" t="s">
        <v>2</v>
      </c>
      <c r="B4559">
        <v>1240405</v>
      </c>
      <c r="C4559">
        <v>52810</v>
      </c>
      <c r="D4559" s="4">
        <f>+VLOOKUP(A4559,Portfolio!$G$3:$I$6,3)</f>
        <v>1</v>
      </c>
      <c r="E4559">
        <f t="shared" si="71"/>
        <v>52810</v>
      </c>
    </row>
    <row r="4560" spans="1:5" x14ac:dyDescent="0.25">
      <c r="A4560" t="s">
        <v>2</v>
      </c>
      <c r="B4560">
        <v>1240407</v>
      </c>
      <c r="C4560">
        <v>53020</v>
      </c>
      <c r="D4560" s="4">
        <f>+VLOOKUP(A4560,Portfolio!$G$3:$I$6,3)</f>
        <v>1</v>
      </c>
      <c r="E4560">
        <f t="shared" si="71"/>
        <v>53020</v>
      </c>
    </row>
    <row r="4561" spans="1:5" x14ac:dyDescent="0.25">
      <c r="A4561" t="s">
        <v>2</v>
      </c>
      <c r="B4561">
        <v>1240408</v>
      </c>
      <c r="C4561">
        <v>56810</v>
      </c>
      <c r="D4561" s="4">
        <f>+VLOOKUP(A4561,Portfolio!$G$3:$I$6,3)</f>
        <v>1</v>
      </c>
      <c r="E4561">
        <f t="shared" si="71"/>
        <v>56810</v>
      </c>
    </row>
    <row r="4562" spans="1:5" x14ac:dyDescent="0.25">
      <c r="A4562" t="s">
        <v>2</v>
      </c>
      <c r="B4562">
        <v>1240409</v>
      </c>
      <c r="C4562">
        <v>56010</v>
      </c>
      <c r="D4562" s="4">
        <f>+VLOOKUP(A4562,Portfolio!$G$3:$I$6,3)</f>
        <v>1</v>
      </c>
      <c r="E4562">
        <f t="shared" si="71"/>
        <v>56010</v>
      </c>
    </row>
    <row r="4563" spans="1:5" x14ac:dyDescent="0.25">
      <c r="A4563" t="s">
        <v>2</v>
      </c>
      <c r="B4563">
        <v>1240410</v>
      </c>
      <c r="C4563">
        <v>55360</v>
      </c>
      <c r="D4563" s="4">
        <f>+VLOOKUP(A4563,Portfolio!$G$3:$I$6,3)</f>
        <v>1</v>
      </c>
      <c r="E4563">
        <f t="shared" si="71"/>
        <v>55360</v>
      </c>
    </row>
    <row r="4564" spans="1:5" x14ac:dyDescent="0.25">
      <c r="A4564" t="s">
        <v>2</v>
      </c>
      <c r="B4564">
        <v>1240411</v>
      </c>
      <c r="C4564">
        <v>55680</v>
      </c>
      <c r="D4564" s="4">
        <f>+VLOOKUP(A4564,Portfolio!$G$3:$I$6,3)</f>
        <v>1</v>
      </c>
      <c r="E4564">
        <f t="shared" si="71"/>
        <v>55680</v>
      </c>
    </row>
    <row r="4565" spans="1:5" x14ac:dyDescent="0.25">
      <c r="A4565" t="s">
        <v>2</v>
      </c>
      <c r="B4565">
        <v>1240412</v>
      </c>
      <c r="C4565">
        <v>51120</v>
      </c>
      <c r="D4565" s="4">
        <f>+VLOOKUP(A4565,Portfolio!$G$3:$I$6,3)</f>
        <v>1</v>
      </c>
      <c r="E4565">
        <f t="shared" si="71"/>
        <v>51120</v>
      </c>
    </row>
    <row r="4566" spans="1:5" x14ac:dyDescent="0.25">
      <c r="A4566" t="s">
        <v>2</v>
      </c>
      <c r="B4566">
        <v>1240414</v>
      </c>
      <c r="C4566">
        <v>44980</v>
      </c>
      <c r="D4566" s="4">
        <f>+VLOOKUP(A4566,Portfolio!$G$3:$I$6,3)</f>
        <v>1</v>
      </c>
      <c r="E4566">
        <f t="shared" si="71"/>
        <v>44980</v>
      </c>
    </row>
    <row r="4567" spans="1:5" x14ac:dyDescent="0.25">
      <c r="A4567" t="s">
        <v>2</v>
      </c>
      <c r="B4567">
        <v>1240415</v>
      </c>
      <c r="C4567">
        <v>45140</v>
      </c>
      <c r="D4567" s="4">
        <f>+VLOOKUP(A4567,Portfolio!$G$3:$I$6,3)</f>
        <v>1</v>
      </c>
      <c r="E4567">
        <f t="shared" si="71"/>
        <v>45140</v>
      </c>
    </row>
    <row r="4568" spans="1:5" x14ac:dyDescent="0.25">
      <c r="A4568" t="s">
        <v>2</v>
      </c>
      <c r="B4568">
        <v>1240416</v>
      </c>
      <c r="C4568">
        <v>40470</v>
      </c>
      <c r="D4568" s="4">
        <f>+VLOOKUP(A4568,Portfolio!$G$3:$I$6,3)</f>
        <v>1</v>
      </c>
      <c r="E4568">
        <f t="shared" si="71"/>
        <v>40470</v>
      </c>
    </row>
    <row r="4569" spans="1:5" x14ac:dyDescent="0.25">
      <c r="A4569" t="s">
        <v>2</v>
      </c>
      <c r="B4569">
        <v>1240417</v>
      </c>
      <c r="C4569">
        <v>42070</v>
      </c>
      <c r="D4569" s="4">
        <f>+VLOOKUP(A4569,Portfolio!$G$3:$I$6,3)</f>
        <v>1</v>
      </c>
      <c r="E4569">
        <f t="shared" si="71"/>
        <v>42070</v>
      </c>
    </row>
    <row r="4570" spans="1:5" x14ac:dyDescent="0.25">
      <c r="A4570" t="s">
        <v>2</v>
      </c>
      <c r="B4570">
        <v>1240418</v>
      </c>
      <c r="C4570">
        <v>40790</v>
      </c>
      <c r="D4570" s="4">
        <f>+VLOOKUP(A4570,Portfolio!$G$3:$I$6,3)</f>
        <v>1</v>
      </c>
      <c r="E4570">
        <f t="shared" si="71"/>
        <v>40790</v>
      </c>
    </row>
    <row r="4571" spans="1:5" x14ac:dyDescent="0.25">
      <c r="A4571" t="s">
        <v>2</v>
      </c>
      <c r="B4571">
        <v>1240419</v>
      </c>
      <c r="C4571">
        <v>42300</v>
      </c>
      <c r="D4571" s="4">
        <f>+VLOOKUP(A4571,Portfolio!$G$3:$I$6,3)</f>
        <v>1</v>
      </c>
      <c r="E4571">
        <f t="shared" si="71"/>
        <v>42300</v>
      </c>
    </row>
    <row r="4572" spans="1:5" x14ac:dyDescent="0.25">
      <c r="A4572" t="s">
        <v>2</v>
      </c>
      <c r="B4572">
        <v>1240421</v>
      </c>
      <c r="C4572">
        <v>40470</v>
      </c>
      <c r="D4572" s="4">
        <f>+VLOOKUP(A4572,Portfolio!$G$3:$I$6,3)</f>
        <v>1</v>
      </c>
      <c r="E4572">
        <f t="shared" si="71"/>
        <v>40470</v>
      </c>
    </row>
    <row r="4573" spans="1:5" x14ac:dyDescent="0.25">
      <c r="A4573" t="s">
        <v>2</v>
      </c>
      <c r="B4573">
        <v>1240422</v>
      </c>
      <c r="C4573">
        <v>41990</v>
      </c>
      <c r="D4573" s="4">
        <f>+VLOOKUP(A4573,Portfolio!$G$3:$I$6,3)</f>
        <v>1</v>
      </c>
      <c r="E4573">
        <f t="shared" si="71"/>
        <v>41990</v>
      </c>
    </row>
    <row r="4574" spans="1:5" x14ac:dyDescent="0.25">
      <c r="A4574" t="s">
        <v>2</v>
      </c>
      <c r="B4574">
        <v>1240423</v>
      </c>
      <c r="C4574">
        <v>47710</v>
      </c>
      <c r="D4574" s="4">
        <f>+VLOOKUP(A4574,Portfolio!$G$3:$I$6,3)</f>
        <v>1</v>
      </c>
      <c r="E4574">
        <f t="shared" si="71"/>
        <v>47710</v>
      </c>
    </row>
    <row r="4575" spans="1:5" x14ac:dyDescent="0.25">
      <c r="A4575" t="s">
        <v>2</v>
      </c>
      <c r="B4575">
        <v>1240424</v>
      </c>
      <c r="C4575">
        <v>46760</v>
      </c>
      <c r="D4575" s="4">
        <f>+VLOOKUP(A4575,Portfolio!$G$3:$I$6,3)</f>
        <v>1</v>
      </c>
      <c r="E4575">
        <f t="shared" si="71"/>
        <v>46760</v>
      </c>
    </row>
    <row r="4576" spans="1:5" x14ac:dyDescent="0.25">
      <c r="A4576" t="s">
        <v>2</v>
      </c>
      <c r="B4576">
        <v>1240425</v>
      </c>
      <c r="C4576">
        <v>47180</v>
      </c>
      <c r="D4576" s="4">
        <f>+VLOOKUP(A4576,Portfolio!$G$3:$I$6,3)</f>
        <v>1</v>
      </c>
      <c r="E4576">
        <f t="shared" si="71"/>
        <v>47180</v>
      </c>
    </row>
    <row r="4577" spans="1:5" x14ac:dyDescent="0.25">
      <c r="A4577" t="s">
        <v>2</v>
      </c>
      <c r="B4577">
        <v>1240426</v>
      </c>
      <c r="C4577">
        <v>46600</v>
      </c>
      <c r="D4577" s="4">
        <f>+VLOOKUP(A4577,Portfolio!$G$3:$I$6,3)</f>
        <v>1</v>
      </c>
      <c r="E4577">
        <f t="shared" si="71"/>
        <v>46600</v>
      </c>
    </row>
    <row r="4578" spans="1:5" x14ac:dyDescent="0.25">
      <c r="A4578" t="s">
        <v>2</v>
      </c>
      <c r="B4578">
        <v>1240428</v>
      </c>
      <c r="C4578">
        <v>46540</v>
      </c>
      <c r="D4578" s="4">
        <f>+VLOOKUP(A4578,Portfolio!$G$3:$I$6,3)</f>
        <v>1</v>
      </c>
      <c r="E4578">
        <f t="shared" si="71"/>
        <v>46540</v>
      </c>
    </row>
    <row r="4579" spans="1:5" x14ac:dyDescent="0.25">
      <c r="A4579" t="s">
        <v>2</v>
      </c>
      <c r="B4579">
        <v>1240429</v>
      </c>
      <c r="C4579">
        <v>45880</v>
      </c>
      <c r="D4579" s="4">
        <f>+VLOOKUP(A4579,Portfolio!$G$3:$I$6,3)</f>
        <v>1</v>
      </c>
      <c r="E4579">
        <f t="shared" si="71"/>
        <v>45880</v>
      </c>
    </row>
    <row r="4580" spans="1:5" x14ac:dyDescent="0.25">
      <c r="A4580" t="s">
        <v>2</v>
      </c>
      <c r="B4580">
        <v>1240430</v>
      </c>
      <c r="C4580">
        <v>46770</v>
      </c>
      <c r="D4580" s="4">
        <f>+VLOOKUP(A4580,Portfolio!$G$3:$I$6,3)</f>
        <v>1</v>
      </c>
      <c r="E4580">
        <f t="shared" si="71"/>
        <v>46770</v>
      </c>
    </row>
    <row r="4581" spans="1:5" x14ac:dyDescent="0.25">
      <c r="A4581" t="s">
        <v>2</v>
      </c>
      <c r="B4581">
        <v>1240501</v>
      </c>
      <c r="C4581">
        <v>49910</v>
      </c>
      <c r="D4581" s="4">
        <f>+VLOOKUP(A4581,Portfolio!$G$3:$I$6,3)</f>
        <v>1</v>
      </c>
      <c r="E4581">
        <f t="shared" si="71"/>
        <v>49910</v>
      </c>
    </row>
    <row r="4582" spans="1:5" x14ac:dyDescent="0.25">
      <c r="A4582" t="s">
        <v>2</v>
      </c>
      <c r="B4582">
        <v>1240502</v>
      </c>
      <c r="C4582">
        <v>52130</v>
      </c>
      <c r="D4582" s="4">
        <f>+VLOOKUP(A4582,Portfolio!$G$3:$I$6,3)</f>
        <v>1</v>
      </c>
      <c r="E4582">
        <f t="shared" si="71"/>
        <v>52130</v>
      </c>
    </row>
    <row r="4583" spans="1:5" x14ac:dyDescent="0.25">
      <c r="A4583" t="s">
        <v>2</v>
      </c>
      <c r="B4583">
        <v>1240503</v>
      </c>
      <c r="C4583">
        <v>51640</v>
      </c>
      <c r="D4583" s="4">
        <f>+VLOOKUP(A4583,Portfolio!$G$3:$I$6,3)</f>
        <v>1</v>
      </c>
      <c r="E4583">
        <f t="shared" si="71"/>
        <v>51640</v>
      </c>
    </row>
    <row r="4584" spans="1:5" x14ac:dyDescent="0.25">
      <c r="A4584" t="s">
        <v>2</v>
      </c>
      <c r="B4584">
        <v>1240505</v>
      </c>
      <c r="C4584">
        <v>49920</v>
      </c>
      <c r="D4584" s="4">
        <f>+VLOOKUP(A4584,Portfolio!$G$3:$I$6,3)</f>
        <v>1</v>
      </c>
      <c r="E4584">
        <f t="shared" si="71"/>
        <v>49920</v>
      </c>
    </row>
    <row r="4585" spans="1:5" x14ac:dyDescent="0.25">
      <c r="A4585" t="s">
        <v>2</v>
      </c>
      <c r="B4585">
        <v>1240506</v>
      </c>
      <c r="C4585">
        <v>50680</v>
      </c>
      <c r="D4585" s="4">
        <f>+VLOOKUP(A4585,Portfolio!$G$3:$I$6,3)</f>
        <v>1</v>
      </c>
      <c r="E4585">
        <f t="shared" si="71"/>
        <v>50680</v>
      </c>
    </row>
    <row r="4586" spans="1:5" x14ac:dyDescent="0.25">
      <c r="A4586" t="s">
        <v>2</v>
      </c>
      <c r="B4586">
        <v>1240507</v>
      </c>
      <c r="C4586">
        <v>52540</v>
      </c>
      <c r="D4586" s="4">
        <f>+VLOOKUP(A4586,Portfolio!$G$3:$I$6,3)</f>
        <v>1</v>
      </c>
      <c r="E4586">
        <f t="shared" si="71"/>
        <v>52540</v>
      </c>
    </row>
    <row r="4587" spans="1:5" x14ac:dyDescent="0.25">
      <c r="A4587" t="s">
        <v>2</v>
      </c>
      <c r="B4587">
        <v>1240508</v>
      </c>
      <c r="C4587">
        <v>52610</v>
      </c>
      <c r="D4587" s="4">
        <f>+VLOOKUP(A4587,Portfolio!$G$3:$I$6,3)</f>
        <v>1</v>
      </c>
      <c r="E4587">
        <f t="shared" si="71"/>
        <v>52610</v>
      </c>
    </row>
    <row r="4588" spans="1:5" x14ac:dyDescent="0.25">
      <c r="A4588" t="s">
        <v>2</v>
      </c>
      <c r="B4588">
        <v>1240509</v>
      </c>
      <c r="C4588">
        <v>53210</v>
      </c>
      <c r="D4588" s="4">
        <f>+VLOOKUP(A4588,Portfolio!$G$3:$I$6,3)</f>
        <v>1</v>
      </c>
      <c r="E4588">
        <f t="shared" si="71"/>
        <v>53210</v>
      </c>
    </row>
    <row r="4589" spans="1:5" x14ac:dyDescent="0.25">
      <c r="A4589" t="s">
        <v>2</v>
      </c>
      <c r="B4589">
        <v>1240510</v>
      </c>
      <c r="C4589">
        <v>55270</v>
      </c>
      <c r="D4589" s="4">
        <f>+VLOOKUP(A4589,Portfolio!$G$3:$I$6,3)</f>
        <v>1</v>
      </c>
      <c r="E4589">
        <f t="shared" si="71"/>
        <v>55270</v>
      </c>
    </row>
    <row r="4590" spans="1:5" x14ac:dyDescent="0.25">
      <c r="A4590" t="s">
        <v>2</v>
      </c>
      <c r="B4590">
        <v>1240512</v>
      </c>
      <c r="C4590">
        <v>56630</v>
      </c>
      <c r="D4590" s="4">
        <f>+VLOOKUP(A4590,Portfolio!$G$3:$I$6,3)</f>
        <v>1</v>
      </c>
      <c r="E4590">
        <f t="shared" si="71"/>
        <v>56630</v>
      </c>
    </row>
    <row r="4591" spans="1:5" x14ac:dyDescent="0.25">
      <c r="A4591" t="s">
        <v>2</v>
      </c>
      <c r="B4591">
        <v>1240513</v>
      </c>
      <c r="C4591">
        <v>56630</v>
      </c>
      <c r="D4591" s="4">
        <f>+VLOOKUP(A4591,Portfolio!$G$3:$I$6,3)</f>
        <v>1</v>
      </c>
      <c r="E4591">
        <f t="shared" si="71"/>
        <v>56630</v>
      </c>
    </row>
    <row r="4592" spans="1:5" x14ac:dyDescent="0.25">
      <c r="A4592" t="s">
        <v>2</v>
      </c>
      <c r="B4592">
        <v>1240514</v>
      </c>
      <c r="C4592">
        <v>57000</v>
      </c>
      <c r="D4592" s="4">
        <f>+VLOOKUP(A4592,Portfolio!$G$3:$I$6,3)</f>
        <v>1</v>
      </c>
      <c r="E4592">
        <f t="shared" si="71"/>
        <v>57000</v>
      </c>
    </row>
    <row r="4593" spans="1:5" x14ac:dyDescent="0.25">
      <c r="A4593" t="s">
        <v>2</v>
      </c>
      <c r="B4593">
        <v>1240515</v>
      </c>
      <c r="C4593">
        <v>58150</v>
      </c>
      <c r="D4593" s="4">
        <f>+VLOOKUP(A4593,Portfolio!$G$3:$I$6,3)</f>
        <v>1</v>
      </c>
      <c r="E4593">
        <f t="shared" si="71"/>
        <v>58150</v>
      </c>
    </row>
    <row r="4594" spans="1:5" x14ac:dyDescent="0.25">
      <c r="A4594" t="s">
        <v>2</v>
      </c>
      <c r="B4594">
        <v>1240516</v>
      </c>
      <c r="C4594">
        <v>60860</v>
      </c>
      <c r="D4594" s="4">
        <f>+VLOOKUP(A4594,Portfolio!$G$3:$I$6,3)</f>
        <v>1</v>
      </c>
      <c r="E4594">
        <f t="shared" si="71"/>
        <v>60860</v>
      </c>
    </row>
    <row r="4595" spans="1:5" x14ac:dyDescent="0.25">
      <c r="A4595" t="s">
        <v>2</v>
      </c>
      <c r="B4595">
        <v>1240517</v>
      </c>
      <c r="C4595">
        <v>61090</v>
      </c>
      <c r="D4595" s="4">
        <f>+VLOOKUP(A4595,Portfolio!$G$3:$I$6,3)</f>
        <v>1</v>
      </c>
      <c r="E4595">
        <f t="shared" si="71"/>
        <v>61090</v>
      </c>
    </row>
    <row r="4596" spans="1:5" x14ac:dyDescent="0.25">
      <c r="A4596" t="s">
        <v>2</v>
      </c>
      <c r="B4596">
        <v>1240519</v>
      </c>
      <c r="C4596">
        <v>63100</v>
      </c>
      <c r="D4596" s="4">
        <f>+VLOOKUP(A4596,Portfolio!$G$3:$I$6,3)</f>
        <v>1</v>
      </c>
      <c r="E4596">
        <f t="shared" si="71"/>
        <v>63100</v>
      </c>
    </row>
    <row r="4597" spans="1:5" x14ac:dyDescent="0.25">
      <c r="A4597" t="s">
        <v>2</v>
      </c>
      <c r="B4597">
        <v>1240520</v>
      </c>
      <c r="C4597">
        <v>65040</v>
      </c>
      <c r="D4597" s="4">
        <f>+VLOOKUP(A4597,Portfolio!$G$3:$I$6,3)</f>
        <v>1</v>
      </c>
      <c r="E4597">
        <f t="shared" si="71"/>
        <v>65040</v>
      </c>
    </row>
    <row r="4598" spans="1:5" x14ac:dyDescent="0.25">
      <c r="A4598" t="s">
        <v>2</v>
      </c>
      <c r="B4598">
        <v>1240521</v>
      </c>
      <c r="C4598">
        <v>65720</v>
      </c>
      <c r="D4598" s="4">
        <f>+VLOOKUP(A4598,Portfolio!$G$3:$I$6,3)</f>
        <v>1</v>
      </c>
      <c r="E4598">
        <f t="shared" si="71"/>
        <v>65720</v>
      </c>
    </row>
    <row r="4599" spans="1:5" x14ac:dyDescent="0.25">
      <c r="A4599" t="s">
        <v>2</v>
      </c>
      <c r="B4599">
        <v>1240522</v>
      </c>
      <c r="C4599">
        <v>63910</v>
      </c>
      <c r="D4599" s="4">
        <f>+VLOOKUP(A4599,Portfolio!$G$3:$I$6,3)</f>
        <v>1</v>
      </c>
      <c r="E4599">
        <f t="shared" si="71"/>
        <v>63910</v>
      </c>
    </row>
    <row r="4600" spans="1:5" x14ac:dyDescent="0.25">
      <c r="A4600" t="s">
        <v>2</v>
      </c>
      <c r="B4600">
        <v>1240523</v>
      </c>
      <c r="C4600">
        <v>67620</v>
      </c>
      <c r="D4600" s="4">
        <f>+VLOOKUP(A4600,Portfolio!$G$3:$I$6,3)</f>
        <v>1</v>
      </c>
      <c r="E4600">
        <f t="shared" si="71"/>
        <v>67620</v>
      </c>
    </row>
    <row r="4601" spans="1:5" x14ac:dyDescent="0.25">
      <c r="A4601" t="s">
        <v>2</v>
      </c>
      <c r="B4601">
        <v>1240524</v>
      </c>
      <c r="C4601">
        <v>68460</v>
      </c>
      <c r="D4601" s="4">
        <f>+VLOOKUP(A4601,Portfolio!$G$3:$I$6,3)</f>
        <v>1</v>
      </c>
      <c r="E4601">
        <f t="shared" si="71"/>
        <v>68460</v>
      </c>
    </row>
    <row r="4602" spans="1:5" x14ac:dyDescent="0.25">
      <c r="A4602" t="s">
        <v>2</v>
      </c>
      <c r="B4602">
        <v>1240526</v>
      </c>
      <c r="C4602">
        <v>68470</v>
      </c>
      <c r="D4602" s="4">
        <f>+VLOOKUP(A4602,Portfolio!$G$3:$I$6,3)</f>
        <v>1</v>
      </c>
      <c r="E4602">
        <f t="shared" si="71"/>
        <v>68470</v>
      </c>
    </row>
    <row r="4603" spans="1:5" x14ac:dyDescent="0.25">
      <c r="A4603" t="s">
        <v>2</v>
      </c>
      <c r="B4603">
        <v>1240527</v>
      </c>
      <c r="C4603">
        <v>69040</v>
      </c>
      <c r="D4603" s="4">
        <f>+VLOOKUP(A4603,Portfolio!$G$3:$I$6,3)</f>
        <v>1</v>
      </c>
      <c r="E4603">
        <f t="shared" si="71"/>
        <v>69040</v>
      </c>
    </row>
    <row r="4604" spans="1:5" x14ac:dyDescent="0.25">
      <c r="A4604" t="s">
        <v>2</v>
      </c>
      <c r="B4604">
        <v>1240528</v>
      </c>
      <c r="C4604">
        <v>67550</v>
      </c>
      <c r="D4604" s="4">
        <f>+VLOOKUP(A4604,Portfolio!$G$3:$I$6,3)</f>
        <v>1</v>
      </c>
      <c r="E4604">
        <f t="shared" si="71"/>
        <v>67550</v>
      </c>
    </row>
    <row r="4605" spans="1:5" x14ac:dyDescent="0.25">
      <c r="A4605" t="s">
        <v>2</v>
      </c>
      <c r="B4605">
        <v>1240529</v>
      </c>
      <c r="C4605">
        <v>65370</v>
      </c>
      <c r="D4605" s="4">
        <f>+VLOOKUP(A4605,Portfolio!$G$3:$I$6,3)</f>
        <v>1</v>
      </c>
      <c r="E4605">
        <f t="shared" si="71"/>
        <v>65370</v>
      </c>
    </row>
    <row r="4606" spans="1:5" x14ac:dyDescent="0.25">
      <c r="A4606" t="s">
        <v>2</v>
      </c>
      <c r="B4606">
        <v>1240530</v>
      </c>
      <c r="C4606">
        <v>66220</v>
      </c>
      <c r="D4606" s="4">
        <f>+VLOOKUP(A4606,Portfolio!$G$3:$I$6,3)</f>
        <v>1</v>
      </c>
      <c r="E4606">
        <f t="shared" si="71"/>
        <v>66220</v>
      </c>
    </row>
    <row r="4607" spans="1:5" x14ac:dyDescent="0.25">
      <c r="A4607" t="s">
        <v>2</v>
      </c>
      <c r="B4607">
        <v>1240531</v>
      </c>
      <c r="C4607">
        <v>66390</v>
      </c>
      <c r="D4607" s="4">
        <f>+VLOOKUP(A4607,Portfolio!$G$3:$I$6,3)</f>
        <v>1</v>
      </c>
      <c r="E4607">
        <f t="shared" si="71"/>
        <v>66390</v>
      </c>
    </row>
    <row r="4608" spans="1:5" x14ac:dyDescent="0.25">
      <c r="A4608" t="s">
        <v>2</v>
      </c>
      <c r="B4608">
        <v>1240602</v>
      </c>
      <c r="C4608">
        <v>64170</v>
      </c>
      <c r="D4608" s="4">
        <f>+VLOOKUP(A4608,Portfolio!$G$3:$I$6,3)</f>
        <v>1</v>
      </c>
      <c r="E4608">
        <f t="shared" si="71"/>
        <v>64170</v>
      </c>
    </row>
    <row r="4609" spans="1:5" x14ac:dyDescent="0.25">
      <c r="A4609" t="s">
        <v>2</v>
      </c>
      <c r="B4609">
        <v>1240603</v>
      </c>
      <c r="C4609">
        <v>63680</v>
      </c>
      <c r="D4609" s="4">
        <f>+VLOOKUP(A4609,Portfolio!$G$3:$I$6,3)</f>
        <v>1</v>
      </c>
      <c r="E4609">
        <f t="shared" si="71"/>
        <v>63680</v>
      </c>
    </row>
    <row r="4610" spans="1:5" x14ac:dyDescent="0.25">
      <c r="A4610" t="s">
        <v>2</v>
      </c>
      <c r="B4610">
        <v>1240604</v>
      </c>
      <c r="C4610">
        <v>64940</v>
      </c>
      <c r="D4610" s="4">
        <f>+VLOOKUP(A4610,Portfolio!$G$3:$I$6,3)</f>
        <v>1</v>
      </c>
      <c r="E4610">
        <f t="shared" si="71"/>
        <v>64940</v>
      </c>
    </row>
    <row r="4611" spans="1:5" x14ac:dyDescent="0.25">
      <c r="A4611" t="s">
        <v>2</v>
      </c>
      <c r="B4611">
        <v>1240605</v>
      </c>
      <c r="C4611">
        <v>65130</v>
      </c>
      <c r="D4611" s="4">
        <f>+VLOOKUP(A4611,Portfolio!$G$3:$I$6,3)</f>
        <v>1</v>
      </c>
      <c r="E4611">
        <f t="shared" ref="E4611:E4674" si="72">+C4611*D4611</f>
        <v>65130</v>
      </c>
    </row>
    <row r="4612" spans="1:5" x14ac:dyDescent="0.25">
      <c r="A4612" t="s">
        <v>2</v>
      </c>
      <c r="B4612">
        <v>1240606</v>
      </c>
      <c r="C4612">
        <v>68250</v>
      </c>
      <c r="D4612" s="4">
        <f>+VLOOKUP(A4612,Portfolio!$G$3:$I$6,3)</f>
        <v>1</v>
      </c>
      <c r="E4612">
        <f t="shared" si="72"/>
        <v>68250</v>
      </c>
    </row>
    <row r="4613" spans="1:5" x14ac:dyDescent="0.25">
      <c r="A4613" t="s">
        <v>2</v>
      </c>
      <c r="B4613">
        <v>1240607</v>
      </c>
      <c r="C4613">
        <v>65750</v>
      </c>
      <c r="D4613" s="4">
        <f>+VLOOKUP(A4613,Portfolio!$G$3:$I$6,3)</f>
        <v>1</v>
      </c>
      <c r="E4613">
        <f t="shared" si="72"/>
        <v>65750</v>
      </c>
    </row>
    <row r="4614" spans="1:5" x14ac:dyDescent="0.25">
      <c r="A4614" t="s">
        <v>2</v>
      </c>
      <c r="B4614">
        <v>1240609</v>
      </c>
      <c r="C4614">
        <v>74220</v>
      </c>
      <c r="D4614" s="4">
        <f>+VLOOKUP(A4614,Portfolio!$G$3:$I$6,3)</f>
        <v>1</v>
      </c>
      <c r="E4614">
        <f t="shared" si="72"/>
        <v>74220</v>
      </c>
    </row>
    <row r="4615" spans="1:5" x14ac:dyDescent="0.25">
      <c r="A4615" t="s">
        <v>2</v>
      </c>
      <c r="B4615">
        <v>1240610</v>
      </c>
      <c r="C4615">
        <v>74420</v>
      </c>
      <c r="D4615" s="4">
        <f>+VLOOKUP(A4615,Portfolio!$G$3:$I$6,3)</f>
        <v>1</v>
      </c>
      <c r="E4615">
        <f t="shared" si="72"/>
        <v>74420</v>
      </c>
    </row>
    <row r="4616" spans="1:5" x14ac:dyDescent="0.25">
      <c r="A4616" t="s">
        <v>2</v>
      </c>
      <c r="B4616">
        <v>1240611</v>
      </c>
      <c r="C4616">
        <v>74040</v>
      </c>
      <c r="D4616" s="4">
        <f>+VLOOKUP(A4616,Portfolio!$G$3:$I$6,3)</f>
        <v>1</v>
      </c>
      <c r="E4616">
        <f t="shared" si="72"/>
        <v>74040</v>
      </c>
    </row>
    <row r="4617" spans="1:5" x14ac:dyDescent="0.25">
      <c r="A4617" t="s">
        <v>2</v>
      </c>
      <c r="B4617">
        <v>1240612</v>
      </c>
      <c r="C4617">
        <v>75500</v>
      </c>
      <c r="D4617" s="4">
        <f>+VLOOKUP(A4617,Portfolio!$G$3:$I$6,3)</f>
        <v>1</v>
      </c>
      <c r="E4617">
        <f t="shared" si="72"/>
        <v>75500</v>
      </c>
    </row>
    <row r="4618" spans="1:5" x14ac:dyDescent="0.25">
      <c r="A4618" t="s">
        <v>2</v>
      </c>
      <c r="B4618">
        <v>1240613</v>
      </c>
      <c r="C4618">
        <v>75030</v>
      </c>
      <c r="D4618" s="4">
        <f>+VLOOKUP(A4618,Portfolio!$G$3:$I$6,3)</f>
        <v>1</v>
      </c>
      <c r="E4618">
        <f t="shared" si="72"/>
        <v>75030</v>
      </c>
    </row>
    <row r="4619" spans="1:5" x14ac:dyDescent="0.25">
      <c r="A4619" t="s">
        <v>2</v>
      </c>
      <c r="B4619">
        <v>1240614</v>
      </c>
      <c r="C4619">
        <v>72140</v>
      </c>
      <c r="D4619" s="4">
        <f>+VLOOKUP(A4619,Portfolio!$G$3:$I$6,3)</f>
        <v>1</v>
      </c>
      <c r="E4619">
        <f t="shared" si="72"/>
        <v>72140</v>
      </c>
    </row>
    <row r="4620" spans="1:5" x14ac:dyDescent="0.25">
      <c r="A4620" t="s">
        <v>2</v>
      </c>
      <c r="B4620">
        <v>1240616</v>
      </c>
      <c r="C4620">
        <v>74670</v>
      </c>
      <c r="D4620" s="4">
        <f>+VLOOKUP(A4620,Portfolio!$G$3:$I$6,3)</f>
        <v>1</v>
      </c>
      <c r="E4620">
        <f t="shared" si="72"/>
        <v>74670</v>
      </c>
    </row>
    <row r="4621" spans="1:5" x14ac:dyDescent="0.25">
      <c r="A4621" t="s">
        <v>2</v>
      </c>
      <c r="B4621">
        <v>1240617</v>
      </c>
      <c r="C4621">
        <v>74670</v>
      </c>
      <c r="D4621" s="4">
        <f>+VLOOKUP(A4621,Portfolio!$G$3:$I$6,3)</f>
        <v>1</v>
      </c>
      <c r="E4621">
        <f t="shared" si="72"/>
        <v>74670</v>
      </c>
    </row>
    <row r="4622" spans="1:5" x14ac:dyDescent="0.25">
      <c r="A4622" t="s">
        <v>2</v>
      </c>
      <c r="B4622">
        <v>1240618</v>
      </c>
      <c r="C4622">
        <v>74670</v>
      </c>
      <c r="D4622" s="4">
        <f>+VLOOKUP(A4622,Portfolio!$G$3:$I$6,3)</f>
        <v>1</v>
      </c>
      <c r="E4622">
        <f t="shared" si="72"/>
        <v>74670</v>
      </c>
    </row>
    <row r="4623" spans="1:5" x14ac:dyDescent="0.25">
      <c r="A4623" t="s">
        <v>2</v>
      </c>
      <c r="B4623">
        <v>1240619</v>
      </c>
      <c r="C4623">
        <v>73340</v>
      </c>
      <c r="D4623" s="4">
        <f>+VLOOKUP(A4623,Portfolio!$G$3:$I$6,3)</f>
        <v>1</v>
      </c>
      <c r="E4623">
        <f t="shared" si="72"/>
        <v>73340</v>
      </c>
    </row>
    <row r="4624" spans="1:5" x14ac:dyDescent="0.25">
      <c r="A4624" t="s">
        <v>2</v>
      </c>
      <c r="B4624">
        <v>1240620</v>
      </c>
      <c r="C4624">
        <v>70510</v>
      </c>
      <c r="D4624" s="4">
        <f>+VLOOKUP(A4624,Portfolio!$G$3:$I$6,3)</f>
        <v>1</v>
      </c>
      <c r="E4624">
        <f t="shared" si="72"/>
        <v>70510</v>
      </c>
    </row>
    <row r="4625" spans="1:5" x14ac:dyDescent="0.25">
      <c r="A4625" t="s">
        <v>2</v>
      </c>
      <c r="B4625">
        <v>1240621</v>
      </c>
      <c r="C4625">
        <v>68530</v>
      </c>
      <c r="D4625" s="4">
        <f>+VLOOKUP(A4625,Portfolio!$G$3:$I$6,3)</f>
        <v>1</v>
      </c>
      <c r="E4625">
        <f t="shared" si="72"/>
        <v>68530</v>
      </c>
    </row>
    <row r="4626" spans="1:5" x14ac:dyDescent="0.25">
      <c r="A4626" t="s">
        <v>3</v>
      </c>
      <c r="B4626">
        <v>1190709</v>
      </c>
      <c r="C4626">
        <v>-387.5</v>
      </c>
      <c r="D4626" s="4">
        <f>+VLOOKUP(A4626,Portfolio!$G$3:$I$6,3)</f>
        <v>0.5</v>
      </c>
      <c r="E4626">
        <f t="shared" si="72"/>
        <v>-193.75</v>
      </c>
    </row>
    <row r="4627" spans="1:5" x14ac:dyDescent="0.25">
      <c r="A4627" t="s">
        <v>3</v>
      </c>
      <c r="B4627">
        <v>1190710</v>
      </c>
      <c r="C4627">
        <v>362.5</v>
      </c>
      <c r="D4627" s="4">
        <f>+VLOOKUP(A4627,Portfolio!$G$3:$I$6,3)</f>
        <v>0.5</v>
      </c>
      <c r="E4627">
        <f t="shared" si="72"/>
        <v>181.25</v>
      </c>
    </row>
    <row r="4628" spans="1:5" x14ac:dyDescent="0.25">
      <c r="A4628" t="s">
        <v>3</v>
      </c>
      <c r="B4628">
        <v>1190711</v>
      </c>
      <c r="C4628">
        <v>362.5</v>
      </c>
      <c r="D4628" s="4">
        <f>+VLOOKUP(A4628,Portfolio!$G$3:$I$6,3)</f>
        <v>0.5</v>
      </c>
      <c r="E4628">
        <f t="shared" si="72"/>
        <v>181.25</v>
      </c>
    </row>
    <row r="4629" spans="1:5" x14ac:dyDescent="0.25">
      <c r="A4629" t="s">
        <v>3</v>
      </c>
      <c r="B4629">
        <v>1190712</v>
      </c>
      <c r="C4629">
        <v>-237.5</v>
      </c>
      <c r="D4629" s="4">
        <f>+VLOOKUP(A4629,Portfolio!$G$3:$I$6,3)</f>
        <v>0.5</v>
      </c>
      <c r="E4629">
        <f t="shared" si="72"/>
        <v>-118.75</v>
      </c>
    </row>
    <row r="4630" spans="1:5" x14ac:dyDescent="0.25">
      <c r="A4630" t="s">
        <v>3</v>
      </c>
      <c r="B4630">
        <v>1190714</v>
      </c>
      <c r="C4630">
        <v>-62.5</v>
      </c>
      <c r="D4630" s="4">
        <f>+VLOOKUP(A4630,Portfolio!$G$3:$I$6,3)</f>
        <v>0.5</v>
      </c>
      <c r="E4630">
        <f t="shared" si="72"/>
        <v>-31.25</v>
      </c>
    </row>
    <row r="4631" spans="1:5" x14ac:dyDescent="0.25">
      <c r="A4631" t="s">
        <v>3</v>
      </c>
      <c r="B4631">
        <v>1190715</v>
      </c>
      <c r="C4631">
        <v>100</v>
      </c>
      <c r="D4631" s="4">
        <f>+VLOOKUP(A4631,Portfolio!$G$3:$I$6,3)</f>
        <v>0.5</v>
      </c>
      <c r="E4631">
        <f t="shared" si="72"/>
        <v>50</v>
      </c>
    </row>
    <row r="4632" spans="1:5" x14ac:dyDescent="0.25">
      <c r="A4632" t="s">
        <v>3</v>
      </c>
      <c r="B4632">
        <v>1190716</v>
      </c>
      <c r="C4632">
        <v>-487.5</v>
      </c>
      <c r="D4632" s="4">
        <f>+VLOOKUP(A4632,Portfolio!$G$3:$I$6,3)</f>
        <v>0.5</v>
      </c>
      <c r="E4632">
        <f t="shared" si="72"/>
        <v>-243.75</v>
      </c>
    </row>
    <row r="4633" spans="1:5" x14ac:dyDescent="0.25">
      <c r="A4633" t="s">
        <v>3</v>
      </c>
      <c r="B4633">
        <v>1190717</v>
      </c>
      <c r="C4633">
        <v>37.5</v>
      </c>
      <c r="D4633" s="4">
        <f>+VLOOKUP(A4633,Portfolio!$G$3:$I$6,3)</f>
        <v>0.5</v>
      </c>
      <c r="E4633">
        <f t="shared" si="72"/>
        <v>18.75</v>
      </c>
    </row>
    <row r="4634" spans="1:5" x14ac:dyDescent="0.25">
      <c r="A4634" t="s">
        <v>3</v>
      </c>
      <c r="B4634">
        <v>1190718</v>
      </c>
      <c r="C4634">
        <v>1137.5</v>
      </c>
      <c r="D4634" s="4">
        <f>+VLOOKUP(A4634,Portfolio!$G$3:$I$6,3)</f>
        <v>0.5</v>
      </c>
      <c r="E4634">
        <f t="shared" si="72"/>
        <v>568.75</v>
      </c>
    </row>
    <row r="4635" spans="1:5" x14ac:dyDescent="0.25">
      <c r="A4635" t="s">
        <v>3</v>
      </c>
      <c r="B4635">
        <v>1190719</v>
      </c>
      <c r="C4635">
        <v>2162.5</v>
      </c>
      <c r="D4635" s="4">
        <f>+VLOOKUP(A4635,Portfolio!$G$3:$I$6,3)</f>
        <v>0.5</v>
      </c>
      <c r="E4635">
        <f t="shared" si="72"/>
        <v>1081.25</v>
      </c>
    </row>
    <row r="4636" spans="1:5" x14ac:dyDescent="0.25">
      <c r="A4636" t="s">
        <v>3</v>
      </c>
      <c r="B4636">
        <v>1190721</v>
      </c>
      <c r="C4636">
        <v>2675</v>
      </c>
      <c r="D4636" s="4">
        <f>+VLOOKUP(A4636,Portfolio!$G$3:$I$6,3)</f>
        <v>0.5</v>
      </c>
      <c r="E4636">
        <f t="shared" si="72"/>
        <v>1337.5</v>
      </c>
    </row>
    <row r="4637" spans="1:5" x14ac:dyDescent="0.25">
      <c r="A4637" t="s">
        <v>3</v>
      </c>
      <c r="B4637">
        <v>1190722</v>
      </c>
      <c r="C4637">
        <v>2662.5</v>
      </c>
      <c r="D4637" s="4">
        <f>+VLOOKUP(A4637,Portfolio!$G$3:$I$6,3)</f>
        <v>0.5</v>
      </c>
      <c r="E4637">
        <f t="shared" si="72"/>
        <v>1331.25</v>
      </c>
    </row>
    <row r="4638" spans="1:5" x14ac:dyDescent="0.25">
      <c r="A4638" t="s">
        <v>3</v>
      </c>
      <c r="B4638">
        <v>1190723</v>
      </c>
      <c r="C4638">
        <v>2175</v>
      </c>
      <c r="D4638" s="4">
        <f>+VLOOKUP(A4638,Portfolio!$G$3:$I$6,3)</f>
        <v>0.5</v>
      </c>
      <c r="E4638">
        <f t="shared" si="72"/>
        <v>1087.5</v>
      </c>
    </row>
    <row r="4639" spans="1:5" x14ac:dyDescent="0.25">
      <c r="A4639" t="s">
        <v>3</v>
      </c>
      <c r="B4639">
        <v>1190724</v>
      </c>
      <c r="C4639">
        <v>2487.5</v>
      </c>
      <c r="D4639" s="4">
        <f>+VLOOKUP(A4639,Portfolio!$G$3:$I$6,3)</f>
        <v>0.5</v>
      </c>
      <c r="E4639">
        <f t="shared" si="72"/>
        <v>1243.75</v>
      </c>
    </row>
    <row r="4640" spans="1:5" x14ac:dyDescent="0.25">
      <c r="A4640" t="s">
        <v>3</v>
      </c>
      <c r="B4640">
        <v>1190725</v>
      </c>
      <c r="C4640">
        <v>3012.5</v>
      </c>
      <c r="D4640" s="4">
        <f>+VLOOKUP(A4640,Portfolio!$G$3:$I$6,3)</f>
        <v>0.5</v>
      </c>
      <c r="E4640">
        <f t="shared" si="72"/>
        <v>1506.25</v>
      </c>
    </row>
    <row r="4641" spans="1:5" x14ac:dyDescent="0.25">
      <c r="A4641" t="s">
        <v>3</v>
      </c>
      <c r="B4641">
        <v>1190726</v>
      </c>
      <c r="C4641">
        <v>2550</v>
      </c>
      <c r="D4641" s="4">
        <f>+VLOOKUP(A4641,Portfolio!$G$3:$I$6,3)</f>
        <v>0.5</v>
      </c>
      <c r="E4641">
        <f t="shared" si="72"/>
        <v>1275</v>
      </c>
    </row>
    <row r="4642" spans="1:5" x14ac:dyDescent="0.25">
      <c r="A4642" t="s">
        <v>3</v>
      </c>
      <c r="B4642">
        <v>1190728</v>
      </c>
      <c r="C4642">
        <v>2375</v>
      </c>
      <c r="D4642" s="4">
        <f>+VLOOKUP(A4642,Portfolio!$G$3:$I$6,3)</f>
        <v>0.5</v>
      </c>
      <c r="E4642">
        <f t="shared" si="72"/>
        <v>1187.5</v>
      </c>
    </row>
    <row r="4643" spans="1:5" x14ac:dyDescent="0.25">
      <c r="A4643" t="s">
        <v>3</v>
      </c>
      <c r="B4643">
        <v>1190729</v>
      </c>
      <c r="C4643">
        <v>2200</v>
      </c>
      <c r="D4643" s="4">
        <f>+VLOOKUP(A4643,Portfolio!$G$3:$I$6,3)</f>
        <v>0.5</v>
      </c>
      <c r="E4643">
        <f t="shared" si="72"/>
        <v>1100</v>
      </c>
    </row>
    <row r="4644" spans="1:5" x14ac:dyDescent="0.25">
      <c r="A4644" t="s">
        <v>3</v>
      </c>
      <c r="B4644">
        <v>1190730</v>
      </c>
      <c r="C4644">
        <v>1637.5</v>
      </c>
      <c r="D4644" s="4">
        <f>+VLOOKUP(A4644,Portfolio!$G$3:$I$6,3)</f>
        <v>0.5</v>
      </c>
      <c r="E4644">
        <f t="shared" si="72"/>
        <v>818.75</v>
      </c>
    </row>
    <row r="4645" spans="1:5" x14ac:dyDescent="0.25">
      <c r="A4645" t="s">
        <v>3</v>
      </c>
      <c r="B4645">
        <v>1190731</v>
      </c>
      <c r="C4645">
        <v>2425</v>
      </c>
      <c r="D4645" s="4">
        <f>+VLOOKUP(A4645,Portfolio!$G$3:$I$6,3)</f>
        <v>0.5</v>
      </c>
      <c r="E4645">
        <f t="shared" si="72"/>
        <v>1212.5</v>
      </c>
    </row>
    <row r="4646" spans="1:5" x14ac:dyDescent="0.25">
      <c r="A4646" t="s">
        <v>3</v>
      </c>
      <c r="B4646">
        <v>1190801</v>
      </c>
      <c r="C4646">
        <v>4062.5</v>
      </c>
      <c r="D4646" s="4">
        <f>+VLOOKUP(A4646,Portfolio!$G$3:$I$6,3)</f>
        <v>0.5</v>
      </c>
      <c r="E4646">
        <f t="shared" si="72"/>
        <v>2031.25</v>
      </c>
    </row>
    <row r="4647" spans="1:5" x14ac:dyDescent="0.25">
      <c r="A4647" t="s">
        <v>3</v>
      </c>
      <c r="B4647">
        <v>1190802</v>
      </c>
      <c r="C4647">
        <v>3700</v>
      </c>
      <c r="D4647" s="4">
        <f>+VLOOKUP(A4647,Portfolio!$G$3:$I$6,3)</f>
        <v>0.5</v>
      </c>
      <c r="E4647">
        <f t="shared" si="72"/>
        <v>1850</v>
      </c>
    </row>
    <row r="4648" spans="1:5" x14ac:dyDescent="0.25">
      <c r="A4648" t="s">
        <v>3</v>
      </c>
      <c r="B4648">
        <v>1190804</v>
      </c>
      <c r="C4648">
        <v>4712.5</v>
      </c>
      <c r="D4648" s="4">
        <f>+VLOOKUP(A4648,Portfolio!$G$3:$I$6,3)</f>
        <v>0.5</v>
      </c>
      <c r="E4648">
        <f t="shared" si="72"/>
        <v>2356.25</v>
      </c>
    </row>
    <row r="4649" spans="1:5" x14ac:dyDescent="0.25">
      <c r="A4649" t="s">
        <v>3</v>
      </c>
      <c r="B4649">
        <v>1190805</v>
      </c>
      <c r="C4649">
        <v>4712.5</v>
      </c>
      <c r="D4649" s="4">
        <f>+VLOOKUP(A4649,Portfolio!$G$3:$I$6,3)</f>
        <v>0.5</v>
      </c>
      <c r="E4649">
        <f t="shared" si="72"/>
        <v>2356.25</v>
      </c>
    </row>
    <row r="4650" spans="1:5" x14ac:dyDescent="0.25">
      <c r="A4650" t="s">
        <v>3</v>
      </c>
      <c r="B4650">
        <v>1190806</v>
      </c>
      <c r="C4650">
        <v>6650</v>
      </c>
      <c r="D4650" s="4">
        <f>+VLOOKUP(A4650,Portfolio!$G$3:$I$6,3)</f>
        <v>0.5</v>
      </c>
      <c r="E4650">
        <f t="shared" si="72"/>
        <v>3325</v>
      </c>
    </row>
    <row r="4651" spans="1:5" x14ac:dyDescent="0.25">
      <c r="A4651" t="s">
        <v>3</v>
      </c>
      <c r="B4651">
        <v>1190807</v>
      </c>
      <c r="C4651">
        <v>4700</v>
      </c>
      <c r="D4651" s="4">
        <f>+VLOOKUP(A4651,Portfolio!$G$3:$I$6,3)</f>
        <v>0.5</v>
      </c>
      <c r="E4651">
        <f t="shared" si="72"/>
        <v>2350</v>
      </c>
    </row>
    <row r="4652" spans="1:5" x14ac:dyDescent="0.25">
      <c r="A4652" t="s">
        <v>3</v>
      </c>
      <c r="B4652">
        <v>1190808</v>
      </c>
      <c r="C4652">
        <v>5900</v>
      </c>
      <c r="D4652" s="4">
        <f>+VLOOKUP(A4652,Portfolio!$G$3:$I$6,3)</f>
        <v>0.5</v>
      </c>
      <c r="E4652">
        <f t="shared" si="72"/>
        <v>2950</v>
      </c>
    </row>
    <row r="4653" spans="1:5" x14ac:dyDescent="0.25">
      <c r="A4653" t="s">
        <v>3</v>
      </c>
      <c r="B4653">
        <v>1190809</v>
      </c>
      <c r="C4653">
        <v>6900</v>
      </c>
      <c r="D4653" s="4">
        <f>+VLOOKUP(A4653,Portfolio!$G$3:$I$6,3)</f>
        <v>0.5</v>
      </c>
      <c r="E4653">
        <f t="shared" si="72"/>
        <v>3450</v>
      </c>
    </row>
    <row r="4654" spans="1:5" x14ac:dyDescent="0.25">
      <c r="A4654" t="s">
        <v>3</v>
      </c>
      <c r="B4654">
        <v>1190811</v>
      </c>
      <c r="C4654">
        <v>6325</v>
      </c>
      <c r="D4654" s="4">
        <f>+VLOOKUP(A4654,Portfolio!$G$3:$I$6,3)</f>
        <v>0.5</v>
      </c>
      <c r="E4654">
        <f t="shared" si="72"/>
        <v>3162.5</v>
      </c>
    </row>
    <row r="4655" spans="1:5" x14ac:dyDescent="0.25">
      <c r="A4655" t="s">
        <v>3</v>
      </c>
      <c r="B4655">
        <v>1190812</v>
      </c>
      <c r="C4655">
        <v>6237.5</v>
      </c>
      <c r="D4655" s="4">
        <f>+VLOOKUP(A4655,Portfolio!$G$3:$I$6,3)</f>
        <v>0.5</v>
      </c>
      <c r="E4655">
        <f t="shared" si="72"/>
        <v>3118.75</v>
      </c>
    </row>
    <row r="4656" spans="1:5" x14ac:dyDescent="0.25">
      <c r="A4656" t="s">
        <v>3</v>
      </c>
      <c r="B4656">
        <v>1190813</v>
      </c>
      <c r="C4656">
        <v>7812.5</v>
      </c>
      <c r="D4656" s="4">
        <f>+VLOOKUP(A4656,Portfolio!$G$3:$I$6,3)</f>
        <v>0.5</v>
      </c>
      <c r="E4656">
        <f t="shared" si="72"/>
        <v>3906.25</v>
      </c>
    </row>
    <row r="4657" spans="1:5" x14ac:dyDescent="0.25">
      <c r="A4657" t="s">
        <v>3</v>
      </c>
      <c r="B4657">
        <v>1190814</v>
      </c>
      <c r="C4657">
        <v>5112.5</v>
      </c>
      <c r="D4657" s="4">
        <f>+VLOOKUP(A4657,Portfolio!$G$3:$I$6,3)</f>
        <v>0.5</v>
      </c>
      <c r="E4657">
        <f t="shared" si="72"/>
        <v>2556.25</v>
      </c>
    </row>
    <row r="4658" spans="1:5" x14ac:dyDescent="0.25">
      <c r="A4658" t="s">
        <v>3</v>
      </c>
      <c r="B4658">
        <v>1190815</v>
      </c>
      <c r="C4658">
        <v>3575</v>
      </c>
      <c r="D4658" s="4">
        <f>+VLOOKUP(A4658,Portfolio!$G$3:$I$6,3)</f>
        <v>0.5</v>
      </c>
      <c r="E4658">
        <f t="shared" si="72"/>
        <v>1787.5</v>
      </c>
    </row>
    <row r="4659" spans="1:5" x14ac:dyDescent="0.25">
      <c r="A4659" t="s">
        <v>3</v>
      </c>
      <c r="B4659">
        <v>1190816</v>
      </c>
      <c r="C4659">
        <v>3612.5</v>
      </c>
      <c r="D4659" s="4">
        <f>+VLOOKUP(A4659,Portfolio!$G$3:$I$6,3)</f>
        <v>0.5</v>
      </c>
      <c r="E4659">
        <f t="shared" si="72"/>
        <v>1806.25</v>
      </c>
    </row>
    <row r="4660" spans="1:5" x14ac:dyDescent="0.25">
      <c r="A4660" t="s">
        <v>3</v>
      </c>
      <c r="B4660">
        <v>1190818</v>
      </c>
      <c r="C4660">
        <v>4875</v>
      </c>
      <c r="D4660" s="4">
        <f>+VLOOKUP(A4660,Portfolio!$G$3:$I$6,3)</f>
        <v>0.5</v>
      </c>
      <c r="E4660">
        <f t="shared" si="72"/>
        <v>2437.5</v>
      </c>
    </row>
    <row r="4661" spans="1:5" x14ac:dyDescent="0.25">
      <c r="A4661" t="s">
        <v>3</v>
      </c>
      <c r="B4661">
        <v>1190819</v>
      </c>
      <c r="C4661">
        <v>5025</v>
      </c>
      <c r="D4661" s="4">
        <f>+VLOOKUP(A4661,Portfolio!$G$3:$I$6,3)</f>
        <v>0.5</v>
      </c>
      <c r="E4661">
        <f t="shared" si="72"/>
        <v>2512.5</v>
      </c>
    </row>
    <row r="4662" spans="1:5" x14ac:dyDescent="0.25">
      <c r="A4662" t="s">
        <v>3</v>
      </c>
      <c r="B4662">
        <v>1190820</v>
      </c>
      <c r="C4662">
        <v>5800</v>
      </c>
      <c r="D4662" s="4">
        <f>+VLOOKUP(A4662,Portfolio!$G$3:$I$6,3)</f>
        <v>0.5</v>
      </c>
      <c r="E4662">
        <f t="shared" si="72"/>
        <v>2900</v>
      </c>
    </row>
    <row r="4663" spans="1:5" x14ac:dyDescent="0.25">
      <c r="A4663" t="s">
        <v>3</v>
      </c>
      <c r="B4663">
        <v>1190821</v>
      </c>
      <c r="C4663">
        <v>5112.5</v>
      </c>
      <c r="D4663" s="4">
        <f>+VLOOKUP(A4663,Portfolio!$G$3:$I$6,3)</f>
        <v>0.5</v>
      </c>
      <c r="E4663">
        <f t="shared" si="72"/>
        <v>2556.25</v>
      </c>
    </row>
    <row r="4664" spans="1:5" x14ac:dyDescent="0.25">
      <c r="A4664" t="s">
        <v>3</v>
      </c>
      <c r="B4664">
        <v>1190822</v>
      </c>
      <c r="C4664">
        <v>4137.5</v>
      </c>
      <c r="D4664" s="4">
        <f>+VLOOKUP(A4664,Portfolio!$G$3:$I$6,3)</f>
        <v>0.5</v>
      </c>
      <c r="E4664">
        <f t="shared" si="72"/>
        <v>2068.75</v>
      </c>
    </row>
    <row r="4665" spans="1:5" x14ac:dyDescent="0.25">
      <c r="A4665" t="s">
        <v>3</v>
      </c>
      <c r="B4665">
        <v>1190823</v>
      </c>
      <c r="C4665">
        <v>3462.5</v>
      </c>
      <c r="D4665" s="4">
        <f>+VLOOKUP(A4665,Portfolio!$G$3:$I$6,3)</f>
        <v>0.5</v>
      </c>
      <c r="E4665">
        <f t="shared" si="72"/>
        <v>1731.25</v>
      </c>
    </row>
    <row r="4666" spans="1:5" x14ac:dyDescent="0.25">
      <c r="A4666" t="s">
        <v>3</v>
      </c>
      <c r="B4666">
        <v>1190825</v>
      </c>
      <c r="C4666">
        <v>8987.5</v>
      </c>
      <c r="D4666" s="4">
        <f>+VLOOKUP(A4666,Portfolio!$G$3:$I$6,3)</f>
        <v>0.5</v>
      </c>
      <c r="E4666">
        <f t="shared" si="72"/>
        <v>4493.75</v>
      </c>
    </row>
    <row r="4667" spans="1:5" x14ac:dyDescent="0.25">
      <c r="A4667" t="s">
        <v>3</v>
      </c>
      <c r="B4667">
        <v>1190826</v>
      </c>
      <c r="C4667">
        <v>8400</v>
      </c>
      <c r="D4667" s="4">
        <f>+VLOOKUP(A4667,Portfolio!$G$3:$I$6,3)</f>
        <v>0.5</v>
      </c>
      <c r="E4667">
        <f t="shared" si="72"/>
        <v>4200</v>
      </c>
    </row>
    <row r="4668" spans="1:5" x14ac:dyDescent="0.25">
      <c r="A4668" t="s">
        <v>3</v>
      </c>
      <c r="B4668">
        <v>1190827</v>
      </c>
      <c r="C4668">
        <v>6512.5</v>
      </c>
      <c r="D4668" s="4">
        <f>+VLOOKUP(A4668,Portfolio!$G$3:$I$6,3)</f>
        <v>0.5</v>
      </c>
      <c r="E4668">
        <f t="shared" si="72"/>
        <v>3256.25</v>
      </c>
    </row>
    <row r="4669" spans="1:5" x14ac:dyDescent="0.25">
      <c r="A4669" t="s">
        <v>3</v>
      </c>
      <c r="B4669">
        <v>1190828</v>
      </c>
      <c r="C4669">
        <v>6250</v>
      </c>
      <c r="D4669" s="4">
        <f>+VLOOKUP(A4669,Portfolio!$G$3:$I$6,3)</f>
        <v>0.5</v>
      </c>
      <c r="E4669">
        <f t="shared" si="72"/>
        <v>3125</v>
      </c>
    </row>
    <row r="4670" spans="1:5" x14ac:dyDescent="0.25">
      <c r="A4670" t="s">
        <v>3</v>
      </c>
      <c r="B4670">
        <v>1190829</v>
      </c>
      <c r="C4670">
        <v>6337.5</v>
      </c>
      <c r="D4670" s="4">
        <f>+VLOOKUP(A4670,Portfolio!$G$3:$I$6,3)</f>
        <v>0.5</v>
      </c>
      <c r="E4670">
        <f t="shared" si="72"/>
        <v>3168.75</v>
      </c>
    </row>
    <row r="4671" spans="1:5" x14ac:dyDescent="0.25">
      <c r="A4671" t="s">
        <v>3</v>
      </c>
      <c r="B4671">
        <v>1190830</v>
      </c>
      <c r="C4671">
        <v>8837.5</v>
      </c>
      <c r="D4671" s="4">
        <f>+VLOOKUP(A4671,Portfolio!$G$3:$I$6,3)</f>
        <v>0.5</v>
      </c>
      <c r="E4671">
        <f t="shared" si="72"/>
        <v>4418.75</v>
      </c>
    </row>
    <row r="4672" spans="1:5" x14ac:dyDescent="0.25">
      <c r="A4672" t="s">
        <v>3</v>
      </c>
      <c r="B4672">
        <v>1190901</v>
      </c>
      <c r="C4672">
        <v>9125</v>
      </c>
      <c r="D4672" s="4">
        <f>+VLOOKUP(A4672,Portfolio!$G$3:$I$6,3)</f>
        <v>0.5</v>
      </c>
      <c r="E4672">
        <f t="shared" si="72"/>
        <v>4562.5</v>
      </c>
    </row>
    <row r="4673" spans="1:5" x14ac:dyDescent="0.25">
      <c r="A4673" t="s">
        <v>3</v>
      </c>
      <c r="B4673">
        <v>1190902</v>
      </c>
      <c r="C4673">
        <v>8950</v>
      </c>
      <c r="D4673" s="4">
        <f>+VLOOKUP(A4673,Portfolio!$G$3:$I$6,3)</f>
        <v>0.5</v>
      </c>
      <c r="E4673">
        <f t="shared" si="72"/>
        <v>4475</v>
      </c>
    </row>
    <row r="4674" spans="1:5" x14ac:dyDescent="0.25">
      <c r="A4674" t="s">
        <v>3</v>
      </c>
      <c r="B4674">
        <v>1190903</v>
      </c>
      <c r="C4674">
        <v>8962.5</v>
      </c>
      <c r="D4674" s="4">
        <f>+VLOOKUP(A4674,Portfolio!$G$3:$I$6,3)</f>
        <v>0.5</v>
      </c>
      <c r="E4674">
        <f t="shared" si="72"/>
        <v>4481.25</v>
      </c>
    </row>
    <row r="4675" spans="1:5" x14ac:dyDescent="0.25">
      <c r="A4675" t="s">
        <v>3</v>
      </c>
      <c r="B4675">
        <v>1190904</v>
      </c>
      <c r="C4675">
        <v>9337.5</v>
      </c>
      <c r="D4675" s="4">
        <f>+VLOOKUP(A4675,Portfolio!$G$3:$I$6,3)</f>
        <v>0.5</v>
      </c>
      <c r="E4675">
        <f t="shared" ref="E4675:E4738" si="73">+C4675*D4675</f>
        <v>4668.75</v>
      </c>
    </row>
    <row r="4676" spans="1:5" x14ac:dyDescent="0.25">
      <c r="A4676" t="s">
        <v>3</v>
      </c>
      <c r="B4676">
        <v>1190905</v>
      </c>
      <c r="C4676">
        <v>9337.5</v>
      </c>
      <c r="D4676" s="4">
        <f>+VLOOKUP(A4676,Portfolio!$G$3:$I$6,3)</f>
        <v>0.5</v>
      </c>
      <c r="E4676">
        <f t="shared" si="73"/>
        <v>4668.75</v>
      </c>
    </row>
    <row r="4677" spans="1:5" x14ac:dyDescent="0.25">
      <c r="A4677" t="s">
        <v>3</v>
      </c>
      <c r="B4677">
        <v>1190906</v>
      </c>
      <c r="C4677">
        <v>9412.5</v>
      </c>
      <c r="D4677" s="4">
        <f>+VLOOKUP(A4677,Portfolio!$G$3:$I$6,3)</f>
        <v>0.5</v>
      </c>
      <c r="E4677">
        <f t="shared" si="73"/>
        <v>4706.25</v>
      </c>
    </row>
    <row r="4678" spans="1:5" x14ac:dyDescent="0.25">
      <c r="A4678" t="s">
        <v>3</v>
      </c>
      <c r="B4678">
        <v>1190908</v>
      </c>
      <c r="C4678">
        <v>9562.5</v>
      </c>
      <c r="D4678" s="4">
        <f>+VLOOKUP(A4678,Portfolio!$G$3:$I$6,3)</f>
        <v>0.5</v>
      </c>
      <c r="E4678">
        <f t="shared" si="73"/>
        <v>4781.25</v>
      </c>
    </row>
    <row r="4679" spans="1:5" x14ac:dyDescent="0.25">
      <c r="A4679" t="s">
        <v>3</v>
      </c>
      <c r="B4679">
        <v>1190909</v>
      </c>
      <c r="C4679">
        <v>9562.5</v>
      </c>
      <c r="D4679" s="4">
        <f>+VLOOKUP(A4679,Portfolio!$G$3:$I$6,3)</f>
        <v>0.5</v>
      </c>
      <c r="E4679">
        <f t="shared" si="73"/>
        <v>4781.25</v>
      </c>
    </row>
    <row r="4680" spans="1:5" x14ac:dyDescent="0.25">
      <c r="A4680" t="s">
        <v>3</v>
      </c>
      <c r="B4680">
        <v>1190910</v>
      </c>
      <c r="C4680">
        <v>9850</v>
      </c>
      <c r="D4680" s="4">
        <f>+VLOOKUP(A4680,Portfolio!$G$3:$I$6,3)</f>
        <v>0.5</v>
      </c>
      <c r="E4680">
        <f t="shared" si="73"/>
        <v>4925</v>
      </c>
    </row>
    <row r="4681" spans="1:5" x14ac:dyDescent="0.25">
      <c r="A4681" t="s">
        <v>3</v>
      </c>
      <c r="B4681">
        <v>1190911</v>
      </c>
      <c r="C4681">
        <v>10287.5</v>
      </c>
      <c r="D4681" s="4">
        <f>+VLOOKUP(A4681,Portfolio!$G$3:$I$6,3)</f>
        <v>0.5</v>
      </c>
      <c r="E4681">
        <f t="shared" si="73"/>
        <v>5143.75</v>
      </c>
    </row>
    <row r="4682" spans="1:5" x14ac:dyDescent="0.25">
      <c r="A4682" t="s">
        <v>3</v>
      </c>
      <c r="B4682">
        <v>1190912</v>
      </c>
      <c r="C4682">
        <v>11625</v>
      </c>
      <c r="D4682" s="4">
        <f>+VLOOKUP(A4682,Portfolio!$G$3:$I$6,3)</f>
        <v>0.5</v>
      </c>
      <c r="E4682">
        <f t="shared" si="73"/>
        <v>5812.5</v>
      </c>
    </row>
    <row r="4683" spans="1:5" x14ac:dyDescent="0.25">
      <c r="A4683" t="s">
        <v>3</v>
      </c>
      <c r="B4683">
        <v>1190913</v>
      </c>
      <c r="C4683">
        <v>11662.5</v>
      </c>
      <c r="D4683" s="4">
        <f>+VLOOKUP(A4683,Portfolio!$G$3:$I$6,3)</f>
        <v>0.5</v>
      </c>
      <c r="E4683">
        <f t="shared" si="73"/>
        <v>5831.25</v>
      </c>
    </row>
    <row r="4684" spans="1:5" x14ac:dyDescent="0.25">
      <c r="A4684" t="s">
        <v>3</v>
      </c>
      <c r="B4684">
        <v>1190915</v>
      </c>
      <c r="C4684">
        <v>12212.5</v>
      </c>
      <c r="D4684" s="4">
        <f>+VLOOKUP(A4684,Portfolio!$G$3:$I$6,3)</f>
        <v>0.5</v>
      </c>
      <c r="E4684">
        <f t="shared" si="73"/>
        <v>6106.25</v>
      </c>
    </row>
    <row r="4685" spans="1:5" x14ac:dyDescent="0.25">
      <c r="A4685" t="s">
        <v>3</v>
      </c>
      <c r="B4685">
        <v>1190916</v>
      </c>
      <c r="C4685">
        <v>12525</v>
      </c>
      <c r="D4685" s="4">
        <f>+VLOOKUP(A4685,Portfolio!$G$3:$I$6,3)</f>
        <v>0.5</v>
      </c>
      <c r="E4685">
        <f t="shared" si="73"/>
        <v>6262.5</v>
      </c>
    </row>
    <row r="4686" spans="1:5" x14ac:dyDescent="0.25">
      <c r="A4686" t="s">
        <v>3</v>
      </c>
      <c r="B4686">
        <v>1190917</v>
      </c>
      <c r="C4686">
        <v>11525</v>
      </c>
      <c r="D4686" s="4">
        <f>+VLOOKUP(A4686,Portfolio!$G$3:$I$6,3)</f>
        <v>0.5</v>
      </c>
      <c r="E4686">
        <f t="shared" si="73"/>
        <v>5762.5</v>
      </c>
    </row>
    <row r="4687" spans="1:5" x14ac:dyDescent="0.25">
      <c r="A4687" t="s">
        <v>3</v>
      </c>
      <c r="B4687">
        <v>1190918</v>
      </c>
      <c r="C4687">
        <v>11675</v>
      </c>
      <c r="D4687" s="4">
        <f>+VLOOKUP(A4687,Portfolio!$G$3:$I$6,3)</f>
        <v>0.5</v>
      </c>
      <c r="E4687">
        <f t="shared" si="73"/>
        <v>5837.5</v>
      </c>
    </row>
    <row r="4688" spans="1:5" x14ac:dyDescent="0.25">
      <c r="A4688" t="s">
        <v>3</v>
      </c>
      <c r="B4688">
        <v>1190919</v>
      </c>
      <c r="C4688">
        <v>11262.5</v>
      </c>
      <c r="D4688" s="4">
        <f>+VLOOKUP(A4688,Portfolio!$G$3:$I$6,3)</f>
        <v>0.5</v>
      </c>
      <c r="E4688">
        <f t="shared" si="73"/>
        <v>5631.25</v>
      </c>
    </row>
    <row r="4689" spans="1:5" x14ac:dyDescent="0.25">
      <c r="A4689" t="s">
        <v>3</v>
      </c>
      <c r="B4689">
        <v>1190920</v>
      </c>
      <c r="C4689">
        <v>9725</v>
      </c>
      <c r="D4689" s="4">
        <f>+VLOOKUP(A4689,Portfolio!$G$3:$I$6,3)</f>
        <v>0.5</v>
      </c>
      <c r="E4689">
        <f t="shared" si="73"/>
        <v>4862.5</v>
      </c>
    </row>
    <row r="4690" spans="1:5" x14ac:dyDescent="0.25">
      <c r="A4690" t="s">
        <v>3</v>
      </c>
      <c r="B4690">
        <v>1190922</v>
      </c>
      <c r="C4690">
        <v>9975</v>
      </c>
      <c r="D4690" s="4">
        <f>+VLOOKUP(A4690,Portfolio!$G$3:$I$6,3)</f>
        <v>0.5</v>
      </c>
      <c r="E4690">
        <f t="shared" si="73"/>
        <v>4987.5</v>
      </c>
    </row>
    <row r="4691" spans="1:5" x14ac:dyDescent="0.25">
      <c r="A4691" t="s">
        <v>3</v>
      </c>
      <c r="B4691">
        <v>1190923</v>
      </c>
      <c r="C4691">
        <v>10200</v>
      </c>
      <c r="D4691" s="4">
        <f>+VLOOKUP(A4691,Portfolio!$G$3:$I$6,3)</f>
        <v>0.5</v>
      </c>
      <c r="E4691">
        <f t="shared" si="73"/>
        <v>5100</v>
      </c>
    </row>
    <row r="4692" spans="1:5" x14ac:dyDescent="0.25">
      <c r="A4692" t="s">
        <v>3</v>
      </c>
      <c r="B4692">
        <v>1190924</v>
      </c>
      <c r="C4692">
        <v>10350</v>
      </c>
      <c r="D4692" s="4">
        <f>+VLOOKUP(A4692,Portfolio!$G$3:$I$6,3)</f>
        <v>0.5</v>
      </c>
      <c r="E4692">
        <f t="shared" si="73"/>
        <v>5175</v>
      </c>
    </row>
    <row r="4693" spans="1:5" x14ac:dyDescent="0.25">
      <c r="A4693" t="s">
        <v>3</v>
      </c>
      <c r="B4693">
        <v>1190925</v>
      </c>
      <c r="C4693">
        <v>11637.5</v>
      </c>
      <c r="D4693" s="4">
        <f>+VLOOKUP(A4693,Portfolio!$G$3:$I$6,3)</f>
        <v>0.5</v>
      </c>
      <c r="E4693">
        <f t="shared" si="73"/>
        <v>5818.75</v>
      </c>
    </row>
    <row r="4694" spans="1:5" x14ac:dyDescent="0.25">
      <c r="A4694" t="s">
        <v>3</v>
      </c>
      <c r="B4694">
        <v>1190926</v>
      </c>
      <c r="C4694">
        <v>11837.5</v>
      </c>
      <c r="D4694" s="4">
        <f>+VLOOKUP(A4694,Portfolio!$G$3:$I$6,3)</f>
        <v>0.5</v>
      </c>
      <c r="E4694">
        <f t="shared" si="73"/>
        <v>5918.75</v>
      </c>
    </row>
    <row r="4695" spans="1:5" x14ac:dyDescent="0.25">
      <c r="A4695" t="s">
        <v>3</v>
      </c>
      <c r="B4695">
        <v>1190927</v>
      </c>
      <c r="C4695">
        <v>11425</v>
      </c>
      <c r="D4695" s="4">
        <f>+VLOOKUP(A4695,Portfolio!$G$3:$I$6,3)</f>
        <v>0.5</v>
      </c>
      <c r="E4695">
        <f t="shared" si="73"/>
        <v>5712.5</v>
      </c>
    </row>
    <row r="4696" spans="1:5" x14ac:dyDescent="0.25">
      <c r="A4696" t="s">
        <v>3</v>
      </c>
      <c r="B4696">
        <v>1190929</v>
      </c>
      <c r="C4696">
        <v>11650</v>
      </c>
      <c r="D4696" s="4">
        <f>+VLOOKUP(A4696,Portfolio!$G$3:$I$6,3)</f>
        <v>0.5</v>
      </c>
      <c r="E4696">
        <f t="shared" si="73"/>
        <v>5825</v>
      </c>
    </row>
    <row r="4697" spans="1:5" x14ac:dyDescent="0.25">
      <c r="A4697" t="s">
        <v>3</v>
      </c>
      <c r="B4697">
        <v>1190930</v>
      </c>
      <c r="C4697">
        <v>11337.5</v>
      </c>
      <c r="D4697" s="4">
        <f>+VLOOKUP(A4697,Portfolio!$G$3:$I$6,3)</f>
        <v>0.5</v>
      </c>
      <c r="E4697">
        <f t="shared" si="73"/>
        <v>5668.75</v>
      </c>
    </row>
    <row r="4698" spans="1:5" x14ac:dyDescent="0.25">
      <c r="A4698" t="s">
        <v>3</v>
      </c>
      <c r="B4698">
        <v>1191001</v>
      </c>
      <c r="C4698">
        <v>11625</v>
      </c>
      <c r="D4698" s="4">
        <f>+VLOOKUP(A4698,Portfolio!$G$3:$I$6,3)</f>
        <v>0.5</v>
      </c>
      <c r="E4698">
        <f t="shared" si="73"/>
        <v>5812.5</v>
      </c>
    </row>
    <row r="4699" spans="1:5" x14ac:dyDescent="0.25">
      <c r="A4699" t="s">
        <v>3</v>
      </c>
      <c r="B4699">
        <v>1191002</v>
      </c>
      <c r="C4699">
        <v>13225</v>
      </c>
      <c r="D4699" s="4">
        <f>+VLOOKUP(A4699,Portfolio!$G$3:$I$6,3)</f>
        <v>0.5</v>
      </c>
      <c r="E4699">
        <f t="shared" si="73"/>
        <v>6612.5</v>
      </c>
    </row>
    <row r="4700" spans="1:5" x14ac:dyDescent="0.25">
      <c r="A4700" t="s">
        <v>3</v>
      </c>
      <c r="B4700">
        <v>1191003</v>
      </c>
      <c r="C4700">
        <v>16062.5</v>
      </c>
      <c r="D4700" s="4">
        <f>+VLOOKUP(A4700,Portfolio!$G$3:$I$6,3)</f>
        <v>0.5</v>
      </c>
      <c r="E4700">
        <f t="shared" si="73"/>
        <v>8031.25</v>
      </c>
    </row>
    <row r="4701" spans="1:5" x14ac:dyDescent="0.25">
      <c r="A4701" t="s">
        <v>3</v>
      </c>
      <c r="B4701">
        <v>1191004</v>
      </c>
      <c r="C4701">
        <v>16475</v>
      </c>
      <c r="D4701" s="4">
        <f>+VLOOKUP(A4701,Portfolio!$G$3:$I$6,3)</f>
        <v>0.5</v>
      </c>
      <c r="E4701">
        <f t="shared" si="73"/>
        <v>8237.5</v>
      </c>
    </row>
    <row r="4702" spans="1:5" x14ac:dyDescent="0.25">
      <c r="A4702" t="s">
        <v>3</v>
      </c>
      <c r="B4702">
        <v>1191006</v>
      </c>
      <c r="C4702">
        <v>18000</v>
      </c>
      <c r="D4702" s="4">
        <f>+VLOOKUP(A4702,Portfolio!$G$3:$I$6,3)</f>
        <v>0.5</v>
      </c>
      <c r="E4702">
        <f t="shared" si="73"/>
        <v>9000</v>
      </c>
    </row>
    <row r="4703" spans="1:5" x14ac:dyDescent="0.25">
      <c r="A4703" t="s">
        <v>3</v>
      </c>
      <c r="B4703">
        <v>1191007</v>
      </c>
      <c r="C4703">
        <v>17950</v>
      </c>
      <c r="D4703" s="4">
        <f>+VLOOKUP(A4703,Portfolio!$G$3:$I$6,3)</f>
        <v>0.5</v>
      </c>
      <c r="E4703">
        <f t="shared" si="73"/>
        <v>8975</v>
      </c>
    </row>
    <row r="4704" spans="1:5" x14ac:dyDescent="0.25">
      <c r="A4704" t="s">
        <v>3</v>
      </c>
      <c r="B4704">
        <v>1191008</v>
      </c>
      <c r="C4704">
        <v>18162.5</v>
      </c>
      <c r="D4704" s="4">
        <f>+VLOOKUP(A4704,Portfolio!$G$3:$I$6,3)</f>
        <v>0.5</v>
      </c>
      <c r="E4704">
        <f t="shared" si="73"/>
        <v>9081.25</v>
      </c>
    </row>
    <row r="4705" spans="1:5" x14ac:dyDescent="0.25">
      <c r="A4705" t="s">
        <v>3</v>
      </c>
      <c r="B4705">
        <v>1191009</v>
      </c>
      <c r="C4705">
        <v>18400</v>
      </c>
      <c r="D4705" s="4">
        <f>+VLOOKUP(A4705,Portfolio!$G$3:$I$6,3)</f>
        <v>0.5</v>
      </c>
      <c r="E4705">
        <f t="shared" si="73"/>
        <v>9200</v>
      </c>
    </row>
    <row r="4706" spans="1:5" x14ac:dyDescent="0.25">
      <c r="A4706" t="s">
        <v>3</v>
      </c>
      <c r="B4706">
        <v>1191010</v>
      </c>
      <c r="C4706">
        <v>17512.5</v>
      </c>
      <c r="D4706" s="4">
        <f>+VLOOKUP(A4706,Portfolio!$G$3:$I$6,3)</f>
        <v>0.5</v>
      </c>
      <c r="E4706">
        <f t="shared" si="73"/>
        <v>8756.25</v>
      </c>
    </row>
    <row r="4707" spans="1:5" x14ac:dyDescent="0.25">
      <c r="A4707" t="s">
        <v>3</v>
      </c>
      <c r="B4707">
        <v>1191011</v>
      </c>
      <c r="C4707">
        <v>18250</v>
      </c>
      <c r="D4707" s="4">
        <f>+VLOOKUP(A4707,Portfolio!$G$3:$I$6,3)</f>
        <v>0.5</v>
      </c>
      <c r="E4707">
        <f t="shared" si="73"/>
        <v>9125</v>
      </c>
    </row>
    <row r="4708" spans="1:5" x14ac:dyDescent="0.25">
      <c r="A4708" t="s">
        <v>3</v>
      </c>
      <c r="B4708">
        <v>1191013</v>
      </c>
      <c r="C4708">
        <v>19462.5</v>
      </c>
      <c r="D4708" s="4">
        <f>+VLOOKUP(A4708,Portfolio!$G$3:$I$6,3)</f>
        <v>0.5</v>
      </c>
      <c r="E4708">
        <f t="shared" si="73"/>
        <v>9731.25</v>
      </c>
    </row>
    <row r="4709" spans="1:5" x14ac:dyDescent="0.25">
      <c r="A4709" t="s">
        <v>3</v>
      </c>
      <c r="B4709">
        <v>1191014</v>
      </c>
      <c r="C4709">
        <v>19400</v>
      </c>
      <c r="D4709" s="4">
        <f>+VLOOKUP(A4709,Portfolio!$G$3:$I$6,3)</f>
        <v>0.5</v>
      </c>
      <c r="E4709">
        <f t="shared" si="73"/>
        <v>9700</v>
      </c>
    </row>
    <row r="4710" spans="1:5" x14ac:dyDescent="0.25">
      <c r="A4710" t="s">
        <v>3</v>
      </c>
      <c r="B4710">
        <v>1191015</v>
      </c>
      <c r="C4710">
        <v>19050</v>
      </c>
      <c r="D4710" s="4">
        <f>+VLOOKUP(A4710,Portfolio!$G$3:$I$6,3)</f>
        <v>0.5</v>
      </c>
      <c r="E4710">
        <f t="shared" si="73"/>
        <v>9525</v>
      </c>
    </row>
    <row r="4711" spans="1:5" x14ac:dyDescent="0.25">
      <c r="A4711" t="s">
        <v>3</v>
      </c>
      <c r="B4711">
        <v>1191016</v>
      </c>
      <c r="C4711">
        <v>19350</v>
      </c>
      <c r="D4711" s="4">
        <f>+VLOOKUP(A4711,Portfolio!$G$3:$I$6,3)</f>
        <v>0.5</v>
      </c>
      <c r="E4711">
        <f t="shared" si="73"/>
        <v>9675</v>
      </c>
    </row>
    <row r="4712" spans="1:5" x14ac:dyDescent="0.25">
      <c r="A4712" t="s">
        <v>3</v>
      </c>
      <c r="B4712">
        <v>1191017</v>
      </c>
      <c r="C4712">
        <v>18200</v>
      </c>
      <c r="D4712" s="4">
        <f>+VLOOKUP(A4712,Portfolio!$G$3:$I$6,3)</f>
        <v>0.5</v>
      </c>
      <c r="E4712">
        <f t="shared" si="73"/>
        <v>9100</v>
      </c>
    </row>
    <row r="4713" spans="1:5" x14ac:dyDescent="0.25">
      <c r="A4713" t="s">
        <v>3</v>
      </c>
      <c r="B4713">
        <v>1191018</v>
      </c>
      <c r="C4713">
        <v>18625</v>
      </c>
      <c r="D4713" s="4">
        <f>+VLOOKUP(A4713,Portfolio!$G$3:$I$6,3)</f>
        <v>0.5</v>
      </c>
      <c r="E4713">
        <f t="shared" si="73"/>
        <v>9312.5</v>
      </c>
    </row>
    <row r="4714" spans="1:5" x14ac:dyDescent="0.25">
      <c r="A4714" t="s">
        <v>3</v>
      </c>
      <c r="B4714">
        <v>1191020</v>
      </c>
      <c r="C4714">
        <v>18650</v>
      </c>
      <c r="D4714" s="4">
        <f>+VLOOKUP(A4714,Portfolio!$G$3:$I$6,3)</f>
        <v>0.5</v>
      </c>
      <c r="E4714">
        <f t="shared" si="73"/>
        <v>9325</v>
      </c>
    </row>
    <row r="4715" spans="1:5" x14ac:dyDescent="0.25">
      <c r="A4715" t="s">
        <v>3</v>
      </c>
      <c r="B4715">
        <v>1191021</v>
      </c>
      <c r="C4715">
        <v>18337.5</v>
      </c>
      <c r="D4715" s="4">
        <f>+VLOOKUP(A4715,Portfolio!$G$3:$I$6,3)</f>
        <v>0.5</v>
      </c>
      <c r="E4715">
        <f t="shared" si="73"/>
        <v>9168.75</v>
      </c>
    </row>
    <row r="4716" spans="1:5" x14ac:dyDescent="0.25">
      <c r="A4716" t="s">
        <v>3</v>
      </c>
      <c r="B4716">
        <v>1191022</v>
      </c>
      <c r="C4716">
        <v>18437.5</v>
      </c>
      <c r="D4716" s="4">
        <f>+VLOOKUP(A4716,Portfolio!$G$3:$I$6,3)</f>
        <v>0.5</v>
      </c>
      <c r="E4716">
        <f t="shared" si="73"/>
        <v>9218.75</v>
      </c>
    </row>
    <row r="4717" spans="1:5" x14ac:dyDescent="0.25">
      <c r="A4717" t="s">
        <v>3</v>
      </c>
      <c r="B4717">
        <v>1191023</v>
      </c>
      <c r="C4717">
        <v>18925</v>
      </c>
      <c r="D4717" s="4">
        <f>+VLOOKUP(A4717,Portfolio!$G$3:$I$6,3)</f>
        <v>0.5</v>
      </c>
      <c r="E4717">
        <f t="shared" si="73"/>
        <v>9462.5</v>
      </c>
    </row>
    <row r="4718" spans="1:5" x14ac:dyDescent="0.25">
      <c r="A4718" t="s">
        <v>3</v>
      </c>
      <c r="B4718">
        <v>1191024</v>
      </c>
      <c r="C4718">
        <v>18737.5</v>
      </c>
      <c r="D4718" s="4">
        <f>+VLOOKUP(A4718,Portfolio!$G$3:$I$6,3)</f>
        <v>0.5</v>
      </c>
      <c r="E4718">
        <f t="shared" si="73"/>
        <v>9368.75</v>
      </c>
    </row>
    <row r="4719" spans="1:5" x14ac:dyDescent="0.25">
      <c r="A4719" t="s">
        <v>3</v>
      </c>
      <c r="B4719">
        <v>1191025</v>
      </c>
      <c r="C4719">
        <v>18500</v>
      </c>
      <c r="D4719" s="4">
        <f>+VLOOKUP(A4719,Portfolio!$G$3:$I$6,3)</f>
        <v>0.5</v>
      </c>
      <c r="E4719">
        <f t="shared" si="73"/>
        <v>9250</v>
      </c>
    </row>
    <row r="4720" spans="1:5" x14ac:dyDescent="0.25">
      <c r="A4720" t="s">
        <v>3</v>
      </c>
      <c r="B4720">
        <v>1191027</v>
      </c>
      <c r="C4720">
        <v>18962.5</v>
      </c>
      <c r="D4720" s="4">
        <f>+VLOOKUP(A4720,Portfolio!$G$3:$I$6,3)</f>
        <v>0.5</v>
      </c>
      <c r="E4720">
        <f t="shared" si="73"/>
        <v>9481.25</v>
      </c>
    </row>
    <row r="4721" spans="1:5" x14ac:dyDescent="0.25">
      <c r="A4721" t="s">
        <v>3</v>
      </c>
      <c r="B4721">
        <v>1191028</v>
      </c>
      <c r="C4721">
        <v>19075</v>
      </c>
      <c r="D4721" s="4">
        <f>+VLOOKUP(A4721,Portfolio!$G$3:$I$6,3)</f>
        <v>0.5</v>
      </c>
      <c r="E4721">
        <f t="shared" si="73"/>
        <v>9537.5</v>
      </c>
    </row>
    <row r="4722" spans="1:5" x14ac:dyDescent="0.25">
      <c r="A4722" t="s">
        <v>3</v>
      </c>
      <c r="B4722">
        <v>1191029</v>
      </c>
      <c r="C4722">
        <v>19625</v>
      </c>
      <c r="D4722" s="4">
        <f>+VLOOKUP(A4722,Portfolio!$G$3:$I$6,3)</f>
        <v>0.5</v>
      </c>
      <c r="E4722">
        <f t="shared" si="73"/>
        <v>9812.5</v>
      </c>
    </row>
    <row r="4723" spans="1:5" x14ac:dyDescent="0.25">
      <c r="A4723" t="s">
        <v>3</v>
      </c>
      <c r="B4723">
        <v>1191030</v>
      </c>
      <c r="C4723">
        <v>19287.5</v>
      </c>
      <c r="D4723" s="4">
        <f>+VLOOKUP(A4723,Portfolio!$G$3:$I$6,3)</f>
        <v>0.5</v>
      </c>
      <c r="E4723">
        <f t="shared" si="73"/>
        <v>9643.75</v>
      </c>
    </row>
    <row r="4724" spans="1:5" x14ac:dyDescent="0.25">
      <c r="A4724" t="s">
        <v>3</v>
      </c>
      <c r="B4724">
        <v>1191031</v>
      </c>
      <c r="C4724">
        <v>19175</v>
      </c>
      <c r="D4724" s="4">
        <f>+VLOOKUP(A4724,Portfolio!$G$3:$I$6,3)</f>
        <v>0.5</v>
      </c>
      <c r="E4724">
        <f t="shared" si="73"/>
        <v>9587.5</v>
      </c>
    </row>
    <row r="4725" spans="1:5" x14ac:dyDescent="0.25">
      <c r="A4725" t="s">
        <v>3</v>
      </c>
      <c r="B4725">
        <v>1191101</v>
      </c>
      <c r="C4725">
        <v>17950</v>
      </c>
      <c r="D4725" s="4">
        <f>+VLOOKUP(A4725,Portfolio!$G$3:$I$6,3)</f>
        <v>0.5</v>
      </c>
      <c r="E4725">
        <f t="shared" si="73"/>
        <v>8975</v>
      </c>
    </row>
    <row r="4726" spans="1:5" x14ac:dyDescent="0.25">
      <c r="A4726" t="s">
        <v>3</v>
      </c>
      <c r="B4726">
        <v>1191103</v>
      </c>
      <c r="C4726">
        <v>17812.5</v>
      </c>
      <c r="D4726" s="4">
        <f>+VLOOKUP(A4726,Portfolio!$G$3:$I$6,3)</f>
        <v>0.5</v>
      </c>
      <c r="E4726">
        <f t="shared" si="73"/>
        <v>8906.25</v>
      </c>
    </row>
    <row r="4727" spans="1:5" x14ac:dyDescent="0.25">
      <c r="A4727" t="s">
        <v>3</v>
      </c>
      <c r="B4727">
        <v>1191104</v>
      </c>
      <c r="C4727">
        <v>17925</v>
      </c>
      <c r="D4727" s="4">
        <f>+VLOOKUP(A4727,Portfolio!$G$3:$I$6,3)</f>
        <v>0.5</v>
      </c>
      <c r="E4727">
        <f t="shared" si="73"/>
        <v>8962.5</v>
      </c>
    </row>
    <row r="4728" spans="1:5" x14ac:dyDescent="0.25">
      <c r="A4728" t="s">
        <v>3</v>
      </c>
      <c r="B4728">
        <v>1191105</v>
      </c>
      <c r="C4728">
        <v>18275</v>
      </c>
      <c r="D4728" s="4">
        <f>+VLOOKUP(A4728,Portfolio!$G$3:$I$6,3)</f>
        <v>0.5</v>
      </c>
      <c r="E4728">
        <f t="shared" si="73"/>
        <v>9137.5</v>
      </c>
    </row>
    <row r="4729" spans="1:5" x14ac:dyDescent="0.25">
      <c r="A4729" t="s">
        <v>3</v>
      </c>
      <c r="B4729">
        <v>1191106</v>
      </c>
      <c r="C4729">
        <v>18387.5</v>
      </c>
      <c r="D4729" s="4">
        <f>+VLOOKUP(A4729,Portfolio!$G$3:$I$6,3)</f>
        <v>0.5</v>
      </c>
      <c r="E4729">
        <f t="shared" si="73"/>
        <v>9193.75</v>
      </c>
    </row>
    <row r="4730" spans="1:5" x14ac:dyDescent="0.25">
      <c r="A4730" t="s">
        <v>3</v>
      </c>
      <c r="B4730">
        <v>1191107</v>
      </c>
      <c r="C4730">
        <v>18337.5</v>
      </c>
      <c r="D4730" s="4">
        <f>+VLOOKUP(A4730,Portfolio!$G$3:$I$6,3)</f>
        <v>0.5</v>
      </c>
      <c r="E4730">
        <f t="shared" si="73"/>
        <v>9168.75</v>
      </c>
    </row>
    <row r="4731" spans="1:5" x14ac:dyDescent="0.25">
      <c r="A4731" t="s">
        <v>3</v>
      </c>
      <c r="B4731">
        <v>1191108</v>
      </c>
      <c r="C4731">
        <v>16537.5</v>
      </c>
      <c r="D4731" s="4">
        <f>+VLOOKUP(A4731,Portfolio!$G$3:$I$6,3)</f>
        <v>0.5</v>
      </c>
      <c r="E4731">
        <f t="shared" si="73"/>
        <v>8268.75</v>
      </c>
    </row>
    <row r="4732" spans="1:5" x14ac:dyDescent="0.25">
      <c r="A4732" t="s">
        <v>3</v>
      </c>
      <c r="B4732">
        <v>1191110</v>
      </c>
      <c r="C4732">
        <v>15550</v>
      </c>
      <c r="D4732" s="4">
        <f>+VLOOKUP(A4732,Portfolio!$G$3:$I$6,3)</f>
        <v>0.5</v>
      </c>
      <c r="E4732">
        <f t="shared" si="73"/>
        <v>7775</v>
      </c>
    </row>
    <row r="4733" spans="1:5" x14ac:dyDescent="0.25">
      <c r="A4733" t="s">
        <v>3</v>
      </c>
      <c r="B4733">
        <v>1191111</v>
      </c>
      <c r="C4733">
        <v>15887.5</v>
      </c>
      <c r="D4733" s="4">
        <f>+VLOOKUP(A4733,Portfolio!$G$3:$I$6,3)</f>
        <v>0.5</v>
      </c>
      <c r="E4733">
        <f t="shared" si="73"/>
        <v>7943.75</v>
      </c>
    </row>
    <row r="4734" spans="1:5" x14ac:dyDescent="0.25">
      <c r="A4734" t="s">
        <v>3</v>
      </c>
      <c r="B4734">
        <v>1191112</v>
      </c>
      <c r="C4734">
        <v>16187.5</v>
      </c>
      <c r="D4734" s="4">
        <f>+VLOOKUP(A4734,Portfolio!$G$3:$I$6,3)</f>
        <v>0.5</v>
      </c>
      <c r="E4734">
        <f t="shared" si="73"/>
        <v>8093.75</v>
      </c>
    </row>
    <row r="4735" spans="1:5" x14ac:dyDescent="0.25">
      <c r="A4735" t="s">
        <v>3</v>
      </c>
      <c r="B4735">
        <v>1191113</v>
      </c>
      <c r="C4735">
        <v>15850</v>
      </c>
      <c r="D4735" s="4">
        <f>+VLOOKUP(A4735,Portfolio!$G$3:$I$6,3)</f>
        <v>0.5</v>
      </c>
      <c r="E4735">
        <f t="shared" si="73"/>
        <v>7925</v>
      </c>
    </row>
    <row r="4736" spans="1:5" x14ac:dyDescent="0.25">
      <c r="A4736" t="s">
        <v>3</v>
      </c>
      <c r="B4736">
        <v>1191114</v>
      </c>
      <c r="C4736">
        <v>16275</v>
      </c>
      <c r="D4736" s="4">
        <f>+VLOOKUP(A4736,Portfolio!$G$3:$I$6,3)</f>
        <v>0.5</v>
      </c>
      <c r="E4736">
        <f t="shared" si="73"/>
        <v>8137.5</v>
      </c>
    </row>
    <row r="4737" spans="1:5" x14ac:dyDescent="0.25">
      <c r="A4737" t="s">
        <v>3</v>
      </c>
      <c r="B4737">
        <v>1191115</v>
      </c>
      <c r="C4737">
        <v>15262.5</v>
      </c>
      <c r="D4737" s="4">
        <f>+VLOOKUP(A4737,Portfolio!$G$3:$I$6,3)</f>
        <v>0.5</v>
      </c>
      <c r="E4737">
        <f t="shared" si="73"/>
        <v>7631.25</v>
      </c>
    </row>
    <row r="4738" spans="1:5" x14ac:dyDescent="0.25">
      <c r="A4738" t="s">
        <v>3</v>
      </c>
      <c r="B4738">
        <v>1191117</v>
      </c>
      <c r="C4738">
        <v>15225</v>
      </c>
      <c r="D4738" s="4">
        <f>+VLOOKUP(A4738,Portfolio!$G$3:$I$6,3)</f>
        <v>0.5</v>
      </c>
      <c r="E4738">
        <f t="shared" si="73"/>
        <v>7612.5</v>
      </c>
    </row>
    <row r="4739" spans="1:5" x14ac:dyDescent="0.25">
      <c r="A4739" t="s">
        <v>3</v>
      </c>
      <c r="B4739">
        <v>1191118</v>
      </c>
      <c r="C4739">
        <v>15437.5</v>
      </c>
      <c r="D4739" s="4">
        <f>+VLOOKUP(A4739,Portfolio!$G$3:$I$6,3)</f>
        <v>0.5</v>
      </c>
      <c r="E4739">
        <f t="shared" ref="E4739:E4802" si="74">+C4739*D4739</f>
        <v>7718.75</v>
      </c>
    </row>
    <row r="4740" spans="1:5" x14ac:dyDescent="0.25">
      <c r="A4740" t="s">
        <v>3</v>
      </c>
      <c r="B4740">
        <v>1191119</v>
      </c>
      <c r="C4740">
        <v>14462.5</v>
      </c>
      <c r="D4740" s="4">
        <f>+VLOOKUP(A4740,Portfolio!$G$3:$I$6,3)</f>
        <v>0.5</v>
      </c>
      <c r="E4740">
        <f t="shared" si="74"/>
        <v>7231.25</v>
      </c>
    </row>
    <row r="4741" spans="1:5" x14ac:dyDescent="0.25">
      <c r="A4741" t="s">
        <v>3</v>
      </c>
      <c r="B4741">
        <v>1191120</v>
      </c>
      <c r="C4741">
        <v>14887.5</v>
      </c>
      <c r="D4741" s="4">
        <f>+VLOOKUP(A4741,Portfolio!$G$3:$I$6,3)</f>
        <v>0.5</v>
      </c>
      <c r="E4741">
        <f t="shared" si="74"/>
        <v>7443.75</v>
      </c>
    </row>
    <row r="4742" spans="1:5" x14ac:dyDescent="0.25">
      <c r="A4742" t="s">
        <v>3</v>
      </c>
      <c r="B4742">
        <v>1191121</v>
      </c>
      <c r="C4742">
        <v>14162.5</v>
      </c>
      <c r="D4742" s="4">
        <f>+VLOOKUP(A4742,Portfolio!$G$3:$I$6,3)</f>
        <v>0.5</v>
      </c>
      <c r="E4742">
        <f t="shared" si="74"/>
        <v>7081.25</v>
      </c>
    </row>
    <row r="4743" spans="1:5" x14ac:dyDescent="0.25">
      <c r="A4743" t="s">
        <v>3</v>
      </c>
      <c r="B4743">
        <v>1191122</v>
      </c>
      <c r="C4743">
        <v>14187.5</v>
      </c>
      <c r="D4743" s="4">
        <f>+VLOOKUP(A4743,Portfolio!$G$3:$I$6,3)</f>
        <v>0.5</v>
      </c>
      <c r="E4743">
        <f t="shared" si="74"/>
        <v>7093.75</v>
      </c>
    </row>
    <row r="4744" spans="1:5" x14ac:dyDescent="0.25">
      <c r="A4744" t="s">
        <v>3</v>
      </c>
      <c r="B4744">
        <v>1191124</v>
      </c>
      <c r="C4744">
        <v>13500</v>
      </c>
      <c r="D4744" s="4">
        <f>+VLOOKUP(A4744,Portfolio!$G$3:$I$6,3)</f>
        <v>0.5</v>
      </c>
      <c r="E4744">
        <f t="shared" si="74"/>
        <v>6750</v>
      </c>
    </row>
    <row r="4745" spans="1:5" x14ac:dyDescent="0.25">
      <c r="A4745" t="s">
        <v>3</v>
      </c>
      <c r="B4745">
        <v>1191125</v>
      </c>
      <c r="C4745">
        <v>13437.5</v>
      </c>
      <c r="D4745" s="4">
        <f>+VLOOKUP(A4745,Portfolio!$G$3:$I$6,3)</f>
        <v>0.5</v>
      </c>
      <c r="E4745">
        <f t="shared" si="74"/>
        <v>6718.75</v>
      </c>
    </row>
    <row r="4746" spans="1:5" x14ac:dyDescent="0.25">
      <c r="A4746" t="s">
        <v>3</v>
      </c>
      <c r="B4746">
        <v>1191126</v>
      </c>
      <c r="C4746">
        <v>13412.5</v>
      </c>
      <c r="D4746" s="4">
        <f>+VLOOKUP(A4746,Portfolio!$G$3:$I$6,3)</f>
        <v>0.5</v>
      </c>
      <c r="E4746">
        <f t="shared" si="74"/>
        <v>6706.25</v>
      </c>
    </row>
    <row r="4747" spans="1:5" x14ac:dyDescent="0.25">
      <c r="A4747" t="s">
        <v>3</v>
      </c>
      <c r="B4747">
        <v>1191127</v>
      </c>
      <c r="C4747">
        <v>13987.5</v>
      </c>
      <c r="D4747" s="4">
        <f>+VLOOKUP(A4747,Portfolio!$G$3:$I$6,3)</f>
        <v>0.5</v>
      </c>
      <c r="E4747">
        <f t="shared" si="74"/>
        <v>6993.75</v>
      </c>
    </row>
    <row r="4748" spans="1:5" x14ac:dyDescent="0.25">
      <c r="A4748" t="s">
        <v>3</v>
      </c>
      <c r="B4748">
        <v>1191128</v>
      </c>
      <c r="C4748">
        <v>13162.5</v>
      </c>
      <c r="D4748" s="4">
        <f>+VLOOKUP(A4748,Portfolio!$G$3:$I$6,3)</f>
        <v>0.5</v>
      </c>
      <c r="E4748">
        <f t="shared" si="74"/>
        <v>6581.25</v>
      </c>
    </row>
    <row r="4749" spans="1:5" x14ac:dyDescent="0.25">
      <c r="A4749" t="s">
        <v>3</v>
      </c>
      <c r="B4749">
        <v>1191129</v>
      </c>
      <c r="C4749">
        <v>13400</v>
      </c>
      <c r="D4749" s="4">
        <f>+VLOOKUP(A4749,Portfolio!$G$3:$I$6,3)</f>
        <v>0.5</v>
      </c>
      <c r="E4749">
        <f t="shared" si="74"/>
        <v>6700</v>
      </c>
    </row>
    <row r="4750" spans="1:5" x14ac:dyDescent="0.25">
      <c r="A4750" t="s">
        <v>3</v>
      </c>
      <c r="B4750">
        <v>1191201</v>
      </c>
      <c r="C4750">
        <v>12700</v>
      </c>
      <c r="D4750" s="4">
        <f>+VLOOKUP(A4750,Portfolio!$G$3:$I$6,3)</f>
        <v>0.5</v>
      </c>
      <c r="E4750">
        <f t="shared" si="74"/>
        <v>6350</v>
      </c>
    </row>
    <row r="4751" spans="1:5" x14ac:dyDescent="0.25">
      <c r="A4751" t="s">
        <v>3</v>
      </c>
      <c r="B4751">
        <v>1191202</v>
      </c>
      <c r="C4751">
        <v>12425</v>
      </c>
      <c r="D4751" s="4">
        <f>+VLOOKUP(A4751,Portfolio!$G$3:$I$6,3)</f>
        <v>0.5</v>
      </c>
      <c r="E4751">
        <f t="shared" si="74"/>
        <v>6212.5</v>
      </c>
    </row>
    <row r="4752" spans="1:5" x14ac:dyDescent="0.25">
      <c r="A4752" t="s">
        <v>3</v>
      </c>
      <c r="B4752">
        <v>1191203</v>
      </c>
      <c r="C4752">
        <v>14362.5</v>
      </c>
      <c r="D4752" s="4">
        <f>+VLOOKUP(A4752,Portfolio!$G$3:$I$6,3)</f>
        <v>0.5</v>
      </c>
      <c r="E4752">
        <f t="shared" si="74"/>
        <v>7181.25</v>
      </c>
    </row>
    <row r="4753" spans="1:5" x14ac:dyDescent="0.25">
      <c r="A4753" t="s">
        <v>3</v>
      </c>
      <c r="B4753">
        <v>1191204</v>
      </c>
      <c r="C4753">
        <v>14362.5</v>
      </c>
      <c r="D4753" s="4">
        <f>+VLOOKUP(A4753,Portfolio!$G$3:$I$6,3)</f>
        <v>0.5</v>
      </c>
      <c r="E4753">
        <f t="shared" si="74"/>
        <v>7181.25</v>
      </c>
    </row>
    <row r="4754" spans="1:5" x14ac:dyDescent="0.25">
      <c r="A4754" t="s">
        <v>3</v>
      </c>
      <c r="B4754">
        <v>1191205</v>
      </c>
      <c r="C4754">
        <v>14025</v>
      </c>
      <c r="D4754" s="4">
        <f>+VLOOKUP(A4754,Portfolio!$G$3:$I$6,3)</f>
        <v>0.5</v>
      </c>
      <c r="E4754">
        <f t="shared" si="74"/>
        <v>7012.5</v>
      </c>
    </row>
    <row r="4755" spans="1:5" x14ac:dyDescent="0.25">
      <c r="A4755" t="s">
        <v>3</v>
      </c>
      <c r="B4755">
        <v>1191206</v>
      </c>
      <c r="C4755">
        <v>13337.5</v>
      </c>
      <c r="D4755" s="4">
        <f>+VLOOKUP(A4755,Portfolio!$G$3:$I$6,3)</f>
        <v>0.5</v>
      </c>
      <c r="E4755">
        <f t="shared" si="74"/>
        <v>6668.75</v>
      </c>
    </row>
    <row r="4756" spans="1:5" x14ac:dyDescent="0.25">
      <c r="A4756" t="s">
        <v>3</v>
      </c>
      <c r="B4756">
        <v>1191208</v>
      </c>
      <c r="C4756">
        <v>12200</v>
      </c>
      <c r="D4756" s="4">
        <f>+VLOOKUP(A4756,Portfolio!$G$3:$I$6,3)</f>
        <v>0.5</v>
      </c>
      <c r="E4756">
        <f t="shared" si="74"/>
        <v>6100</v>
      </c>
    </row>
    <row r="4757" spans="1:5" x14ac:dyDescent="0.25">
      <c r="A4757" t="s">
        <v>3</v>
      </c>
      <c r="B4757">
        <v>1191209</v>
      </c>
      <c r="C4757">
        <v>11950</v>
      </c>
      <c r="D4757" s="4">
        <f>+VLOOKUP(A4757,Portfolio!$G$3:$I$6,3)</f>
        <v>0.5</v>
      </c>
      <c r="E4757">
        <f t="shared" si="74"/>
        <v>5975</v>
      </c>
    </row>
    <row r="4758" spans="1:5" x14ac:dyDescent="0.25">
      <c r="A4758" t="s">
        <v>3</v>
      </c>
      <c r="B4758">
        <v>1191210</v>
      </c>
      <c r="C4758">
        <v>12237.5</v>
      </c>
      <c r="D4758" s="4">
        <f>+VLOOKUP(A4758,Portfolio!$G$3:$I$6,3)</f>
        <v>0.5</v>
      </c>
      <c r="E4758">
        <f t="shared" si="74"/>
        <v>6118.75</v>
      </c>
    </row>
    <row r="4759" spans="1:5" x14ac:dyDescent="0.25">
      <c r="A4759" t="s">
        <v>3</v>
      </c>
      <c r="B4759">
        <v>1191211</v>
      </c>
      <c r="C4759">
        <v>11662.5</v>
      </c>
      <c r="D4759" s="4">
        <f>+VLOOKUP(A4759,Portfolio!$G$3:$I$6,3)</f>
        <v>0.5</v>
      </c>
      <c r="E4759">
        <f t="shared" si="74"/>
        <v>5831.25</v>
      </c>
    </row>
    <row r="4760" spans="1:5" x14ac:dyDescent="0.25">
      <c r="A4760" t="s">
        <v>3</v>
      </c>
      <c r="B4760">
        <v>1191212</v>
      </c>
      <c r="C4760">
        <v>11700</v>
      </c>
      <c r="D4760" s="4">
        <f>+VLOOKUP(A4760,Portfolio!$G$3:$I$6,3)</f>
        <v>0.5</v>
      </c>
      <c r="E4760">
        <f t="shared" si="74"/>
        <v>5850</v>
      </c>
    </row>
    <row r="4761" spans="1:5" x14ac:dyDescent="0.25">
      <c r="A4761" t="s">
        <v>3</v>
      </c>
      <c r="B4761">
        <v>1191213</v>
      </c>
      <c r="C4761">
        <v>12887.5</v>
      </c>
      <c r="D4761" s="4">
        <f>+VLOOKUP(A4761,Portfolio!$G$3:$I$6,3)</f>
        <v>0.5</v>
      </c>
      <c r="E4761">
        <f t="shared" si="74"/>
        <v>6443.75</v>
      </c>
    </row>
    <row r="4762" spans="1:5" x14ac:dyDescent="0.25">
      <c r="A4762" t="s">
        <v>3</v>
      </c>
      <c r="B4762">
        <v>1191215</v>
      </c>
      <c r="C4762">
        <v>12125</v>
      </c>
      <c r="D4762" s="4">
        <f>+VLOOKUP(A4762,Portfolio!$G$3:$I$6,3)</f>
        <v>0.5</v>
      </c>
      <c r="E4762">
        <f t="shared" si="74"/>
        <v>6062.5</v>
      </c>
    </row>
    <row r="4763" spans="1:5" x14ac:dyDescent="0.25">
      <c r="A4763" t="s">
        <v>3</v>
      </c>
      <c r="B4763">
        <v>1191216</v>
      </c>
      <c r="C4763">
        <v>11900</v>
      </c>
      <c r="D4763" s="4">
        <f>+VLOOKUP(A4763,Portfolio!$G$3:$I$6,3)</f>
        <v>0.5</v>
      </c>
      <c r="E4763">
        <f t="shared" si="74"/>
        <v>5950</v>
      </c>
    </row>
    <row r="4764" spans="1:5" x14ac:dyDescent="0.25">
      <c r="A4764" t="s">
        <v>3</v>
      </c>
      <c r="B4764">
        <v>1191217</v>
      </c>
      <c r="C4764">
        <v>11362.5</v>
      </c>
      <c r="D4764" s="4">
        <f>+VLOOKUP(A4764,Portfolio!$G$3:$I$6,3)</f>
        <v>0.5</v>
      </c>
      <c r="E4764">
        <f t="shared" si="74"/>
        <v>5681.25</v>
      </c>
    </row>
    <row r="4765" spans="1:5" x14ac:dyDescent="0.25">
      <c r="A4765" t="s">
        <v>3</v>
      </c>
      <c r="B4765">
        <v>1191218</v>
      </c>
      <c r="C4765">
        <v>11287.5</v>
      </c>
      <c r="D4765" s="4">
        <f>+VLOOKUP(A4765,Portfolio!$G$3:$I$6,3)</f>
        <v>0.5</v>
      </c>
      <c r="E4765">
        <f t="shared" si="74"/>
        <v>5643.75</v>
      </c>
    </row>
    <row r="4766" spans="1:5" x14ac:dyDescent="0.25">
      <c r="A4766" t="s">
        <v>3</v>
      </c>
      <c r="B4766">
        <v>1191219</v>
      </c>
      <c r="C4766">
        <v>11100</v>
      </c>
      <c r="D4766" s="4">
        <f>+VLOOKUP(A4766,Portfolio!$G$3:$I$6,3)</f>
        <v>0.5</v>
      </c>
      <c r="E4766">
        <f t="shared" si="74"/>
        <v>5550</v>
      </c>
    </row>
    <row r="4767" spans="1:5" x14ac:dyDescent="0.25">
      <c r="A4767" t="s">
        <v>3</v>
      </c>
      <c r="B4767">
        <v>1191220</v>
      </c>
      <c r="C4767">
        <v>11712.5</v>
      </c>
      <c r="D4767" s="4">
        <f>+VLOOKUP(A4767,Portfolio!$G$3:$I$6,3)</f>
        <v>0.5</v>
      </c>
      <c r="E4767">
        <f t="shared" si="74"/>
        <v>5856.25</v>
      </c>
    </row>
    <row r="4768" spans="1:5" x14ac:dyDescent="0.25">
      <c r="A4768" t="s">
        <v>3</v>
      </c>
      <c r="B4768">
        <v>1191222</v>
      </c>
      <c r="C4768">
        <v>12612.5</v>
      </c>
      <c r="D4768" s="4">
        <f>+VLOOKUP(A4768,Portfolio!$G$3:$I$6,3)</f>
        <v>0.5</v>
      </c>
      <c r="E4768">
        <f t="shared" si="74"/>
        <v>6306.25</v>
      </c>
    </row>
    <row r="4769" spans="1:5" x14ac:dyDescent="0.25">
      <c r="A4769" t="s">
        <v>3</v>
      </c>
      <c r="B4769">
        <v>1191223</v>
      </c>
      <c r="C4769">
        <v>12612.5</v>
      </c>
      <c r="D4769" s="4">
        <f>+VLOOKUP(A4769,Portfolio!$G$3:$I$6,3)</f>
        <v>0.5</v>
      </c>
      <c r="E4769">
        <f t="shared" si="74"/>
        <v>6306.25</v>
      </c>
    </row>
    <row r="4770" spans="1:5" x14ac:dyDescent="0.25">
      <c r="A4770" t="s">
        <v>3</v>
      </c>
      <c r="B4770">
        <v>1191224</v>
      </c>
      <c r="C4770">
        <v>12612.5</v>
      </c>
      <c r="D4770" s="4">
        <f>+VLOOKUP(A4770,Portfolio!$G$3:$I$6,3)</f>
        <v>0.5</v>
      </c>
      <c r="E4770">
        <f t="shared" si="74"/>
        <v>6306.25</v>
      </c>
    </row>
    <row r="4771" spans="1:5" x14ac:dyDescent="0.25">
      <c r="A4771" t="s">
        <v>3</v>
      </c>
      <c r="B4771">
        <v>1191225</v>
      </c>
      <c r="C4771">
        <v>12612.5</v>
      </c>
      <c r="D4771" s="4">
        <f>+VLOOKUP(A4771,Portfolio!$G$3:$I$6,3)</f>
        <v>0.5</v>
      </c>
      <c r="E4771">
        <f t="shared" si="74"/>
        <v>6306.25</v>
      </c>
    </row>
    <row r="4772" spans="1:5" x14ac:dyDescent="0.25">
      <c r="A4772" t="s">
        <v>3</v>
      </c>
      <c r="B4772">
        <v>1191226</v>
      </c>
      <c r="C4772">
        <v>12612.5</v>
      </c>
      <c r="D4772" s="4">
        <f>+VLOOKUP(A4772,Portfolio!$G$3:$I$6,3)</f>
        <v>0.5</v>
      </c>
      <c r="E4772">
        <f t="shared" si="74"/>
        <v>6306.25</v>
      </c>
    </row>
    <row r="4773" spans="1:5" x14ac:dyDescent="0.25">
      <c r="A4773" t="s">
        <v>3</v>
      </c>
      <c r="B4773">
        <v>1191227</v>
      </c>
      <c r="C4773">
        <v>13312.5</v>
      </c>
      <c r="D4773" s="4">
        <f>+VLOOKUP(A4773,Portfolio!$G$3:$I$6,3)</f>
        <v>0.5</v>
      </c>
      <c r="E4773">
        <f t="shared" si="74"/>
        <v>6656.25</v>
      </c>
    </row>
    <row r="4774" spans="1:5" x14ac:dyDescent="0.25">
      <c r="A4774" t="s">
        <v>3</v>
      </c>
      <c r="B4774">
        <v>1191229</v>
      </c>
      <c r="C4774">
        <v>12650</v>
      </c>
      <c r="D4774" s="4">
        <f>+VLOOKUP(A4774,Portfolio!$G$3:$I$6,3)</f>
        <v>0.5</v>
      </c>
      <c r="E4774">
        <f t="shared" si="74"/>
        <v>6325</v>
      </c>
    </row>
    <row r="4775" spans="1:5" x14ac:dyDescent="0.25">
      <c r="A4775" t="s">
        <v>3</v>
      </c>
      <c r="B4775">
        <v>1191230</v>
      </c>
      <c r="C4775">
        <v>12562.5</v>
      </c>
      <c r="D4775" s="4">
        <f>+VLOOKUP(A4775,Portfolio!$G$3:$I$6,3)</f>
        <v>0.5</v>
      </c>
      <c r="E4775">
        <f t="shared" si="74"/>
        <v>6281.25</v>
      </c>
    </row>
    <row r="4776" spans="1:5" x14ac:dyDescent="0.25">
      <c r="A4776" t="s">
        <v>3</v>
      </c>
      <c r="B4776">
        <v>1191231</v>
      </c>
      <c r="C4776">
        <v>13275</v>
      </c>
      <c r="D4776" s="4">
        <f>+VLOOKUP(A4776,Portfolio!$G$3:$I$6,3)</f>
        <v>0.5</v>
      </c>
      <c r="E4776">
        <f t="shared" si="74"/>
        <v>6637.5</v>
      </c>
    </row>
    <row r="4777" spans="1:5" x14ac:dyDescent="0.25">
      <c r="A4777" t="s">
        <v>3</v>
      </c>
      <c r="B4777">
        <v>1200101</v>
      </c>
      <c r="C4777">
        <v>13125</v>
      </c>
      <c r="D4777" s="4">
        <f>+VLOOKUP(A4777,Portfolio!$G$3:$I$6,3)</f>
        <v>0.5</v>
      </c>
      <c r="E4777">
        <f t="shared" si="74"/>
        <v>6562.5</v>
      </c>
    </row>
    <row r="4778" spans="1:5" x14ac:dyDescent="0.25">
      <c r="A4778" t="s">
        <v>3</v>
      </c>
      <c r="B4778">
        <v>1200102</v>
      </c>
      <c r="C4778">
        <v>13125</v>
      </c>
      <c r="D4778" s="4">
        <f>+VLOOKUP(A4778,Portfolio!$G$3:$I$6,3)</f>
        <v>0.5</v>
      </c>
      <c r="E4778">
        <f t="shared" si="74"/>
        <v>6562.5</v>
      </c>
    </row>
    <row r="4779" spans="1:5" x14ac:dyDescent="0.25">
      <c r="A4779" t="s">
        <v>3</v>
      </c>
      <c r="B4779">
        <v>1200103</v>
      </c>
      <c r="C4779">
        <v>13400</v>
      </c>
      <c r="D4779" s="4">
        <f>+VLOOKUP(A4779,Portfolio!$G$3:$I$6,3)</f>
        <v>0.5</v>
      </c>
      <c r="E4779">
        <f t="shared" si="74"/>
        <v>6700</v>
      </c>
    </row>
    <row r="4780" spans="1:5" x14ac:dyDescent="0.25">
      <c r="A4780" t="s">
        <v>3</v>
      </c>
      <c r="B4780">
        <v>1200105</v>
      </c>
      <c r="C4780">
        <v>12187.5</v>
      </c>
      <c r="D4780" s="4">
        <f>+VLOOKUP(A4780,Portfolio!$G$3:$I$6,3)</f>
        <v>0.5</v>
      </c>
      <c r="E4780">
        <f t="shared" si="74"/>
        <v>6093.75</v>
      </c>
    </row>
    <row r="4781" spans="1:5" x14ac:dyDescent="0.25">
      <c r="A4781" t="s">
        <v>3</v>
      </c>
      <c r="B4781">
        <v>1200106</v>
      </c>
      <c r="C4781">
        <v>12337.5</v>
      </c>
      <c r="D4781" s="4">
        <f>+VLOOKUP(A4781,Portfolio!$G$3:$I$6,3)</f>
        <v>0.5</v>
      </c>
      <c r="E4781">
        <f t="shared" si="74"/>
        <v>6168.75</v>
      </c>
    </row>
    <row r="4782" spans="1:5" x14ac:dyDescent="0.25">
      <c r="A4782" t="s">
        <v>3</v>
      </c>
      <c r="B4782">
        <v>1200107</v>
      </c>
      <c r="C4782">
        <v>13500</v>
      </c>
      <c r="D4782" s="4">
        <f>+VLOOKUP(A4782,Portfolio!$G$3:$I$6,3)</f>
        <v>0.5</v>
      </c>
      <c r="E4782">
        <f t="shared" si="74"/>
        <v>6750</v>
      </c>
    </row>
    <row r="4783" spans="1:5" x14ac:dyDescent="0.25">
      <c r="A4783" t="s">
        <v>3</v>
      </c>
      <c r="B4783">
        <v>1200108</v>
      </c>
      <c r="C4783">
        <v>13050</v>
      </c>
      <c r="D4783" s="4">
        <f>+VLOOKUP(A4783,Portfolio!$G$3:$I$6,3)</f>
        <v>0.5</v>
      </c>
      <c r="E4783">
        <f t="shared" si="74"/>
        <v>6525</v>
      </c>
    </row>
    <row r="4784" spans="1:5" x14ac:dyDescent="0.25">
      <c r="A4784" t="s">
        <v>3</v>
      </c>
      <c r="B4784">
        <v>1200109</v>
      </c>
      <c r="C4784">
        <v>13925</v>
      </c>
      <c r="D4784" s="4">
        <f>+VLOOKUP(A4784,Portfolio!$G$3:$I$6,3)</f>
        <v>0.5</v>
      </c>
      <c r="E4784">
        <f t="shared" si="74"/>
        <v>6962.5</v>
      </c>
    </row>
    <row r="4785" spans="1:5" x14ac:dyDescent="0.25">
      <c r="A4785" t="s">
        <v>3</v>
      </c>
      <c r="B4785">
        <v>1200110</v>
      </c>
      <c r="C4785">
        <v>14862.5</v>
      </c>
      <c r="D4785" s="4">
        <f>+VLOOKUP(A4785,Portfolio!$G$3:$I$6,3)</f>
        <v>0.5</v>
      </c>
      <c r="E4785">
        <f t="shared" si="74"/>
        <v>7431.25</v>
      </c>
    </row>
    <row r="4786" spans="1:5" x14ac:dyDescent="0.25">
      <c r="A4786" t="s">
        <v>3</v>
      </c>
      <c r="B4786">
        <v>1200112</v>
      </c>
      <c r="C4786">
        <v>14762.5</v>
      </c>
      <c r="D4786" s="4">
        <f>+VLOOKUP(A4786,Portfolio!$G$3:$I$6,3)</f>
        <v>0.5</v>
      </c>
      <c r="E4786">
        <f t="shared" si="74"/>
        <v>7381.25</v>
      </c>
    </row>
    <row r="4787" spans="1:5" x14ac:dyDescent="0.25">
      <c r="A4787" t="s">
        <v>3</v>
      </c>
      <c r="B4787">
        <v>1200113</v>
      </c>
      <c r="C4787">
        <v>14437.5</v>
      </c>
      <c r="D4787" s="4">
        <f>+VLOOKUP(A4787,Portfolio!$G$3:$I$6,3)</f>
        <v>0.5</v>
      </c>
      <c r="E4787">
        <f t="shared" si="74"/>
        <v>7218.75</v>
      </c>
    </row>
    <row r="4788" spans="1:5" x14ac:dyDescent="0.25">
      <c r="A4788" t="s">
        <v>3</v>
      </c>
      <c r="B4788">
        <v>1200114</v>
      </c>
      <c r="C4788">
        <v>14712.5</v>
      </c>
      <c r="D4788" s="4">
        <f>+VLOOKUP(A4788,Portfolio!$G$3:$I$6,3)</f>
        <v>0.5</v>
      </c>
      <c r="E4788">
        <f t="shared" si="74"/>
        <v>7356.25</v>
      </c>
    </row>
    <row r="4789" spans="1:5" x14ac:dyDescent="0.25">
      <c r="A4789" t="s">
        <v>3</v>
      </c>
      <c r="B4789">
        <v>1200115</v>
      </c>
      <c r="C4789">
        <v>14350</v>
      </c>
      <c r="D4789" s="4">
        <f>+VLOOKUP(A4789,Portfolio!$G$3:$I$6,3)</f>
        <v>0.5</v>
      </c>
      <c r="E4789">
        <f t="shared" si="74"/>
        <v>7175</v>
      </c>
    </row>
    <row r="4790" spans="1:5" x14ac:dyDescent="0.25">
      <c r="A4790" t="s">
        <v>3</v>
      </c>
      <c r="B4790">
        <v>1200116</v>
      </c>
      <c r="C4790">
        <v>14837.5</v>
      </c>
      <c r="D4790" s="4">
        <f>+VLOOKUP(A4790,Portfolio!$G$3:$I$6,3)</f>
        <v>0.5</v>
      </c>
      <c r="E4790">
        <f t="shared" si="74"/>
        <v>7418.75</v>
      </c>
    </row>
    <row r="4791" spans="1:5" x14ac:dyDescent="0.25">
      <c r="A4791" t="s">
        <v>3</v>
      </c>
      <c r="B4791">
        <v>1200117</v>
      </c>
      <c r="C4791">
        <v>15350</v>
      </c>
      <c r="D4791" s="4">
        <f>+VLOOKUP(A4791,Portfolio!$G$3:$I$6,3)</f>
        <v>0.5</v>
      </c>
      <c r="E4791">
        <f t="shared" si="74"/>
        <v>7675</v>
      </c>
    </row>
    <row r="4792" spans="1:5" x14ac:dyDescent="0.25">
      <c r="A4792" t="s">
        <v>3</v>
      </c>
      <c r="B4792">
        <v>1200119</v>
      </c>
      <c r="C4792">
        <v>15612.5</v>
      </c>
      <c r="D4792" s="4">
        <f>+VLOOKUP(A4792,Portfolio!$G$3:$I$6,3)</f>
        <v>0.5</v>
      </c>
      <c r="E4792">
        <f t="shared" si="74"/>
        <v>7806.25</v>
      </c>
    </row>
    <row r="4793" spans="1:5" x14ac:dyDescent="0.25">
      <c r="A4793" t="s">
        <v>3</v>
      </c>
      <c r="B4793">
        <v>1200120</v>
      </c>
      <c r="C4793">
        <v>15612.5</v>
      </c>
      <c r="D4793" s="4">
        <f>+VLOOKUP(A4793,Portfolio!$G$3:$I$6,3)</f>
        <v>0.5</v>
      </c>
      <c r="E4793">
        <f t="shared" si="74"/>
        <v>7806.25</v>
      </c>
    </row>
    <row r="4794" spans="1:5" x14ac:dyDescent="0.25">
      <c r="A4794" t="s">
        <v>3</v>
      </c>
      <c r="B4794">
        <v>1200121</v>
      </c>
      <c r="C4794">
        <v>15612.5</v>
      </c>
      <c r="D4794" s="4">
        <f>+VLOOKUP(A4794,Portfolio!$G$3:$I$6,3)</f>
        <v>0.5</v>
      </c>
      <c r="E4794">
        <f t="shared" si="74"/>
        <v>7806.25</v>
      </c>
    </row>
    <row r="4795" spans="1:5" x14ac:dyDescent="0.25">
      <c r="A4795" t="s">
        <v>3</v>
      </c>
      <c r="B4795">
        <v>1200122</v>
      </c>
      <c r="C4795">
        <v>16200</v>
      </c>
      <c r="D4795" s="4">
        <f>+VLOOKUP(A4795,Portfolio!$G$3:$I$6,3)</f>
        <v>0.5</v>
      </c>
      <c r="E4795">
        <f t="shared" si="74"/>
        <v>8100</v>
      </c>
    </row>
    <row r="4796" spans="1:5" x14ac:dyDescent="0.25">
      <c r="A4796" t="s">
        <v>3</v>
      </c>
      <c r="B4796">
        <v>1200123</v>
      </c>
      <c r="C4796">
        <v>16575</v>
      </c>
      <c r="D4796" s="4">
        <f>+VLOOKUP(A4796,Portfolio!$G$3:$I$6,3)</f>
        <v>0.5</v>
      </c>
      <c r="E4796">
        <f t="shared" si="74"/>
        <v>8287.5</v>
      </c>
    </row>
    <row r="4797" spans="1:5" x14ac:dyDescent="0.25">
      <c r="A4797" t="s">
        <v>3</v>
      </c>
      <c r="B4797">
        <v>1200124</v>
      </c>
      <c r="C4797">
        <v>17175</v>
      </c>
      <c r="D4797" s="4">
        <f>+VLOOKUP(A4797,Portfolio!$G$3:$I$6,3)</f>
        <v>0.5</v>
      </c>
      <c r="E4797">
        <f t="shared" si="74"/>
        <v>8587.5</v>
      </c>
    </row>
    <row r="4798" spans="1:5" x14ac:dyDescent="0.25">
      <c r="A4798" t="s">
        <v>3</v>
      </c>
      <c r="B4798">
        <v>1200126</v>
      </c>
      <c r="C4798">
        <v>20212.5</v>
      </c>
      <c r="D4798" s="4">
        <f>+VLOOKUP(A4798,Portfolio!$G$3:$I$6,3)</f>
        <v>0.5</v>
      </c>
      <c r="E4798">
        <f t="shared" si="74"/>
        <v>10106.25</v>
      </c>
    </row>
    <row r="4799" spans="1:5" x14ac:dyDescent="0.25">
      <c r="A4799" t="s">
        <v>3</v>
      </c>
      <c r="B4799">
        <v>1200127</v>
      </c>
      <c r="C4799">
        <v>20187.5</v>
      </c>
      <c r="D4799" s="4">
        <f>+VLOOKUP(A4799,Portfolio!$G$3:$I$6,3)</f>
        <v>0.5</v>
      </c>
      <c r="E4799">
        <f t="shared" si="74"/>
        <v>10093.75</v>
      </c>
    </row>
    <row r="4800" spans="1:5" x14ac:dyDescent="0.25">
      <c r="A4800" t="s">
        <v>3</v>
      </c>
      <c r="B4800">
        <v>1200128</v>
      </c>
      <c r="C4800">
        <v>20737.5</v>
      </c>
      <c r="D4800" s="4">
        <f>+VLOOKUP(A4800,Portfolio!$G$3:$I$6,3)</f>
        <v>0.5</v>
      </c>
      <c r="E4800">
        <f t="shared" si="74"/>
        <v>10368.75</v>
      </c>
    </row>
    <row r="4801" spans="1:5" x14ac:dyDescent="0.25">
      <c r="A4801" t="s">
        <v>3</v>
      </c>
      <c r="B4801">
        <v>1200129</v>
      </c>
      <c r="C4801">
        <v>21887.5</v>
      </c>
      <c r="D4801" s="4">
        <f>+VLOOKUP(A4801,Portfolio!$G$3:$I$6,3)</f>
        <v>0.5</v>
      </c>
      <c r="E4801">
        <f t="shared" si="74"/>
        <v>10943.75</v>
      </c>
    </row>
    <row r="4802" spans="1:5" x14ac:dyDescent="0.25">
      <c r="A4802" t="s">
        <v>3</v>
      </c>
      <c r="B4802">
        <v>1200130</v>
      </c>
      <c r="C4802">
        <v>18862.5</v>
      </c>
      <c r="D4802" s="4">
        <f>+VLOOKUP(A4802,Portfolio!$G$3:$I$6,3)</f>
        <v>0.5</v>
      </c>
      <c r="E4802">
        <f t="shared" si="74"/>
        <v>9431.25</v>
      </c>
    </row>
    <row r="4803" spans="1:5" x14ac:dyDescent="0.25">
      <c r="A4803" t="s">
        <v>3</v>
      </c>
      <c r="B4803">
        <v>1200131</v>
      </c>
      <c r="C4803">
        <v>20287.5</v>
      </c>
      <c r="D4803" s="4">
        <f>+VLOOKUP(A4803,Portfolio!$G$3:$I$6,3)</f>
        <v>0.5</v>
      </c>
      <c r="E4803">
        <f t="shared" ref="E4803:E4866" si="75">+C4803*D4803</f>
        <v>10143.75</v>
      </c>
    </row>
    <row r="4804" spans="1:5" x14ac:dyDescent="0.25">
      <c r="A4804" t="s">
        <v>3</v>
      </c>
      <c r="B4804">
        <v>1200202</v>
      </c>
      <c r="C4804">
        <v>21675</v>
      </c>
      <c r="D4804" s="4">
        <f>+VLOOKUP(A4804,Portfolio!$G$3:$I$6,3)</f>
        <v>0.5</v>
      </c>
      <c r="E4804">
        <f t="shared" si="75"/>
        <v>10837.5</v>
      </c>
    </row>
    <row r="4805" spans="1:5" x14ac:dyDescent="0.25">
      <c r="A4805" t="s">
        <v>3</v>
      </c>
      <c r="B4805">
        <v>1200203</v>
      </c>
      <c r="C4805">
        <v>20900</v>
      </c>
      <c r="D4805" s="4">
        <f>+VLOOKUP(A4805,Portfolio!$G$3:$I$6,3)</f>
        <v>0.5</v>
      </c>
      <c r="E4805">
        <f t="shared" si="75"/>
        <v>10450</v>
      </c>
    </row>
    <row r="4806" spans="1:5" x14ac:dyDescent="0.25">
      <c r="A4806" t="s">
        <v>3</v>
      </c>
      <c r="B4806">
        <v>1200204</v>
      </c>
      <c r="C4806">
        <v>20825</v>
      </c>
      <c r="D4806" s="4">
        <f>+VLOOKUP(A4806,Portfolio!$G$3:$I$6,3)</f>
        <v>0.5</v>
      </c>
      <c r="E4806">
        <f t="shared" si="75"/>
        <v>10412.5</v>
      </c>
    </row>
    <row r="4807" spans="1:5" x14ac:dyDescent="0.25">
      <c r="A4807" t="s">
        <v>3</v>
      </c>
      <c r="B4807">
        <v>1200205</v>
      </c>
      <c r="C4807">
        <v>22037.5</v>
      </c>
      <c r="D4807" s="4">
        <f>+VLOOKUP(A4807,Portfolio!$G$3:$I$6,3)</f>
        <v>0.5</v>
      </c>
      <c r="E4807">
        <f t="shared" si="75"/>
        <v>11018.75</v>
      </c>
    </row>
    <row r="4808" spans="1:5" x14ac:dyDescent="0.25">
      <c r="A4808" t="s">
        <v>3</v>
      </c>
      <c r="B4808">
        <v>1200206</v>
      </c>
      <c r="C4808">
        <v>24912.5</v>
      </c>
      <c r="D4808" s="4">
        <f>+VLOOKUP(A4808,Portfolio!$G$3:$I$6,3)</f>
        <v>0.5</v>
      </c>
      <c r="E4808">
        <f t="shared" si="75"/>
        <v>12456.25</v>
      </c>
    </row>
    <row r="4809" spans="1:5" x14ac:dyDescent="0.25">
      <c r="A4809" t="s">
        <v>3</v>
      </c>
      <c r="B4809">
        <v>1200207</v>
      </c>
      <c r="C4809">
        <v>24462.5</v>
      </c>
      <c r="D4809" s="4">
        <f>+VLOOKUP(A4809,Portfolio!$G$3:$I$6,3)</f>
        <v>0.5</v>
      </c>
      <c r="E4809">
        <f t="shared" si="75"/>
        <v>12231.25</v>
      </c>
    </row>
    <row r="4810" spans="1:5" x14ac:dyDescent="0.25">
      <c r="A4810" t="s">
        <v>3</v>
      </c>
      <c r="B4810">
        <v>1200209</v>
      </c>
      <c r="C4810">
        <v>25112.5</v>
      </c>
      <c r="D4810" s="4">
        <f>+VLOOKUP(A4810,Portfolio!$G$3:$I$6,3)</f>
        <v>0.5</v>
      </c>
      <c r="E4810">
        <f t="shared" si="75"/>
        <v>12556.25</v>
      </c>
    </row>
    <row r="4811" spans="1:5" x14ac:dyDescent="0.25">
      <c r="A4811" t="s">
        <v>3</v>
      </c>
      <c r="B4811">
        <v>1200210</v>
      </c>
      <c r="C4811">
        <v>24262.5</v>
      </c>
      <c r="D4811" s="4">
        <f>+VLOOKUP(A4811,Portfolio!$G$3:$I$6,3)</f>
        <v>0.5</v>
      </c>
      <c r="E4811">
        <f t="shared" si="75"/>
        <v>12131.25</v>
      </c>
    </row>
    <row r="4812" spans="1:5" x14ac:dyDescent="0.25">
      <c r="A4812" t="s">
        <v>3</v>
      </c>
      <c r="B4812">
        <v>1200211</v>
      </c>
      <c r="C4812">
        <v>25550</v>
      </c>
      <c r="D4812" s="4">
        <f>+VLOOKUP(A4812,Portfolio!$G$3:$I$6,3)</f>
        <v>0.5</v>
      </c>
      <c r="E4812">
        <f t="shared" si="75"/>
        <v>12775</v>
      </c>
    </row>
    <row r="4813" spans="1:5" x14ac:dyDescent="0.25">
      <c r="A4813" t="s">
        <v>3</v>
      </c>
      <c r="B4813">
        <v>1200212</v>
      </c>
      <c r="C4813">
        <v>25450</v>
      </c>
      <c r="D4813" s="4">
        <f>+VLOOKUP(A4813,Portfolio!$G$3:$I$6,3)</f>
        <v>0.5</v>
      </c>
      <c r="E4813">
        <f t="shared" si="75"/>
        <v>12725</v>
      </c>
    </row>
    <row r="4814" spans="1:5" x14ac:dyDescent="0.25">
      <c r="A4814" t="s">
        <v>3</v>
      </c>
      <c r="B4814">
        <v>1200213</v>
      </c>
      <c r="C4814">
        <v>25475</v>
      </c>
      <c r="D4814" s="4">
        <f>+VLOOKUP(A4814,Portfolio!$G$3:$I$6,3)</f>
        <v>0.5</v>
      </c>
      <c r="E4814">
        <f t="shared" si="75"/>
        <v>12737.5</v>
      </c>
    </row>
    <row r="4815" spans="1:5" x14ac:dyDescent="0.25">
      <c r="A4815" t="s">
        <v>3</v>
      </c>
      <c r="B4815">
        <v>1200214</v>
      </c>
      <c r="C4815">
        <v>25750</v>
      </c>
      <c r="D4815" s="4">
        <f>+VLOOKUP(A4815,Portfolio!$G$3:$I$6,3)</f>
        <v>0.5</v>
      </c>
      <c r="E4815">
        <f t="shared" si="75"/>
        <v>12875</v>
      </c>
    </row>
    <row r="4816" spans="1:5" x14ac:dyDescent="0.25">
      <c r="A4816" t="s">
        <v>3</v>
      </c>
      <c r="B4816">
        <v>1200216</v>
      </c>
      <c r="C4816">
        <v>24987.5</v>
      </c>
      <c r="D4816" s="4">
        <f>+VLOOKUP(A4816,Portfolio!$G$3:$I$6,3)</f>
        <v>0.5</v>
      </c>
      <c r="E4816">
        <f t="shared" si="75"/>
        <v>12493.75</v>
      </c>
    </row>
    <row r="4817" spans="1:5" x14ac:dyDescent="0.25">
      <c r="A4817" t="s">
        <v>3</v>
      </c>
      <c r="B4817">
        <v>1200217</v>
      </c>
      <c r="C4817">
        <v>24900</v>
      </c>
      <c r="D4817" s="4">
        <f>+VLOOKUP(A4817,Portfolio!$G$3:$I$6,3)</f>
        <v>0.5</v>
      </c>
      <c r="E4817">
        <f t="shared" si="75"/>
        <v>12450</v>
      </c>
    </row>
    <row r="4818" spans="1:5" x14ac:dyDescent="0.25">
      <c r="A4818" t="s">
        <v>3</v>
      </c>
      <c r="B4818">
        <v>1200218</v>
      </c>
      <c r="C4818">
        <v>25237.5</v>
      </c>
      <c r="D4818" s="4">
        <f>+VLOOKUP(A4818,Portfolio!$G$3:$I$6,3)</f>
        <v>0.5</v>
      </c>
      <c r="E4818">
        <f t="shared" si="75"/>
        <v>12618.75</v>
      </c>
    </row>
    <row r="4819" spans="1:5" x14ac:dyDescent="0.25">
      <c r="A4819" t="s">
        <v>3</v>
      </c>
      <c r="B4819">
        <v>1200219</v>
      </c>
      <c r="C4819">
        <v>25037.5</v>
      </c>
      <c r="D4819" s="4">
        <f>+VLOOKUP(A4819,Portfolio!$G$3:$I$6,3)</f>
        <v>0.5</v>
      </c>
      <c r="E4819">
        <f t="shared" si="75"/>
        <v>12518.75</v>
      </c>
    </row>
    <row r="4820" spans="1:5" x14ac:dyDescent="0.25">
      <c r="A4820" t="s">
        <v>3</v>
      </c>
      <c r="B4820">
        <v>1200220</v>
      </c>
      <c r="C4820">
        <v>24862.5</v>
      </c>
      <c r="D4820" s="4">
        <f>+VLOOKUP(A4820,Portfolio!$G$3:$I$6,3)</f>
        <v>0.5</v>
      </c>
      <c r="E4820">
        <f t="shared" si="75"/>
        <v>12431.25</v>
      </c>
    </row>
    <row r="4821" spans="1:5" x14ac:dyDescent="0.25">
      <c r="A4821" t="s">
        <v>3</v>
      </c>
      <c r="B4821">
        <v>1200221</v>
      </c>
      <c r="C4821">
        <v>25500</v>
      </c>
      <c r="D4821" s="4">
        <f>+VLOOKUP(A4821,Portfolio!$G$3:$I$6,3)</f>
        <v>0.5</v>
      </c>
      <c r="E4821">
        <f t="shared" si="75"/>
        <v>12750</v>
      </c>
    </row>
    <row r="4822" spans="1:5" x14ac:dyDescent="0.25">
      <c r="A4822" t="s">
        <v>3</v>
      </c>
      <c r="B4822">
        <v>1200223</v>
      </c>
      <c r="C4822">
        <v>28025</v>
      </c>
      <c r="D4822" s="4">
        <f>+VLOOKUP(A4822,Portfolio!$G$3:$I$6,3)</f>
        <v>0.5</v>
      </c>
      <c r="E4822">
        <f t="shared" si="75"/>
        <v>14012.5</v>
      </c>
    </row>
    <row r="4823" spans="1:5" x14ac:dyDescent="0.25">
      <c r="A4823" t="s">
        <v>3</v>
      </c>
      <c r="B4823">
        <v>1200224</v>
      </c>
      <c r="C4823">
        <v>28400</v>
      </c>
      <c r="D4823" s="4">
        <f>+VLOOKUP(A4823,Portfolio!$G$3:$I$6,3)</f>
        <v>0.5</v>
      </c>
      <c r="E4823">
        <f t="shared" si="75"/>
        <v>14200</v>
      </c>
    </row>
    <row r="4824" spans="1:5" x14ac:dyDescent="0.25">
      <c r="A4824" t="s">
        <v>3</v>
      </c>
      <c r="B4824">
        <v>1200225</v>
      </c>
      <c r="C4824">
        <v>30525</v>
      </c>
      <c r="D4824" s="4">
        <f>+VLOOKUP(A4824,Portfolio!$G$3:$I$6,3)</f>
        <v>0.5</v>
      </c>
      <c r="E4824">
        <f t="shared" si="75"/>
        <v>15262.5</v>
      </c>
    </row>
    <row r="4825" spans="1:5" x14ac:dyDescent="0.25">
      <c r="A4825" t="s">
        <v>3</v>
      </c>
      <c r="B4825">
        <v>1200226</v>
      </c>
      <c r="C4825">
        <v>34025</v>
      </c>
      <c r="D4825" s="4">
        <f>+VLOOKUP(A4825,Portfolio!$G$3:$I$6,3)</f>
        <v>0.5</v>
      </c>
      <c r="E4825">
        <f t="shared" si="75"/>
        <v>17012.5</v>
      </c>
    </row>
    <row r="4826" spans="1:5" x14ac:dyDescent="0.25">
      <c r="A4826" t="s">
        <v>3</v>
      </c>
      <c r="B4826">
        <v>1200227</v>
      </c>
      <c r="C4826">
        <v>27500</v>
      </c>
      <c r="D4826" s="4">
        <f>+VLOOKUP(A4826,Portfolio!$G$3:$I$6,3)</f>
        <v>0.5</v>
      </c>
      <c r="E4826">
        <f t="shared" si="75"/>
        <v>13750</v>
      </c>
    </row>
    <row r="4827" spans="1:5" x14ac:dyDescent="0.25">
      <c r="A4827" t="s">
        <v>3</v>
      </c>
      <c r="B4827">
        <v>1200228</v>
      </c>
      <c r="C4827">
        <v>31637.5</v>
      </c>
      <c r="D4827" s="4">
        <f>+VLOOKUP(A4827,Portfolio!$G$3:$I$6,3)</f>
        <v>0.5</v>
      </c>
      <c r="E4827">
        <f t="shared" si="75"/>
        <v>15818.75</v>
      </c>
    </row>
    <row r="4828" spans="1:5" x14ac:dyDescent="0.25">
      <c r="A4828" t="s">
        <v>3</v>
      </c>
      <c r="B4828">
        <v>1200301</v>
      </c>
      <c r="C4828">
        <v>31562.5</v>
      </c>
      <c r="D4828" s="4">
        <f>+VLOOKUP(A4828,Portfolio!$G$3:$I$6,3)</f>
        <v>0.5</v>
      </c>
      <c r="E4828">
        <f t="shared" si="75"/>
        <v>15781.25</v>
      </c>
    </row>
    <row r="4829" spans="1:5" x14ac:dyDescent="0.25">
      <c r="A4829" t="s">
        <v>3</v>
      </c>
      <c r="B4829">
        <v>1200302</v>
      </c>
      <c r="C4829">
        <v>31562.5</v>
      </c>
      <c r="D4829" s="4">
        <f>+VLOOKUP(A4829,Portfolio!$G$3:$I$6,3)</f>
        <v>0.5</v>
      </c>
      <c r="E4829">
        <f t="shared" si="75"/>
        <v>15781.25</v>
      </c>
    </row>
    <row r="4830" spans="1:5" x14ac:dyDescent="0.25">
      <c r="A4830" t="s">
        <v>3</v>
      </c>
      <c r="B4830">
        <v>1200303</v>
      </c>
      <c r="C4830">
        <v>33237.5</v>
      </c>
      <c r="D4830" s="4">
        <f>+VLOOKUP(A4830,Portfolio!$G$3:$I$6,3)</f>
        <v>0.5</v>
      </c>
      <c r="E4830">
        <f t="shared" si="75"/>
        <v>16618.75</v>
      </c>
    </row>
    <row r="4831" spans="1:5" x14ac:dyDescent="0.25">
      <c r="A4831" t="s">
        <v>3</v>
      </c>
      <c r="B4831">
        <v>1200304</v>
      </c>
      <c r="C4831">
        <v>33250</v>
      </c>
      <c r="D4831" s="4">
        <f>+VLOOKUP(A4831,Portfolio!$G$3:$I$6,3)</f>
        <v>0.5</v>
      </c>
      <c r="E4831">
        <f t="shared" si="75"/>
        <v>16625</v>
      </c>
    </row>
    <row r="4832" spans="1:5" x14ac:dyDescent="0.25">
      <c r="A4832" t="s">
        <v>3</v>
      </c>
      <c r="B4832">
        <v>1200305</v>
      </c>
      <c r="C4832">
        <v>32700</v>
      </c>
      <c r="D4832" s="4">
        <f>+VLOOKUP(A4832,Portfolio!$G$3:$I$6,3)</f>
        <v>0.5</v>
      </c>
      <c r="E4832">
        <f t="shared" si="75"/>
        <v>16350</v>
      </c>
    </row>
    <row r="4833" spans="1:5" x14ac:dyDescent="0.25">
      <c r="A4833" t="s">
        <v>3</v>
      </c>
      <c r="B4833">
        <v>1200306</v>
      </c>
      <c r="C4833">
        <v>31912.5</v>
      </c>
      <c r="D4833" s="4">
        <f>+VLOOKUP(A4833,Portfolio!$G$3:$I$6,3)</f>
        <v>0.5</v>
      </c>
      <c r="E4833">
        <f t="shared" si="75"/>
        <v>15956.25</v>
      </c>
    </row>
    <row r="4834" spans="1:5" x14ac:dyDescent="0.25">
      <c r="A4834" t="s">
        <v>3</v>
      </c>
      <c r="B4834">
        <v>1200308</v>
      </c>
      <c r="C4834">
        <v>37475</v>
      </c>
      <c r="D4834" s="4">
        <f>+VLOOKUP(A4834,Portfolio!$G$3:$I$6,3)</f>
        <v>0.5</v>
      </c>
      <c r="E4834">
        <f t="shared" si="75"/>
        <v>18737.5</v>
      </c>
    </row>
    <row r="4835" spans="1:5" x14ac:dyDescent="0.25">
      <c r="A4835" t="s">
        <v>3</v>
      </c>
      <c r="B4835">
        <v>1200309</v>
      </c>
      <c r="C4835">
        <v>38537.5</v>
      </c>
      <c r="D4835" s="4">
        <f>+VLOOKUP(A4835,Portfolio!$G$3:$I$6,3)</f>
        <v>0.5</v>
      </c>
      <c r="E4835">
        <f t="shared" si="75"/>
        <v>19268.75</v>
      </c>
    </row>
    <row r="4836" spans="1:5" x14ac:dyDescent="0.25">
      <c r="A4836" t="s">
        <v>3</v>
      </c>
      <c r="B4836">
        <v>1200310</v>
      </c>
      <c r="C4836">
        <v>37912.5</v>
      </c>
      <c r="D4836" s="4">
        <f>+VLOOKUP(A4836,Portfolio!$G$3:$I$6,3)</f>
        <v>0.5</v>
      </c>
      <c r="E4836">
        <f t="shared" si="75"/>
        <v>18956.25</v>
      </c>
    </row>
    <row r="4837" spans="1:5" x14ac:dyDescent="0.25">
      <c r="A4837" t="s">
        <v>3</v>
      </c>
      <c r="B4837">
        <v>1200311</v>
      </c>
      <c r="C4837">
        <v>36337.5</v>
      </c>
      <c r="D4837" s="4">
        <f>+VLOOKUP(A4837,Portfolio!$G$3:$I$6,3)</f>
        <v>0.5</v>
      </c>
      <c r="E4837">
        <f t="shared" si="75"/>
        <v>18168.75</v>
      </c>
    </row>
    <row r="4838" spans="1:5" x14ac:dyDescent="0.25">
      <c r="A4838" t="s">
        <v>3</v>
      </c>
      <c r="B4838">
        <v>1200312</v>
      </c>
      <c r="C4838">
        <v>43025</v>
      </c>
      <c r="D4838" s="4">
        <f>+VLOOKUP(A4838,Portfolio!$G$3:$I$6,3)</f>
        <v>0.5</v>
      </c>
      <c r="E4838">
        <f t="shared" si="75"/>
        <v>21512.5</v>
      </c>
    </row>
    <row r="4839" spans="1:5" x14ac:dyDescent="0.25">
      <c r="A4839" t="s">
        <v>3</v>
      </c>
      <c r="B4839">
        <v>1200313</v>
      </c>
      <c r="C4839">
        <v>47825</v>
      </c>
      <c r="D4839" s="4">
        <f>+VLOOKUP(A4839,Portfolio!$G$3:$I$6,3)</f>
        <v>0.5</v>
      </c>
      <c r="E4839">
        <f t="shared" si="75"/>
        <v>23912.5</v>
      </c>
    </row>
    <row r="4840" spans="1:5" x14ac:dyDescent="0.25">
      <c r="A4840" t="s">
        <v>3</v>
      </c>
      <c r="B4840">
        <v>1200315</v>
      </c>
      <c r="C4840">
        <v>47825</v>
      </c>
      <c r="D4840" s="4">
        <f>+VLOOKUP(A4840,Portfolio!$G$3:$I$6,3)</f>
        <v>0.5</v>
      </c>
      <c r="E4840">
        <f t="shared" si="75"/>
        <v>23912.5</v>
      </c>
    </row>
    <row r="4841" spans="1:5" x14ac:dyDescent="0.25">
      <c r="A4841" t="s">
        <v>3</v>
      </c>
      <c r="B4841">
        <v>1200316</v>
      </c>
      <c r="C4841">
        <v>47825</v>
      </c>
      <c r="D4841" s="4">
        <f>+VLOOKUP(A4841,Portfolio!$G$3:$I$6,3)</f>
        <v>0.5</v>
      </c>
      <c r="E4841">
        <f t="shared" si="75"/>
        <v>23912.5</v>
      </c>
    </row>
    <row r="4842" spans="1:5" x14ac:dyDescent="0.25">
      <c r="A4842" t="s">
        <v>3</v>
      </c>
      <c r="B4842">
        <v>1200317</v>
      </c>
      <c r="C4842">
        <v>47825</v>
      </c>
      <c r="D4842" s="4">
        <f>+VLOOKUP(A4842,Portfolio!$G$3:$I$6,3)</f>
        <v>0.5</v>
      </c>
      <c r="E4842">
        <f t="shared" si="75"/>
        <v>23912.5</v>
      </c>
    </row>
    <row r="4843" spans="1:5" x14ac:dyDescent="0.25">
      <c r="A4843" t="s">
        <v>3</v>
      </c>
      <c r="B4843">
        <v>1200318</v>
      </c>
      <c r="C4843">
        <v>36012.5</v>
      </c>
      <c r="D4843" s="4">
        <f>+VLOOKUP(A4843,Portfolio!$G$3:$I$6,3)</f>
        <v>0.5</v>
      </c>
      <c r="E4843">
        <f t="shared" si="75"/>
        <v>18006.25</v>
      </c>
    </row>
    <row r="4844" spans="1:5" x14ac:dyDescent="0.25">
      <c r="A4844" t="s">
        <v>3</v>
      </c>
      <c r="B4844">
        <v>1200319</v>
      </c>
      <c r="C4844">
        <v>35612.5</v>
      </c>
      <c r="D4844" s="4">
        <f>+VLOOKUP(A4844,Portfolio!$G$3:$I$6,3)</f>
        <v>0.5</v>
      </c>
      <c r="E4844">
        <f t="shared" si="75"/>
        <v>17806.25</v>
      </c>
    </row>
    <row r="4845" spans="1:5" x14ac:dyDescent="0.25">
      <c r="A4845" t="s">
        <v>3</v>
      </c>
      <c r="B4845">
        <v>1200320</v>
      </c>
      <c r="C4845">
        <v>28575</v>
      </c>
      <c r="D4845" s="4">
        <f>+VLOOKUP(A4845,Portfolio!$G$3:$I$6,3)</f>
        <v>0.5</v>
      </c>
      <c r="E4845">
        <f t="shared" si="75"/>
        <v>14287.5</v>
      </c>
    </row>
    <row r="4846" spans="1:5" x14ac:dyDescent="0.25">
      <c r="A4846" t="s">
        <v>3</v>
      </c>
      <c r="B4846">
        <v>1200322</v>
      </c>
      <c r="C4846">
        <v>36662.5</v>
      </c>
      <c r="D4846" s="4">
        <f>+VLOOKUP(A4846,Portfolio!$G$3:$I$6,3)</f>
        <v>0.5</v>
      </c>
      <c r="E4846">
        <f t="shared" si="75"/>
        <v>18331.25</v>
      </c>
    </row>
    <row r="4847" spans="1:5" x14ac:dyDescent="0.25">
      <c r="A4847" t="s">
        <v>3</v>
      </c>
      <c r="B4847">
        <v>1200323</v>
      </c>
      <c r="C4847">
        <v>34862.5</v>
      </c>
      <c r="D4847" s="4">
        <f>+VLOOKUP(A4847,Portfolio!$G$3:$I$6,3)</f>
        <v>0.5</v>
      </c>
      <c r="E4847">
        <f t="shared" si="75"/>
        <v>17431.25</v>
      </c>
    </row>
    <row r="4848" spans="1:5" x14ac:dyDescent="0.25">
      <c r="A4848" t="s">
        <v>3</v>
      </c>
      <c r="B4848">
        <v>1200324</v>
      </c>
      <c r="C4848">
        <v>34075</v>
      </c>
      <c r="D4848" s="4">
        <f>+VLOOKUP(A4848,Portfolio!$G$3:$I$6,3)</f>
        <v>0.5</v>
      </c>
      <c r="E4848">
        <f t="shared" si="75"/>
        <v>17037.5</v>
      </c>
    </row>
    <row r="4849" spans="1:5" x14ac:dyDescent="0.25">
      <c r="A4849" t="s">
        <v>3</v>
      </c>
      <c r="B4849">
        <v>1200325</v>
      </c>
      <c r="C4849">
        <v>36575</v>
      </c>
      <c r="D4849" s="4">
        <f>+VLOOKUP(A4849,Portfolio!$G$3:$I$6,3)</f>
        <v>0.5</v>
      </c>
      <c r="E4849">
        <f t="shared" si="75"/>
        <v>18287.5</v>
      </c>
    </row>
    <row r="4850" spans="1:5" x14ac:dyDescent="0.25">
      <c r="A4850" t="s">
        <v>3</v>
      </c>
      <c r="B4850">
        <v>1200326</v>
      </c>
      <c r="C4850">
        <v>35437.5</v>
      </c>
      <c r="D4850" s="4">
        <f>+VLOOKUP(A4850,Portfolio!$G$3:$I$6,3)</f>
        <v>0.5</v>
      </c>
      <c r="E4850">
        <f t="shared" si="75"/>
        <v>17718.75</v>
      </c>
    </row>
    <row r="4851" spans="1:5" x14ac:dyDescent="0.25">
      <c r="A4851" t="s">
        <v>3</v>
      </c>
      <c r="B4851">
        <v>1200327</v>
      </c>
      <c r="C4851">
        <v>40987.5</v>
      </c>
      <c r="D4851" s="4">
        <f>+VLOOKUP(A4851,Portfolio!$G$3:$I$6,3)</f>
        <v>0.5</v>
      </c>
      <c r="E4851">
        <f t="shared" si="75"/>
        <v>20493.75</v>
      </c>
    </row>
    <row r="4852" spans="1:5" x14ac:dyDescent="0.25">
      <c r="A4852" t="s">
        <v>3</v>
      </c>
      <c r="B4852">
        <v>1200329</v>
      </c>
      <c r="C4852">
        <v>39587.5</v>
      </c>
      <c r="D4852" s="4">
        <f>+VLOOKUP(A4852,Portfolio!$G$3:$I$6,3)</f>
        <v>0.5</v>
      </c>
      <c r="E4852">
        <f t="shared" si="75"/>
        <v>19793.75</v>
      </c>
    </row>
    <row r="4853" spans="1:5" x14ac:dyDescent="0.25">
      <c r="A4853" t="s">
        <v>3</v>
      </c>
      <c r="B4853">
        <v>1200330</v>
      </c>
      <c r="C4853">
        <v>39587.5</v>
      </c>
      <c r="D4853" s="4">
        <f>+VLOOKUP(A4853,Portfolio!$G$3:$I$6,3)</f>
        <v>0.5</v>
      </c>
      <c r="E4853">
        <f t="shared" si="75"/>
        <v>19793.75</v>
      </c>
    </row>
    <row r="4854" spans="1:5" x14ac:dyDescent="0.25">
      <c r="A4854" t="s">
        <v>3</v>
      </c>
      <c r="B4854">
        <v>1200331</v>
      </c>
      <c r="C4854">
        <v>41312.5</v>
      </c>
      <c r="D4854" s="4">
        <f>+VLOOKUP(A4854,Portfolio!$G$3:$I$6,3)</f>
        <v>0.5</v>
      </c>
      <c r="E4854">
        <f t="shared" si="75"/>
        <v>20656.25</v>
      </c>
    </row>
    <row r="4855" spans="1:5" x14ac:dyDescent="0.25">
      <c r="A4855" t="s">
        <v>3</v>
      </c>
      <c r="B4855">
        <v>1200401</v>
      </c>
      <c r="C4855">
        <v>42225</v>
      </c>
      <c r="D4855" s="4">
        <f>+VLOOKUP(A4855,Portfolio!$G$3:$I$6,3)</f>
        <v>0.5</v>
      </c>
      <c r="E4855">
        <f t="shared" si="75"/>
        <v>21112.5</v>
      </c>
    </row>
    <row r="4856" spans="1:5" x14ac:dyDescent="0.25">
      <c r="A4856" t="s">
        <v>3</v>
      </c>
      <c r="B4856">
        <v>1200402</v>
      </c>
      <c r="C4856">
        <v>41600</v>
      </c>
      <c r="D4856" s="4">
        <f>+VLOOKUP(A4856,Portfolio!$G$3:$I$6,3)</f>
        <v>0.5</v>
      </c>
      <c r="E4856">
        <f t="shared" si="75"/>
        <v>20800</v>
      </c>
    </row>
    <row r="4857" spans="1:5" x14ac:dyDescent="0.25">
      <c r="A4857" t="s">
        <v>3</v>
      </c>
      <c r="B4857">
        <v>1200403</v>
      </c>
      <c r="C4857">
        <v>39575</v>
      </c>
      <c r="D4857" s="4">
        <f>+VLOOKUP(A4857,Portfolio!$G$3:$I$6,3)</f>
        <v>0.5</v>
      </c>
      <c r="E4857">
        <f t="shared" si="75"/>
        <v>19787.5</v>
      </c>
    </row>
    <row r="4858" spans="1:5" x14ac:dyDescent="0.25">
      <c r="A4858" t="s">
        <v>3</v>
      </c>
      <c r="B4858">
        <v>1200405</v>
      </c>
      <c r="C4858">
        <v>37100</v>
      </c>
      <c r="D4858" s="4">
        <f>+VLOOKUP(A4858,Portfolio!$G$3:$I$6,3)</f>
        <v>0.5</v>
      </c>
      <c r="E4858">
        <f t="shared" si="75"/>
        <v>18550</v>
      </c>
    </row>
    <row r="4859" spans="1:5" x14ac:dyDescent="0.25">
      <c r="A4859" t="s">
        <v>3</v>
      </c>
      <c r="B4859">
        <v>1200406</v>
      </c>
      <c r="C4859">
        <v>34362.5</v>
      </c>
      <c r="D4859" s="4">
        <f>+VLOOKUP(A4859,Portfolio!$G$3:$I$6,3)</f>
        <v>0.5</v>
      </c>
      <c r="E4859">
        <f t="shared" si="75"/>
        <v>17181.25</v>
      </c>
    </row>
    <row r="4860" spans="1:5" x14ac:dyDescent="0.25">
      <c r="A4860" t="s">
        <v>3</v>
      </c>
      <c r="B4860">
        <v>1200407</v>
      </c>
      <c r="C4860">
        <v>35175</v>
      </c>
      <c r="D4860" s="4">
        <f>+VLOOKUP(A4860,Portfolio!$G$3:$I$6,3)</f>
        <v>0.5</v>
      </c>
      <c r="E4860">
        <f t="shared" si="75"/>
        <v>17587.5</v>
      </c>
    </row>
    <row r="4861" spans="1:5" x14ac:dyDescent="0.25">
      <c r="A4861" t="s">
        <v>3</v>
      </c>
      <c r="B4861">
        <v>1200408</v>
      </c>
      <c r="C4861">
        <v>38600</v>
      </c>
      <c r="D4861" s="4">
        <f>+VLOOKUP(A4861,Portfolio!$G$3:$I$6,3)</f>
        <v>0.5</v>
      </c>
      <c r="E4861">
        <f t="shared" si="75"/>
        <v>19300</v>
      </c>
    </row>
    <row r="4862" spans="1:5" x14ac:dyDescent="0.25">
      <c r="A4862" t="s">
        <v>3</v>
      </c>
      <c r="B4862">
        <v>1200409</v>
      </c>
      <c r="C4862">
        <v>41312.5</v>
      </c>
      <c r="D4862" s="4">
        <f>+VLOOKUP(A4862,Portfolio!$G$3:$I$6,3)</f>
        <v>0.5</v>
      </c>
      <c r="E4862">
        <f t="shared" si="75"/>
        <v>20656.25</v>
      </c>
    </row>
    <row r="4863" spans="1:5" x14ac:dyDescent="0.25">
      <c r="A4863" t="s">
        <v>3</v>
      </c>
      <c r="B4863">
        <v>1200412</v>
      </c>
      <c r="C4863">
        <v>41675</v>
      </c>
      <c r="D4863" s="4">
        <f>+VLOOKUP(A4863,Portfolio!$G$3:$I$6,3)</f>
        <v>0.5</v>
      </c>
      <c r="E4863">
        <f t="shared" si="75"/>
        <v>20837.5</v>
      </c>
    </row>
    <row r="4864" spans="1:5" x14ac:dyDescent="0.25">
      <c r="A4864" t="s">
        <v>3</v>
      </c>
      <c r="B4864">
        <v>1200413</v>
      </c>
      <c r="C4864">
        <v>41212.5</v>
      </c>
      <c r="D4864" s="4">
        <f>+VLOOKUP(A4864,Portfolio!$G$3:$I$6,3)</f>
        <v>0.5</v>
      </c>
      <c r="E4864">
        <f t="shared" si="75"/>
        <v>20606.25</v>
      </c>
    </row>
    <row r="4865" spans="1:5" x14ac:dyDescent="0.25">
      <c r="A4865" t="s">
        <v>3</v>
      </c>
      <c r="B4865">
        <v>1200414</v>
      </c>
      <c r="C4865">
        <v>37337.5</v>
      </c>
      <c r="D4865" s="4">
        <f>+VLOOKUP(A4865,Portfolio!$G$3:$I$6,3)</f>
        <v>0.5</v>
      </c>
      <c r="E4865">
        <f t="shared" si="75"/>
        <v>18668.75</v>
      </c>
    </row>
    <row r="4866" spans="1:5" x14ac:dyDescent="0.25">
      <c r="A4866" t="s">
        <v>3</v>
      </c>
      <c r="B4866">
        <v>1200415</v>
      </c>
      <c r="C4866">
        <v>36537.5</v>
      </c>
      <c r="D4866" s="4">
        <f>+VLOOKUP(A4866,Portfolio!$G$3:$I$6,3)</f>
        <v>0.5</v>
      </c>
      <c r="E4866">
        <f t="shared" si="75"/>
        <v>18268.75</v>
      </c>
    </row>
    <row r="4867" spans="1:5" x14ac:dyDescent="0.25">
      <c r="A4867" t="s">
        <v>3</v>
      </c>
      <c r="B4867">
        <v>1200416</v>
      </c>
      <c r="C4867">
        <v>32125</v>
      </c>
      <c r="D4867" s="4">
        <f>+VLOOKUP(A4867,Portfolio!$G$3:$I$6,3)</f>
        <v>0.5</v>
      </c>
      <c r="E4867">
        <f t="shared" ref="E4867:E4930" si="76">+C4867*D4867</f>
        <v>16062.5</v>
      </c>
    </row>
    <row r="4868" spans="1:5" x14ac:dyDescent="0.25">
      <c r="A4868" t="s">
        <v>3</v>
      </c>
      <c r="B4868">
        <v>1200417</v>
      </c>
      <c r="C4868">
        <v>30712.5</v>
      </c>
      <c r="D4868" s="4">
        <f>+VLOOKUP(A4868,Portfolio!$G$3:$I$6,3)</f>
        <v>0.5</v>
      </c>
      <c r="E4868">
        <f t="shared" si="76"/>
        <v>15356.25</v>
      </c>
    </row>
    <row r="4869" spans="1:5" x14ac:dyDescent="0.25">
      <c r="A4869" t="s">
        <v>3</v>
      </c>
      <c r="B4869">
        <v>1200419</v>
      </c>
      <c r="C4869">
        <v>30137.5</v>
      </c>
      <c r="D4869" s="4">
        <f>+VLOOKUP(A4869,Portfolio!$G$3:$I$6,3)</f>
        <v>0.5</v>
      </c>
      <c r="E4869">
        <f t="shared" si="76"/>
        <v>15068.75</v>
      </c>
    </row>
    <row r="4870" spans="1:5" x14ac:dyDescent="0.25">
      <c r="A4870" t="s">
        <v>3</v>
      </c>
      <c r="B4870">
        <v>1200420</v>
      </c>
      <c r="C4870">
        <v>29225</v>
      </c>
      <c r="D4870" s="4">
        <f>+VLOOKUP(A4870,Portfolio!$G$3:$I$6,3)</f>
        <v>0.5</v>
      </c>
      <c r="E4870">
        <f t="shared" si="76"/>
        <v>14612.5</v>
      </c>
    </row>
    <row r="4871" spans="1:5" x14ac:dyDescent="0.25">
      <c r="A4871" t="s">
        <v>3</v>
      </c>
      <c r="B4871">
        <v>1200421</v>
      </c>
      <c r="C4871">
        <v>29762.5</v>
      </c>
      <c r="D4871" s="4">
        <f>+VLOOKUP(A4871,Portfolio!$G$3:$I$6,3)</f>
        <v>0.5</v>
      </c>
      <c r="E4871">
        <f t="shared" si="76"/>
        <v>14881.25</v>
      </c>
    </row>
    <row r="4872" spans="1:5" x14ac:dyDescent="0.25">
      <c r="A4872" t="s">
        <v>3</v>
      </c>
      <c r="B4872">
        <v>1200422</v>
      </c>
      <c r="C4872">
        <v>30525</v>
      </c>
      <c r="D4872" s="4">
        <f>+VLOOKUP(A4872,Portfolio!$G$3:$I$6,3)</f>
        <v>0.5</v>
      </c>
      <c r="E4872">
        <f t="shared" si="76"/>
        <v>15262.5</v>
      </c>
    </row>
    <row r="4873" spans="1:5" x14ac:dyDescent="0.25">
      <c r="A4873" t="s">
        <v>3</v>
      </c>
      <c r="B4873">
        <v>1200423</v>
      </c>
      <c r="C4873">
        <v>27725</v>
      </c>
      <c r="D4873" s="4">
        <f>+VLOOKUP(A4873,Portfolio!$G$3:$I$6,3)</f>
        <v>0.5</v>
      </c>
      <c r="E4873">
        <f t="shared" si="76"/>
        <v>13862.5</v>
      </c>
    </row>
    <row r="4874" spans="1:5" x14ac:dyDescent="0.25">
      <c r="A4874" t="s">
        <v>3</v>
      </c>
      <c r="B4874">
        <v>1200424</v>
      </c>
      <c r="C4874">
        <v>28887.5</v>
      </c>
      <c r="D4874" s="4">
        <f>+VLOOKUP(A4874,Portfolio!$G$3:$I$6,3)</f>
        <v>0.5</v>
      </c>
      <c r="E4874">
        <f t="shared" si="76"/>
        <v>14443.75</v>
      </c>
    </row>
    <row r="4875" spans="1:5" x14ac:dyDescent="0.25">
      <c r="A4875" t="s">
        <v>3</v>
      </c>
      <c r="B4875">
        <v>1200426</v>
      </c>
      <c r="C4875">
        <v>29062.5</v>
      </c>
      <c r="D4875" s="4">
        <f>+VLOOKUP(A4875,Portfolio!$G$3:$I$6,3)</f>
        <v>0.5</v>
      </c>
      <c r="E4875">
        <f t="shared" si="76"/>
        <v>14531.25</v>
      </c>
    </row>
    <row r="4876" spans="1:5" x14ac:dyDescent="0.25">
      <c r="A4876" t="s">
        <v>3</v>
      </c>
      <c r="B4876">
        <v>1200427</v>
      </c>
      <c r="C4876">
        <v>31225</v>
      </c>
      <c r="D4876" s="4">
        <f>+VLOOKUP(A4876,Portfolio!$G$3:$I$6,3)</f>
        <v>0.5</v>
      </c>
      <c r="E4876">
        <f t="shared" si="76"/>
        <v>15612.5</v>
      </c>
    </row>
    <row r="4877" spans="1:5" x14ac:dyDescent="0.25">
      <c r="A4877" t="s">
        <v>3</v>
      </c>
      <c r="B4877">
        <v>1200428</v>
      </c>
      <c r="C4877">
        <v>31887.5</v>
      </c>
      <c r="D4877" s="4">
        <f>+VLOOKUP(A4877,Portfolio!$G$3:$I$6,3)</f>
        <v>0.5</v>
      </c>
      <c r="E4877">
        <f t="shared" si="76"/>
        <v>15943.75</v>
      </c>
    </row>
    <row r="4878" spans="1:5" x14ac:dyDescent="0.25">
      <c r="A4878" t="s">
        <v>3</v>
      </c>
      <c r="B4878">
        <v>1200429</v>
      </c>
      <c r="C4878">
        <v>31887.5</v>
      </c>
      <c r="D4878" s="4">
        <f>+VLOOKUP(A4878,Portfolio!$G$3:$I$6,3)</f>
        <v>0.5</v>
      </c>
      <c r="E4878">
        <f t="shared" si="76"/>
        <v>15943.75</v>
      </c>
    </row>
    <row r="4879" spans="1:5" x14ac:dyDescent="0.25">
      <c r="A4879" t="s">
        <v>3</v>
      </c>
      <c r="B4879">
        <v>1200430</v>
      </c>
      <c r="C4879">
        <v>33600</v>
      </c>
      <c r="D4879" s="4">
        <f>+VLOOKUP(A4879,Portfolio!$G$3:$I$6,3)</f>
        <v>0.5</v>
      </c>
      <c r="E4879">
        <f t="shared" si="76"/>
        <v>16800</v>
      </c>
    </row>
    <row r="4880" spans="1:5" x14ac:dyDescent="0.25">
      <c r="A4880" t="s">
        <v>3</v>
      </c>
      <c r="B4880">
        <v>1200501</v>
      </c>
      <c r="C4880">
        <v>31675</v>
      </c>
      <c r="D4880" s="4">
        <f>+VLOOKUP(A4880,Portfolio!$G$3:$I$6,3)</f>
        <v>0.5</v>
      </c>
      <c r="E4880">
        <f t="shared" si="76"/>
        <v>15837.5</v>
      </c>
    </row>
    <row r="4881" spans="1:5" x14ac:dyDescent="0.25">
      <c r="A4881" t="s">
        <v>3</v>
      </c>
      <c r="B4881">
        <v>1200503</v>
      </c>
      <c r="C4881">
        <v>35850</v>
      </c>
      <c r="D4881" s="4">
        <f>+VLOOKUP(A4881,Portfolio!$G$3:$I$6,3)</f>
        <v>0.5</v>
      </c>
      <c r="E4881">
        <f t="shared" si="76"/>
        <v>17925</v>
      </c>
    </row>
    <row r="4882" spans="1:5" x14ac:dyDescent="0.25">
      <c r="A4882" t="s">
        <v>3</v>
      </c>
      <c r="B4882">
        <v>1200504</v>
      </c>
      <c r="C4882">
        <v>34975</v>
      </c>
      <c r="D4882" s="4">
        <f>+VLOOKUP(A4882,Portfolio!$G$3:$I$6,3)</f>
        <v>0.5</v>
      </c>
      <c r="E4882">
        <f t="shared" si="76"/>
        <v>17487.5</v>
      </c>
    </row>
    <row r="4883" spans="1:5" x14ac:dyDescent="0.25">
      <c r="A4883" t="s">
        <v>3</v>
      </c>
      <c r="B4883">
        <v>1200505</v>
      </c>
      <c r="C4883">
        <v>35925</v>
      </c>
      <c r="D4883" s="4">
        <f>+VLOOKUP(A4883,Portfolio!$G$3:$I$6,3)</f>
        <v>0.5</v>
      </c>
      <c r="E4883">
        <f t="shared" si="76"/>
        <v>17962.5</v>
      </c>
    </row>
    <row r="4884" spans="1:5" x14ac:dyDescent="0.25">
      <c r="A4884" t="s">
        <v>3</v>
      </c>
      <c r="B4884">
        <v>1200506</v>
      </c>
      <c r="C4884">
        <v>36425</v>
      </c>
      <c r="D4884" s="4">
        <f>+VLOOKUP(A4884,Portfolio!$G$3:$I$6,3)</f>
        <v>0.5</v>
      </c>
      <c r="E4884">
        <f t="shared" si="76"/>
        <v>18212.5</v>
      </c>
    </row>
    <row r="4885" spans="1:5" x14ac:dyDescent="0.25">
      <c r="A4885" t="s">
        <v>3</v>
      </c>
      <c r="B4885">
        <v>1200507</v>
      </c>
      <c r="C4885">
        <v>35562.5</v>
      </c>
      <c r="D4885" s="4">
        <f>+VLOOKUP(A4885,Portfolio!$G$3:$I$6,3)</f>
        <v>0.5</v>
      </c>
      <c r="E4885">
        <f t="shared" si="76"/>
        <v>17781.25</v>
      </c>
    </row>
    <row r="4886" spans="1:5" x14ac:dyDescent="0.25">
      <c r="A4886" t="s">
        <v>3</v>
      </c>
      <c r="B4886">
        <v>1200508</v>
      </c>
      <c r="C4886">
        <v>35175</v>
      </c>
      <c r="D4886" s="4">
        <f>+VLOOKUP(A4886,Portfolio!$G$3:$I$6,3)</f>
        <v>0.5</v>
      </c>
      <c r="E4886">
        <f t="shared" si="76"/>
        <v>17587.5</v>
      </c>
    </row>
    <row r="4887" spans="1:5" x14ac:dyDescent="0.25">
      <c r="A4887" t="s">
        <v>3</v>
      </c>
      <c r="B4887">
        <v>1200510</v>
      </c>
      <c r="C4887">
        <v>35350</v>
      </c>
      <c r="D4887" s="4">
        <f>+VLOOKUP(A4887,Portfolio!$G$3:$I$6,3)</f>
        <v>0.5</v>
      </c>
      <c r="E4887">
        <f t="shared" si="76"/>
        <v>17675</v>
      </c>
    </row>
    <row r="4888" spans="1:5" x14ac:dyDescent="0.25">
      <c r="A4888" t="s">
        <v>3</v>
      </c>
      <c r="B4888">
        <v>1200511</v>
      </c>
      <c r="C4888">
        <v>35350</v>
      </c>
      <c r="D4888" s="4">
        <f>+VLOOKUP(A4888,Portfolio!$G$3:$I$6,3)</f>
        <v>0.5</v>
      </c>
      <c r="E4888">
        <f t="shared" si="76"/>
        <v>17675</v>
      </c>
    </row>
    <row r="4889" spans="1:5" x14ac:dyDescent="0.25">
      <c r="A4889" t="s">
        <v>3</v>
      </c>
      <c r="B4889">
        <v>1200512</v>
      </c>
      <c r="C4889">
        <v>35350</v>
      </c>
      <c r="D4889" s="4">
        <f>+VLOOKUP(A4889,Portfolio!$G$3:$I$6,3)</f>
        <v>0.5</v>
      </c>
      <c r="E4889">
        <f t="shared" si="76"/>
        <v>17675</v>
      </c>
    </row>
    <row r="4890" spans="1:5" x14ac:dyDescent="0.25">
      <c r="A4890" t="s">
        <v>3</v>
      </c>
      <c r="B4890">
        <v>1200513</v>
      </c>
      <c r="C4890">
        <v>35350</v>
      </c>
      <c r="D4890" s="4">
        <f>+VLOOKUP(A4890,Portfolio!$G$3:$I$6,3)</f>
        <v>0.5</v>
      </c>
      <c r="E4890">
        <f t="shared" si="76"/>
        <v>17675</v>
      </c>
    </row>
    <row r="4891" spans="1:5" x14ac:dyDescent="0.25">
      <c r="A4891" t="s">
        <v>3</v>
      </c>
      <c r="B4891">
        <v>1200514</v>
      </c>
      <c r="C4891">
        <v>36675</v>
      </c>
      <c r="D4891" s="4">
        <f>+VLOOKUP(A4891,Portfolio!$G$3:$I$6,3)</f>
        <v>0.5</v>
      </c>
      <c r="E4891">
        <f t="shared" si="76"/>
        <v>18337.5</v>
      </c>
    </row>
    <row r="4892" spans="1:5" x14ac:dyDescent="0.25">
      <c r="A4892" t="s">
        <v>3</v>
      </c>
      <c r="B4892">
        <v>1200515</v>
      </c>
      <c r="C4892">
        <v>37512.5</v>
      </c>
      <c r="D4892" s="4">
        <f>+VLOOKUP(A4892,Portfolio!$G$3:$I$6,3)</f>
        <v>0.5</v>
      </c>
      <c r="E4892">
        <f t="shared" si="76"/>
        <v>18756.25</v>
      </c>
    </row>
    <row r="4893" spans="1:5" x14ac:dyDescent="0.25">
      <c r="A4893" t="s">
        <v>3</v>
      </c>
      <c r="B4893">
        <v>1200517</v>
      </c>
      <c r="C4893">
        <v>37300</v>
      </c>
      <c r="D4893" s="4">
        <f>+VLOOKUP(A4893,Portfolio!$G$3:$I$6,3)</f>
        <v>0.5</v>
      </c>
      <c r="E4893">
        <f t="shared" si="76"/>
        <v>18650</v>
      </c>
    </row>
    <row r="4894" spans="1:5" x14ac:dyDescent="0.25">
      <c r="A4894" t="s">
        <v>3</v>
      </c>
      <c r="B4894">
        <v>1200518</v>
      </c>
      <c r="C4894">
        <v>37300</v>
      </c>
      <c r="D4894" s="4">
        <f>+VLOOKUP(A4894,Portfolio!$G$3:$I$6,3)</f>
        <v>0.5</v>
      </c>
      <c r="E4894">
        <f t="shared" si="76"/>
        <v>18650</v>
      </c>
    </row>
    <row r="4895" spans="1:5" x14ac:dyDescent="0.25">
      <c r="A4895" t="s">
        <v>3</v>
      </c>
      <c r="B4895">
        <v>1200519</v>
      </c>
      <c r="C4895">
        <v>37875</v>
      </c>
      <c r="D4895" s="4">
        <f>+VLOOKUP(A4895,Portfolio!$G$3:$I$6,3)</f>
        <v>0.5</v>
      </c>
      <c r="E4895">
        <f t="shared" si="76"/>
        <v>18937.5</v>
      </c>
    </row>
    <row r="4896" spans="1:5" x14ac:dyDescent="0.25">
      <c r="A4896" t="s">
        <v>3</v>
      </c>
      <c r="B4896">
        <v>1200520</v>
      </c>
      <c r="C4896">
        <v>37925</v>
      </c>
      <c r="D4896" s="4">
        <f>+VLOOKUP(A4896,Portfolio!$G$3:$I$6,3)</f>
        <v>0.5</v>
      </c>
      <c r="E4896">
        <f t="shared" si="76"/>
        <v>18962.5</v>
      </c>
    </row>
    <row r="4897" spans="1:5" x14ac:dyDescent="0.25">
      <c r="A4897" t="s">
        <v>3</v>
      </c>
      <c r="B4897">
        <v>1200521</v>
      </c>
      <c r="C4897">
        <v>37450</v>
      </c>
      <c r="D4897" s="4">
        <f>+VLOOKUP(A4897,Portfolio!$G$3:$I$6,3)</f>
        <v>0.5</v>
      </c>
      <c r="E4897">
        <f t="shared" si="76"/>
        <v>18725</v>
      </c>
    </row>
    <row r="4898" spans="1:5" x14ac:dyDescent="0.25">
      <c r="A4898" t="s">
        <v>3</v>
      </c>
      <c r="B4898">
        <v>1200522</v>
      </c>
      <c r="C4898">
        <v>37950</v>
      </c>
      <c r="D4898" s="4">
        <f>+VLOOKUP(A4898,Portfolio!$G$3:$I$6,3)</f>
        <v>0.5</v>
      </c>
      <c r="E4898">
        <f t="shared" si="76"/>
        <v>18975</v>
      </c>
    </row>
    <row r="4899" spans="1:5" x14ac:dyDescent="0.25">
      <c r="A4899" t="s">
        <v>3</v>
      </c>
      <c r="B4899">
        <v>1200524</v>
      </c>
      <c r="C4899">
        <v>37837.5</v>
      </c>
      <c r="D4899" s="4">
        <f>+VLOOKUP(A4899,Portfolio!$G$3:$I$6,3)</f>
        <v>0.5</v>
      </c>
      <c r="E4899">
        <f t="shared" si="76"/>
        <v>18918.75</v>
      </c>
    </row>
    <row r="4900" spans="1:5" x14ac:dyDescent="0.25">
      <c r="A4900" t="s">
        <v>3</v>
      </c>
      <c r="B4900">
        <v>1200525</v>
      </c>
      <c r="C4900">
        <v>37725</v>
      </c>
      <c r="D4900" s="4">
        <f>+VLOOKUP(A4900,Portfolio!$G$3:$I$6,3)</f>
        <v>0.5</v>
      </c>
      <c r="E4900">
        <f t="shared" si="76"/>
        <v>18862.5</v>
      </c>
    </row>
    <row r="4901" spans="1:5" x14ac:dyDescent="0.25">
      <c r="A4901" t="s">
        <v>3</v>
      </c>
      <c r="B4901">
        <v>1200526</v>
      </c>
      <c r="C4901">
        <v>38900</v>
      </c>
      <c r="D4901" s="4">
        <f>+VLOOKUP(A4901,Portfolio!$G$3:$I$6,3)</f>
        <v>0.5</v>
      </c>
      <c r="E4901">
        <f t="shared" si="76"/>
        <v>19450</v>
      </c>
    </row>
    <row r="4902" spans="1:5" x14ac:dyDescent="0.25">
      <c r="A4902" t="s">
        <v>3</v>
      </c>
      <c r="B4902">
        <v>1200527</v>
      </c>
      <c r="C4902">
        <v>38900</v>
      </c>
      <c r="D4902" s="4">
        <f>+VLOOKUP(A4902,Portfolio!$G$3:$I$6,3)</f>
        <v>0.5</v>
      </c>
      <c r="E4902">
        <f t="shared" si="76"/>
        <v>19450</v>
      </c>
    </row>
    <row r="4903" spans="1:5" x14ac:dyDescent="0.25">
      <c r="A4903" t="s">
        <v>3</v>
      </c>
      <c r="B4903">
        <v>1200528</v>
      </c>
      <c r="C4903">
        <v>36675</v>
      </c>
      <c r="D4903" s="4">
        <f>+VLOOKUP(A4903,Portfolio!$G$3:$I$6,3)</f>
        <v>0.5</v>
      </c>
      <c r="E4903">
        <f t="shared" si="76"/>
        <v>18337.5</v>
      </c>
    </row>
    <row r="4904" spans="1:5" x14ac:dyDescent="0.25">
      <c r="A4904" t="s">
        <v>3</v>
      </c>
      <c r="B4904">
        <v>1200529</v>
      </c>
      <c r="C4904">
        <v>34837.5</v>
      </c>
      <c r="D4904" s="4">
        <f>+VLOOKUP(A4904,Portfolio!$G$3:$I$6,3)</f>
        <v>0.5</v>
      </c>
      <c r="E4904">
        <f t="shared" si="76"/>
        <v>17418.75</v>
      </c>
    </row>
    <row r="4905" spans="1:5" x14ac:dyDescent="0.25">
      <c r="A4905" t="s">
        <v>3</v>
      </c>
      <c r="B4905">
        <v>1200531</v>
      </c>
      <c r="C4905">
        <v>33575</v>
      </c>
      <c r="D4905" s="4">
        <f>+VLOOKUP(A4905,Portfolio!$G$3:$I$6,3)</f>
        <v>0.5</v>
      </c>
      <c r="E4905">
        <f t="shared" si="76"/>
        <v>16787.5</v>
      </c>
    </row>
    <row r="4906" spans="1:5" x14ac:dyDescent="0.25">
      <c r="A4906" t="s">
        <v>3</v>
      </c>
      <c r="B4906">
        <v>1200601</v>
      </c>
      <c r="C4906">
        <v>32512.5</v>
      </c>
      <c r="D4906" s="4">
        <f>+VLOOKUP(A4906,Portfolio!$G$3:$I$6,3)</f>
        <v>0.5</v>
      </c>
      <c r="E4906">
        <f t="shared" si="76"/>
        <v>16256.25</v>
      </c>
    </row>
    <row r="4907" spans="1:5" x14ac:dyDescent="0.25">
      <c r="A4907" t="s">
        <v>3</v>
      </c>
      <c r="B4907">
        <v>1200602</v>
      </c>
      <c r="C4907">
        <v>31600</v>
      </c>
      <c r="D4907" s="4">
        <f>+VLOOKUP(A4907,Portfolio!$G$3:$I$6,3)</f>
        <v>0.5</v>
      </c>
      <c r="E4907">
        <f t="shared" si="76"/>
        <v>15800</v>
      </c>
    </row>
    <row r="4908" spans="1:5" x14ac:dyDescent="0.25">
      <c r="A4908" t="s">
        <v>3</v>
      </c>
      <c r="B4908">
        <v>1200603</v>
      </c>
      <c r="C4908">
        <v>32750</v>
      </c>
      <c r="D4908" s="4">
        <f>+VLOOKUP(A4908,Portfolio!$G$3:$I$6,3)</f>
        <v>0.5</v>
      </c>
      <c r="E4908">
        <f t="shared" si="76"/>
        <v>16375</v>
      </c>
    </row>
    <row r="4909" spans="1:5" x14ac:dyDescent="0.25">
      <c r="A4909" t="s">
        <v>3</v>
      </c>
      <c r="B4909">
        <v>1200604</v>
      </c>
      <c r="C4909">
        <v>33075</v>
      </c>
      <c r="D4909" s="4">
        <f>+VLOOKUP(A4909,Portfolio!$G$3:$I$6,3)</f>
        <v>0.5</v>
      </c>
      <c r="E4909">
        <f t="shared" si="76"/>
        <v>16537.5</v>
      </c>
    </row>
    <row r="4910" spans="1:5" x14ac:dyDescent="0.25">
      <c r="A4910" t="s">
        <v>3</v>
      </c>
      <c r="B4910">
        <v>1200605</v>
      </c>
      <c r="C4910">
        <v>33100</v>
      </c>
      <c r="D4910" s="4">
        <f>+VLOOKUP(A4910,Portfolio!$G$3:$I$6,3)</f>
        <v>0.5</v>
      </c>
      <c r="E4910">
        <f t="shared" si="76"/>
        <v>16550</v>
      </c>
    </row>
    <row r="4911" spans="1:5" x14ac:dyDescent="0.25">
      <c r="A4911" t="s">
        <v>3</v>
      </c>
      <c r="B4911">
        <v>1200607</v>
      </c>
      <c r="C4911">
        <v>34000</v>
      </c>
      <c r="D4911" s="4">
        <f>+VLOOKUP(A4911,Portfolio!$G$3:$I$6,3)</f>
        <v>0.5</v>
      </c>
      <c r="E4911">
        <f t="shared" si="76"/>
        <v>17000</v>
      </c>
    </row>
    <row r="4912" spans="1:5" x14ac:dyDescent="0.25">
      <c r="A4912" t="s">
        <v>3</v>
      </c>
      <c r="B4912">
        <v>1200608</v>
      </c>
      <c r="C4912">
        <v>33675</v>
      </c>
      <c r="D4912" s="4">
        <f>+VLOOKUP(A4912,Portfolio!$G$3:$I$6,3)</f>
        <v>0.5</v>
      </c>
      <c r="E4912">
        <f t="shared" si="76"/>
        <v>16837.5</v>
      </c>
    </row>
    <row r="4913" spans="1:5" x14ac:dyDescent="0.25">
      <c r="A4913" t="s">
        <v>3</v>
      </c>
      <c r="B4913">
        <v>1200609</v>
      </c>
      <c r="C4913">
        <v>34762.5</v>
      </c>
      <c r="D4913" s="4">
        <f>+VLOOKUP(A4913,Portfolio!$G$3:$I$6,3)</f>
        <v>0.5</v>
      </c>
      <c r="E4913">
        <f t="shared" si="76"/>
        <v>17381.25</v>
      </c>
    </row>
    <row r="4914" spans="1:5" x14ac:dyDescent="0.25">
      <c r="A4914" t="s">
        <v>3</v>
      </c>
      <c r="B4914">
        <v>1200610</v>
      </c>
      <c r="C4914">
        <v>34375</v>
      </c>
      <c r="D4914" s="4">
        <f>+VLOOKUP(A4914,Portfolio!$G$3:$I$6,3)</f>
        <v>0.5</v>
      </c>
      <c r="E4914">
        <f t="shared" si="76"/>
        <v>17187.5</v>
      </c>
    </row>
    <row r="4915" spans="1:5" x14ac:dyDescent="0.25">
      <c r="A4915" t="s">
        <v>3</v>
      </c>
      <c r="B4915">
        <v>1200611</v>
      </c>
      <c r="C4915">
        <v>36400</v>
      </c>
      <c r="D4915" s="4">
        <f>+VLOOKUP(A4915,Portfolio!$G$3:$I$6,3)</f>
        <v>0.5</v>
      </c>
      <c r="E4915">
        <f t="shared" si="76"/>
        <v>18200</v>
      </c>
    </row>
    <row r="4916" spans="1:5" x14ac:dyDescent="0.25">
      <c r="A4916" t="s">
        <v>3</v>
      </c>
      <c r="B4916">
        <v>1200612</v>
      </c>
      <c r="C4916">
        <v>41700</v>
      </c>
      <c r="D4916" s="4">
        <f>+VLOOKUP(A4916,Portfolio!$G$3:$I$6,3)</f>
        <v>0.5</v>
      </c>
      <c r="E4916">
        <f t="shared" si="76"/>
        <v>20850</v>
      </c>
    </row>
    <row r="4917" spans="1:5" x14ac:dyDescent="0.25">
      <c r="A4917" t="s">
        <v>3</v>
      </c>
      <c r="B4917">
        <v>1200614</v>
      </c>
      <c r="C4917">
        <v>43737.5</v>
      </c>
      <c r="D4917" s="4">
        <f>+VLOOKUP(A4917,Portfolio!$G$3:$I$6,3)</f>
        <v>0.5</v>
      </c>
      <c r="E4917">
        <f t="shared" si="76"/>
        <v>21868.75</v>
      </c>
    </row>
    <row r="4918" spans="1:5" x14ac:dyDescent="0.25">
      <c r="A4918" t="s">
        <v>3</v>
      </c>
      <c r="B4918">
        <v>1200615</v>
      </c>
      <c r="C4918">
        <v>44900</v>
      </c>
      <c r="D4918" s="4">
        <f>+VLOOKUP(A4918,Portfolio!$G$3:$I$6,3)</f>
        <v>0.5</v>
      </c>
      <c r="E4918">
        <f t="shared" si="76"/>
        <v>22450</v>
      </c>
    </row>
    <row r="4919" spans="1:5" x14ac:dyDescent="0.25">
      <c r="A4919" t="s">
        <v>3</v>
      </c>
      <c r="B4919">
        <v>1200616</v>
      </c>
      <c r="C4919">
        <v>49437.5</v>
      </c>
      <c r="D4919" s="4">
        <f>+VLOOKUP(A4919,Portfolio!$G$3:$I$6,3)</f>
        <v>0.5</v>
      </c>
      <c r="E4919">
        <f t="shared" si="76"/>
        <v>24718.75</v>
      </c>
    </row>
    <row r="4920" spans="1:5" x14ac:dyDescent="0.25">
      <c r="A4920" t="s">
        <v>3</v>
      </c>
      <c r="B4920">
        <v>1200617</v>
      </c>
      <c r="C4920">
        <v>46450</v>
      </c>
      <c r="D4920" s="4">
        <f>+VLOOKUP(A4920,Portfolio!$G$3:$I$6,3)</f>
        <v>0.5</v>
      </c>
      <c r="E4920">
        <f t="shared" si="76"/>
        <v>23225</v>
      </c>
    </row>
    <row r="4921" spans="1:5" x14ac:dyDescent="0.25">
      <c r="A4921" t="s">
        <v>3</v>
      </c>
      <c r="B4921">
        <v>1200618</v>
      </c>
      <c r="C4921">
        <v>46412.5</v>
      </c>
      <c r="D4921" s="4">
        <f>+VLOOKUP(A4921,Portfolio!$G$3:$I$6,3)</f>
        <v>0.5</v>
      </c>
      <c r="E4921">
        <f t="shared" si="76"/>
        <v>23206.25</v>
      </c>
    </row>
    <row r="4922" spans="1:5" x14ac:dyDescent="0.25">
      <c r="A4922" t="s">
        <v>3</v>
      </c>
      <c r="B4922">
        <v>1200619</v>
      </c>
      <c r="C4922">
        <v>46412.5</v>
      </c>
      <c r="D4922" s="4">
        <f>+VLOOKUP(A4922,Portfolio!$G$3:$I$6,3)</f>
        <v>0.5</v>
      </c>
      <c r="E4922">
        <f t="shared" si="76"/>
        <v>23206.25</v>
      </c>
    </row>
    <row r="4923" spans="1:5" x14ac:dyDescent="0.25">
      <c r="A4923" t="s">
        <v>3</v>
      </c>
      <c r="B4923">
        <v>1200621</v>
      </c>
      <c r="C4923">
        <v>48700</v>
      </c>
      <c r="D4923" s="4">
        <f>+VLOOKUP(A4923,Portfolio!$G$3:$I$6,3)</f>
        <v>0.5</v>
      </c>
      <c r="E4923">
        <f t="shared" si="76"/>
        <v>24350</v>
      </c>
    </row>
    <row r="4924" spans="1:5" x14ac:dyDescent="0.25">
      <c r="A4924" t="s">
        <v>3</v>
      </c>
      <c r="B4924">
        <v>1200622</v>
      </c>
      <c r="C4924">
        <v>47662.5</v>
      </c>
      <c r="D4924" s="4">
        <f>+VLOOKUP(A4924,Portfolio!$G$3:$I$6,3)</f>
        <v>0.5</v>
      </c>
      <c r="E4924">
        <f t="shared" si="76"/>
        <v>23831.25</v>
      </c>
    </row>
    <row r="4925" spans="1:5" x14ac:dyDescent="0.25">
      <c r="A4925" t="s">
        <v>3</v>
      </c>
      <c r="B4925">
        <v>1200623</v>
      </c>
      <c r="C4925">
        <v>47200</v>
      </c>
      <c r="D4925" s="4">
        <f>+VLOOKUP(A4925,Portfolio!$G$3:$I$6,3)</f>
        <v>0.5</v>
      </c>
      <c r="E4925">
        <f t="shared" si="76"/>
        <v>23600</v>
      </c>
    </row>
    <row r="4926" spans="1:5" x14ac:dyDescent="0.25">
      <c r="A4926" t="s">
        <v>3</v>
      </c>
      <c r="B4926">
        <v>1200624</v>
      </c>
      <c r="C4926">
        <v>48700</v>
      </c>
      <c r="D4926" s="4">
        <f>+VLOOKUP(A4926,Portfolio!$G$3:$I$6,3)</f>
        <v>0.5</v>
      </c>
      <c r="E4926">
        <f t="shared" si="76"/>
        <v>24350</v>
      </c>
    </row>
    <row r="4927" spans="1:5" x14ac:dyDescent="0.25">
      <c r="A4927" t="s">
        <v>3</v>
      </c>
      <c r="B4927">
        <v>1200625</v>
      </c>
      <c r="C4927">
        <v>50837.5</v>
      </c>
      <c r="D4927" s="4">
        <f>+VLOOKUP(A4927,Portfolio!$G$3:$I$6,3)</f>
        <v>0.5</v>
      </c>
      <c r="E4927">
        <f t="shared" si="76"/>
        <v>25418.75</v>
      </c>
    </row>
    <row r="4928" spans="1:5" x14ac:dyDescent="0.25">
      <c r="A4928" t="s">
        <v>3</v>
      </c>
      <c r="B4928">
        <v>1200626</v>
      </c>
      <c r="C4928">
        <v>50587.5</v>
      </c>
      <c r="D4928" s="4">
        <f>+VLOOKUP(A4928,Portfolio!$G$3:$I$6,3)</f>
        <v>0.5</v>
      </c>
      <c r="E4928">
        <f t="shared" si="76"/>
        <v>25293.75</v>
      </c>
    </row>
    <row r="4929" spans="1:5" x14ac:dyDescent="0.25">
      <c r="A4929" t="s">
        <v>3</v>
      </c>
      <c r="B4929">
        <v>1200628</v>
      </c>
      <c r="C4929">
        <v>52975</v>
      </c>
      <c r="D4929" s="4">
        <f>+VLOOKUP(A4929,Portfolio!$G$3:$I$6,3)</f>
        <v>0.5</v>
      </c>
      <c r="E4929">
        <f t="shared" si="76"/>
        <v>26487.5</v>
      </c>
    </row>
    <row r="4930" spans="1:5" x14ac:dyDescent="0.25">
      <c r="A4930" t="s">
        <v>3</v>
      </c>
      <c r="B4930">
        <v>1200629</v>
      </c>
      <c r="C4930">
        <v>52862.5</v>
      </c>
      <c r="D4930" s="4">
        <f>+VLOOKUP(A4930,Portfolio!$G$3:$I$6,3)</f>
        <v>0.5</v>
      </c>
      <c r="E4930">
        <f t="shared" si="76"/>
        <v>26431.25</v>
      </c>
    </row>
    <row r="4931" spans="1:5" x14ac:dyDescent="0.25">
      <c r="A4931" t="s">
        <v>3</v>
      </c>
      <c r="B4931">
        <v>1200630</v>
      </c>
      <c r="C4931">
        <v>52837.5</v>
      </c>
      <c r="D4931" s="4">
        <f>+VLOOKUP(A4931,Portfolio!$G$3:$I$6,3)</f>
        <v>0.5</v>
      </c>
      <c r="E4931">
        <f t="shared" ref="E4931:E4994" si="77">+C4931*D4931</f>
        <v>26418.75</v>
      </c>
    </row>
    <row r="4932" spans="1:5" x14ac:dyDescent="0.25">
      <c r="A4932" t="s">
        <v>3</v>
      </c>
      <c r="B4932">
        <v>1200701</v>
      </c>
      <c r="C4932">
        <v>54250</v>
      </c>
      <c r="D4932" s="4">
        <f>+VLOOKUP(A4932,Portfolio!$G$3:$I$6,3)</f>
        <v>0.5</v>
      </c>
      <c r="E4932">
        <f t="shared" si="77"/>
        <v>27125</v>
      </c>
    </row>
    <row r="4933" spans="1:5" x14ac:dyDescent="0.25">
      <c r="A4933" t="s">
        <v>3</v>
      </c>
      <c r="B4933">
        <v>1200702</v>
      </c>
      <c r="C4933">
        <v>55350</v>
      </c>
      <c r="D4933" s="4">
        <f>+VLOOKUP(A4933,Portfolio!$G$3:$I$6,3)</f>
        <v>0.5</v>
      </c>
      <c r="E4933">
        <f t="shared" si="77"/>
        <v>27675</v>
      </c>
    </row>
    <row r="4934" spans="1:5" x14ac:dyDescent="0.25">
      <c r="A4934" t="s">
        <v>3</v>
      </c>
      <c r="B4934">
        <v>1200703</v>
      </c>
      <c r="C4934">
        <v>56150</v>
      </c>
      <c r="D4934" s="4">
        <f>+VLOOKUP(A4934,Portfolio!$G$3:$I$6,3)</f>
        <v>0.5</v>
      </c>
      <c r="E4934">
        <f t="shared" si="77"/>
        <v>28075</v>
      </c>
    </row>
    <row r="4935" spans="1:5" x14ac:dyDescent="0.25">
      <c r="A4935" t="s">
        <v>3</v>
      </c>
      <c r="B4935">
        <v>1200705</v>
      </c>
      <c r="C4935">
        <v>55237.5</v>
      </c>
      <c r="D4935" s="4">
        <f>+VLOOKUP(A4935,Portfolio!$G$3:$I$6,3)</f>
        <v>0.5</v>
      </c>
      <c r="E4935">
        <f t="shared" si="77"/>
        <v>27618.75</v>
      </c>
    </row>
    <row r="4936" spans="1:5" x14ac:dyDescent="0.25">
      <c r="A4936" t="s">
        <v>3</v>
      </c>
      <c r="B4936">
        <v>1200706</v>
      </c>
      <c r="C4936">
        <v>53600</v>
      </c>
      <c r="D4936" s="4">
        <f>+VLOOKUP(A4936,Portfolio!$G$3:$I$6,3)</f>
        <v>0.5</v>
      </c>
      <c r="E4936">
        <f t="shared" si="77"/>
        <v>26800</v>
      </c>
    </row>
    <row r="4937" spans="1:5" x14ac:dyDescent="0.25">
      <c r="A4937" t="s">
        <v>3</v>
      </c>
      <c r="B4937">
        <v>1200707</v>
      </c>
      <c r="C4937">
        <v>52862.5</v>
      </c>
      <c r="D4937" s="4">
        <f>+VLOOKUP(A4937,Portfolio!$G$3:$I$6,3)</f>
        <v>0.5</v>
      </c>
      <c r="E4937">
        <f t="shared" si="77"/>
        <v>26431.25</v>
      </c>
    </row>
    <row r="4938" spans="1:5" x14ac:dyDescent="0.25">
      <c r="A4938" t="s">
        <v>3</v>
      </c>
      <c r="B4938">
        <v>1200708</v>
      </c>
      <c r="C4938">
        <v>51237.5</v>
      </c>
      <c r="D4938" s="4">
        <f>+VLOOKUP(A4938,Portfolio!$G$3:$I$6,3)</f>
        <v>0.5</v>
      </c>
      <c r="E4938">
        <f t="shared" si="77"/>
        <v>25618.75</v>
      </c>
    </row>
    <row r="4939" spans="1:5" x14ac:dyDescent="0.25">
      <c r="A4939" t="s">
        <v>3</v>
      </c>
      <c r="B4939">
        <v>1200709</v>
      </c>
      <c r="C4939">
        <v>51425</v>
      </c>
      <c r="D4939" s="4">
        <f>+VLOOKUP(A4939,Portfolio!$G$3:$I$6,3)</f>
        <v>0.5</v>
      </c>
      <c r="E4939">
        <f t="shared" si="77"/>
        <v>25712.5</v>
      </c>
    </row>
    <row r="4940" spans="1:5" x14ac:dyDescent="0.25">
      <c r="A4940" t="s">
        <v>3</v>
      </c>
      <c r="B4940">
        <v>1200710</v>
      </c>
      <c r="C4940">
        <v>52625</v>
      </c>
      <c r="D4940" s="4">
        <f>+VLOOKUP(A4940,Portfolio!$G$3:$I$6,3)</f>
        <v>0.5</v>
      </c>
      <c r="E4940">
        <f t="shared" si="77"/>
        <v>26312.5</v>
      </c>
    </row>
    <row r="4941" spans="1:5" x14ac:dyDescent="0.25">
      <c r="A4941" t="s">
        <v>3</v>
      </c>
      <c r="B4941">
        <v>1200712</v>
      </c>
      <c r="C4941">
        <v>53800</v>
      </c>
      <c r="D4941" s="4">
        <f>+VLOOKUP(A4941,Portfolio!$G$3:$I$6,3)</f>
        <v>0.5</v>
      </c>
      <c r="E4941">
        <f t="shared" si="77"/>
        <v>26900</v>
      </c>
    </row>
    <row r="4942" spans="1:5" x14ac:dyDescent="0.25">
      <c r="A4942" t="s">
        <v>3</v>
      </c>
      <c r="B4942">
        <v>1200713</v>
      </c>
      <c r="C4942">
        <v>53662.5</v>
      </c>
      <c r="D4942" s="4">
        <f>+VLOOKUP(A4942,Portfolio!$G$3:$I$6,3)</f>
        <v>0.5</v>
      </c>
      <c r="E4942">
        <f t="shared" si="77"/>
        <v>26831.25</v>
      </c>
    </row>
    <row r="4943" spans="1:5" x14ac:dyDescent="0.25">
      <c r="A4943" t="s">
        <v>3</v>
      </c>
      <c r="B4943">
        <v>1200714</v>
      </c>
      <c r="C4943">
        <v>51525</v>
      </c>
      <c r="D4943" s="4">
        <f>+VLOOKUP(A4943,Portfolio!$G$3:$I$6,3)</f>
        <v>0.5</v>
      </c>
      <c r="E4943">
        <f t="shared" si="77"/>
        <v>25762.5</v>
      </c>
    </row>
    <row r="4944" spans="1:5" x14ac:dyDescent="0.25">
      <c r="A4944" t="s">
        <v>3</v>
      </c>
      <c r="B4944">
        <v>1200715</v>
      </c>
      <c r="C4944">
        <v>54412.5</v>
      </c>
      <c r="D4944" s="4">
        <f>+VLOOKUP(A4944,Portfolio!$G$3:$I$6,3)</f>
        <v>0.5</v>
      </c>
      <c r="E4944">
        <f t="shared" si="77"/>
        <v>27206.25</v>
      </c>
    </row>
    <row r="4945" spans="1:5" x14ac:dyDescent="0.25">
      <c r="A4945" t="s">
        <v>3</v>
      </c>
      <c r="B4945">
        <v>1200716</v>
      </c>
      <c r="C4945">
        <v>53387.5</v>
      </c>
      <c r="D4945" s="4">
        <f>+VLOOKUP(A4945,Portfolio!$G$3:$I$6,3)</f>
        <v>0.5</v>
      </c>
      <c r="E4945">
        <f t="shared" si="77"/>
        <v>26693.75</v>
      </c>
    </row>
    <row r="4946" spans="1:5" x14ac:dyDescent="0.25">
      <c r="A4946" t="s">
        <v>3</v>
      </c>
      <c r="B4946">
        <v>1200717</v>
      </c>
      <c r="C4946">
        <v>53887.5</v>
      </c>
      <c r="D4946" s="4">
        <f>+VLOOKUP(A4946,Portfolio!$G$3:$I$6,3)</f>
        <v>0.5</v>
      </c>
      <c r="E4946">
        <f t="shared" si="77"/>
        <v>26943.75</v>
      </c>
    </row>
    <row r="4947" spans="1:5" x14ac:dyDescent="0.25">
      <c r="A4947" t="s">
        <v>3</v>
      </c>
      <c r="B4947">
        <v>1200719</v>
      </c>
      <c r="C4947">
        <v>53800</v>
      </c>
      <c r="D4947" s="4">
        <f>+VLOOKUP(A4947,Portfolio!$G$3:$I$6,3)</f>
        <v>0.5</v>
      </c>
      <c r="E4947">
        <f t="shared" si="77"/>
        <v>26900</v>
      </c>
    </row>
    <row r="4948" spans="1:5" x14ac:dyDescent="0.25">
      <c r="A4948" t="s">
        <v>3</v>
      </c>
      <c r="B4948">
        <v>1200720</v>
      </c>
      <c r="C4948">
        <v>53025</v>
      </c>
      <c r="D4948" s="4">
        <f>+VLOOKUP(A4948,Portfolio!$G$3:$I$6,3)</f>
        <v>0.5</v>
      </c>
      <c r="E4948">
        <f t="shared" si="77"/>
        <v>26512.5</v>
      </c>
    </row>
    <row r="4949" spans="1:5" x14ac:dyDescent="0.25">
      <c r="A4949" t="s">
        <v>3</v>
      </c>
      <c r="B4949">
        <v>1200721</v>
      </c>
      <c r="C4949">
        <v>55062.5</v>
      </c>
      <c r="D4949" s="4">
        <f>+VLOOKUP(A4949,Portfolio!$G$3:$I$6,3)</f>
        <v>0.5</v>
      </c>
      <c r="E4949">
        <f t="shared" si="77"/>
        <v>27531.25</v>
      </c>
    </row>
    <row r="4950" spans="1:5" x14ac:dyDescent="0.25">
      <c r="A4950" t="s">
        <v>3</v>
      </c>
      <c r="B4950">
        <v>1200722</v>
      </c>
      <c r="C4950">
        <v>55062.5</v>
      </c>
      <c r="D4950" s="4">
        <f>+VLOOKUP(A4950,Portfolio!$G$3:$I$6,3)</f>
        <v>0.5</v>
      </c>
      <c r="E4950">
        <f t="shared" si="77"/>
        <v>27531.25</v>
      </c>
    </row>
    <row r="4951" spans="1:5" x14ac:dyDescent="0.25">
      <c r="A4951" t="s">
        <v>3</v>
      </c>
      <c r="B4951">
        <v>1200723</v>
      </c>
      <c r="C4951">
        <v>55062.5</v>
      </c>
      <c r="D4951" s="4">
        <f>+VLOOKUP(A4951,Portfolio!$G$3:$I$6,3)</f>
        <v>0.5</v>
      </c>
      <c r="E4951">
        <f t="shared" si="77"/>
        <v>27531.25</v>
      </c>
    </row>
    <row r="4952" spans="1:5" x14ac:dyDescent="0.25">
      <c r="A4952" t="s">
        <v>3</v>
      </c>
      <c r="B4952">
        <v>1200724</v>
      </c>
      <c r="C4952">
        <v>57125</v>
      </c>
      <c r="D4952" s="4">
        <f>+VLOOKUP(A4952,Portfolio!$G$3:$I$6,3)</f>
        <v>0.5</v>
      </c>
      <c r="E4952">
        <f t="shared" si="77"/>
        <v>28562.5</v>
      </c>
    </row>
    <row r="4953" spans="1:5" x14ac:dyDescent="0.25">
      <c r="A4953" t="s">
        <v>3</v>
      </c>
      <c r="B4953">
        <v>1200726</v>
      </c>
      <c r="C4953">
        <v>57175</v>
      </c>
      <c r="D4953" s="4">
        <f>+VLOOKUP(A4953,Portfolio!$G$3:$I$6,3)</f>
        <v>0.5</v>
      </c>
      <c r="E4953">
        <f t="shared" si="77"/>
        <v>28587.5</v>
      </c>
    </row>
    <row r="4954" spans="1:5" x14ac:dyDescent="0.25">
      <c r="A4954" t="s">
        <v>3</v>
      </c>
      <c r="B4954">
        <v>1200727</v>
      </c>
      <c r="C4954">
        <v>56200</v>
      </c>
      <c r="D4954" s="4">
        <f>+VLOOKUP(A4954,Portfolio!$G$3:$I$6,3)</f>
        <v>0.5</v>
      </c>
      <c r="E4954">
        <f t="shared" si="77"/>
        <v>28100</v>
      </c>
    </row>
    <row r="4955" spans="1:5" x14ac:dyDescent="0.25">
      <c r="A4955" t="s">
        <v>3</v>
      </c>
      <c r="B4955">
        <v>1200728</v>
      </c>
      <c r="C4955">
        <v>56200</v>
      </c>
      <c r="D4955" s="4">
        <f>+VLOOKUP(A4955,Portfolio!$G$3:$I$6,3)</f>
        <v>0.5</v>
      </c>
      <c r="E4955">
        <f t="shared" si="77"/>
        <v>28100</v>
      </c>
    </row>
    <row r="4956" spans="1:5" x14ac:dyDescent="0.25">
      <c r="A4956" t="s">
        <v>3</v>
      </c>
      <c r="B4956">
        <v>1200729</v>
      </c>
      <c r="C4956">
        <v>55862.5</v>
      </c>
      <c r="D4956" s="4">
        <f>+VLOOKUP(A4956,Portfolio!$G$3:$I$6,3)</f>
        <v>0.5</v>
      </c>
      <c r="E4956">
        <f t="shared" si="77"/>
        <v>27931.25</v>
      </c>
    </row>
    <row r="4957" spans="1:5" x14ac:dyDescent="0.25">
      <c r="A4957" t="s">
        <v>3</v>
      </c>
      <c r="B4957">
        <v>1200730</v>
      </c>
      <c r="C4957">
        <v>56737.5</v>
      </c>
      <c r="D4957" s="4">
        <f>+VLOOKUP(A4957,Portfolio!$G$3:$I$6,3)</f>
        <v>0.5</v>
      </c>
      <c r="E4957">
        <f t="shared" si="77"/>
        <v>28368.75</v>
      </c>
    </row>
    <row r="4958" spans="1:5" x14ac:dyDescent="0.25">
      <c r="A4958" t="s">
        <v>3</v>
      </c>
      <c r="B4958">
        <v>1200731</v>
      </c>
      <c r="C4958">
        <v>51587.5</v>
      </c>
      <c r="D4958" s="4">
        <f>+VLOOKUP(A4958,Portfolio!$G$3:$I$6,3)</f>
        <v>0.5</v>
      </c>
      <c r="E4958">
        <f t="shared" si="77"/>
        <v>25793.75</v>
      </c>
    </row>
    <row r="4959" spans="1:5" x14ac:dyDescent="0.25">
      <c r="A4959" t="s">
        <v>3</v>
      </c>
      <c r="B4959">
        <v>1200802</v>
      </c>
      <c r="C4959">
        <v>51137.5</v>
      </c>
      <c r="D4959" s="4">
        <f>+VLOOKUP(A4959,Portfolio!$G$3:$I$6,3)</f>
        <v>0.5</v>
      </c>
      <c r="E4959">
        <f t="shared" si="77"/>
        <v>25568.75</v>
      </c>
    </row>
    <row r="4960" spans="1:5" x14ac:dyDescent="0.25">
      <c r="A4960" t="s">
        <v>3</v>
      </c>
      <c r="B4960">
        <v>1200803</v>
      </c>
      <c r="C4960">
        <v>51087.5</v>
      </c>
      <c r="D4960" s="4">
        <f>+VLOOKUP(A4960,Portfolio!$G$3:$I$6,3)</f>
        <v>0.5</v>
      </c>
      <c r="E4960">
        <f t="shared" si="77"/>
        <v>25543.75</v>
      </c>
    </row>
    <row r="4961" spans="1:5" x14ac:dyDescent="0.25">
      <c r="A4961" t="s">
        <v>3</v>
      </c>
      <c r="B4961">
        <v>1200804</v>
      </c>
      <c r="C4961">
        <v>50075</v>
      </c>
      <c r="D4961" s="4">
        <f>+VLOOKUP(A4961,Portfolio!$G$3:$I$6,3)</f>
        <v>0.5</v>
      </c>
      <c r="E4961">
        <f t="shared" si="77"/>
        <v>25037.5</v>
      </c>
    </row>
    <row r="4962" spans="1:5" x14ac:dyDescent="0.25">
      <c r="A4962" t="s">
        <v>3</v>
      </c>
      <c r="B4962">
        <v>1200805</v>
      </c>
      <c r="C4962">
        <v>50337.5</v>
      </c>
      <c r="D4962" s="4">
        <f>+VLOOKUP(A4962,Portfolio!$G$3:$I$6,3)</f>
        <v>0.5</v>
      </c>
      <c r="E4962">
        <f t="shared" si="77"/>
        <v>25168.75</v>
      </c>
    </row>
    <row r="4963" spans="1:5" x14ac:dyDescent="0.25">
      <c r="A4963" t="s">
        <v>3</v>
      </c>
      <c r="B4963">
        <v>1200806</v>
      </c>
      <c r="C4963">
        <v>50087.5</v>
      </c>
      <c r="D4963" s="4">
        <f>+VLOOKUP(A4963,Portfolio!$G$3:$I$6,3)</f>
        <v>0.5</v>
      </c>
      <c r="E4963">
        <f t="shared" si="77"/>
        <v>25043.75</v>
      </c>
    </row>
    <row r="4964" spans="1:5" x14ac:dyDescent="0.25">
      <c r="A4964" t="s">
        <v>3</v>
      </c>
      <c r="B4964">
        <v>1200807</v>
      </c>
      <c r="C4964">
        <v>50550</v>
      </c>
      <c r="D4964" s="4">
        <f>+VLOOKUP(A4964,Portfolio!$G$3:$I$6,3)</f>
        <v>0.5</v>
      </c>
      <c r="E4964">
        <f t="shared" si="77"/>
        <v>25275</v>
      </c>
    </row>
    <row r="4965" spans="1:5" x14ac:dyDescent="0.25">
      <c r="A4965" t="s">
        <v>3</v>
      </c>
      <c r="B4965">
        <v>1200809</v>
      </c>
      <c r="C4965">
        <v>49462.5</v>
      </c>
      <c r="D4965" s="4">
        <f>+VLOOKUP(A4965,Portfolio!$G$3:$I$6,3)</f>
        <v>0.5</v>
      </c>
      <c r="E4965">
        <f t="shared" si="77"/>
        <v>24731.25</v>
      </c>
    </row>
    <row r="4966" spans="1:5" x14ac:dyDescent="0.25">
      <c r="A4966" t="s">
        <v>3</v>
      </c>
      <c r="B4966">
        <v>1200810</v>
      </c>
      <c r="C4966">
        <v>48787.5</v>
      </c>
      <c r="D4966" s="4">
        <f>+VLOOKUP(A4966,Portfolio!$G$3:$I$6,3)</f>
        <v>0.5</v>
      </c>
      <c r="E4966">
        <f t="shared" si="77"/>
        <v>24393.75</v>
      </c>
    </row>
    <row r="4967" spans="1:5" x14ac:dyDescent="0.25">
      <c r="A4967" t="s">
        <v>3</v>
      </c>
      <c r="B4967">
        <v>1200811</v>
      </c>
      <c r="C4967">
        <v>48587.5</v>
      </c>
      <c r="D4967" s="4">
        <f>+VLOOKUP(A4967,Portfolio!$G$3:$I$6,3)</f>
        <v>0.5</v>
      </c>
      <c r="E4967">
        <f t="shared" si="77"/>
        <v>24293.75</v>
      </c>
    </row>
    <row r="4968" spans="1:5" x14ac:dyDescent="0.25">
      <c r="A4968" t="s">
        <v>3</v>
      </c>
      <c r="B4968">
        <v>1200812</v>
      </c>
      <c r="C4968">
        <v>49962.5</v>
      </c>
      <c r="D4968" s="4">
        <f>+VLOOKUP(A4968,Portfolio!$G$3:$I$6,3)</f>
        <v>0.5</v>
      </c>
      <c r="E4968">
        <f t="shared" si="77"/>
        <v>24981.25</v>
      </c>
    </row>
    <row r="4969" spans="1:5" x14ac:dyDescent="0.25">
      <c r="A4969" t="s">
        <v>3</v>
      </c>
      <c r="B4969">
        <v>1200813</v>
      </c>
      <c r="C4969">
        <v>48512.5</v>
      </c>
      <c r="D4969" s="4">
        <f>+VLOOKUP(A4969,Portfolio!$G$3:$I$6,3)</f>
        <v>0.5</v>
      </c>
      <c r="E4969">
        <f t="shared" si="77"/>
        <v>24256.25</v>
      </c>
    </row>
    <row r="4970" spans="1:5" x14ac:dyDescent="0.25">
      <c r="A4970" t="s">
        <v>3</v>
      </c>
      <c r="B4970">
        <v>1200814</v>
      </c>
      <c r="C4970">
        <v>47512.5</v>
      </c>
      <c r="D4970" s="4">
        <f>+VLOOKUP(A4970,Portfolio!$G$3:$I$6,3)</f>
        <v>0.5</v>
      </c>
      <c r="E4970">
        <f t="shared" si="77"/>
        <v>23756.25</v>
      </c>
    </row>
    <row r="4971" spans="1:5" x14ac:dyDescent="0.25">
      <c r="A4971" t="s">
        <v>3</v>
      </c>
      <c r="B4971">
        <v>1200816</v>
      </c>
      <c r="C4971">
        <v>47775</v>
      </c>
      <c r="D4971" s="4">
        <f>+VLOOKUP(A4971,Portfolio!$G$3:$I$6,3)</f>
        <v>0.5</v>
      </c>
      <c r="E4971">
        <f t="shared" si="77"/>
        <v>23887.5</v>
      </c>
    </row>
    <row r="4972" spans="1:5" x14ac:dyDescent="0.25">
      <c r="A4972" t="s">
        <v>3</v>
      </c>
      <c r="B4972">
        <v>1200817</v>
      </c>
      <c r="C4972">
        <v>47775</v>
      </c>
      <c r="D4972" s="4">
        <f>+VLOOKUP(A4972,Portfolio!$G$3:$I$6,3)</f>
        <v>0.5</v>
      </c>
      <c r="E4972">
        <f t="shared" si="77"/>
        <v>23887.5</v>
      </c>
    </row>
    <row r="4973" spans="1:5" x14ac:dyDescent="0.25">
      <c r="A4973" t="s">
        <v>3</v>
      </c>
      <c r="B4973">
        <v>1200818</v>
      </c>
      <c r="C4973">
        <v>47775</v>
      </c>
      <c r="D4973" s="4">
        <f>+VLOOKUP(A4973,Portfolio!$G$3:$I$6,3)</f>
        <v>0.5</v>
      </c>
      <c r="E4973">
        <f t="shared" si="77"/>
        <v>23887.5</v>
      </c>
    </row>
    <row r="4974" spans="1:5" x14ac:dyDescent="0.25">
      <c r="A4974" t="s">
        <v>3</v>
      </c>
      <c r="B4974">
        <v>1200819</v>
      </c>
      <c r="C4974">
        <v>46312.5</v>
      </c>
      <c r="D4974" s="4">
        <f>+VLOOKUP(A4974,Portfolio!$G$3:$I$6,3)</f>
        <v>0.5</v>
      </c>
      <c r="E4974">
        <f t="shared" si="77"/>
        <v>23156.25</v>
      </c>
    </row>
    <row r="4975" spans="1:5" x14ac:dyDescent="0.25">
      <c r="A4975" t="s">
        <v>3</v>
      </c>
      <c r="B4975">
        <v>1200820</v>
      </c>
      <c r="C4975">
        <v>47175</v>
      </c>
      <c r="D4975" s="4">
        <f>+VLOOKUP(A4975,Portfolio!$G$3:$I$6,3)</f>
        <v>0.5</v>
      </c>
      <c r="E4975">
        <f t="shared" si="77"/>
        <v>23587.5</v>
      </c>
    </row>
    <row r="4976" spans="1:5" x14ac:dyDescent="0.25">
      <c r="A4976" t="s">
        <v>3</v>
      </c>
      <c r="B4976">
        <v>1200821</v>
      </c>
      <c r="C4976">
        <v>47500</v>
      </c>
      <c r="D4976" s="4">
        <f>+VLOOKUP(A4976,Portfolio!$G$3:$I$6,3)</f>
        <v>0.5</v>
      </c>
      <c r="E4976">
        <f t="shared" si="77"/>
        <v>23750</v>
      </c>
    </row>
    <row r="4977" spans="1:5" x14ac:dyDescent="0.25">
      <c r="A4977" t="s">
        <v>3</v>
      </c>
      <c r="B4977">
        <v>1200823</v>
      </c>
      <c r="C4977">
        <v>47350</v>
      </c>
      <c r="D4977" s="4">
        <f>+VLOOKUP(A4977,Portfolio!$G$3:$I$6,3)</f>
        <v>0.5</v>
      </c>
      <c r="E4977">
        <f t="shared" si="77"/>
        <v>23675</v>
      </c>
    </row>
    <row r="4978" spans="1:5" x14ac:dyDescent="0.25">
      <c r="A4978" t="s">
        <v>3</v>
      </c>
      <c r="B4978">
        <v>1200824</v>
      </c>
      <c r="C4978">
        <v>47487.5</v>
      </c>
      <c r="D4978" s="4">
        <f>+VLOOKUP(A4978,Portfolio!$G$3:$I$6,3)</f>
        <v>0.5</v>
      </c>
      <c r="E4978">
        <f t="shared" si="77"/>
        <v>23743.75</v>
      </c>
    </row>
    <row r="4979" spans="1:5" x14ac:dyDescent="0.25">
      <c r="A4979" t="s">
        <v>3</v>
      </c>
      <c r="B4979">
        <v>1200825</v>
      </c>
      <c r="C4979">
        <v>48825</v>
      </c>
      <c r="D4979" s="4">
        <f>+VLOOKUP(A4979,Portfolio!$G$3:$I$6,3)</f>
        <v>0.5</v>
      </c>
      <c r="E4979">
        <f t="shared" si="77"/>
        <v>24412.5</v>
      </c>
    </row>
    <row r="4980" spans="1:5" x14ac:dyDescent="0.25">
      <c r="A4980" t="s">
        <v>3</v>
      </c>
      <c r="B4980">
        <v>1200826</v>
      </c>
      <c r="C4980">
        <v>48100</v>
      </c>
      <c r="D4980" s="4">
        <f>+VLOOKUP(A4980,Portfolio!$G$3:$I$6,3)</f>
        <v>0.5</v>
      </c>
      <c r="E4980">
        <f t="shared" si="77"/>
        <v>24050</v>
      </c>
    </row>
    <row r="4981" spans="1:5" x14ac:dyDescent="0.25">
      <c r="A4981" t="s">
        <v>3</v>
      </c>
      <c r="B4981">
        <v>1200827</v>
      </c>
      <c r="C4981">
        <v>49062.5</v>
      </c>
      <c r="D4981" s="4">
        <f>+VLOOKUP(A4981,Portfolio!$G$3:$I$6,3)</f>
        <v>0.5</v>
      </c>
      <c r="E4981">
        <f t="shared" si="77"/>
        <v>24531.25</v>
      </c>
    </row>
    <row r="4982" spans="1:5" x14ac:dyDescent="0.25">
      <c r="A4982" t="s">
        <v>3</v>
      </c>
      <c r="B4982">
        <v>1200828</v>
      </c>
      <c r="C4982">
        <v>48100</v>
      </c>
      <c r="D4982" s="4">
        <f>+VLOOKUP(A4982,Portfolio!$G$3:$I$6,3)</f>
        <v>0.5</v>
      </c>
      <c r="E4982">
        <f t="shared" si="77"/>
        <v>24050</v>
      </c>
    </row>
    <row r="4983" spans="1:5" x14ac:dyDescent="0.25">
      <c r="A4983" t="s">
        <v>3</v>
      </c>
      <c r="B4983">
        <v>1200830</v>
      </c>
      <c r="C4983">
        <v>45650</v>
      </c>
      <c r="D4983" s="4">
        <f>+VLOOKUP(A4983,Portfolio!$G$3:$I$6,3)</f>
        <v>0.5</v>
      </c>
      <c r="E4983">
        <f t="shared" si="77"/>
        <v>22825</v>
      </c>
    </row>
    <row r="4984" spans="1:5" x14ac:dyDescent="0.25">
      <c r="A4984" t="s">
        <v>3</v>
      </c>
      <c r="B4984">
        <v>1200831</v>
      </c>
      <c r="C4984">
        <v>45237.5</v>
      </c>
      <c r="D4984" s="4">
        <f>+VLOOKUP(A4984,Portfolio!$G$3:$I$6,3)</f>
        <v>0.5</v>
      </c>
      <c r="E4984">
        <f t="shared" si="77"/>
        <v>22618.75</v>
      </c>
    </row>
    <row r="4985" spans="1:5" x14ac:dyDescent="0.25">
      <c r="A4985" t="s">
        <v>3</v>
      </c>
      <c r="B4985">
        <v>1200901</v>
      </c>
      <c r="C4985">
        <v>46225</v>
      </c>
      <c r="D4985" s="4">
        <f>+VLOOKUP(A4985,Portfolio!$G$3:$I$6,3)</f>
        <v>0.5</v>
      </c>
      <c r="E4985">
        <f t="shared" si="77"/>
        <v>23112.5</v>
      </c>
    </row>
    <row r="4986" spans="1:5" x14ac:dyDescent="0.25">
      <c r="A4986" t="s">
        <v>3</v>
      </c>
      <c r="B4986">
        <v>1200902</v>
      </c>
      <c r="C4986">
        <v>47225</v>
      </c>
      <c r="D4986" s="4">
        <f>+VLOOKUP(A4986,Portfolio!$G$3:$I$6,3)</f>
        <v>0.5</v>
      </c>
      <c r="E4986">
        <f t="shared" si="77"/>
        <v>23612.5</v>
      </c>
    </row>
    <row r="4987" spans="1:5" x14ac:dyDescent="0.25">
      <c r="A4987" t="s">
        <v>3</v>
      </c>
      <c r="B4987">
        <v>1200903</v>
      </c>
      <c r="C4987">
        <v>49237.5</v>
      </c>
      <c r="D4987" s="4">
        <f>+VLOOKUP(A4987,Portfolio!$G$3:$I$6,3)</f>
        <v>0.5</v>
      </c>
      <c r="E4987">
        <f t="shared" si="77"/>
        <v>24618.75</v>
      </c>
    </row>
    <row r="4988" spans="1:5" x14ac:dyDescent="0.25">
      <c r="A4988" t="s">
        <v>3</v>
      </c>
      <c r="B4988">
        <v>1200904</v>
      </c>
      <c r="C4988">
        <v>54325</v>
      </c>
      <c r="D4988" s="4">
        <f>+VLOOKUP(A4988,Portfolio!$G$3:$I$6,3)</f>
        <v>0.5</v>
      </c>
      <c r="E4988">
        <f t="shared" si="77"/>
        <v>27162.5</v>
      </c>
    </row>
    <row r="4989" spans="1:5" x14ac:dyDescent="0.25">
      <c r="A4989" t="s">
        <v>3</v>
      </c>
      <c r="B4989">
        <v>1200906</v>
      </c>
      <c r="C4989">
        <v>56625</v>
      </c>
      <c r="D4989" s="4">
        <f>+VLOOKUP(A4989,Portfolio!$G$3:$I$6,3)</f>
        <v>0.5</v>
      </c>
      <c r="E4989">
        <f t="shared" si="77"/>
        <v>28312.5</v>
      </c>
    </row>
    <row r="4990" spans="1:5" x14ac:dyDescent="0.25">
      <c r="A4990" t="s">
        <v>3</v>
      </c>
      <c r="B4990">
        <v>1200907</v>
      </c>
      <c r="C4990">
        <v>56475</v>
      </c>
      <c r="D4990" s="4">
        <f>+VLOOKUP(A4990,Portfolio!$G$3:$I$6,3)</f>
        <v>0.5</v>
      </c>
      <c r="E4990">
        <f t="shared" si="77"/>
        <v>28237.5</v>
      </c>
    </row>
    <row r="4991" spans="1:5" x14ac:dyDescent="0.25">
      <c r="A4991" t="s">
        <v>3</v>
      </c>
      <c r="B4991">
        <v>1200908</v>
      </c>
      <c r="C4991">
        <v>55637.5</v>
      </c>
      <c r="D4991" s="4">
        <f>+VLOOKUP(A4991,Portfolio!$G$3:$I$6,3)</f>
        <v>0.5</v>
      </c>
      <c r="E4991">
        <f t="shared" si="77"/>
        <v>27818.75</v>
      </c>
    </row>
    <row r="4992" spans="1:5" x14ac:dyDescent="0.25">
      <c r="A4992" t="s">
        <v>3</v>
      </c>
      <c r="B4992">
        <v>1200909</v>
      </c>
      <c r="C4992">
        <v>50650</v>
      </c>
      <c r="D4992" s="4">
        <f>+VLOOKUP(A4992,Portfolio!$G$3:$I$6,3)</f>
        <v>0.5</v>
      </c>
      <c r="E4992">
        <f t="shared" si="77"/>
        <v>25325</v>
      </c>
    </row>
    <row r="4993" spans="1:5" x14ac:dyDescent="0.25">
      <c r="A4993" t="s">
        <v>3</v>
      </c>
      <c r="B4993">
        <v>1200910</v>
      </c>
      <c r="C4993">
        <v>49400</v>
      </c>
      <c r="D4993" s="4">
        <f>+VLOOKUP(A4993,Portfolio!$G$3:$I$6,3)</f>
        <v>0.5</v>
      </c>
      <c r="E4993">
        <f t="shared" si="77"/>
        <v>24700</v>
      </c>
    </row>
    <row r="4994" spans="1:5" x14ac:dyDescent="0.25">
      <c r="A4994" t="s">
        <v>3</v>
      </c>
      <c r="B4994">
        <v>1200911</v>
      </c>
      <c r="C4994">
        <v>50150</v>
      </c>
      <c r="D4994" s="4">
        <f>+VLOOKUP(A4994,Portfolio!$G$3:$I$6,3)</f>
        <v>0.5</v>
      </c>
      <c r="E4994">
        <f t="shared" si="77"/>
        <v>25075</v>
      </c>
    </row>
    <row r="4995" spans="1:5" x14ac:dyDescent="0.25">
      <c r="A4995" t="s">
        <v>3</v>
      </c>
      <c r="B4995">
        <v>1200913</v>
      </c>
      <c r="C4995">
        <v>50337.5</v>
      </c>
      <c r="D4995" s="4">
        <f>+VLOOKUP(A4995,Portfolio!$G$3:$I$6,3)</f>
        <v>0.5</v>
      </c>
      <c r="E4995">
        <f t="shared" ref="E4995:E5058" si="78">+C4995*D4995</f>
        <v>25168.75</v>
      </c>
    </row>
    <row r="4996" spans="1:5" x14ac:dyDescent="0.25">
      <c r="A4996" t="s">
        <v>3</v>
      </c>
      <c r="B4996">
        <v>1200914</v>
      </c>
      <c r="C4996">
        <v>49600</v>
      </c>
      <c r="D4996" s="4">
        <f>+VLOOKUP(A4996,Portfolio!$G$3:$I$6,3)</f>
        <v>0.5</v>
      </c>
      <c r="E4996">
        <f t="shared" si="78"/>
        <v>24800</v>
      </c>
    </row>
    <row r="4997" spans="1:5" x14ac:dyDescent="0.25">
      <c r="A4997" t="s">
        <v>3</v>
      </c>
      <c r="B4997">
        <v>1200915</v>
      </c>
      <c r="C4997">
        <v>48875</v>
      </c>
      <c r="D4997" s="4">
        <f>+VLOOKUP(A4997,Portfolio!$G$3:$I$6,3)</f>
        <v>0.5</v>
      </c>
      <c r="E4997">
        <f t="shared" si="78"/>
        <v>24437.5</v>
      </c>
    </row>
    <row r="4998" spans="1:5" x14ac:dyDescent="0.25">
      <c r="A4998" t="s">
        <v>3</v>
      </c>
      <c r="B4998">
        <v>1200916</v>
      </c>
      <c r="C4998">
        <v>49825</v>
      </c>
      <c r="D4998" s="4">
        <f>+VLOOKUP(A4998,Portfolio!$G$3:$I$6,3)</f>
        <v>0.5</v>
      </c>
      <c r="E4998">
        <f t="shared" si="78"/>
        <v>24912.5</v>
      </c>
    </row>
    <row r="4999" spans="1:5" x14ac:dyDescent="0.25">
      <c r="A4999" t="s">
        <v>3</v>
      </c>
      <c r="B4999">
        <v>1200917</v>
      </c>
      <c r="C4999">
        <v>44612.5</v>
      </c>
      <c r="D4999" s="4">
        <f>+VLOOKUP(A4999,Portfolio!$G$3:$I$6,3)</f>
        <v>0.5</v>
      </c>
      <c r="E4999">
        <f t="shared" si="78"/>
        <v>22306.25</v>
      </c>
    </row>
    <row r="5000" spans="1:5" x14ac:dyDescent="0.25">
      <c r="A5000" t="s">
        <v>3</v>
      </c>
      <c r="B5000">
        <v>1200918</v>
      </c>
      <c r="C5000">
        <v>45012.5</v>
      </c>
      <c r="D5000" s="4">
        <f>+VLOOKUP(A5000,Portfolio!$G$3:$I$6,3)</f>
        <v>0.5</v>
      </c>
      <c r="E5000">
        <f t="shared" si="78"/>
        <v>22506.25</v>
      </c>
    </row>
    <row r="5001" spans="1:5" x14ac:dyDescent="0.25">
      <c r="A5001" t="s">
        <v>3</v>
      </c>
      <c r="B5001">
        <v>1200920</v>
      </c>
      <c r="C5001">
        <v>46150</v>
      </c>
      <c r="D5001" s="4">
        <f>+VLOOKUP(A5001,Portfolio!$G$3:$I$6,3)</f>
        <v>0.5</v>
      </c>
      <c r="E5001">
        <f t="shared" si="78"/>
        <v>23075</v>
      </c>
    </row>
    <row r="5002" spans="1:5" x14ac:dyDescent="0.25">
      <c r="A5002" t="s">
        <v>3</v>
      </c>
      <c r="B5002">
        <v>1200921</v>
      </c>
      <c r="C5002">
        <v>46437.5</v>
      </c>
      <c r="D5002" s="4">
        <f>+VLOOKUP(A5002,Portfolio!$G$3:$I$6,3)</f>
        <v>0.5</v>
      </c>
      <c r="E5002">
        <f t="shared" si="78"/>
        <v>23218.75</v>
      </c>
    </row>
    <row r="5003" spans="1:5" x14ac:dyDescent="0.25">
      <c r="A5003" t="s">
        <v>3</v>
      </c>
      <c r="B5003">
        <v>1200922</v>
      </c>
      <c r="C5003">
        <v>47925</v>
      </c>
      <c r="D5003" s="4">
        <f>+VLOOKUP(A5003,Portfolio!$G$3:$I$6,3)</f>
        <v>0.5</v>
      </c>
      <c r="E5003">
        <f t="shared" si="78"/>
        <v>23962.5</v>
      </c>
    </row>
    <row r="5004" spans="1:5" x14ac:dyDescent="0.25">
      <c r="A5004" t="s">
        <v>3</v>
      </c>
      <c r="B5004">
        <v>1200923</v>
      </c>
      <c r="C5004">
        <v>47475</v>
      </c>
      <c r="D5004" s="4">
        <f>+VLOOKUP(A5004,Portfolio!$G$3:$I$6,3)</f>
        <v>0.5</v>
      </c>
      <c r="E5004">
        <f t="shared" si="78"/>
        <v>23737.5</v>
      </c>
    </row>
    <row r="5005" spans="1:5" x14ac:dyDescent="0.25">
      <c r="A5005" t="s">
        <v>3</v>
      </c>
      <c r="B5005">
        <v>1200924</v>
      </c>
      <c r="C5005">
        <v>51150</v>
      </c>
      <c r="D5005" s="4">
        <f>+VLOOKUP(A5005,Portfolio!$G$3:$I$6,3)</f>
        <v>0.5</v>
      </c>
      <c r="E5005">
        <f t="shared" si="78"/>
        <v>25575</v>
      </c>
    </row>
    <row r="5006" spans="1:5" x14ac:dyDescent="0.25">
      <c r="A5006" t="s">
        <v>3</v>
      </c>
      <c r="B5006">
        <v>1200925</v>
      </c>
      <c r="C5006">
        <v>50875</v>
      </c>
      <c r="D5006" s="4">
        <f>+VLOOKUP(A5006,Portfolio!$G$3:$I$6,3)</f>
        <v>0.5</v>
      </c>
      <c r="E5006">
        <f t="shared" si="78"/>
        <v>25437.5</v>
      </c>
    </row>
    <row r="5007" spans="1:5" x14ac:dyDescent="0.25">
      <c r="A5007" t="s">
        <v>3</v>
      </c>
      <c r="B5007">
        <v>1200927</v>
      </c>
      <c r="C5007">
        <v>52187.5</v>
      </c>
      <c r="D5007" s="4">
        <f>+VLOOKUP(A5007,Portfolio!$G$3:$I$6,3)</f>
        <v>0.5</v>
      </c>
      <c r="E5007">
        <f t="shared" si="78"/>
        <v>26093.75</v>
      </c>
    </row>
    <row r="5008" spans="1:5" x14ac:dyDescent="0.25">
      <c r="A5008" t="s">
        <v>3</v>
      </c>
      <c r="B5008">
        <v>1200928</v>
      </c>
      <c r="C5008">
        <v>52387.5</v>
      </c>
      <c r="D5008" s="4">
        <f>+VLOOKUP(A5008,Portfolio!$G$3:$I$6,3)</f>
        <v>0.5</v>
      </c>
      <c r="E5008">
        <f t="shared" si="78"/>
        <v>26193.75</v>
      </c>
    </row>
    <row r="5009" spans="1:5" x14ac:dyDescent="0.25">
      <c r="A5009" t="s">
        <v>3</v>
      </c>
      <c r="B5009">
        <v>1200929</v>
      </c>
      <c r="C5009">
        <v>55400</v>
      </c>
      <c r="D5009" s="4">
        <f>+VLOOKUP(A5009,Portfolio!$G$3:$I$6,3)</f>
        <v>0.5</v>
      </c>
      <c r="E5009">
        <f t="shared" si="78"/>
        <v>27700</v>
      </c>
    </row>
    <row r="5010" spans="1:5" x14ac:dyDescent="0.25">
      <c r="A5010" t="s">
        <v>3</v>
      </c>
      <c r="B5010">
        <v>1200930</v>
      </c>
      <c r="C5010">
        <v>54900</v>
      </c>
      <c r="D5010" s="4">
        <f>+VLOOKUP(A5010,Portfolio!$G$3:$I$6,3)</f>
        <v>0.5</v>
      </c>
      <c r="E5010">
        <f t="shared" si="78"/>
        <v>27450</v>
      </c>
    </row>
    <row r="5011" spans="1:5" x14ac:dyDescent="0.25">
      <c r="A5011" t="s">
        <v>3</v>
      </c>
      <c r="B5011">
        <v>1201001</v>
      </c>
      <c r="C5011">
        <v>53062.5</v>
      </c>
      <c r="D5011" s="4">
        <f>+VLOOKUP(A5011,Portfolio!$G$3:$I$6,3)</f>
        <v>0.5</v>
      </c>
      <c r="E5011">
        <f t="shared" si="78"/>
        <v>26531.25</v>
      </c>
    </row>
    <row r="5012" spans="1:5" x14ac:dyDescent="0.25">
      <c r="A5012" t="s">
        <v>3</v>
      </c>
      <c r="B5012">
        <v>1201002</v>
      </c>
      <c r="C5012">
        <v>54425</v>
      </c>
      <c r="D5012" s="4">
        <f>+VLOOKUP(A5012,Portfolio!$G$3:$I$6,3)</f>
        <v>0.5</v>
      </c>
      <c r="E5012">
        <f t="shared" si="78"/>
        <v>27212.5</v>
      </c>
    </row>
    <row r="5013" spans="1:5" x14ac:dyDescent="0.25">
      <c r="A5013" t="s">
        <v>3</v>
      </c>
      <c r="B5013">
        <v>1201004</v>
      </c>
      <c r="C5013">
        <v>54812.5</v>
      </c>
      <c r="D5013" s="4">
        <f>+VLOOKUP(A5013,Portfolio!$G$3:$I$6,3)</f>
        <v>0.5</v>
      </c>
      <c r="E5013">
        <f t="shared" si="78"/>
        <v>27406.25</v>
      </c>
    </row>
    <row r="5014" spans="1:5" x14ac:dyDescent="0.25">
      <c r="A5014" t="s">
        <v>3</v>
      </c>
      <c r="B5014">
        <v>1201005</v>
      </c>
      <c r="C5014">
        <v>54812.5</v>
      </c>
      <c r="D5014" s="4">
        <f>+VLOOKUP(A5014,Portfolio!$G$3:$I$6,3)</f>
        <v>0.5</v>
      </c>
      <c r="E5014">
        <f t="shared" si="78"/>
        <v>27406.25</v>
      </c>
    </row>
    <row r="5015" spans="1:5" x14ac:dyDescent="0.25">
      <c r="A5015" t="s">
        <v>3</v>
      </c>
      <c r="B5015">
        <v>1201006</v>
      </c>
      <c r="C5015">
        <v>55950</v>
      </c>
      <c r="D5015" s="4">
        <f>+VLOOKUP(A5015,Portfolio!$G$3:$I$6,3)</f>
        <v>0.5</v>
      </c>
      <c r="E5015">
        <f t="shared" si="78"/>
        <v>27975</v>
      </c>
    </row>
    <row r="5016" spans="1:5" x14ac:dyDescent="0.25">
      <c r="A5016" t="s">
        <v>3</v>
      </c>
      <c r="B5016">
        <v>1201007</v>
      </c>
      <c r="C5016">
        <v>55675</v>
      </c>
      <c r="D5016" s="4">
        <f>+VLOOKUP(A5016,Portfolio!$G$3:$I$6,3)</f>
        <v>0.5</v>
      </c>
      <c r="E5016">
        <f t="shared" si="78"/>
        <v>27837.5</v>
      </c>
    </row>
    <row r="5017" spans="1:5" x14ac:dyDescent="0.25">
      <c r="A5017" t="s">
        <v>3</v>
      </c>
      <c r="B5017">
        <v>1201008</v>
      </c>
      <c r="C5017">
        <v>54925</v>
      </c>
      <c r="D5017" s="4">
        <f>+VLOOKUP(A5017,Portfolio!$G$3:$I$6,3)</f>
        <v>0.5</v>
      </c>
      <c r="E5017">
        <f t="shared" si="78"/>
        <v>27462.5</v>
      </c>
    </row>
    <row r="5018" spans="1:5" x14ac:dyDescent="0.25">
      <c r="A5018" t="s">
        <v>3</v>
      </c>
      <c r="B5018">
        <v>1201009</v>
      </c>
      <c r="C5018">
        <v>56375</v>
      </c>
      <c r="D5018" s="4">
        <f>+VLOOKUP(A5018,Portfolio!$G$3:$I$6,3)</f>
        <v>0.5</v>
      </c>
      <c r="E5018">
        <f t="shared" si="78"/>
        <v>28187.5</v>
      </c>
    </row>
    <row r="5019" spans="1:5" x14ac:dyDescent="0.25">
      <c r="A5019" t="s">
        <v>3</v>
      </c>
      <c r="B5019">
        <v>1201011</v>
      </c>
      <c r="C5019">
        <v>57125</v>
      </c>
      <c r="D5019" s="4">
        <f>+VLOOKUP(A5019,Portfolio!$G$3:$I$6,3)</f>
        <v>0.5</v>
      </c>
      <c r="E5019">
        <f t="shared" si="78"/>
        <v>28562.5</v>
      </c>
    </row>
    <row r="5020" spans="1:5" x14ac:dyDescent="0.25">
      <c r="A5020" t="s">
        <v>3</v>
      </c>
      <c r="B5020">
        <v>1201012</v>
      </c>
      <c r="C5020">
        <v>57537.5</v>
      </c>
      <c r="D5020" s="4">
        <f>+VLOOKUP(A5020,Portfolio!$G$3:$I$6,3)</f>
        <v>0.5</v>
      </c>
      <c r="E5020">
        <f t="shared" si="78"/>
        <v>28768.75</v>
      </c>
    </row>
    <row r="5021" spans="1:5" x14ac:dyDescent="0.25">
      <c r="A5021" t="s">
        <v>3</v>
      </c>
      <c r="B5021">
        <v>1201013</v>
      </c>
      <c r="C5021">
        <v>59850</v>
      </c>
      <c r="D5021" s="4">
        <f>+VLOOKUP(A5021,Portfolio!$G$3:$I$6,3)</f>
        <v>0.5</v>
      </c>
      <c r="E5021">
        <f t="shared" si="78"/>
        <v>29925</v>
      </c>
    </row>
    <row r="5022" spans="1:5" x14ac:dyDescent="0.25">
      <c r="A5022" t="s">
        <v>3</v>
      </c>
      <c r="B5022">
        <v>1201014</v>
      </c>
      <c r="C5022">
        <v>59612.5</v>
      </c>
      <c r="D5022" s="4">
        <f>+VLOOKUP(A5022,Portfolio!$G$3:$I$6,3)</f>
        <v>0.5</v>
      </c>
      <c r="E5022">
        <f t="shared" si="78"/>
        <v>29806.25</v>
      </c>
    </row>
    <row r="5023" spans="1:5" x14ac:dyDescent="0.25">
      <c r="A5023" t="s">
        <v>3</v>
      </c>
      <c r="B5023">
        <v>1201015</v>
      </c>
      <c r="C5023">
        <v>61812.5</v>
      </c>
      <c r="D5023" s="4">
        <f>+VLOOKUP(A5023,Portfolio!$G$3:$I$6,3)</f>
        <v>0.5</v>
      </c>
      <c r="E5023">
        <f t="shared" si="78"/>
        <v>30906.25</v>
      </c>
    </row>
    <row r="5024" spans="1:5" x14ac:dyDescent="0.25">
      <c r="A5024" t="s">
        <v>3</v>
      </c>
      <c r="B5024">
        <v>1201016</v>
      </c>
      <c r="C5024">
        <v>62062.5</v>
      </c>
      <c r="D5024" s="4">
        <f>+VLOOKUP(A5024,Portfolio!$G$3:$I$6,3)</f>
        <v>0.5</v>
      </c>
      <c r="E5024">
        <f t="shared" si="78"/>
        <v>31031.25</v>
      </c>
    </row>
    <row r="5025" spans="1:5" x14ac:dyDescent="0.25">
      <c r="A5025" t="s">
        <v>3</v>
      </c>
      <c r="B5025">
        <v>1201018</v>
      </c>
      <c r="C5025">
        <v>61300</v>
      </c>
      <c r="D5025" s="4">
        <f>+VLOOKUP(A5025,Portfolio!$G$3:$I$6,3)</f>
        <v>0.5</v>
      </c>
      <c r="E5025">
        <f t="shared" si="78"/>
        <v>30650</v>
      </c>
    </row>
    <row r="5026" spans="1:5" x14ac:dyDescent="0.25">
      <c r="A5026" t="s">
        <v>3</v>
      </c>
      <c r="B5026">
        <v>1201019</v>
      </c>
      <c r="C5026">
        <v>61687.5</v>
      </c>
      <c r="D5026" s="4">
        <f>+VLOOKUP(A5026,Portfolio!$G$3:$I$6,3)</f>
        <v>0.5</v>
      </c>
      <c r="E5026">
        <f t="shared" si="78"/>
        <v>30843.75</v>
      </c>
    </row>
    <row r="5027" spans="1:5" x14ac:dyDescent="0.25">
      <c r="A5027" t="s">
        <v>3</v>
      </c>
      <c r="B5027">
        <v>1201020</v>
      </c>
      <c r="C5027">
        <v>63825</v>
      </c>
      <c r="D5027" s="4">
        <f>+VLOOKUP(A5027,Portfolio!$G$3:$I$6,3)</f>
        <v>0.5</v>
      </c>
      <c r="E5027">
        <f t="shared" si="78"/>
        <v>31912.5</v>
      </c>
    </row>
    <row r="5028" spans="1:5" x14ac:dyDescent="0.25">
      <c r="A5028" t="s">
        <v>3</v>
      </c>
      <c r="B5028">
        <v>1201021</v>
      </c>
      <c r="C5028">
        <v>60550</v>
      </c>
      <c r="D5028" s="4">
        <f>+VLOOKUP(A5028,Portfolio!$G$3:$I$6,3)</f>
        <v>0.5</v>
      </c>
      <c r="E5028">
        <f t="shared" si="78"/>
        <v>30275</v>
      </c>
    </row>
    <row r="5029" spans="1:5" x14ac:dyDescent="0.25">
      <c r="A5029" t="s">
        <v>3</v>
      </c>
      <c r="B5029">
        <v>1201022</v>
      </c>
      <c r="C5029">
        <v>59562.5</v>
      </c>
      <c r="D5029" s="4">
        <f>+VLOOKUP(A5029,Portfolio!$G$3:$I$6,3)</f>
        <v>0.5</v>
      </c>
      <c r="E5029">
        <f t="shared" si="78"/>
        <v>29781.25</v>
      </c>
    </row>
    <row r="5030" spans="1:5" x14ac:dyDescent="0.25">
      <c r="A5030" t="s">
        <v>3</v>
      </c>
      <c r="B5030">
        <v>1201023</v>
      </c>
      <c r="C5030">
        <v>60250</v>
      </c>
      <c r="D5030" s="4">
        <f>+VLOOKUP(A5030,Portfolio!$G$3:$I$6,3)</f>
        <v>0.5</v>
      </c>
      <c r="E5030">
        <f t="shared" si="78"/>
        <v>30125</v>
      </c>
    </row>
    <row r="5031" spans="1:5" x14ac:dyDescent="0.25">
      <c r="A5031" t="s">
        <v>3</v>
      </c>
      <c r="B5031">
        <v>1201025</v>
      </c>
      <c r="C5031">
        <v>59775</v>
      </c>
      <c r="D5031" s="4">
        <f>+VLOOKUP(A5031,Portfolio!$G$3:$I$6,3)</f>
        <v>0.5</v>
      </c>
      <c r="E5031">
        <f t="shared" si="78"/>
        <v>29887.5</v>
      </c>
    </row>
    <row r="5032" spans="1:5" x14ac:dyDescent="0.25">
      <c r="A5032" t="s">
        <v>3</v>
      </c>
      <c r="B5032">
        <v>1201026</v>
      </c>
      <c r="C5032">
        <v>59787.5</v>
      </c>
      <c r="D5032" s="4">
        <f>+VLOOKUP(A5032,Portfolio!$G$3:$I$6,3)</f>
        <v>0.5</v>
      </c>
      <c r="E5032">
        <f t="shared" si="78"/>
        <v>29893.75</v>
      </c>
    </row>
    <row r="5033" spans="1:5" x14ac:dyDescent="0.25">
      <c r="A5033" t="s">
        <v>3</v>
      </c>
      <c r="B5033">
        <v>1201027</v>
      </c>
      <c r="C5033">
        <v>61300</v>
      </c>
      <c r="D5033" s="4">
        <f>+VLOOKUP(A5033,Portfolio!$G$3:$I$6,3)</f>
        <v>0.5</v>
      </c>
      <c r="E5033">
        <f t="shared" si="78"/>
        <v>30650</v>
      </c>
    </row>
    <row r="5034" spans="1:5" x14ac:dyDescent="0.25">
      <c r="A5034" t="s">
        <v>3</v>
      </c>
      <c r="B5034">
        <v>1201028</v>
      </c>
      <c r="C5034">
        <v>62050</v>
      </c>
      <c r="D5034" s="4">
        <f>+VLOOKUP(A5034,Portfolio!$G$3:$I$6,3)</f>
        <v>0.5</v>
      </c>
      <c r="E5034">
        <f t="shared" si="78"/>
        <v>31025</v>
      </c>
    </row>
    <row r="5035" spans="1:5" x14ac:dyDescent="0.25">
      <c r="A5035" t="s">
        <v>3</v>
      </c>
      <c r="B5035">
        <v>1201029</v>
      </c>
      <c r="C5035">
        <v>62537.5</v>
      </c>
      <c r="D5035" s="4">
        <f>+VLOOKUP(A5035,Portfolio!$G$3:$I$6,3)</f>
        <v>0.5</v>
      </c>
      <c r="E5035">
        <f t="shared" si="78"/>
        <v>31268.75</v>
      </c>
    </row>
    <row r="5036" spans="1:5" x14ac:dyDescent="0.25">
      <c r="A5036" t="s">
        <v>3</v>
      </c>
      <c r="B5036">
        <v>1201030</v>
      </c>
      <c r="C5036">
        <v>61250</v>
      </c>
      <c r="D5036" s="4">
        <f>+VLOOKUP(A5036,Portfolio!$G$3:$I$6,3)</f>
        <v>0.5</v>
      </c>
      <c r="E5036">
        <f t="shared" si="78"/>
        <v>30625</v>
      </c>
    </row>
    <row r="5037" spans="1:5" x14ac:dyDescent="0.25">
      <c r="A5037" t="s">
        <v>3</v>
      </c>
      <c r="B5037">
        <v>1201101</v>
      </c>
      <c r="C5037">
        <v>57737.5</v>
      </c>
      <c r="D5037" s="4">
        <f>+VLOOKUP(A5037,Portfolio!$G$3:$I$6,3)</f>
        <v>0.5</v>
      </c>
      <c r="E5037">
        <f t="shared" si="78"/>
        <v>28868.75</v>
      </c>
    </row>
    <row r="5038" spans="1:5" x14ac:dyDescent="0.25">
      <c r="A5038" t="s">
        <v>3</v>
      </c>
      <c r="B5038">
        <v>1201102</v>
      </c>
      <c r="C5038">
        <v>56575</v>
      </c>
      <c r="D5038" s="4">
        <f>+VLOOKUP(A5038,Portfolio!$G$3:$I$6,3)</f>
        <v>0.5</v>
      </c>
      <c r="E5038">
        <f t="shared" si="78"/>
        <v>28287.5</v>
      </c>
    </row>
    <row r="5039" spans="1:5" x14ac:dyDescent="0.25">
      <c r="A5039" t="s">
        <v>3</v>
      </c>
      <c r="B5039">
        <v>1201103</v>
      </c>
      <c r="C5039">
        <v>53900</v>
      </c>
      <c r="D5039" s="4">
        <f>+VLOOKUP(A5039,Portfolio!$G$3:$I$6,3)</f>
        <v>0.5</v>
      </c>
      <c r="E5039">
        <f t="shared" si="78"/>
        <v>26950</v>
      </c>
    </row>
    <row r="5040" spans="1:5" x14ac:dyDescent="0.25">
      <c r="A5040" t="s">
        <v>3</v>
      </c>
      <c r="B5040">
        <v>1201104</v>
      </c>
      <c r="C5040">
        <v>57362.5</v>
      </c>
      <c r="D5040" s="4">
        <f>+VLOOKUP(A5040,Portfolio!$G$3:$I$6,3)</f>
        <v>0.5</v>
      </c>
      <c r="E5040">
        <f t="shared" si="78"/>
        <v>28681.25</v>
      </c>
    </row>
    <row r="5041" spans="1:5" x14ac:dyDescent="0.25">
      <c r="A5041" t="s">
        <v>3</v>
      </c>
      <c r="B5041">
        <v>1201105</v>
      </c>
      <c r="C5041">
        <v>61650</v>
      </c>
      <c r="D5041" s="4">
        <f>+VLOOKUP(A5041,Portfolio!$G$3:$I$6,3)</f>
        <v>0.5</v>
      </c>
      <c r="E5041">
        <f t="shared" si="78"/>
        <v>30825</v>
      </c>
    </row>
    <row r="5042" spans="1:5" x14ac:dyDescent="0.25">
      <c r="A5042" t="s">
        <v>3</v>
      </c>
      <c r="B5042">
        <v>1201106</v>
      </c>
      <c r="C5042">
        <v>63237.5</v>
      </c>
      <c r="D5042" s="4">
        <f>+VLOOKUP(A5042,Portfolio!$G$3:$I$6,3)</f>
        <v>0.5</v>
      </c>
      <c r="E5042">
        <f t="shared" si="78"/>
        <v>31618.75</v>
      </c>
    </row>
    <row r="5043" spans="1:5" x14ac:dyDescent="0.25">
      <c r="A5043" t="s">
        <v>3</v>
      </c>
      <c r="B5043">
        <v>1201108</v>
      </c>
      <c r="C5043">
        <v>63237.5</v>
      </c>
      <c r="D5043" s="4">
        <f>+VLOOKUP(A5043,Portfolio!$G$3:$I$6,3)</f>
        <v>0.5</v>
      </c>
      <c r="E5043">
        <f t="shared" si="78"/>
        <v>31618.75</v>
      </c>
    </row>
    <row r="5044" spans="1:5" x14ac:dyDescent="0.25">
      <c r="A5044" t="s">
        <v>3</v>
      </c>
      <c r="B5044">
        <v>1201109</v>
      </c>
      <c r="C5044">
        <v>63237.5</v>
      </c>
      <c r="D5044" s="4">
        <f>+VLOOKUP(A5044,Portfolio!$G$3:$I$6,3)</f>
        <v>0.5</v>
      </c>
      <c r="E5044">
        <f t="shared" si="78"/>
        <v>31618.75</v>
      </c>
    </row>
    <row r="5045" spans="1:5" x14ac:dyDescent="0.25">
      <c r="A5045" t="s">
        <v>3</v>
      </c>
      <c r="B5045">
        <v>1201110</v>
      </c>
      <c r="C5045">
        <v>63237.5</v>
      </c>
      <c r="D5045" s="4">
        <f>+VLOOKUP(A5045,Portfolio!$G$3:$I$6,3)</f>
        <v>0.5</v>
      </c>
      <c r="E5045">
        <f t="shared" si="78"/>
        <v>31618.75</v>
      </c>
    </row>
    <row r="5046" spans="1:5" x14ac:dyDescent="0.25">
      <c r="A5046" t="s">
        <v>3</v>
      </c>
      <c r="B5046">
        <v>1201111</v>
      </c>
      <c r="C5046">
        <v>61500</v>
      </c>
      <c r="D5046" s="4">
        <f>+VLOOKUP(A5046,Portfolio!$G$3:$I$6,3)</f>
        <v>0.5</v>
      </c>
      <c r="E5046">
        <f t="shared" si="78"/>
        <v>30750</v>
      </c>
    </row>
    <row r="5047" spans="1:5" x14ac:dyDescent="0.25">
      <c r="A5047" t="s">
        <v>3</v>
      </c>
      <c r="B5047">
        <v>1201112</v>
      </c>
      <c r="C5047">
        <v>59087.5</v>
      </c>
      <c r="D5047" s="4">
        <f>+VLOOKUP(A5047,Portfolio!$G$3:$I$6,3)</f>
        <v>0.5</v>
      </c>
      <c r="E5047">
        <f t="shared" si="78"/>
        <v>29543.75</v>
      </c>
    </row>
    <row r="5048" spans="1:5" x14ac:dyDescent="0.25">
      <c r="A5048" t="s">
        <v>3</v>
      </c>
      <c r="B5048">
        <v>1201113</v>
      </c>
      <c r="C5048">
        <v>58737.5</v>
      </c>
      <c r="D5048" s="4">
        <f>+VLOOKUP(A5048,Portfolio!$G$3:$I$6,3)</f>
        <v>0.5</v>
      </c>
      <c r="E5048">
        <f t="shared" si="78"/>
        <v>29368.75</v>
      </c>
    </row>
    <row r="5049" spans="1:5" x14ac:dyDescent="0.25">
      <c r="A5049" t="s">
        <v>3</v>
      </c>
      <c r="B5049">
        <v>1201115</v>
      </c>
      <c r="C5049">
        <v>58900</v>
      </c>
      <c r="D5049" s="4">
        <f>+VLOOKUP(A5049,Portfolio!$G$3:$I$6,3)</f>
        <v>0.5</v>
      </c>
      <c r="E5049">
        <f t="shared" si="78"/>
        <v>29450</v>
      </c>
    </row>
    <row r="5050" spans="1:5" x14ac:dyDescent="0.25">
      <c r="A5050" t="s">
        <v>3</v>
      </c>
      <c r="B5050">
        <v>1201116</v>
      </c>
      <c r="C5050">
        <v>59175</v>
      </c>
      <c r="D5050" s="4">
        <f>+VLOOKUP(A5050,Portfolio!$G$3:$I$6,3)</f>
        <v>0.5</v>
      </c>
      <c r="E5050">
        <f t="shared" si="78"/>
        <v>29587.5</v>
      </c>
    </row>
    <row r="5051" spans="1:5" x14ac:dyDescent="0.25">
      <c r="A5051" t="s">
        <v>3</v>
      </c>
      <c r="B5051">
        <v>1201117</v>
      </c>
      <c r="C5051">
        <v>59000</v>
      </c>
      <c r="D5051" s="4">
        <f>+VLOOKUP(A5051,Portfolio!$G$3:$I$6,3)</f>
        <v>0.5</v>
      </c>
      <c r="E5051">
        <f t="shared" si="78"/>
        <v>29500</v>
      </c>
    </row>
    <row r="5052" spans="1:5" x14ac:dyDescent="0.25">
      <c r="A5052" t="s">
        <v>3</v>
      </c>
      <c r="B5052">
        <v>1201118</v>
      </c>
      <c r="C5052">
        <v>57875</v>
      </c>
      <c r="D5052" s="4">
        <f>+VLOOKUP(A5052,Portfolio!$G$3:$I$6,3)</f>
        <v>0.5</v>
      </c>
      <c r="E5052">
        <f t="shared" si="78"/>
        <v>28937.5</v>
      </c>
    </row>
    <row r="5053" spans="1:5" x14ac:dyDescent="0.25">
      <c r="A5053" t="s">
        <v>3</v>
      </c>
      <c r="B5053">
        <v>1201119</v>
      </c>
      <c r="C5053">
        <v>58137.5</v>
      </c>
      <c r="D5053" s="4">
        <f>+VLOOKUP(A5053,Portfolio!$G$3:$I$6,3)</f>
        <v>0.5</v>
      </c>
      <c r="E5053">
        <f t="shared" si="78"/>
        <v>29068.75</v>
      </c>
    </row>
    <row r="5054" spans="1:5" x14ac:dyDescent="0.25">
      <c r="A5054" t="s">
        <v>3</v>
      </c>
      <c r="B5054">
        <v>1201120</v>
      </c>
      <c r="C5054">
        <v>57637.5</v>
      </c>
      <c r="D5054" s="4">
        <f>+VLOOKUP(A5054,Portfolio!$G$3:$I$6,3)</f>
        <v>0.5</v>
      </c>
      <c r="E5054">
        <f t="shared" si="78"/>
        <v>28818.75</v>
      </c>
    </row>
    <row r="5055" spans="1:5" x14ac:dyDescent="0.25">
      <c r="A5055" t="s">
        <v>3</v>
      </c>
      <c r="B5055">
        <v>1201122</v>
      </c>
      <c r="C5055">
        <v>57137.5</v>
      </c>
      <c r="D5055" s="4">
        <f>+VLOOKUP(A5055,Portfolio!$G$3:$I$6,3)</f>
        <v>0.5</v>
      </c>
      <c r="E5055">
        <f t="shared" si="78"/>
        <v>28568.75</v>
      </c>
    </row>
    <row r="5056" spans="1:5" x14ac:dyDescent="0.25">
      <c r="A5056" t="s">
        <v>3</v>
      </c>
      <c r="B5056">
        <v>1201123</v>
      </c>
      <c r="C5056">
        <v>57137.5</v>
      </c>
      <c r="D5056" s="4">
        <f>+VLOOKUP(A5056,Portfolio!$G$3:$I$6,3)</f>
        <v>0.5</v>
      </c>
      <c r="E5056">
        <f t="shared" si="78"/>
        <v>28568.75</v>
      </c>
    </row>
    <row r="5057" spans="1:5" x14ac:dyDescent="0.25">
      <c r="A5057" t="s">
        <v>3</v>
      </c>
      <c r="B5057">
        <v>1201124</v>
      </c>
      <c r="C5057">
        <v>55087.5</v>
      </c>
      <c r="D5057" s="4">
        <f>+VLOOKUP(A5057,Portfolio!$G$3:$I$6,3)</f>
        <v>0.5</v>
      </c>
      <c r="E5057">
        <f t="shared" si="78"/>
        <v>27543.75</v>
      </c>
    </row>
    <row r="5058" spans="1:5" x14ac:dyDescent="0.25">
      <c r="A5058" t="s">
        <v>3</v>
      </c>
      <c r="B5058">
        <v>1201125</v>
      </c>
      <c r="C5058">
        <v>56037.5</v>
      </c>
      <c r="D5058" s="4">
        <f>+VLOOKUP(A5058,Portfolio!$G$3:$I$6,3)</f>
        <v>0.5</v>
      </c>
      <c r="E5058">
        <f t="shared" si="78"/>
        <v>28018.75</v>
      </c>
    </row>
    <row r="5059" spans="1:5" x14ac:dyDescent="0.25">
      <c r="A5059" t="s">
        <v>3</v>
      </c>
      <c r="B5059">
        <v>1201126</v>
      </c>
      <c r="C5059">
        <v>54437.5</v>
      </c>
      <c r="D5059" s="4">
        <f>+VLOOKUP(A5059,Portfolio!$G$3:$I$6,3)</f>
        <v>0.5</v>
      </c>
      <c r="E5059">
        <f t="shared" ref="E5059:E5122" si="79">+C5059*D5059</f>
        <v>27218.75</v>
      </c>
    </row>
    <row r="5060" spans="1:5" x14ac:dyDescent="0.25">
      <c r="A5060" t="s">
        <v>3</v>
      </c>
      <c r="B5060">
        <v>1201127</v>
      </c>
      <c r="C5060">
        <v>54725</v>
      </c>
      <c r="D5060" s="4">
        <f>+VLOOKUP(A5060,Portfolio!$G$3:$I$6,3)</f>
        <v>0.5</v>
      </c>
      <c r="E5060">
        <f t="shared" si="79"/>
        <v>27362.5</v>
      </c>
    </row>
    <row r="5061" spans="1:5" x14ac:dyDescent="0.25">
      <c r="A5061" t="s">
        <v>3</v>
      </c>
      <c r="B5061">
        <v>1201129</v>
      </c>
      <c r="C5061">
        <v>54112.5</v>
      </c>
      <c r="D5061" s="4">
        <f>+VLOOKUP(A5061,Portfolio!$G$3:$I$6,3)</f>
        <v>0.5</v>
      </c>
      <c r="E5061">
        <f t="shared" si="79"/>
        <v>27056.25</v>
      </c>
    </row>
    <row r="5062" spans="1:5" x14ac:dyDescent="0.25">
      <c r="A5062" t="s">
        <v>3</v>
      </c>
      <c r="B5062">
        <v>1201130</v>
      </c>
      <c r="C5062">
        <v>52750</v>
      </c>
      <c r="D5062" s="4">
        <f>+VLOOKUP(A5062,Portfolio!$G$3:$I$6,3)</f>
        <v>0.5</v>
      </c>
      <c r="E5062">
        <f t="shared" si="79"/>
        <v>26375</v>
      </c>
    </row>
    <row r="5063" spans="1:5" x14ac:dyDescent="0.25">
      <c r="A5063" t="s">
        <v>3</v>
      </c>
      <c r="B5063">
        <v>1201201</v>
      </c>
      <c r="C5063">
        <v>49600</v>
      </c>
      <c r="D5063" s="4">
        <f>+VLOOKUP(A5063,Portfolio!$G$3:$I$6,3)</f>
        <v>0.5</v>
      </c>
      <c r="E5063">
        <f t="shared" si="79"/>
        <v>24800</v>
      </c>
    </row>
    <row r="5064" spans="1:5" x14ac:dyDescent="0.25">
      <c r="A5064" t="s">
        <v>3</v>
      </c>
      <c r="B5064">
        <v>1201202</v>
      </c>
      <c r="C5064">
        <v>48250</v>
      </c>
      <c r="D5064" s="4">
        <f>+VLOOKUP(A5064,Portfolio!$G$3:$I$6,3)</f>
        <v>0.5</v>
      </c>
      <c r="E5064">
        <f t="shared" si="79"/>
        <v>24125</v>
      </c>
    </row>
    <row r="5065" spans="1:5" x14ac:dyDescent="0.25">
      <c r="A5065" t="s">
        <v>3</v>
      </c>
      <c r="B5065">
        <v>1201203</v>
      </c>
      <c r="C5065">
        <v>48950</v>
      </c>
      <c r="D5065" s="4">
        <f>+VLOOKUP(A5065,Portfolio!$G$3:$I$6,3)</f>
        <v>0.5</v>
      </c>
      <c r="E5065">
        <f t="shared" si="79"/>
        <v>24475</v>
      </c>
    </row>
    <row r="5066" spans="1:5" x14ac:dyDescent="0.25">
      <c r="A5066" t="s">
        <v>3</v>
      </c>
      <c r="B5066">
        <v>1201204</v>
      </c>
      <c r="C5066">
        <v>49050</v>
      </c>
      <c r="D5066" s="4">
        <f>+VLOOKUP(A5066,Portfolio!$G$3:$I$6,3)</f>
        <v>0.5</v>
      </c>
      <c r="E5066">
        <f t="shared" si="79"/>
        <v>24525</v>
      </c>
    </row>
    <row r="5067" spans="1:5" x14ac:dyDescent="0.25">
      <c r="A5067" t="s">
        <v>3</v>
      </c>
      <c r="B5067">
        <v>1201206</v>
      </c>
      <c r="C5067">
        <v>50300</v>
      </c>
      <c r="D5067" s="4">
        <f>+VLOOKUP(A5067,Portfolio!$G$3:$I$6,3)</f>
        <v>0.5</v>
      </c>
      <c r="E5067">
        <f t="shared" si="79"/>
        <v>25150</v>
      </c>
    </row>
    <row r="5068" spans="1:5" x14ac:dyDescent="0.25">
      <c r="A5068" t="s">
        <v>3</v>
      </c>
      <c r="B5068">
        <v>1201207</v>
      </c>
      <c r="C5068">
        <v>50300</v>
      </c>
      <c r="D5068" s="4">
        <f>+VLOOKUP(A5068,Portfolio!$G$3:$I$6,3)</f>
        <v>0.5</v>
      </c>
      <c r="E5068">
        <f t="shared" si="79"/>
        <v>25150</v>
      </c>
    </row>
    <row r="5069" spans="1:5" x14ac:dyDescent="0.25">
      <c r="A5069" t="s">
        <v>3</v>
      </c>
      <c r="B5069">
        <v>1201208</v>
      </c>
      <c r="C5069">
        <v>49700</v>
      </c>
      <c r="D5069" s="4">
        <f>+VLOOKUP(A5069,Portfolio!$G$3:$I$6,3)</f>
        <v>0.5</v>
      </c>
      <c r="E5069">
        <f t="shared" si="79"/>
        <v>24850</v>
      </c>
    </row>
    <row r="5070" spans="1:5" x14ac:dyDescent="0.25">
      <c r="A5070" t="s">
        <v>3</v>
      </c>
      <c r="B5070">
        <v>1201209</v>
      </c>
      <c r="C5070">
        <v>51150</v>
      </c>
      <c r="D5070" s="4">
        <f>+VLOOKUP(A5070,Portfolio!$G$3:$I$6,3)</f>
        <v>0.5</v>
      </c>
      <c r="E5070">
        <f t="shared" si="79"/>
        <v>25575</v>
      </c>
    </row>
    <row r="5071" spans="1:5" x14ac:dyDescent="0.25">
      <c r="A5071" t="s">
        <v>3</v>
      </c>
      <c r="B5071">
        <v>1201210</v>
      </c>
      <c r="C5071">
        <v>52412.5</v>
      </c>
      <c r="D5071" s="4">
        <f>+VLOOKUP(A5071,Portfolio!$G$3:$I$6,3)</f>
        <v>0.5</v>
      </c>
      <c r="E5071">
        <f t="shared" si="79"/>
        <v>26206.25</v>
      </c>
    </row>
    <row r="5072" spans="1:5" x14ac:dyDescent="0.25">
      <c r="A5072" t="s">
        <v>3</v>
      </c>
      <c r="B5072">
        <v>1201211</v>
      </c>
      <c r="C5072">
        <v>52800</v>
      </c>
      <c r="D5072" s="4">
        <f>+VLOOKUP(A5072,Portfolio!$G$3:$I$6,3)</f>
        <v>0.5</v>
      </c>
      <c r="E5072">
        <f t="shared" si="79"/>
        <v>26400</v>
      </c>
    </row>
    <row r="5073" spans="1:5" x14ac:dyDescent="0.25">
      <c r="A5073" t="s">
        <v>3</v>
      </c>
      <c r="B5073">
        <v>1201213</v>
      </c>
      <c r="C5073">
        <v>52800</v>
      </c>
      <c r="D5073" s="4">
        <f>+VLOOKUP(A5073,Portfolio!$G$3:$I$6,3)</f>
        <v>0.5</v>
      </c>
      <c r="E5073">
        <f t="shared" si="79"/>
        <v>26400</v>
      </c>
    </row>
    <row r="5074" spans="1:5" x14ac:dyDescent="0.25">
      <c r="A5074" t="s">
        <v>3</v>
      </c>
      <c r="B5074">
        <v>1201214</v>
      </c>
      <c r="C5074">
        <v>52800</v>
      </c>
      <c r="D5074" s="4">
        <f>+VLOOKUP(A5074,Portfolio!$G$3:$I$6,3)</f>
        <v>0.5</v>
      </c>
      <c r="E5074">
        <f t="shared" si="79"/>
        <v>26400</v>
      </c>
    </row>
    <row r="5075" spans="1:5" x14ac:dyDescent="0.25">
      <c r="A5075" t="s">
        <v>3</v>
      </c>
      <c r="B5075">
        <v>1201215</v>
      </c>
      <c r="C5075">
        <v>52825</v>
      </c>
      <c r="D5075" s="4">
        <f>+VLOOKUP(A5075,Portfolio!$G$3:$I$6,3)</f>
        <v>0.5</v>
      </c>
      <c r="E5075">
        <f t="shared" si="79"/>
        <v>26412.5</v>
      </c>
    </row>
    <row r="5076" spans="1:5" x14ac:dyDescent="0.25">
      <c r="A5076" t="s">
        <v>3</v>
      </c>
      <c r="B5076">
        <v>1201216</v>
      </c>
      <c r="C5076">
        <v>52262.5</v>
      </c>
      <c r="D5076" s="4">
        <f>+VLOOKUP(A5076,Portfolio!$G$3:$I$6,3)</f>
        <v>0.5</v>
      </c>
      <c r="E5076">
        <f t="shared" si="79"/>
        <v>26131.25</v>
      </c>
    </row>
    <row r="5077" spans="1:5" x14ac:dyDescent="0.25">
      <c r="A5077" t="s">
        <v>3</v>
      </c>
      <c r="B5077">
        <v>1201217</v>
      </c>
      <c r="C5077">
        <v>52525</v>
      </c>
      <c r="D5077" s="4">
        <f>+VLOOKUP(A5077,Portfolio!$G$3:$I$6,3)</f>
        <v>0.5</v>
      </c>
      <c r="E5077">
        <f t="shared" si="79"/>
        <v>26262.5</v>
      </c>
    </row>
    <row r="5078" spans="1:5" x14ac:dyDescent="0.25">
      <c r="A5078" t="s">
        <v>3</v>
      </c>
      <c r="B5078">
        <v>1201218</v>
      </c>
      <c r="C5078">
        <v>52525</v>
      </c>
      <c r="D5078" s="4">
        <f>+VLOOKUP(A5078,Portfolio!$G$3:$I$6,3)</f>
        <v>0.5</v>
      </c>
      <c r="E5078">
        <f t="shared" si="79"/>
        <v>26262.5</v>
      </c>
    </row>
    <row r="5079" spans="1:5" x14ac:dyDescent="0.25">
      <c r="A5079" t="s">
        <v>3</v>
      </c>
      <c r="B5079">
        <v>1201220</v>
      </c>
      <c r="C5079">
        <v>51987.5</v>
      </c>
      <c r="D5079" s="4">
        <f>+VLOOKUP(A5079,Portfolio!$G$3:$I$6,3)</f>
        <v>0.5</v>
      </c>
      <c r="E5079">
        <f t="shared" si="79"/>
        <v>25993.75</v>
      </c>
    </row>
    <row r="5080" spans="1:5" x14ac:dyDescent="0.25">
      <c r="A5080" t="s">
        <v>3</v>
      </c>
      <c r="B5080">
        <v>1201221</v>
      </c>
      <c r="C5080">
        <v>51912.5</v>
      </c>
      <c r="D5080" s="4">
        <f>+VLOOKUP(A5080,Portfolio!$G$3:$I$6,3)</f>
        <v>0.5</v>
      </c>
      <c r="E5080">
        <f t="shared" si="79"/>
        <v>25956.25</v>
      </c>
    </row>
    <row r="5081" spans="1:5" x14ac:dyDescent="0.25">
      <c r="A5081" t="s">
        <v>3</v>
      </c>
      <c r="B5081">
        <v>1201222</v>
      </c>
      <c r="C5081">
        <v>54400</v>
      </c>
      <c r="D5081" s="4">
        <f>+VLOOKUP(A5081,Portfolio!$G$3:$I$6,3)</f>
        <v>0.5</v>
      </c>
      <c r="E5081">
        <f t="shared" si="79"/>
        <v>27200</v>
      </c>
    </row>
    <row r="5082" spans="1:5" x14ac:dyDescent="0.25">
      <c r="A5082" t="s">
        <v>3</v>
      </c>
      <c r="B5082">
        <v>1201223</v>
      </c>
      <c r="C5082">
        <v>54400</v>
      </c>
      <c r="D5082" s="4">
        <f>+VLOOKUP(A5082,Portfolio!$G$3:$I$6,3)</f>
        <v>0.5</v>
      </c>
      <c r="E5082">
        <f t="shared" si="79"/>
        <v>27200</v>
      </c>
    </row>
    <row r="5083" spans="1:5" x14ac:dyDescent="0.25">
      <c r="A5083" t="s">
        <v>3</v>
      </c>
      <c r="B5083">
        <v>1201224</v>
      </c>
      <c r="C5083">
        <v>53912.5</v>
      </c>
      <c r="D5083" s="4">
        <f>+VLOOKUP(A5083,Portfolio!$G$3:$I$6,3)</f>
        <v>0.5</v>
      </c>
      <c r="E5083">
        <f t="shared" si="79"/>
        <v>26956.25</v>
      </c>
    </row>
    <row r="5084" spans="1:5" x14ac:dyDescent="0.25">
      <c r="A5084" t="s">
        <v>3</v>
      </c>
      <c r="B5084">
        <v>1201227</v>
      </c>
      <c r="C5084">
        <v>52450</v>
      </c>
      <c r="D5084" s="4">
        <f>+VLOOKUP(A5084,Portfolio!$G$3:$I$6,3)</f>
        <v>0.5</v>
      </c>
      <c r="E5084">
        <f t="shared" si="79"/>
        <v>26225</v>
      </c>
    </row>
    <row r="5085" spans="1:5" x14ac:dyDescent="0.25">
      <c r="A5085" t="s">
        <v>3</v>
      </c>
      <c r="B5085">
        <v>1201228</v>
      </c>
      <c r="C5085">
        <v>53212.5</v>
      </c>
      <c r="D5085" s="4">
        <f>+VLOOKUP(A5085,Portfolio!$G$3:$I$6,3)</f>
        <v>0.5</v>
      </c>
      <c r="E5085">
        <f t="shared" si="79"/>
        <v>26606.25</v>
      </c>
    </row>
    <row r="5086" spans="1:5" x14ac:dyDescent="0.25">
      <c r="A5086" t="s">
        <v>3</v>
      </c>
      <c r="B5086">
        <v>1201229</v>
      </c>
      <c r="C5086">
        <v>54200</v>
      </c>
      <c r="D5086" s="4">
        <f>+VLOOKUP(A5086,Portfolio!$G$3:$I$6,3)</f>
        <v>0.5</v>
      </c>
      <c r="E5086">
        <f t="shared" si="79"/>
        <v>27100</v>
      </c>
    </row>
    <row r="5087" spans="1:5" x14ac:dyDescent="0.25">
      <c r="A5087" t="s">
        <v>3</v>
      </c>
      <c r="B5087">
        <v>1201230</v>
      </c>
      <c r="C5087">
        <v>54112.5</v>
      </c>
      <c r="D5087" s="4">
        <f>+VLOOKUP(A5087,Portfolio!$G$3:$I$6,3)</f>
        <v>0.5</v>
      </c>
      <c r="E5087">
        <f t="shared" si="79"/>
        <v>27056.25</v>
      </c>
    </row>
    <row r="5088" spans="1:5" x14ac:dyDescent="0.25">
      <c r="A5088" t="s">
        <v>3</v>
      </c>
      <c r="B5088">
        <v>1201231</v>
      </c>
      <c r="C5088">
        <v>54087.5</v>
      </c>
      <c r="D5088" s="4">
        <f>+VLOOKUP(A5088,Portfolio!$G$3:$I$6,3)</f>
        <v>0.5</v>
      </c>
      <c r="E5088">
        <f t="shared" si="79"/>
        <v>27043.75</v>
      </c>
    </row>
    <row r="5089" spans="1:5" x14ac:dyDescent="0.25">
      <c r="A5089" t="s">
        <v>3</v>
      </c>
      <c r="B5089">
        <v>1210103</v>
      </c>
      <c r="C5089">
        <v>54975</v>
      </c>
      <c r="D5089" s="4">
        <f>+VLOOKUP(A5089,Portfolio!$G$3:$I$6,3)</f>
        <v>0.5</v>
      </c>
      <c r="E5089">
        <f t="shared" si="79"/>
        <v>27487.5</v>
      </c>
    </row>
    <row r="5090" spans="1:5" x14ac:dyDescent="0.25">
      <c r="A5090" t="s">
        <v>3</v>
      </c>
      <c r="B5090">
        <v>1210104</v>
      </c>
      <c r="C5090">
        <v>54987.5</v>
      </c>
      <c r="D5090" s="4">
        <f>+VLOOKUP(A5090,Portfolio!$G$3:$I$6,3)</f>
        <v>0.5</v>
      </c>
      <c r="E5090">
        <f t="shared" si="79"/>
        <v>27493.75</v>
      </c>
    </row>
    <row r="5091" spans="1:5" x14ac:dyDescent="0.25">
      <c r="A5091" t="s">
        <v>3</v>
      </c>
      <c r="B5091">
        <v>1210105</v>
      </c>
      <c r="C5091">
        <v>56487.5</v>
      </c>
      <c r="D5091" s="4">
        <f>+VLOOKUP(A5091,Portfolio!$G$3:$I$6,3)</f>
        <v>0.5</v>
      </c>
      <c r="E5091">
        <f t="shared" si="79"/>
        <v>28243.75</v>
      </c>
    </row>
    <row r="5092" spans="1:5" x14ac:dyDescent="0.25">
      <c r="A5092" t="s">
        <v>3</v>
      </c>
      <c r="B5092">
        <v>1210106</v>
      </c>
      <c r="C5092">
        <v>54762.5</v>
      </c>
      <c r="D5092" s="4">
        <f>+VLOOKUP(A5092,Portfolio!$G$3:$I$6,3)</f>
        <v>0.5</v>
      </c>
      <c r="E5092">
        <f t="shared" si="79"/>
        <v>27381.25</v>
      </c>
    </row>
    <row r="5093" spans="1:5" x14ac:dyDescent="0.25">
      <c r="A5093" t="s">
        <v>3</v>
      </c>
      <c r="B5093">
        <v>1210107</v>
      </c>
      <c r="C5093">
        <v>57987.5</v>
      </c>
      <c r="D5093" s="4">
        <f>+VLOOKUP(A5093,Portfolio!$G$3:$I$6,3)</f>
        <v>0.5</v>
      </c>
      <c r="E5093">
        <f t="shared" si="79"/>
        <v>28993.75</v>
      </c>
    </row>
    <row r="5094" spans="1:5" x14ac:dyDescent="0.25">
      <c r="A5094" t="s">
        <v>3</v>
      </c>
      <c r="B5094">
        <v>1210108</v>
      </c>
      <c r="C5094">
        <v>60550</v>
      </c>
      <c r="D5094" s="4">
        <f>+VLOOKUP(A5094,Portfolio!$G$3:$I$6,3)</f>
        <v>0.5</v>
      </c>
      <c r="E5094">
        <f t="shared" si="79"/>
        <v>30275</v>
      </c>
    </row>
    <row r="5095" spans="1:5" x14ac:dyDescent="0.25">
      <c r="A5095" t="s">
        <v>3</v>
      </c>
      <c r="B5095">
        <v>1210110</v>
      </c>
      <c r="C5095">
        <v>59287.5</v>
      </c>
      <c r="D5095" s="4">
        <f>+VLOOKUP(A5095,Portfolio!$G$3:$I$6,3)</f>
        <v>0.5</v>
      </c>
      <c r="E5095">
        <f t="shared" si="79"/>
        <v>29643.75</v>
      </c>
    </row>
    <row r="5096" spans="1:5" x14ac:dyDescent="0.25">
      <c r="A5096" t="s">
        <v>3</v>
      </c>
      <c r="B5096">
        <v>1210111</v>
      </c>
      <c r="C5096">
        <v>60087.5</v>
      </c>
      <c r="D5096" s="4">
        <f>+VLOOKUP(A5096,Portfolio!$G$3:$I$6,3)</f>
        <v>0.5</v>
      </c>
      <c r="E5096">
        <f t="shared" si="79"/>
        <v>30043.75</v>
      </c>
    </row>
    <row r="5097" spans="1:5" x14ac:dyDescent="0.25">
      <c r="A5097" t="s">
        <v>3</v>
      </c>
      <c r="B5097">
        <v>1210112</v>
      </c>
      <c r="C5097">
        <v>59225</v>
      </c>
      <c r="D5097" s="4">
        <f>+VLOOKUP(A5097,Portfolio!$G$3:$I$6,3)</f>
        <v>0.5</v>
      </c>
      <c r="E5097">
        <f t="shared" si="79"/>
        <v>29612.5</v>
      </c>
    </row>
    <row r="5098" spans="1:5" x14ac:dyDescent="0.25">
      <c r="A5098" t="s">
        <v>3</v>
      </c>
      <c r="B5098">
        <v>1210113</v>
      </c>
      <c r="C5098">
        <v>57637.5</v>
      </c>
      <c r="D5098" s="4">
        <f>+VLOOKUP(A5098,Portfolio!$G$3:$I$6,3)</f>
        <v>0.5</v>
      </c>
      <c r="E5098">
        <f t="shared" si="79"/>
        <v>28818.75</v>
      </c>
    </row>
    <row r="5099" spans="1:5" x14ac:dyDescent="0.25">
      <c r="A5099" t="s">
        <v>3</v>
      </c>
      <c r="B5099">
        <v>1210114</v>
      </c>
      <c r="C5099">
        <v>57612.5</v>
      </c>
      <c r="D5099" s="4">
        <f>+VLOOKUP(A5099,Portfolio!$G$3:$I$6,3)</f>
        <v>0.5</v>
      </c>
      <c r="E5099">
        <f t="shared" si="79"/>
        <v>28806.25</v>
      </c>
    </row>
    <row r="5100" spans="1:5" x14ac:dyDescent="0.25">
      <c r="A5100" t="s">
        <v>3</v>
      </c>
      <c r="B5100">
        <v>1210115</v>
      </c>
      <c r="C5100">
        <v>59187.5</v>
      </c>
      <c r="D5100" s="4">
        <f>+VLOOKUP(A5100,Portfolio!$G$3:$I$6,3)</f>
        <v>0.5</v>
      </c>
      <c r="E5100">
        <f t="shared" si="79"/>
        <v>29593.75</v>
      </c>
    </row>
    <row r="5101" spans="1:5" x14ac:dyDescent="0.25">
      <c r="A5101" t="s">
        <v>3</v>
      </c>
      <c r="B5101">
        <v>1210117</v>
      </c>
      <c r="C5101">
        <v>58875</v>
      </c>
      <c r="D5101" s="4">
        <f>+VLOOKUP(A5101,Portfolio!$G$3:$I$6,3)</f>
        <v>0.5</v>
      </c>
      <c r="E5101">
        <f t="shared" si="79"/>
        <v>29437.5</v>
      </c>
    </row>
    <row r="5102" spans="1:5" x14ac:dyDescent="0.25">
      <c r="A5102" t="s">
        <v>3</v>
      </c>
      <c r="B5102">
        <v>1210118</v>
      </c>
      <c r="C5102">
        <v>58875</v>
      </c>
      <c r="D5102" s="4">
        <f>+VLOOKUP(A5102,Portfolio!$G$3:$I$6,3)</f>
        <v>0.5</v>
      </c>
      <c r="E5102">
        <f t="shared" si="79"/>
        <v>29437.5</v>
      </c>
    </row>
    <row r="5103" spans="1:5" x14ac:dyDescent="0.25">
      <c r="A5103" t="s">
        <v>3</v>
      </c>
      <c r="B5103">
        <v>1210119</v>
      </c>
      <c r="C5103">
        <v>59700</v>
      </c>
      <c r="D5103" s="4">
        <f>+VLOOKUP(A5103,Portfolio!$G$3:$I$6,3)</f>
        <v>0.5</v>
      </c>
      <c r="E5103">
        <f t="shared" si="79"/>
        <v>29850</v>
      </c>
    </row>
    <row r="5104" spans="1:5" x14ac:dyDescent="0.25">
      <c r="A5104" t="s">
        <v>3</v>
      </c>
      <c r="B5104">
        <v>1210120</v>
      </c>
      <c r="C5104">
        <v>58162.5</v>
      </c>
      <c r="D5104" s="4">
        <f>+VLOOKUP(A5104,Portfolio!$G$3:$I$6,3)</f>
        <v>0.5</v>
      </c>
      <c r="E5104">
        <f t="shared" si="79"/>
        <v>29081.25</v>
      </c>
    </row>
    <row r="5105" spans="1:5" x14ac:dyDescent="0.25">
      <c r="A5105" t="s">
        <v>3</v>
      </c>
      <c r="B5105">
        <v>1210121</v>
      </c>
      <c r="C5105">
        <v>60737.5</v>
      </c>
      <c r="D5105" s="4">
        <f>+VLOOKUP(A5105,Portfolio!$G$3:$I$6,3)</f>
        <v>0.5</v>
      </c>
      <c r="E5105">
        <f t="shared" si="79"/>
        <v>30368.75</v>
      </c>
    </row>
    <row r="5106" spans="1:5" x14ac:dyDescent="0.25">
      <c r="A5106" t="s">
        <v>3</v>
      </c>
      <c r="B5106">
        <v>1210122</v>
      </c>
      <c r="C5106">
        <v>60737.5</v>
      </c>
      <c r="D5106" s="4">
        <f>+VLOOKUP(A5106,Portfolio!$G$3:$I$6,3)</f>
        <v>0.5</v>
      </c>
      <c r="E5106">
        <f t="shared" si="79"/>
        <v>30368.75</v>
      </c>
    </row>
    <row r="5107" spans="1:5" x14ac:dyDescent="0.25">
      <c r="A5107" t="s">
        <v>3</v>
      </c>
      <c r="B5107">
        <v>1210124</v>
      </c>
      <c r="C5107">
        <v>60812.5</v>
      </c>
      <c r="D5107" s="4">
        <f>+VLOOKUP(A5107,Portfolio!$G$3:$I$6,3)</f>
        <v>0.5</v>
      </c>
      <c r="E5107">
        <f t="shared" si="79"/>
        <v>30406.25</v>
      </c>
    </row>
    <row r="5108" spans="1:5" x14ac:dyDescent="0.25">
      <c r="A5108" t="s">
        <v>3</v>
      </c>
      <c r="B5108">
        <v>1210125</v>
      </c>
      <c r="C5108">
        <v>61225</v>
      </c>
      <c r="D5108" s="4">
        <f>+VLOOKUP(A5108,Portfolio!$G$3:$I$6,3)</f>
        <v>0.5</v>
      </c>
      <c r="E5108">
        <f t="shared" si="79"/>
        <v>30612.5</v>
      </c>
    </row>
    <row r="5109" spans="1:5" x14ac:dyDescent="0.25">
      <c r="A5109" t="s">
        <v>3</v>
      </c>
      <c r="B5109">
        <v>1210126</v>
      </c>
      <c r="C5109">
        <v>60425</v>
      </c>
      <c r="D5109" s="4">
        <f>+VLOOKUP(A5109,Portfolio!$G$3:$I$6,3)</f>
        <v>0.5</v>
      </c>
      <c r="E5109">
        <f t="shared" si="79"/>
        <v>30212.5</v>
      </c>
    </row>
    <row r="5110" spans="1:5" x14ac:dyDescent="0.25">
      <c r="A5110" t="s">
        <v>3</v>
      </c>
      <c r="B5110">
        <v>1210127</v>
      </c>
      <c r="C5110">
        <v>59712.5</v>
      </c>
      <c r="D5110" s="4">
        <f>+VLOOKUP(A5110,Portfolio!$G$3:$I$6,3)</f>
        <v>0.5</v>
      </c>
      <c r="E5110">
        <f t="shared" si="79"/>
        <v>29856.25</v>
      </c>
    </row>
    <row r="5111" spans="1:5" x14ac:dyDescent="0.25">
      <c r="A5111" t="s">
        <v>3</v>
      </c>
      <c r="B5111">
        <v>1210128</v>
      </c>
      <c r="C5111">
        <v>61187.5</v>
      </c>
      <c r="D5111" s="4">
        <f>+VLOOKUP(A5111,Portfolio!$G$3:$I$6,3)</f>
        <v>0.5</v>
      </c>
      <c r="E5111">
        <f t="shared" si="79"/>
        <v>30593.75</v>
      </c>
    </row>
    <row r="5112" spans="1:5" x14ac:dyDescent="0.25">
      <c r="A5112" t="s">
        <v>3</v>
      </c>
      <c r="B5112">
        <v>1210129</v>
      </c>
      <c r="C5112">
        <v>55125</v>
      </c>
      <c r="D5112" s="4">
        <f>+VLOOKUP(A5112,Portfolio!$G$3:$I$6,3)</f>
        <v>0.5</v>
      </c>
      <c r="E5112">
        <f t="shared" si="79"/>
        <v>27562.5</v>
      </c>
    </row>
    <row r="5113" spans="1:5" x14ac:dyDescent="0.25">
      <c r="A5113" t="s">
        <v>3</v>
      </c>
      <c r="B5113">
        <v>1210131</v>
      </c>
      <c r="C5113">
        <v>56700</v>
      </c>
      <c r="D5113" s="4">
        <f>+VLOOKUP(A5113,Portfolio!$G$3:$I$6,3)</f>
        <v>0.5</v>
      </c>
      <c r="E5113">
        <f t="shared" si="79"/>
        <v>28350</v>
      </c>
    </row>
    <row r="5114" spans="1:5" x14ac:dyDescent="0.25">
      <c r="A5114" t="s">
        <v>3</v>
      </c>
      <c r="B5114">
        <v>1210201</v>
      </c>
      <c r="C5114">
        <v>54375</v>
      </c>
      <c r="D5114" s="4">
        <f>+VLOOKUP(A5114,Portfolio!$G$3:$I$6,3)</f>
        <v>0.5</v>
      </c>
      <c r="E5114">
        <f t="shared" si="79"/>
        <v>27187.5</v>
      </c>
    </row>
    <row r="5115" spans="1:5" x14ac:dyDescent="0.25">
      <c r="A5115" t="s">
        <v>3</v>
      </c>
      <c r="B5115">
        <v>1210202</v>
      </c>
      <c r="C5115">
        <v>54925</v>
      </c>
      <c r="D5115" s="4">
        <f>+VLOOKUP(A5115,Portfolio!$G$3:$I$6,3)</f>
        <v>0.5</v>
      </c>
      <c r="E5115">
        <f t="shared" si="79"/>
        <v>27462.5</v>
      </c>
    </row>
    <row r="5116" spans="1:5" x14ac:dyDescent="0.25">
      <c r="A5116" t="s">
        <v>3</v>
      </c>
      <c r="B5116">
        <v>1210203</v>
      </c>
      <c r="C5116">
        <v>57250</v>
      </c>
      <c r="D5116" s="4">
        <f>+VLOOKUP(A5116,Portfolio!$G$3:$I$6,3)</f>
        <v>0.5</v>
      </c>
      <c r="E5116">
        <f t="shared" si="79"/>
        <v>28625</v>
      </c>
    </row>
    <row r="5117" spans="1:5" x14ac:dyDescent="0.25">
      <c r="A5117" t="s">
        <v>3</v>
      </c>
      <c r="B5117">
        <v>1210204</v>
      </c>
      <c r="C5117">
        <v>56650</v>
      </c>
      <c r="D5117" s="4">
        <f>+VLOOKUP(A5117,Portfolio!$G$3:$I$6,3)</f>
        <v>0.5</v>
      </c>
      <c r="E5117">
        <f t="shared" si="79"/>
        <v>28325</v>
      </c>
    </row>
    <row r="5118" spans="1:5" x14ac:dyDescent="0.25">
      <c r="A5118" t="s">
        <v>3</v>
      </c>
      <c r="B5118">
        <v>1210205</v>
      </c>
      <c r="C5118">
        <v>57162.5</v>
      </c>
      <c r="D5118" s="4">
        <f>+VLOOKUP(A5118,Portfolio!$G$3:$I$6,3)</f>
        <v>0.5</v>
      </c>
      <c r="E5118">
        <f t="shared" si="79"/>
        <v>28581.25</v>
      </c>
    </row>
    <row r="5119" spans="1:5" x14ac:dyDescent="0.25">
      <c r="A5119" t="s">
        <v>3</v>
      </c>
      <c r="B5119">
        <v>1210207</v>
      </c>
      <c r="C5119">
        <v>57375</v>
      </c>
      <c r="D5119" s="4">
        <f>+VLOOKUP(A5119,Portfolio!$G$3:$I$6,3)</f>
        <v>0.5</v>
      </c>
      <c r="E5119">
        <f t="shared" si="79"/>
        <v>28687.5</v>
      </c>
    </row>
    <row r="5120" spans="1:5" x14ac:dyDescent="0.25">
      <c r="A5120" t="s">
        <v>3</v>
      </c>
      <c r="B5120">
        <v>1210208</v>
      </c>
      <c r="C5120">
        <v>57650</v>
      </c>
      <c r="D5120" s="4">
        <f>+VLOOKUP(A5120,Portfolio!$G$3:$I$6,3)</f>
        <v>0.5</v>
      </c>
      <c r="E5120">
        <f t="shared" si="79"/>
        <v>28825</v>
      </c>
    </row>
    <row r="5121" spans="1:5" x14ac:dyDescent="0.25">
      <c r="A5121" t="s">
        <v>3</v>
      </c>
      <c r="B5121">
        <v>1210209</v>
      </c>
      <c r="C5121">
        <v>57400</v>
      </c>
      <c r="D5121" s="4">
        <f>+VLOOKUP(A5121,Portfolio!$G$3:$I$6,3)</f>
        <v>0.5</v>
      </c>
      <c r="E5121">
        <f t="shared" si="79"/>
        <v>28700</v>
      </c>
    </row>
    <row r="5122" spans="1:5" x14ac:dyDescent="0.25">
      <c r="A5122" t="s">
        <v>3</v>
      </c>
      <c r="B5122">
        <v>1210210</v>
      </c>
      <c r="C5122">
        <v>57837.5</v>
      </c>
      <c r="D5122" s="4">
        <f>+VLOOKUP(A5122,Portfolio!$G$3:$I$6,3)</f>
        <v>0.5</v>
      </c>
      <c r="E5122">
        <f t="shared" si="79"/>
        <v>28918.75</v>
      </c>
    </row>
    <row r="5123" spans="1:5" x14ac:dyDescent="0.25">
      <c r="A5123" t="s">
        <v>3</v>
      </c>
      <c r="B5123">
        <v>1210211</v>
      </c>
      <c r="C5123">
        <v>58162.5</v>
      </c>
      <c r="D5123" s="4">
        <f>+VLOOKUP(A5123,Portfolio!$G$3:$I$6,3)</f>
        <v>0.5</v>
      </c>
      <c r="E5123">
        <f t="shared" ref="E5123:E5186" si="80">+C5123*D5123</f>
        <v>29081.25</v>
      </c>
    </row>
    <row r="5124" spans="1:5" x14ac:dyDescent="0.25">
      <c r="A5124" t="s">
        <v>3</v>
      </c>
      <c r="B5124">
        <v>1210212</v>
      </c>
      <c r="C5124">
        <v>57762.5</v>
      </c>
      <c r="D5124" s="4">
        <f>+VLOOKUP(A5124,Portfolio!$G$3:$I$6,3)</f>
        <v>0.5</v>
      </c>
      <c r="E5124">
        <f t="shared" si="80"/>
        <v>28881.25</v>
      </c>
    </row>
    <row r="5125" spans="1:5" x14ac:dyDescent="0.25">
      <c r="A5125" t="s">
        <v>3</v>
      </c>
      <c r="B5125">
        <v>1210214</v>
      </c>
      <c r="C5125">
        <v>58962.5</v>
      </c>
      <c r="D5125" s="4">
        <f>+VLOOKUP(A5125,Portfolio!$G$3:$I$6,3)</f>
        <v>0.5</v>
      </c>
      <c r="E5125">
        <f t="shared" si="80"/>
        <v>29481.25</v>
      </c>
    </row>
    <row r="5126" spans="1:5" x14ac:dyDescent="0.25">
      <c r="A5126" t="s">
        <v>3</v>
      </c>
      <c r="B5126">
        <v>1210215</v>
      </c>
      <c r="C5126">
        <v>59450</v>
      </c>
      <c r="D5126" s="4">
        <f>+VLOOKUP(A5126,Portfolio!$G$3:$I$6,3)</f>
        <v>0.5</v>
      </c>
      <c r="E5126">
        <f t="shared" si="80"/>
        <v>29725</v>
      </c>
    </row>
    <row r="5127" spans="1:5" x14ac:dyDescent="0.25">
      <c r="A5127" t="s">
        <v>3</v>
      </c>
      <c r="B5127">
        <v>1210216</v>
      </c>
      <c r="C5127">
        <v>59750</v>
      </c>
      <c r="D5127" s="4">
        <f>+VLOOKUP(A5127,Portfolio!$G$3:$I$6,3)</f>
        <v>0.5</v>
      </c>
      <c r="E5127">
        <f t="shared" si="80"/>
        <v>29875</v>
      </c>
    </row>
    <row r="5128" spans="1:5" x14ac:dyDescent="0.25">
      <c r="A5128" t="s">
        <v>3</v>
      </c>
      <c r="B5128">
        <v>1210217</v>
      </c>
      <c r="C5128">
        <v>59262.5</v>
      </c>
      <c r="D5128" s="4">
        <f>+VLOOKUP(A5128,Portfolio!$G$3:$I$6,3)</f>
        <v>0.5</v>
      </c>
      <c r="E5128">
        <f t="shared" si="80"/>
        <v>29631.25</v>
      </c>
    </row>
    <row r="5129" spans="1:5" x14ac:dyDescent="0.25">
      <c r="A5129" t="s">
        <v>3</v>
      </c>
      <c r="B5129">
        <v>1210218</v>
      </c>
      <c r="C5129">
        <v>60212.5</v>
      </c>
      <c r="D5129" s="4">
        <f>+VLOOKUP(A5129,Portfolio!$G$3:$I$6,3)</f>
        <v>0.5</v>
      </c>
      <c r="E5129">
        <f t="shared" si="80"/>
        <v>30106.25</v>
      </c>
    </row>
    <row r="5130" spans="1:5" x14ac:dyDescent="0.25">
      <c r="A5130" t="s">
        <v>3</v>
      </c>
      <c r="B5130">
        <v>1210219</v>
      </c>
      <c r="C5130">
        <v>59612.5</v>
      </c>
      <c r="D5130" s="4">
        <f>+VLOOKUP(A5130,Portfolio!$G$3:$I$6,3)</f>
        <v>0.5</v>
      </c>
      <c r="E5130">
        <f t="shared" si="80"/>
        <v>29806.25</v>
      </c>
    </row>
    <row r="5131" spans="1:5" x14ac:dyDescent="0.25">
      <c r="A5131" t="s">
        <v>3</v>
      </c>
      <c r="B5131">
        <v>1210221</v>
      </c>
      <c r="C5131">
        <v>58775</v>
      </c>
      <c r="D5131" s="4">
        <f>+VLOOKUP(A5131,Portfolio!$G$3:$I$6,3)</f>
        <v>0.5</v>
      </c>
      <c r="E5131">
        <f t="shared" si="80"/>
        <v>29387.5</v>
      </c>
    </row>
    <row r="5132" spans="1:5" x14ac:dyDescent="0.25">
      <c r="A5132" t="s">
        <v>3</v>
      </c>
      <c r="B5132">
        <v>1210222</v>
      </c>
      <c r="C5132">
        <v>58775</v>
      </c>
      <c r="D5132" s="4">
        <f>+VLOOKUP(A5132,Portfolio!$G$3:$I$6,3)</f>
        <v>0.5</v>
      </c>
      <c r="E5132">
        <f t="shared" si="80"/>
        <v>29387.5</v>
      </c>
    </row>
    <row r="5133" spans="1:5" x14ac:dyDescent="0.25">
      <c r="A5133" t="s">
        <v>3</v>
      </c>
      <c r="B5133">
        <v>1210223</v>
      </c>
      <c r="C5133">
        <v>58775</v>
      </c>
      <c r="D5133" s="4">
        <f>+VLOOKUP(A5133,Portfolio!$G$3:$I$6,3)</f>
        <v>0.5</v>
      </c>
      <c r="E5133">
        <f t="shared" si="80"/>
        <v>29387.5</v>
      </c>
    </row>
    <row r="5134" spans="1:5" x14ac:dyDescent="0.25">
      <c r="A5134" t="s">
        <v>3</v>
      </c>
      <c r="B5134">
        <v>1210224</v>
      </c>
      <c r="C5134">
        <v>58775</v>
      </c>
      <c r="D5134" s="4">
        <f>+VLOOKUP(A5134,Portfolio!$G$3:$I$6,3)</f>
        <v>0.5</v>
      </c>
      <c r="E5134">
        <f t="shared" si="80"/>
        <v>29387.5</v>
      </c>
    </row>
    <row r="5135" spans="1:5" x14ac:dyDescent="0.25">
      <c r="A5135" t="s">
        <v>3</v>
      </c>
      <c r="B5135">
        <v>1210225</v>
      </c>
      <c r="C5135">
        <v>60487.5</v>
      </c>
      <c r="D5135" s="4">
        <f>+VLOOKUP(A5135,Portfolio!$G$3:$I$6,3)</f>
        <v>0.5</v>
      </c>
      <c r="E5135">
        <f t="shared" si="80"/>
        <v>30243.75</v>
      </c>
    </row>
    <row r="5136" spans="1:5" x14ac:dyDescent="0.25">
      <c r="A5136" t="s">
        <v>3</v>
      </c>
      <c r="B5136">
        <v>1210226</v>
      </c>
      <c r="C5136">
        <v>63950</v>
      </c>
      <c r="D5136" s="4">
        <f>+VLOOKUP(A5136,Portfolio!$G$3:$I$6,3)</f>
        <v>0.5</v>
      </c>
      <c r="E5136">
        <f t="shared" si="80"/>
        <v>31975</v>
      </c>
    </row>
    <row r="5137" spans="1:5" x14ac:dyDescent="0.25">
      <c r="A5137" t="s">
        <v>3</v>
      </c>
      <c r="B5137">
        <v>1210228</v>
      </c>
      <c r="C5137">
        <v>61612.5</v>
      </c>
      <c r="D5137" s="4">
        <f>+VLOOKUP(A5137,Portfolio!$G$3:$I$6,3)</f>
        <v>0.5</v>
      </c>
      <c r="E5137">
        <f t="shared" si="80"/>
        <v>30806.25</v>
      </c>
    </row>
    <row r="5138" spans="1:5" x14ac:dyDescent="0.25">
      <c r="A5138" t="s">
        <v>3</v>
      </c>
      <c r="B5138">
        <v>1210301</v>
      </c>
      <c r="C5138">
        <v>61650</v>
      </c>
      <c r="D5138" s="4">
        <f>+VLOOKUP(A5138,Portfolio!$G$3:$I$6,3)</f>
        <v>0.5</v>
      </c>
      <c r="E5138">
        <f t="shared" si="80"/>
        <v>30825</v>
      </c>
    </row>
    <row r="5139" spans="1:5" x14ac:dyDescent="0.25">
      <c r="A5139" t="s">
        <v>3</v>
      </c>
      <c r="B5139">
        <v>1210302</v>
      </c>
      <c r="C5139">
        <v>63850</v>
      </c>
      <c r="D5139" s="4">
        <f>+VLOOKUP(A5139,Portfolio!$G$3:$I$6,3)</f>
        <v>0.5</v>
      </c>
      <c r="E5139">
        <f t="shared" si="80"/>
        <v>31925</v>
      </c>
    </row>
    <row r="5140" spans="1:5" x14ac:dyDescent="0.25">
      <c r="A5140" t="s">
        <v>3</v>
      </c>
      <c r="B5140">
        <v>1210303</v>
      </c>
      <c r="C5140">
        <v>63212.5</v>
      </c>
      <c r="D5140" s="4">
        <f>+VLOOKUP(A5140,Portfolio!$G$3:$I$6,3)</f>
        <v>0.5</v>
      </c>
      <c r="E5140">
        <f t="shared" si="80"/>
        <v>31606.25</v>
      </c>
    </row>
    <row r="5141" spans="1:5" x14ac:dyDescent="0.25">
      <c r="A5141" t="s">
        <v>3</v>
      </c>
      <c r="B5141">
        <v>1210304</v>
      </c>
      <c r="C5141">
        <v>65737.5</v>
      </c>
      <c r="D5141" s="4">
        <f>+VLOOKUP(A5141,Portfolio!$G$3:$I$6,3)</f>
        <v>0.5</v>
      </c>
      <c r="E5141">
        <f t="shared" si="80"/>
        <v>32868.75</v>
      </c>
    </row>
    <row r="5142" spans="1:5" x14ac:dyDescent="0.25">
      <c r="A5142" t="s">
        <v>3</v>
      </c>
      <c r="B5142">
        <v>1210305</v>
      </c>
      <c r="C5142">
        <v>61212.5</v>
      </c>
      <c r="D5142" s="4">
        <f>+VLOOKUP(A5142,Portfolio!$G$3:$I$6,3)</f>
        <v>0.5</v>
      </c>
      <c r="E5142">
        <f t="shared" si="80"/>
        <v>30606.25</v>
      </c>
    </row>
    <row r="5143" spans="1:5" x14ac:dyDescent="0.25">
      <c r="A5143" t="s">
        <v>3</v>
      </c>
      <c r="B5143">
        <v>1210307</v>
      </c>
      <c r="C5143">
        <v>60925</v>
      </c>
      <c r="D5143" s="4">
        <f>+VLOOKUP(A5143,Portfolio!$G$3:$I$6,3)</f>
        <v>0.5</v>
      </c>
      <c r="E5143">
        <f t="shared" si="80"/>
        <v>30462.5</v>
      </c>
    </row>
    <row r="5144" spans="1:5" x14ac:dyDescent="0.25">
      <c r="A5144" t="s">
        <v>3</v>
      </c>
      <c r="B5144">
        <v>1210308</v>
      </c>
      <c r="C5144">
        <v>59650</v>
      </c>
      <c r="D5144" s="4">
        <f>+VLOOKUP(A5144,Portfolio!$G$3:$I$6,3)</f>
        <v>0.5</v>
      </c>
      <c r="E5144">
        <f t="shared" si="80"/>
        <v>29825</v>
      </c>
    </row>
    <row r="5145" spans="1:5" x14ac:dyDescent="0.25">
      <c r="A5145" t="s">
        <v>3</v>
      </c>
      <c r="B5145">
        <v>1210309</v>
      </c>
      <c r="C5145">
        <v>60700</v>
      </c>
      <c r="D5145" s="4">
        <f>+VLOOKUP(A5145,Portfolio!$G$3:$I$6,3)</f>
        <v>0.5</v>
      </c>
      <c r="E5145">
        <f t="shared" si="80"/>
        <v>30350</v>
      </c>
    </row>
    <row r="5146" spans="1:5" x14ac:dyDescent="0.25">
      <c r="A5146" t="s">
        <v>3</v>
      </c>
      <c r="B5146">
        <v>1210310</v>
      </c>
      <c r="C5146">
        <v>60037.5</v>
      </c>
      <c r="D5146" s="4">
        <f>+VLOOKUP(A5146,Portfolio!$G$3:$I$6,3)</f>
        <v>0.5</v>
      </c>
      <c r="E5146">
        <f t="shared" si="80"/>
        <v>30018.75</v>
      </c>
    </row>
    <row r="5147" spans="1:5" x14ac:dyDescent="0.25">
      <c r="A5147" t="s">
        <v>3</v>
      </c>
      <c r="B5147">
        <v>1210311</v>
      </c>
      <c r="C5147">
        <v>62112.5</v>
      </c>
      <c r="D5147" s="4">
        <f>+VLOOKUP(A5147,Portfolio!$G$3:$I$6,3)</f>
        <v>0.5</v>
      </c>
      <c r="E5147">
        <f t="shared" si="80"/>
        <v>31056.25</v>
      </c>
    </row>
    <row r="5148" spans="1:5" x14ac:dyDescent="0.25">
      <c r="A5148" t="s">
        <v>3</v>
      </c>
      <c r="B5148">
        <v>1210312</v>
      </c>
      <c r="C5148">
        <v>63250</v>
      </c>
      <c r="D5148" s="4">
        <f>+VLOOKUP(A5148,Portfolio!$G$3:$I$6,3)</f>
        <v>0.5</v>
      </c>
      <c r="E5148">
        <f t="shared" si="80"/>
        <v>31625</v>
      </c>
    </row>
    <row r="5149" spans="1:5" x14ac:dyDescent="0.25">
      <c r="A5149" t="s">
        <v>3</v>
      </c>
      <c r="B5149">
        <v>1210314</v>
      </c>
      <c r="C5149">
        <v>63250</v>
      </c>
      <c r="D5149" s="4">
        <f>+VLOOKUP(A5149,Portfolio!$G$3:$I$6,3)</f>
        <v>0.5</v>
      </c>
      <c r="E5149">
        <f t="shared" si="80"/>
        <v>31625</v>
      </c>
    </row>
    <row r="5150" spans="1:5" x14ac:dyDescent="0.25">
      <c r="A5150" t="s">
        <v>3</v>
      </c>
      <c r="B5150">
        <v>1210315</v>
      </c>
      <c r="C5150">
        <v>63250</v>
      </c>
      <c r="D5150" s="4">
        <f>+VLOOKUP(A5150,Portfolio!$G$3:$I$6,3)</f>
        <v>0.5</v>
      </c>
      <c r="E5150">
        <f t="shared" si="80"/>
        <v>31625</v>
      </c>
    </row>
    <row r="5151" spans="1:5" x14ac:dyDescent="0.25">
      <c r="A5151" t="s">
        <v>3</v>
      </c>
      <c r="B5151">
        <v>1210316</v>
      </c>
      <c r="C5151">
        <v>62662.5</v>
      </c>
      <c r="D5151" s="4">
        <f>+VLOOKUP(A5151,Portfolio!$G$3:$I$6,3)</f>
        <v>0.5</v>
      </c>
      <c r="E5151">
        <f t="shared" si="80"/>
        <v>31331.25</v>
      </c>
    </row>
    <row r="5152" spans="1:5" x14ac:dyDescent="0.25">
      <c r="A5152" t="s">
        <v>3</v>
      </c>
      <c r="B5152">
        <v>1210317</v>
      </c>
      <c r="C5152">
        <v>62625</v>
      </c>
      <c r="D5152" s="4">
        <f>+VLOOKUP(A5152,Portfolio!$G$3:$I$6,3)</f>
        <v>0.5</v>
      </c>
      <c r="E5152">
        <f t="shared" si="80"/>
        <v>31312.5</v>
      </c>
    </row>
    <row r="5153" spans="1:5" x14ac:dyDescent="0.25">
      <c r="A5153" t="s">
        <v>3</v>
      </c>
      <c r="B5153">
        <v>1210318</v>
      </c>
      <c r="C5153">
        <v>64137.5</v>
      </c>
      <c r="D5153" s="4">
        <f>+VLOOKUP(A5153,Portfolio!$G$3:$I$6,3)</f>
        <v>0.5</v>
      </c>
      <c r="E5153">
        <f t="shared" si="80"/>
        <v>32068.75</v>
      </c>
    </row>
    <row r="5154" spans="1:5" x14ac:dyDescent="0.25">
      <c r="A5154" t="s">
        <v>3</v>
      </c>
      <c r="B5154">
        <v>1210319</v>
      </c>
      <c r="C5154">
        <v>63212.5</v>
      </c>
      <c r="D5154" s="4">
        <f>+VLOOKUP(A5154,Portfolio!$G$3:$I$6,3)</f>
        <v>0.5</v>
      </c>
      <c r="E5154">
        <f t="shared" si="80"/>
        <v>31606.25</v>
      </c>
    </row>
    <row r="5155" spans="1:5" x14ac:dyDescent="0.25">
      <c r="A5155" t="s">
        <v>3</v>
      </c>
      <c r="B5155">
        <v>1210321</v>
      </c>
      <c r="C5155">
        <v>64000</v>
      </c>
      <c r="D5155" s="4">
        <f>+VLOOKUP(A5155,Portfolio!$G$3:$I$6,3)</f>
        <v>0.5</v>
      </c>
      <c r="E5155">
        <f t="shared" si="80"/>
        <v>32000</v>
      </c>
    </row>
    <row r="5156" spans="1:5" x14ac:dyDescent="0.25">
      <c r="A5156" t="s">
        <v>3</v>
      </c>
      <c r="B5156">
        <v>1210322</v>
      </c>
      <c r="C5156">
        <v>64000</v>
      </c>
      <c r="D5156" s="4">
        <f>+VLOOKUP(A5156,Portfolio!$G$3:$I$6,3)</f>
        <v>0.5</v>
      </c>
      <c r="E5156">
        <f t="shared" si="80"/>
        <v>32000</v>
      </c>
    </row>
    <row r="5157" spans="1:5" x14ac:dyDescent="0.25">
      <c r="A5157" t="s">
        <v>3</v>
      </c>
      <c r="B5157">
        <v>1210323</v>
      </c>
      <c r="C5157">
        <v>64137.5</v>
      </c>
      <c r="D5157" s="4">
        <f>+VLOOKUP(A5157,Portfolio!$G$3:$I$6,3)</f>
        <v>0.5</v>
      </c>
      <c r="E5157">
        <f t="shared" si="80"/>
        <v>32068.75</v>
      </c>
    </row>
    <row r="5158" spans="1:5" x14ac:dyDescent="0.25">
      <c r="A5158" t="s">
        <v>3</v>
      </c>
      <c r="B5158">
        <v>1210324</v>
      </c>
      <c r="C5158">
        <v>63000</v>
      </c>
      <c r="D5158" s="4">
        <f>+VLOOKUP(A5158,Portfolio!$G$3:$I$6,3)</f>
        <v>0.5</v>
      </c>
      <c r="E5158">
        <f t="shared" si="80"/>
        <v>31500</v>
      </c>
    </row>
    <row r="5159" spans="1:5" x14ac:dyDescent="0.25">
      <c r="A5159" t="s">
        <v>3</v>
      </c>
      <c r="B5159">
        <v>1210325</v>
      </c>
      <c r="C5159">
        <v>63937.5</v>
      </c>
      <c r="D5159" s="4">
        <f>+VLOOKUP(A5159,Portfolio!$G$3:$I$6,3)</f>
        <v>0.5</v>
      </c>
      <c r="E5159">
        <f t="shared" si="80"/>
        <v>31968.75</v>
      </c>
    </row>
    <row r="5160" spans="1:5" x14ac:dyDescent="0.25">
      <c r="A5160" t="s">
        <v>3</v>
      </c>
      <c r="B5160">
        <v>1210326</v>
      </c>
      <c r="C5160">
        <v>60912.5</v>
      </c>
      <c r="D5160" s="4">
        <f>+VLOOKUP(A5160,Portfolio!$G$3:$I$6,3)</f>
        <v>0.5</v>
      </c>
      <c r="E5160">
        <f t="shared" si="80"/>
        <v>30456.25</v>
      </c>
    </row>
    <row r="5161" spans="1:5" x14ac:dyDescent="0.25">
      <c r="A5161" t="s">
        <v>3</v>
      </c>
      <c r="B5161">
        <v>1210328</v>
      </c>
      <c r="C5161">
        <v>62362.5</v>
      </c>
      <c r="D5161" s="4">
        <f>+VLOOKUP(A5161,Portfolio!$G$3:$I$6,3)</f>
        <v>0.5</v>
      </c>
      <c r="E5161">
        <f t="shared" si="80"/>
        <v>31181.25</v>
      </c>
    </row>
    <row r="5162" spans="1:5" x14ac:dyDescent="0.25">
      <c r="A5162" t="s">
        <v>3</v>
      </c>
      <c r="B5162">
        <v>1210329</v>
      </c>
      <c r="C5162">
        <v>61675</v>
      </c>
      <c r="D5162" s="4">
        <f>+VLOOKUP(A5162,Portfolio!$G$3:$I$6,3)</f>
        <v>0.5</v>
      </c>
      <c r="E5162">
        <f t="shared" si="80"/>
        <v>30837.5</v>
      </c>
    </row>
    <row r="5163" spans="1:5" x14ac:dyDescent="0.25">
      <c r="A5163" t="s">
        <v>3</v>
      </c>
      <c r="B5163">
        <v>1210330</v>
      </c>
      <c r="C5163">
        <v>62137.5</v>
      </c>
      <c r="D5163" s="4">
        <f>+VLOOKUP(A5163,Portfolio!$G$3:$I$6,3)</f>
        <v>0.5</v>
      </c>
      <c r="E5163">
        <f t="shared" si="80"/>
        <v>31068.75</v>
      </c>
    </row>
    <row r="5164" spans="1:5" x14ac:dyDescent="0.25">
      <c r="A5164" t="s">
        <v>3</v>
      </c>
      <c r="B5164">
        <v>1210331</v>
      </c>
      <c r="C5164">
        <v>60387.5</v>
      </c>
      <c r="D5164" s="4">
        <f>+VLOOKUP(A5164,Portfolio!$G$3:$I$6,3)</f>
        <v>0.5</v>
      </c>
      <c r="E5164">
        <f t="shared" si="80"/>
        <v>30193.75</v>
      </c>
    </row>
    <row r="5165" spans="1:5" x14ac:dyDescent="0.25">
      <c r="A5165" t="s">
        <v>3</v>
      </c>
      <c r="B5165">
        <v>1210401</v>
      </c>
      <c r="C5165">
        <v>59437.5</v>
      </c>
      <c r="D5165" s="4">
        <f>+VLOOKUP(A5165,Portfolio!$G$3:$I$6,3)</f>
        <v>0.5</v>
      </c>
      <c r="E5165">
        <f t="shared" si="80"/>
        <v>29718.75</v>
      </c>
    </row>
    <row r="5166" spans="1:5" x14ac:dyDescent="0.25">
      <c r="A5166" t="s">
        <v>3</v>
      </c>
      <c r="B5166">
        <v>1210402</v>
      </c>
      <c r="C5166">
        <v>61850</v>
      </c>
      <c r="D5166" s="4">
        <f>+VLOOKUP(A5166,Portfolio!$G$3:$I$6,3)</f>
        <v>0.5</v>
      </c>
      <c r="E5166">
        <f t="shared" si="80"/>
        <v>30925</v>
      </c>
    </row>
    <row r="5167" spans="1:5" x14ac:dyDescent="0.25">
      <c r="A5167" t="s">
        <v>3</v>
      </c>
      <c r="B5167">
        <v>1210404</v>
      </c>
      <c r="C5167">
        <v>62250</v>
      </c>
      <c r="D5167" s="4">
        <f>+VLOOKUP(A5167,Portfolio!$G$3:$I$6,3)</f>
        <v>0.5</v>
      </c>
      <c r="E5167">
        <f t="shared" si="80"/>
        <v>31125</v>
      </c>
    </row>
    <row r="5168" spans="1:5" x14ac:dyDescent="0.25">
      <c r="A5168" t="s">
        <v>3</v>
      </c>
      <c r="B5168">
        <v>1210405</v>
      </c>
      <c r="C5168">
        <v>62500</v>
      </c>
      <c r="D5168" s="4">
        <f>+VLOOKUP(A5168,Portfolio!$G$3:$I$6,3)</f>
        <v>0.5</v>
      </c>
      <c r="E5168">
        <f t="shared" si="80"/>
        <v>31250</v>
      </c>
    </row>
    <row r="5169" spans="1:5" x14ac:dyDescent="0.25">
      <c r="A5169" t="s">
        <v>3</v>
      </c>
      <c r="B5169">
        <v>1210406</v>
      </c>
      <c r="C5169">
        <v>62975</v>
      </c>
      <c r="D5169" s="4">
        <f>+VLOOKUP(A5169,Portfolio!$G$3:$I$6,3)</f>
        <v>0.5</v>
      </c>
      <c r="E5169">
        <f t="shared" si="80"/>
        <v>31487.5</v>
      </c>
    </row>
    <row r="5170" spans="1:5" x14ac:dyDescent="0.25">
      <c r="A5170" t="s">
        <v>3</v>
      </c>
      <c r="B5170">
        <v>1210407</v>
      </c>
      <c r="C5170">
        <v>63250</v>
      </c>
      <c r="D5170" s="4">
        <f>+VLOOKUP(A5170,Portfolio!$G$3:$I$6,3)</f>
        <v>0.5</v>
      </c>
      <c r="E5170">
        <f t="shared" si="80"/>
        <v>31625</v>
      </c>
    </row>
    <row r="5171" spans="1:5" x14ac:dyDescent="0.25">
      <c r="A5171" t="s">
        <v>3</v>
      </c>
      <c r="B5171">
        <v>1210408</v>
      </c>
      <c r="C5171">
        <v>64287.5</v>
      </c>
      <c r="D5171" s="4">
        <f>+VLOOKUP(A5171,Portfolio!$G$3:$I$6,3)</f>
        <v>0.5</v>
      </c>
      <c r="E5171">
        <f t="shared" si="80"/>
        <v>32143.75</v>
      </c>
    </row>
    <row r="5172" spans="1:5" x14ac:dyDescent="0.25">
      <c r="A5172" t="s">
        <v>3</v>
      </c>
      <c r="B5172">
        <v>1210409</v>
      </c>
      <c r="C5172">
        <v>62637.5</v>
      </c>
      <c r="D5172" s="4">
        <f>+VLOOKUP(A5172,Portfolio!$G$3:$I$6,3)</f>
        <v>0.5</v>
      </c>
      <c r="E5172">
        <f t="shared" si="80"/>
        <v>31318.75</v>
      </c>
    </row>
    <row r="5173" spans="1:5" x14ac:dyDescent="0.25">
      <c r="A5173" t="s">
        <v>3</v>
      </c>
      <c r="B5173">
        <v>1210411</v>
      </c>
      <c r="C5173">
        <v>63312.5</v>
      </c>
      <c r="D5173" s="4">
        <f>+VLOOKUP(A5173,Portfolio!$G$3:$I$6,3)</f>
        <v>0.5</v>
      </c>
      <c r="E5173">
        <f t="shared" si="80"/>
        <v>31656.25</v>
      </c>
    </row>
    <row r="5174" spans="1:5" x14ac:dyDescent="0.25">
      <c r="A5174" t="s">
        <v>3</v>
      </c>
      <c r="B5174">
        <v>1210412</v>
      </c>
      <c r="C5174">
        <v>62887.5</v>
      </c>
      <c r="D5174" s="4">
        <f>+VLOOKUP(A5174,Portfolio!$G$3:$I$6,3)</f>
        <v>0.5</v>
      </c>
      <c r="E5174">
        <f t="shared" si="80"/>
        <v>31443.75</v>
      </c>
    </row>
    <row r="5175" spans="1:5" x14ac:dyDescent="0.25">
      <c r="A5175" t="s">
        <v>3</v>
      </c>
      <c r="B5175">
        <v>1210413</v>
      </c>
      <c r="C5175">
        <v>63437.5</v>
      </c>
      <c r="D5175" s="4">
        <f>+VLOOKUP(A5175,Portfolio!$G$3:$I$6,3)</f>
        <v>0.5</v>
      </c>
      <c r="E5175">
        <f t="shared" si="80"/>
        <v>31718.75</v>
      </c>
    </row>
    <row r="5176" spans="1:5" x14ac:dyDescent="0.25">
      <c r="A5176" t="s">
        <v>3</v>
      </c>
      <c r="B5176">
        <v>1210414</v>
      </c>
      <c r="C5176">
        <v>64300</v>
      </c>
      <c r="D5176" s="4">
        <f>+VLOOKUP(A5176,Portfolio!$G$3:$I$6,3)</f>
        <v>0.5</v>
      </c>
      <c r="E5176">
        <f t="shared" si="80"/>
        <v>32150</v>
      </c>
    </row>
    <row r="5177" spans="1:5" x14ac:dyDescent="0.25">
      <c r="A5177" t="s">
        <v>3</v>
      </c>
      <c r="B5177">
        <v>1210415</v>
      </c>
      <c r="C5177">
        <v>63925</v>
      </c>
      <c r="D5177" s="4">
        <f>+VLOOKUP(A5177,Portfolio!$G$3:$I$6,3)</f>
        <v>0.5</v>
      </c>
      <c r="E5177">
        <f t="shared" si="80"/>
        <v>31962.5</v>
      </c>
    </row>
    <row r="5178" spans="1:5" x14ac:dyDescent="0.25">
      <c r="A5178" t="s">
        <v>3</v>
      </c>
      <c r="B5178">
        <v>1210416</v>
      </c>
      <c r="C5178">
        <v>63275</v>
      </c>
      <c r="D5178" s="4">
        <f>+VLOOKUP(A5178,Portfolio!$G$3:$I$6,3)</f>
        <v>0.5</v>
      </c>
      <c r="E5178">
        <f t="shared" si="80"/>
        <v>31637.5</v>
      </c>
    </row>
    <row r="5179" spans="1:5" x14ac:dyDescent="0.25">
      <c r="A5179" t="s">
        <v>3</v>
      </c>
      <c r="B5179">
        <v>1210418</v>
      </c>
      <c r="C5179">
        <v>63237.5</v>
      </c>
      <c r="D5179" s="4">
        <f>+VLOOKUP(A5179,Portfolio!$G$3:$I$6,3)</f>
        <v>0.5</v>
      </c>
      <c r="E5179">
        <f t="shared" si="80"/>
        <v>31618.75</v>
      </c>
    </row>
    <row r="5180" spans="1:5" x14ac:dyDescent="0.25">
      <c r="A5180" t="s">
        <v>3</v>
      </c>
      <c r="B5180">
        <v>1210419</v>
      </c>
      <c r="C5180">
        <v>63362.5</v>
      </c>
      <c r="D5180" s="4">
        <f>+VLOOKUP(A5180,Portfolio!$G$3:$I$6,3)</f>
        <v>0.5</v>
      </c>
      <c r="E5180">
        <f t="shared" si="80"/>
        <v>31681.25</v>
      </c>
    </row>
    <row r="5181" spans="1:5" x14ac:dyDescent="0.25">
      <c r="A5181" t="s">
        <v>3</v>
      </c>
      <c r="B5181">
        <v>1210420</v>
      </c>
      <c r="C5181">
        <v>62975</v>
      </c>
      <c r="D5181" s="4">
        <f>+VLOOKUP(A5181,Portfolio!$G$3:$I$6,3)</f>
        <v>0.5</v>
      </c>
      <c r="E5181">
        <f t="shared" si="80"/>
        <v>31487.5</v>
      </c>
    </row>
    <row r="5182" spans="1:5" x14ac:dyDescent="0.25">
      <c r="A5182" t="s">
        <v>3</v>
      </c>
      <c r="B5182">
        <v>1210421</v>
      </c>
      <c r="C5182">
        <v>65187.5</v>
      </c>
      <c r="D5182" s="4">
        <f>+VLOOKUP(A5182,Portfolio!$G$3:$I$6,3)</f>
        <v>0.5</v>
      </c>
      <c r="E5182">
        <f t="shared" si="80"/>
        <v>32593.75</v>
      </c>
    </row>
    <row r="5183" spans="1:5" x14ac:dyDescent="0.25">
      <c r="A5183" t="s">
        <v>3</v>
      </c>
      <c r="B5183">
        <v>1210422</v>
      </c>
      <c r="C5183">
        <v>65400</v>
      </c>
      <c r="D5183" s="4">
        <f>+VLOOKUP(A5183,Portfolio!$G$3:$I$6,3)</f>
        <v>0.5</v>
      </c>
      <c r="E5183">
        <f t="shared" si="80"/>
        <v>32700</v>
      </c>
    </row>
    <row r="5184" spans="1:5" x14ac:dyDescent="0.25">
      <c r="A5184" t="s">
        <v>3</v>
      </c>
      <c r="B5184">
        <v>1210423</v>
      </c>
      <c r="C5184">
        <v>64050</v>
      </c>
      <c r="D5184" s="4">
        <f>+VLOOKUP(A5184,Portfolio!$G$3:$I$6,3)</f>
        <v>0.5</v>
      </c>
      <c r="E5184">
        <f t="shared" si="80"/>
        <v>32025</v>
      </c>
    </row>
    <row r="5185" spans="1:5" x14ac:dyDescent="0.25">
      <c r="A5185" t="s">
        <v>3</v>
      </c>
      <c r="B5185">
        <v>1210425</v>
      </c>
      <c r="C5185">
        <v>64725</v>
      </c>
      <c r="D5185" s="4">
        <f>+VLOOKUP(A5185,Portfolio!$G$3:$I$6,3)</f>
        <v>0.5</v>
      </c>
      <c r="E5185">
        <f t="shared" si="80"/>
        <v>32362.5</v>
      </c>
    </row>
    <row r="5186" spans="1:5" x14ac:dyDescent="0.25">
      <c r="A5186" t="s">
        <v>3</v>
      </c>
      <c r="B5186">
        <v>1210426</v>
      </c>
      <c r="C5186">
        <v>64987.5</v>
      </c>
      <c r="D5186" s="4">
        <f>+VLOOKUP(A5186,Portfolio!$G$3:$I$6,3)</f>
        <v>0.5</v>
      </c>
      <c r="E5186">
        <f t="shared" si="80"/>
        <v>32493.75</v>
      </c>
    </row>
    <row r="5187" spans="1:5" x14ac:dyDescent="0.25">
      <c r="A5187" t="s">
        <v>3</v>
      </c>
      <c r="B5187">
        <v>1210427</v>
      </c>
      <c r="C5187">
        <v>65225</v>
      </c>
      <c r="D5187" s="4">
        <f>+VLOOKUP(A5187,Portfolio!$G$3:$I$6,3)</f>
        <v>0.5</v>
      </c>
      <c r="E5187">
        <f t="shared" ref="E5187:E5250" si="81">+C5187*D5187</f>
        <v>32612.5</v>
      </c>
    </row>
    <row r="5188" spans="1:5" x14ac:dyDescent="0.25">
      <c r="A5188" t="s">
        <v>3</v>
      </c>
      <c r="B5188">
        <v>1210428</v>
      </c>
      <c r="C5188">
        <v>63987.5</v>
      </c>
      <c r="D5188" s="4">
        <f>+VLOOKUP(A5188,Portfolio!$G$3:$I$6,3)</f>
        <v>0.5</v>
      </c>
      <c r="E5188">
        <f t="shared" si="81"/>
        <v>31993.75</v>
      </c>
    </row>
    <row r="5189" spans="1:5" x14ac:dyDescent="0.25">
      <c r="A5189" t="s">
        <v>3</v>
      </c>
      <c r="B5189">
        <v>1210429</v>
      </c>
      <c r="C5189">
        <v>63150</v>
      </c>
      <c r="D5189" s="4">
        <f>+VLOOKUP(A5189,Portfolio!$G$3:$I$6,3)</f>
        <v>0.5</v>
      </c>
      <c r="E5189">
        <f t="shared" si="81"/>
        <v>31575</v>
      </c>
    </row>
    <row r="5190" spans="1:5" x14ac:dyDescent="0.25">
      <c r="A5190" t="s">
        <v>3</v>
      </c>
      <c r="B5190">
        <v>1210430</v>
      </c>
      <c r="C5190">
        <v>63487.5</v>
      </c>
      <c r="D5190" s="4">
        <f>+VLOOKUP(A5190,Portfolio!$G$3:$I$6,3)</f>
        <v>0.5</v>
      </c>
      <c r="E5190">
        <f t="shared" si="81"/>
        <v>31743.75</v>
      </c>
    </row>
    <row r="5191" spans="1:5" x14ac:dyDescent="0.25">
      <c r="A5191" t="s">
        <v>3</v>
      </c>
      <c r="B5191">
        <v>1210502</v>
      </c>
      <c r="C5191">
        <v>63400</v>
      </c>
      <c r="D5191" s="4">
        <f>+VLOOKUP(A5191,Portfolio!$G$3:$I$6,3)</f>
        <v>0.5</v>
      </c>
      <c r="E5191">
        <f t="shared" si="81"/>
        <v>31700</v>
      </c>
    </row>
    <row r="5192" spans="1:5" x14ac:dyDescent="0.25">
      <c r="A5192" t="s">
        <v>3</v>
      </c>
      <c r="B5192">
        <v>1210503</v>
      </c>
      <c r="C5192">
        <v>63362.5</v>
      </c>
      <c r="D5192" s="4">
        <f>+VLOOKUP(A5192,Portfolio!$G$3:$I$6,3)</f>
        <v>0.5</v>
      </c>
      <c r="E5192">
        <f t="shared" si="81"/>
        <v>31681.25</v>
      </c>
    </row>
    <row r="5193" spans="1:5" x14ac:dyDescent="0.25">
      <c r="A5193" t="s">
        <v>3</v>
      </c>
      <c r="B5193">
        <v>1210504</v>
      </c>
      <c r="C5193">
        <v>62987.5</v>
      </c>
      <c r="D5193" s="4">
        <f>+VLOOKUP(A5193,Portfolio!$G$3:$I$6,3)</f>
        <v>0.5</v>
      </c>
      <c r="E5193">
        <f t="shared" si="81"/>
        <v>31493.75</v>
      </c>
    </row>
    <row r="5194" spans="1:5" x14ac:dyDescent="0.25">
      <c r="A5194" t="s">
        <v>3</v>
      </c>
      <c r="B5194">
        <v>1210505</v>
      </c>
      <c r="C5194">
        <v>61525</v>
      </c>
      <c r="D5194" s="4">
        <f>+VLOOKUP(A5194,Portfolio!$G$3:$I$6,3)</f>
        <v>0.5</v>
      </c>
      <c r="E5194">
        <f t="shared" si="81"/>
        <v>30762.5</v>
      </c>
    </row>
    <row r="5195" spans="1:5" x14ac:dyDescent="0.25">
      <c r="A5195" t="s">
        <v>3</v>
      </c>
      <c r="B5195">
        <v>1210506</v>
      </c>
      <c r="C5195">
        <v>60012.5</v>
      </c>
      <c r="D5195" s="4">
        <f>+VLOOKUP(A5195,Portfolio!$G$3:$I$6,3)</f>
        <v>0.5</v>
      </c>
      <c r="E5195">
        <f t="shared" si="81"/>
        <v>30006.25</v>
      </c>
    </row>
    <row r="5196" spans="1:5" x14ac:dyDescent="0.25">
      <c r="A5196" t="s">
        <v>3</v>
      </c>
      <c r="B5196">
        <v>1210507</v>
      </c>
      <c r="C5196">
        <v>59837.5</v>
      </c>
      <c r="D5196" s="4">
        <f>+VLOOKUP(A5196,Portfolio!$G$3:$I$6,3)</f>
        <v>0.5</v>
      </c>
      <c r="E5196">
        <f t="shared" si="81"/>
        <v>29918.75</v>
      </c>
    </row>
    <row r="5197" spans="1:5" x14ac:dyDescent="0.25">
      <c r="A5197" t="s">
        <v>3</v>
      </c>
      <c r="B5197">
        <v>1210509</v>
      </c>
      <c r="C5197">
        <v>61275</v>
      </c>
      <c r="D5197" s="4">
        <f>+VLOOKUP(A5197,Portfolio!$G$3:$I$6,3)</f>
        <v>0.5</v>
      </c>
      <c r="E5197">
        <f t="shared" si="81"/>
        <v>30637.5</v>
      </c>
    </row>
    <row r="5198" spans="1:5" x14ac:dyDescent="0.25">
      <c r="A5198" t="s">
        <v>3</v>
      </c>
      <c r="B5198">
        <v>1210510</v>
      </c>
      <c r="C5198">
        <v>61462.5</v>
      </c>
      <c r="D5198" s="4">
        <f>+VLOOKUP(A5198,Portfolio!$G$3:$I$6,3)</f>
        <v>0.5</v>
      </c>
      <c r="E5198">
        <f t="shared" si="81"/>
        <v>30731.25</v>
      </c>
    </row>
    <row r="5199" spans="1:5" x14ac:dyDescent="0.25">
      <c r="A5199" t="s">
        <v>3</v>
      </c>
      <c r="B5199">
        <v>1210511</v>
      </c>
      <c r="C5199">
        <v>64025</v>
      </c>
      <c r="D5199" s="4">
        <f>+VLOOKUP(A5199,Portfolio!$G$3:$I$6,3)</f>
        <v>0.5</v>
      </c>
      <c r="E5199">
        <f t="shared" si="81"/>
        <v>32012.5</v>
      </c>
    </row>
    <row r="5200" spans="1:5" x14ac:dyDescent="0.25">
      <c r="A5200" t="s">
        <v>3</v>
      </c>
      <c r="B5200">
        <v>1210512</v>
      </c>
      <c r="C5200">
        <v>64700</v>
      </c>
      <c r="D5200" s="4">
        <f>+VLOOKUP(A5200,Portfolio!$G$3:$I$6,3)</f>
        <v>0.5</v>
      </c>
      <c r="E5200">
        <f t="shared" si="81"/>
        <v>32350</v>
      </c>
    </row>
    <row r="5201" spans="1:5" x14ac:dyDescent="0.25">
      <c r="A5201" t="s">
        <v>3</v>
      </c>
      <c r="B5201">
        <v>1210513</v>
      </c>
      <c r="C5201">
        <v>65862.5</v>
      </c>
      <c r="D5201" s="4">
        <f>+VLOOKUP(A5201,Portfolio!$G$3:$I$6,3)</f>
        <v>0.5</v>
      </c>
      <c r="E5201">
        <f t="shared" si="81"/>
        <v>32931.25</v>
      </c>
    </row>
    <row r="5202" spans="1:5" x14ac:dyDescent="0.25">
      <c r="A5202" t="s">
        <v>3</v>
      </c>
      <c r="B5202">
        <v>1210514</v>
      </c>
      <c r="C5202">
        <v>65337.5</v>
      </c>
      <c r="D5202" s="4">
        <f>+VLOOKUP(A5202,Portfolio!$G$3:$I$6,3)</f>
        <v>0.5</v>
      </c>
      <c r="E5202">
        <f t="shared" si="81"/>
        <v>32668.75</v>
      </c>
    </row>
    <row r="5203" spans="1:5" x14ac:dyDescent="0.25">
      <c r="A5203" t="s">
        <v>3</v>
      </c>
      <c r="B5203">
        <v>1210516</v>
      </c>
      <c r="C5203">
        <v>67725</v>
      </c>
      <c r="D5203" s="4">
        <f>+VLOOKUP(A5203,Portfolio!$G$3:$I$6,3)</f>
        <v>0.5</v>
      </c>
      <c r="E5203">
        <f t="shared" si="81"/>
        <v>33862.5</v>
      </c>
    </row>
    <row r="5204" spans="1:5" x14ac:dyDescent="0.25">
      <c r="A5204" t="s">
        <v>3</v>
      </c>
      <c r="B5204">
        <v>1210517</v>
      </c>
      <c r="C5204">
        <v>67212.5</v>
      </c>
      <c r="D5204" s="4">
        <f>+VLOOKUP(A5204,Portfolio!$G$3:$I$6,3)</f>
        <v>0.5</v>
      </c>
      <c r="E5204">
        <f t="shared" si="81"/>
        <v>33606.25</v>
      </c>
    </row>
    <row r="5205" spans="1:5" x14ac:dyDescent="0.25">
      <c r="A5205" t="s">
        <v>3</v>
      </c>
      <c r="B5205">
        <v>1210518</v>
      </c>
      <c r="C5205">
        <v>65412.5</v>
      </c>
      <c r="D5205" s="4">
        <f>+VLOOKUP(A5205,Portfolio!$G$3:$I$6,3)</f>
        <v>0.5</v>
      </c>
      <c r="E5205">
        <f t="shared" si="81"/>
        <v>32706.25</v>
      </c>
    </row>
    <row r="5206" spans="1:5" x14ac:dyDescent="0.25">
      <c r="A5206" t="s">
        <v>3</v>
      </c>
      <c r="B5206">
        <v>1210519</v>
      </c>
      <c r="C5206">
        <v>68600</v>
      </c>
      <c r="D5206" s="4">
        <f>+VLOOKUP(A5206,Portfolio!$G$3:$I$6,3)</f>
        <v>0.5</v>
      </c>
      <c r="E5206">
        <f t="shared" si="81"/>
        <v>34300</v>
      </c>
    </row>
    <row r="5207" spans="1:5" x14ac:dyDescent="0.25">
      <c r="A5207" t="s">
        <v>3</v>
      </c>
      <c r="B5207">
        <v>1210520</v>
      </c>
      <c r="C5207">
        <v>68962.5</v>
      </c>
      <c r="D5207" s="4">
        <f>+VLOOKUP(A5207,Portfolio!$G$3:$I$6,3)</f>
        <v>0.5</v>
      </c>
      <c r="E5207">
        <f t="shared" si="81"/>
        <v>34481.25</v>
      </c>
    </row>
    <row r="5208" spans="1:5" x14ac:dyDescent="0.25">
      <c r="A5208" t="s">
        <v>3</v>
      </c>
      <c r="B5208">
        <v>1210521</v>
      </c>
      <c r="C5208">
        <v>70350</v>
      </c>
      <c r="D5208" s="4">
        <f>+VLOOKUP(A5208,Portfolio!$G$3:$I$6,3)</f>
        <v>0.5</v>
      </c>
      <c r="E5208">
        <f t="shared" si="81"/>
        <v>35175</v>
      </c>
    </row>
    <row r="5209" spans="1:5" x14ac:dyDescent="0.25">
      <c r="A5209" t="s">
        <v>3</v>
      </c>
      <c r="B5209">
        <v>1210523</v>
      </c>
      <c r="C5209">
        <v>70662.5</v>
      </c>
      <c r="D5209" s="4">
        <f>+VLOOKUP(A5209,Portfolio!$G$3:$I$6,3)</f>
        <v>0.5</v>
      </c>
      <c r="E5209">
        <f t="shared" si="81"/>
        <v>35331.25</v>
      </c>
    </row>
    <row r="5210" spans="1:5" x14ac:dyDescent="0.25">
      <c r="A5210" t="s">
        <v>3</v>
      </c>
      <c r="B5210">
        <v>1210524</v>
      </c>
      <c r="C5210">
        <v>70037.5</v>
      </c>
      <c r="D5210" s="4">
        <f>+VLOOKUP(A5210,Portfolio!$G$3:$I$6,3)</f>
        <v>0.5</v>
      </c>
      <c r="E5210">
        <f t="shared" si="81"/>
        <v>35018.75</v>
      </c>
    </row>
    <row r="5211" spans="1:5" x14ac:dyDescent="0.25">
      <c r="A5211" t="s">
        <v>3</v>
      </c>
      <c r="B5211">
        <v>1210525</v>
      </c>
      <c r="C5211">
        <v>69700</v>
      </c>
      <c r="D5211" s="4">
        <f>+VLOOKUP(A5211,Portfolio!$G$3:$I$6,3)</f>
        <v>0.5</v>
      </c>
      <c r="E5211">
        <f t="shared" si="81"/>
        <v>34850</v>
      </c>
    </row>
    <row r="5212" spans="1:5" x14ac:dyDescent="0.25">
      <c r="A5212" t="s">
        <v>3</v>
      </c>
      <c r="B5212">
        <v>1210526</v>
      </c>
      <c r="C5212">
        <v>69287.5</v>
      </c>
      <c r="D5212" s="4">
        <f>+VLOOKUP(A5212,Portfolio!$G$3:$I$6,3)</f>
        <v>0.5</v>
      </c>
      <c r="E5212">
        <f t="shared" si="81"/>
        <v>34643.75</v>
      </c>
    </row>
    <row r="5213" spans="1:5" x14ac:dyDescent="0.25">
      <c r="A5213" t="s">
        <v>3</v>
      </c>
      <c r="B5213">
        <v>1210527</v>
      </c>
      <c r="C5213">
        <v>69375</v>
      </c>
      <c r="D5213" s="4">
        <f>+VLOOKUP(A5213,Portfolio!$G$3:$I$6,3)</f>
        <v>0.5</v>
      </c>
      <c r="E5213">
        <f t="shared" si="81"/>
        <v>34687.5</v>
      </c>
    </row>
    <row r="5214" spans="1:5" x14ac:dyDescent="0.25">
      <c r="A5214" t="s">
        <v>3</v>
      </c>
      <c r="B5214">
        <v>1210528</v>
      </c>
      <c r="C5214">
        <v>69562.5</v>
      </c>
      <c r="D5214" s="4">
        <f>+VLOOKUP(A5214,Portfolio!$G$3:$I$6,3)</f>
        <v>0.5</v>
      </c>
      <c r="E5214">
        <f t="shared" si="81"/>
        <v>34781.25</v>
      </c>
    </row>
    <row r="5215" spans="1:5" x14ac:dyDescent="0.25">
      <c r="A5215" t="s">
        <v>3</v>
      </c>
      <c r="B5215">
        <v>1210530</v>
      </c>
      <c r="C5215">
        <v>69112.5</v>
      </c>
      <c r="D5215" s="4">
        <f>+VLOOKUP(A5215,Portfolio!$G$3:$I$6,3)</f>
        <v>0.5</v>
      </c>
      <c r="E5215">
        <f t="shared" si="81"/>
        <v>34556.25</v>
      </c>
    </row>
    <row r="5216" spans="1:5" x14ac:dyDescent="0.25">
      <c r="A5216" t="s">
        <v>3</v>
      </c>
      <c r="B5216">
        <v>1210531</v>
      </c>
      <c r="C5216">
        <v>69262.5</v>
      </c>
      <c r="D5216" s="4">
        <f>+VLOOKUP(A5216,Portfolio!$G$3:$I$6,3)</f>
        <v>0.5</v>
      </c>
      <c r="E5216">
        <f t="shared" si="81"/>
        <v>34631.25</v>
      </c>
    </row>
    <row r="5217" spans="1:5" x14ac:dyDescent="0.25">
      <c r="A5217" t="s">
        <v>3</v>
      </c>
      <c r="B5217">
        <v>1210601</v>
      </c>
      <c r="C5217">
        <v>69275</v>
      </c>
      <c r="D5217" s="4">
        <f>+VLOOKUP(A5217,Portfolio!$G$3:$I$6,3)</f>
        <v>0.5</v>
      </c>
      <c r="E5217">
        <f t="shared" si="81"/>
        <v>34637.5</v>
      </c>
    </row>
    <row r="5218" spans="1:5" x14ac:dyDescent="0.25">
      <c r="A5218" t="s">
        <v>3</v>
      </c>
      <c r="B5218">
        <v>1210602</v>
      </c>
      <c r="C5218">
        <v>69937.5</v>
      </c>
      <c r="D5218" s="4">
        <f>+VLOOKUP(A5218,Portfolio!$G$3:$I$6,3)</f>
        <v>0.5</v>
      </c>
      <c r="E5218">
        <f t="shared" si="81"/>
        <v>34968.75</v>
      </c>
    </row>
    <row r="5219" spans="1:5" x14ac:dyDescent="0.25">
      <c r="A5219" t="s">
        <v>3</v>
      </c>
      <c r="B5219">
        <v>1210603</v>
      </c>
      <c r="C5219">
        <v>69862.5</v>
      </c>
      <c r="D5219" s="4">
        <f>+VLOOKUP(A5219,Portfolio!$G$3:$I$6,3)</f>
        <v>0.5</v>
      </c>
      <c r="E5219">
        <f t="shared" si="81"/>
        <v>34931.25</v>
      </c>
    </row>
    <row r="5220" spans="1:5" x14ac:dyDescent="0.25">
      <c r="A5220" t="s">
        <v>3</v>
      </c>
      <c r="B5220">
        <v>1210604</v>
      </c>
      <c r="C5220">
        <v>69300</v>
      </c>
      <c r="D5220" s="4">
        <f>+VLOOKUP(A5220,Portfolio!$G$3:$I$6,3)</f>
        <v>0.5</v>
      </c>
      <c r="E5220">
        <f t="shared" si="81"/>
        <v>34650</v>
      </c>
    </row>
    <row r="5221" spans="1:5" x14ac:dyDescent="0.25">
      <c r="A5221" t="s">
        <v>3</v>
      </c>
      <c r="B5221">
        <v>1210606</v>
      </c>
      <c r="C5221">
        <v>69837.5</v>
      </c>
      <c r="D5221" s="4">
        <f>+VLOOKUP(A5221,Portfolio!$G$3:$I$6,3)</f>
        <v>0.5</v>
      </c>
      <c r="E5221">
        <f t="shared" si="81"/>
        <v>34918.75</v>
      </c>
    </row>
    <row r="5222" spans="1:5" x14ac:dyDescent="0.25">
      <c r="A5222" t="s">
        <v>3</v>
      </c>
      <c r="B5222">
        <v>1210607</v>
      </c>
      <c r="C5222">
        <v>69562.5</v>
      </c>
      <c r="D5222" s="4">
        <f>+VLOOKUP(A5222,Portfolio!$G$3:$I$6,3)</f>
        <v>0.5</v>
      </c>
      <c r="E5222">
        <f t="shared" si="81"/>
        <v>34781.25</v>
      </c>
    </row>
    <row r="5223" spans="1:5" x14ac:dyDescent="0.25">
      <c r="A5223" t="s">
        <v>3</v>
      </c>
      <c r="B5223">
        <v>1210608</v>
      </c>
      <c r="C5223">
        <v>69312.5</v>
      </c>
      <c r="D5223" s="4">
        <f>+VLOOKUP(A5223,Portfolio!$G$3:$I$6,3)</f>
        <v>0.5</v>
      </c>
      <c r="E5223">
        <f t="shared" si="81"/>
        <v>34656.25</v>
      </c>
    </row>
    <row r="5224" spans="1:5" x14ac:dyDescent="0.25">
      <c r="A5224" t="s">
        <v>3</v>
      </c>
      <c r="B5224">
        <v>1210609</v>
      </c>
      <c r="C5224">
        <v>68650</v>
      </c>
      <c r="D5224" s="4">
        <f>+VLOOKUP(A5224,Portfolio!$G$3:$I$6,3)</f>
        <v>0.5</v>
      </c>
      <c r="E5224">
        <f t="shared" si="81"/>
        <v>34325</v>
      </c>
    </row>
    <row r="5225" spans="1:5" x14ac:dyDescent="0.25">
      <c r="A5225" t="s">
        <v>3</v>
      </c>
      <c r="B5225">
        <v>1210610</v>
      </c>
      <c r="C5225">
        <v>68412.5</v>
      </c>
      <c r="D5225" s="4">
        <f>+VLOOKUP(A5225,Portfolio!$G$3:$I$6,3)</f>
        <v>0.5</v>
      </c>
      <c r="E5225">
        <f t="shared" si="81"/>
        <v>34206.25</v>
      </c>
    </row>
    <row r="5226" spans="1:5" x14ac:dyDescent="0.25">
      <c r="A5226" t="s">
        <v>3</v>
      </c>
      <c r="B5226">
        <v>1210611</v>
      </c>
      <c r="C5226">
        <v>68050</v>
      </c>
      <c r="D5226" s="4">
        <f>+VLOOKUP(A5226,Portfolio!$G$3:$I$6,3)</f>
        <v>0.5</v>
      </c>
      <c r="E5226">
        <f t="shared" si="81"/>
        <v>34025</v>
      </c>
    </row>
    <row r="5227" spans="1:5" x14ac:dyDescent="0.25">
      <c r="A5227" t="s">
        <v>3</v>
      </c>
      <c r="B5227">
        <v>1210613</v>
      </c>
      <c r="C5227">
        <v>67162.5</v>
      </c>
      <c r="D5227" s="4">
        <f>+VLOOKUP(A5227,Portfolio!$G$3:$I$6,3)</f>
        <v>0.5</v>
      </c>
      <c r="E5227">
        <f t="shared" si="81"/>
        <v>33581.25</v>
      </c>
    </row>
    <row r="5228" spans="1:5" x14ac:dyDescent="0.25">
      <c r="A5228" t="s">
        <v>3</v>
      </c>
      <c r="B5228">
        <v>1210614</v>
      </c>
      <c r="C5228">
        <v>67187.5</v>
      </c>
      <c r="D5228" s="4">
        <f>+VLOOKUP(A5228,Portfolio!$G$3:$I$6,3)</f>
        <v>0.5</v>
      </c>
      <c r="E5228">
        <f t="shared" si="81"/>
        <v>33593.75</v>
      </c>
    </row>
    <row r="5229" spans="1:5" x14ac:dyDescent="0.25">
      <c r="A5229" t="s">
        <v>3</v>
      </c>
      <c r="B5229">
        <v>1210615</v>
      </c>
      <c r="C5229">
        <v>66537.5</v>
      </c>
      <c r="D5229" s="4">
        <f>+VLOOKUP(A5229,Portfolio!$G$3:$I$6,3)</f>
        <v>0.5</v>
      </c>
      <c r="E5229">
        <f t="shared" si="81"/>
        <v>33268.75</v>
      </c>
    </row>
    <row r="5230" spans="1:5" x14ac:dyDescent="0.25">
      <c r="A5230" t="s">
        <v>3</v>
      </c>
      <c r="B5230">
        <v>1210616</v>
      </c>
      <c r="C5230">
        <v>67350</v>
      </c>
      <c r="D5230" s="4">
        <f>+VLOOKUP(A5230,Portfolio!$G$3:$I$6,3)</f>
        <v>0.5</v>
      </c>
      <c r="E5230">
        <f t="shared" si="81"/>
        <v>33675</v>
      </c>
    </row>
    <row r="5231" spans="1:5" x14ac:dyDescent="0.25">
      <c r="A5231" t="s">
        <v>3</v>
      </c>
      <c r="B5231">
        <v>1210617</v>
      </c>
      <c r="C5231">
        <v>68500</v>
      </c>
      <c r="D5231" s="4">
        <f>+VLOOKUP(A5231,Portfolio!$G$3:$I$6,3)</f>
        <v>0.5</v>
      </c>
      <c r="E5231">
        <f t="shared" si="81"/>
        <v>34250</v>
      </c>
    </row>
    <row r="5232" spans="1:5" x14ac:dyDescent="0.25">
      <c r="A5232" t="s">
        <v>3</v>
      </c>
      <c r="B5232">
        <v>1210618</v>
      </c>
      <c r="C5232">
        <v>65775</v>
      </c>
      <c r="D5232" s="4">
        <f>+VLOOKUP(A5232,Portfolio!$G$3:$I$6,3)</f>
        <v>0.5</v>
      </c>
      <c r="E5232">
        <f t="shared" si="81"/>
        <v>32887.5</v>
      </c>
    </row>
    <row r="5233" spans="1:5" x14ac:dyDescent="0.25">
      <c r="A5233" t="s">
        <v>3</v>
      </c>
      <c r="B5233">
        <v>1210620</v>
      </c>
      <c r="C5233">
        <v>68800</v>
      </c>
      <c r="D5233" s="4">
        <f>+VLOOKUP(A5233,Portfolio!$G$3:$I$6,3)</f>
        <v>0.5</v>
      </c>
      <c r="E5233">
        <f t="shared" si="81"/>
        <v>34400</v>
      </c>
    </row>
    <row r="5234" spans="1:5" x14ac:dyDescent="0.25">
      <c r="A5234" t="s">
        <v>3</v>
      </c>
      <c r="B5234">
        <v>1210621</v>
      </c>
      <c r="C5234">
        <v>69625</v>
      </c>
      <c r="D5234" s="4">
        <f>+VLOOKUP(A5234,Portfolio!$G$3:$I$6,3)</f>
        <v>0.5</v>
      </c>
      <c r="E5234">
        <f t="shared" si="81"/>
        <v>34812.5</v>
      </c>
    </row>
    <row r="5235" spans="1:5" x14ac:dyDescent="0.25">
      <c r="A5235" t="s">
        <v>3</v>
      </c>
      <c r="B5235">
        <v>1210622</v>
      </c>
      <c r="C5235">
        <v>68987.5</v>
      </c>
      <c r="D5235" s="4">
        <f>+VLOOKUP(A5235,Portfolio!$G$3:$I$6,3)</f>
        <v>0.5</v>
      </c>
      <c r="E5235">
        <f t="shared" si="81"/>
        <v>34493.75</v>
      </c>
    </row>
    <row r="5236" spans="1:5" x14ac:dyDescent="0.25">
      <c r="A5236" t="s">
        <v>3</v>
      </c>
      <c r="B5236">
        <v>1210623</v>
      </c>
      <c r="C5236">
        <v>67862.5</v>
      </c>
      <c r="D5236" s="4">
        <f>+VLOOKUP(A5236,Portfolio!$G$3:$I$6,3)</f>
        <v>0.5</v>
      </c>
      <c r="E5236">
        <f t="shared" si="81"/>
        <v>33931.25</v>
      </c>
    </row>
    <row r="5237" spans="1:5" x14ac:dyDescent="0.25">
      <c r="A5237" t="s">
        <v>3</v>
      </c>
      <c r="B5237">
        <v>1210624</v>
      </c>
      <c r="C5237">
        <v>67625</v>
      </c>
      <c r="D5237" s="4">
        <f>+VLOOKUP(A5237,Portfolio!$G$3:$I$6,3)</f>
        <v>0.5</v>
      </c>
      <c r="E5237">
        <f t="shared" si="81"/>
        <v>33812.5</v>
      </c>
    </row>
    <row r="5238" spans="1:5" x14ac:dyDescent="0.25">
      <c r="A5238" t="s">
        <v>3</v>
      </c>
      <c r="B5238">
        <v>1210625</v>
      </c>
      <c r="C5238">
        <v>67737.5</v>
      </c>
      <c r="D5238" s="4">
        <f>+VLOOKUP(A5238,Portfolio!$G$3:$I$6,3)</f>
        <v>0.5</v>
      </c>
      <c r="E5238">
        <f t="shared" si="81"/>
        <v>33868.75</v>
      </c>
    </row>
    <row r="5239" spans="1:5" x14ac:dyDescent="0.25">
      <c r="A5239" t="s">
        <v>3</v>
      </c>
      <c r="B5239">
        <v>1210627</v>
      </c>
      <c r="C5239">
        <v>68575</v>
      </c>
      <c r="D5239" s="4">
        <f>+VLOOKUP(A5239,Portfolio!$G$3:$I$6,3)</f>
        <v>0.5</v>
      </c>
      <c r="E5239">
        <f t="shared" si="81"/>
        <v>34287.5</v>
      </c>
    </row>
    <row r="5240" spans="1:5" x14ac:dyDescent="0.25">
      <c r="A5240" t="s">
        <v>3</v>
      </c>
      <c r="B5240">
        <v>1210628</v>
      </c>
      <c r="C5240">
        <v>68375</v>
      </c>
      <c r="D5240" s="4">
        <f>+VLOOKUP(A5240,Portfolio!$G$3:$I$6,3)</f>
        <v>0.5</v>
      </c>
      <c r="E5240">
        <f t="shared" si="81"/>
        <v>34187.5</v>
      </c>
    </row>
    <row r="5241" spans="1:5" x14ac:dyDescent="0.25">
      <c r="A5241" t="s">
        <v>3</v>
      </c>
      <c r="B5241">
        <v>1210629</v>
      </c>
      <c r="C5241">
        <v>67525</v>
      </c>
      <c r="D5241" s="4">
        <f>+VLOOKUP(A5241,Portfolio!$G$3:$I$6,3)</f>
        <v>0.5</v>
      </c>
      <c r="E5241">
        <f t="shared" si="81"/>
        <v>33762.5</v>
      </c>
    </row>
    <row r="5242" spans="1:5" x14ac:dyDescent="0.25">
      <c r="A5242" t="s">
        <v>3</v>
      </c>
      <c r="B5242">
        <v>1210630</v>
      </c>
      <c r="C5242">
        <v>66775</v>
      </c>
      <c r="D5242" s="4">
        <f>+VLOOKUP(A5242,Portfolio!$G$3:$I$6,3)</f>
        <v>0.5</v>
      </c>
      <c r="E5242">
        <f t="shared" si="81"/>
        <v>33387.5</v>
      </c>
    </row>
    <row r="5243" spans="1:5" x14ac:dyDescent="0.25">
      <c r="A5243" t="s">
        <v>3</v>
      </c>
      <c r="B5243">
        <v>1210701</v>
      </c>
      <c r="C5243">
        <v>66637.5</v>
      </c>
      <c r="D5243" s="4">
        <f>+VLOOKUP(A5243,Portfolio!$G$3:$I$6,3)</f>
        <v>0.5</v>
      </c>
      <c r="E5243">
        <f t="shared" si="81"/>
        <v>33318.75</v>
      </c>
    </row>
    <row r="5244" spans="1:5" x14ac:dyDescent="0.25">
      <c r="A5244" t="s">
        <v>3</v>
      </c>
      <c r="B5244">
        <v>1210702</v>
      </c>
      <c r="C5244">
        <v>67000</v>
      </c>
      <c r="D5244" s="4">
        <f>+VLOOKUP(A5244,Portfolio!$G$3:$I$6,3)</f>
        <v>0.5</v>
      </c>
      <c r="E5244">
        <f t="shared" si="81"/>
        <v>33500</v>
      </c>
    </row>
    <row r="5245" spans="1:5" x14ac:dyDescent="0.25">
      <c r="A5245" t="s">
        <v>3</v>
      </c>
      <c r="B5245">
        <v>1210704</v>
      </c>
      <c r="C5245">
        <v>68275</v>
      </c>
      <c r="D5245" s="4">
        <f>+VLOOKUP(A5245,Portfolio!$G$3:$I$6,3)</f>
        <v>0.5</v>
      </c>
      <c r="E5245">
        <f t="shared" si="81"/>
        <v>34137.5</v>
      </c>
    </row>
    <row r="5246" spans="1:5" x14ac:dyDescent="0.25">
      <c r="A5246" t="s">
        <v>3</v>
      </c>
      <c r="B5246">
        <v>1210705</v>
      </c>
      <c r="C5246">
        <v>68275</v>
      </c>
      <c r="D5246" s="4">
        <f>+VLOOKUP(A5246,Portfolio!$G$3:$I$6,3)</f>
        <v>0.5</v>
      </c>
      <c r="E5246">
        <f t="shared" si="81"/>
        <v>34137.5</v>
      </c>
    </row>
    <row r="5247" spans="1:5" x14ac:dyDescent="0.25">
      <c r="A5247" t="s">
        <v>3</v>
      </c>
      <c r="B5247">
        <v>1210706</v>
      </c>
      <c r="C5247">
        <v>68175</v>
      </c>
      <c r="D5247" s="4">
        <f>+VLOOKUP(A5247,Portfolio!$G$3:$I$6,3)</f>
        <v>0.5</v>
      </c>
      <c r="E5247">
        <f t="shared" si="81"/>
        <v>34087.5</v>
      </c>
    </row>
    <row r="5248" spans="1:5" x14ac:dyDescent="0.25">
      <c r="A5248" t="s">
        <v>3</v>
      </c>
      <c r="B5248">
        <v>1210707</v>
      </c>
      <c r="C5248">
        <v>67950</v>
      </c>
      <c r="D5248" s="4">
        <f>+VLOOKUP(A5248,Portfolio!$G$3:$I$6,3)</f>
        <v>0.5</v>
      </c>
      <c r="E5248">
        <f t="shared" si="81"/>
        <v>33975</v>
      </c>
    </row>
    <row r="5249" spans="1:5" x14ac:dyDescent="0.25">
      <c r="A5249" t="s">
        <v>3</v>
      </c>
      <c r="B5249">
        <v>1210708</v>
      </c>
      <c r="C5249">
        <v>67037.5</v>
      </c>
      <c r="D5249" s="4">
        <f>+VLOOKUP(A5249,Portfolio!$G$3:$I$6,3)</f>
        <v>0.5</v>
      </c>
      <c r="E5249">
        <f t="shared" si="81"/>
        <v>33518.75</v>
      </c>
    </row>
    <row r="5250" spans="1:5" x14ac:dyDescent="0.25">
      <c r="A5250" t="s">
        <v>3</v>
      </c>
      <c r="B5250">
        <v>1210709</v>
      </c>
      <c r="C5250">
        <v>65700</v>
      </c>
      <c r="D5250" s="4">
        <f>+VLOOKUP(A5250,Portfolio!$G$3:$I$6,3)</f>
        <v>0.5</v>
      </c>
      <c r="E5250">
        <f t="shared" si="81"/>
        <v>32850</v>
      </c>
    </row>
    <row r="5251" spans="1:5" x14ac:dyDescent="0.25">
      <c r="A5251" t="s">
        <v>3</v>
      </c>
      <c r="B5251">
        <v>1210711</v>
      </c>
      <c r="C5251">
        <v>66725</v>
      </c>
      <c r="D5251" s="4">
        <f>+VLOOKUP(A5251,Portfolio!$G$3:$I$6,3)</f>
        <v>0.5</v>
      </c>
      <c r="E5251">
        <f t="shared" ref="E5251:E5314" si="82">+C5251*D5251</f>
        <v>33362.5</v>
      </c>
    </row>
    <row r="5252" spans="1:5" x14ac:dyDescent="0.25">
      <c r="A5252" t="s">
        <v>3</v>
      </c>
      <c r="B5252">
        <v>1210712</v>
      </c>
      <c r="C5252">
        <v>66300</v>
      </c>
      <c r="D5252" s="4">
        <f>+VLOOKUP(A5252,Portfolio!$G$3:$I$6,3)</f>
        <v>0.5</v>
      </c>
      <c r="E5252">
        <f t="shared" si="82"/>
        <v>33150</v>
      </c>
    </row>
    <row r="5253" spans="1:5" x14ac:dyDescent="0.25">
      <c r="A5253" t="s">
        <v>3</v>
      </c>
      <c r="B5253">
        <v>1210713</v>
      </c>
      <c r="C5253">
        <v>67300</v>
      </c>
      <c r="D5253" s="4">
        <f>+VLOOKUP(A5253,Portfolio!$G$3:$I$6,3)</f>
        <v>0.5</v>
      </c>
      <c r="E5253">
        <f t="shared" si="82"/>
        <v>33650</v>
      </c>
    </row>
    <row r="5254" spans="1:5" x14ac:dyDescent="0.25">
      <c r="A5254" t="s">
        <v>3</v>
      </c>
      <c r="B5254">
        <v>1210714</v>
      </c>
      <c r="C5254">
        <v>67100</v>
      </c>
      <c r="D5254" s="4">
        <f>+VLOOKUP(A5254,Portfolio!$G$3:$I$6,3)</f>
        <v>0.5</v>
      </c>
      <c r="E5254">
        <f t="shared" si="82"/>
        <v>33550</v>
      </c>
    </row>
    <row r="5255" spans="1:5" x14ac:dyDescent="0.25">
      <c r="A5255" t="s">
        <v>3</v>
      </c>
      <c r="B5255">
        <v>1210715</v>
      </c>
      <c r="C5255">
        <v>67100</v>
      </c>
      <c r="D5255" s="4">
        <f>+VLOOKUP(A5255,Portfolio!$G$3:$I$6,3)</f>
        <v>0.5</v>
      </c>
      <c r="E5255">
        <f t="shared" si="82"/>
        <v>33550</v>
      </c>
    </row>
    <row r="5256" spans="1:5" x14ac:dyDescent="0.25">
      <c r="A5256" t="s">
        <v>3</v>
      </c>
      <c r="B5256">
        <v>1210716</v>
      </c>
      <c r="C5256">
        <v>66762.5</v>
      </c>
      <c r="D5256" s="4">
        <f>+VLOOKUP(A5256,Portfolio!$G$3:$I$6,3)</f>
        <v>0.5</v>
      </c>
      <c r="E5256">
        <f t="shared" si="82"/>
        <v>33381.25</v>
      </c>
    </row>
    <row r="5257" spans="1:5" x14ac:dyDescent="0.25">
      <c r="A5257" t="s">
        <v>3</v>
      </c>
      <c r="B5257">
        <v>1210718</v>
      </c>
      <c r="C5257">
        <v>67987.5</v>
      </c>
      <c r="D5257" s="4">
        <f>+VLOOKUP(A5257,Portfolio!$G$3:$I$6,3)</f>
        <v>0.5</v>
      </c>
      <c r="E5257">
        <f t="shared" si="82"/>
        <v>33993.75</v>
      </c>
    </row>
    <row r="5258" spans="1:5" x14ac:dyDescent="0.25">
      <c r="A5258" t="s">
        <v>3</v>
      </c>
      <c r="B5258">
        <v>1210719</v>
      </c>
      <c r="C5258">
        <v>67987.5</v>
      </c>
      <c r="D5258" s="4">
        <f>+VLOOKUP(A5258,Portfolio!$G$3:$I$6,3)</f>
        <v>0.5</v>
      </c>
      <c r="E5258">
        <f t="shared" si="82"/>
        <v>33993.75</v>
      </c>
    </row>
    <row r="5259" spans="1:5" x14ac:dyDescent="0.25">
      <c r="A5259" t="s">
        <v>3</v>
      </c>
      <c r="B5259">
        <v>1210720</v>
      </c>
      <c r="C5259">
        <v>67112.5</v>
      </c>
      <c r="D5259" s="4">
        <f>+VLOOKUP(A5259,Portfolio!$G$3:$I$6,3)</f>
        <v>0.5</v>
      </c>
      <c r="E5259">
        <f t="shared" si="82"/>
        <v>33556.25</v>
      </c>
    </row>
    <row r="5260" spans="1:5" x14ac:dyDescent="0.25">
      <c r="A5260" t="s">
        <v>3</v>
      </c>
      <c r="B5260">
        <v>1210721</v>
      </c>
      <c r="C5260">
        <v>66850</v>
      </c>
      <c r="D5260" s="4">
        <f>+VLOOKUP(A5260,Portfolio!$G$3:$I$6,3)</f>
        <v>0.5</v>
      </c>
      <c r="E5260">
        <f t="shared" si="82"/>
        <v>33425</v>
      </c>
    </row>
    <row r="5261" spans="1:5" x14ac:dyDescent="0.25">
      <c r="A5261" t="s">
        <v>3</v>
      </c>
      <c r="B5261">
        <v>1210722</v>
      </c>
      <c r="C5261">
        <v>69000</v>
      </c>
      <c r="D5261" s="4">
        <f>+VLOOKUP(A5261,Portfolio!$G$3:$I$6,3)</f>
        <v>0.5</v>
      </c>
      <c r="E5261">
        <f t="shared" si="82"/>
        <v>34500</v>
      </c>
    </row>
    <row r="5262" spans="1:5" x14ac:dyDescent="0.25">
      <c r="A5262" t="s">
        <v>3</v>
      </c>
      <c r="B5262">
        <v>1210723</v>
      </c>
      <c r="C5262">
        <v>68150</v>
      </c>
      <c r="D5262" s="4">
        <f>+VLOOKUP(A5262,Portfolio!$G$3:$I$6,3)</f>
        <v>0.5</v>
      </c>
      <c r="E5262">
        <f t="shared" si="82"/>
        <v>34075</v>
      </c>
    </row>
    <row r="5263" spans="1:5" x14ac:dyDescent="0.25">
      <c r="A5263" t="s">
        <v>3</v>
      </c>
      <c r="B5263">
        <v>1210725</v>
      </c>
      <c r="C5263">
        <v>69800</v>
      </c>
      <c r="D5263" s="4">
        <f>+VLOOKUP(A5263,Portfolio!$G$3:$I$6,3)</f>
        <v>0.5</v>
      </c>
      <c r="E5263">
        <f t="shared" si="82"/>
        <v>34900</v>
      </c>
    </row>
    <row r="5264" spans="1:5" x14ac:dyDescent="0.25">
      <c r="A5264" t="s">
        <v>3</v>
      </c>
      <c r="B5264">
        <v>1210726</v>
      </c>
      <c r="C5264">
        <v>69800</v>
      </c>
      <c r="D5264" s="4">
        <f>+VLOOKUP(A5264,Portfolio!$G$3:$I$6,3)</f>
        <v>0.5</v>
      </c>
      <c r="E5264">
        <f t="shared" si="82"/>
        <v>34900</v>
      </c>
    </row>
    <row r="5265" spans="1:5" x14ac:dyDescent="0.25">
      <c r="A5265" t="s">
        <v>3</v>
      </c>
      <c r="B5265">
        <v>1210727</v>
      </c>
      <c r="C5265">
        <v>69837.5</v>
      </c>
      <c r="D5265" s="4">
        <f>+VLOOKUP(A5265,Portfolio!$G$3:$I$6,3)</f>
        <v>0.5</v>
      </c>
      <c r="E5265">
        <f t="shared" si="82"/>
        <v>34918.75</v>
      </c>
    </row>
    <row r="5266" spans="1:5" x14ac:dyDescent="0.25">
      <c r="A5266" t="s">
        <v>3</v>
      </c>
      <c r="B5266">
        <v>1210728</v>
      </c>
      <c r="C5266">
        <v>69150</v>
      </c>
      <c r="D5266" s="4">
        <f>+VLOOKUP(A5266,Portfolio!$G$3:$I$6,3)</f>
        <v>0.5</v>
      </c>
      <c r="E5266">
        <f t="shared" si="82"/>
        <v>34575</v>
      </c>
    </row>
    <row r="5267" spans="1:5" x14ac:dyDescent="0.25">
      <c r="A5267" t="s">
        <v>3</v>
      </c>
      <c r="B5267">
        <v>1210729</v>
      </c>
      <c r="C5267">
        <v>66625</v>
      </c>
      <c r="D5267" s="4">
        <f>+VLOOKUP(A5267,Portfolio!$G$3:$I$6,3)</f>
        <v>0.5</v>
      </c>
      <c r="E5267">
        <f t="shared" si="82"/>
        <v>33312.5</v>
      </c>
    </row>
    <row r="5268" spans="1:5" x14ac:dyDescent="0.25">
      <c r="A5268" t="s">
        <v>3</v>
      </c>
      <c r="B5268">
        <v>1210730</v>
      </c>
      <c r="C5268">
        <v>67800</v>
      </c>
      <c r="D5268" s="4">
        <f>+VLOOKUP(A5268,Portfolio!$G$3:$I$6,3)</f>
        <v>0.5</v>
      </c>
      <c r="E5268">
        <f t="shared" si="82"/>
        <v>33900</v>
      </c>
    </row>
    <row r="5269" spans="1:5" x14ac:dyDescent="0.25">
      <c r="A5269" t="s">
        <v>3</v>
      </c>
      <c r="B5269">
        <v>1210801</v>
      </c>
      <c r="C5269">
        <v>68062.5</v>
      </c>
      <c r="D5269" s="4">
        <f>+VLOOKUP(A5269,Portfolio!$G$3:$I$6,3)</f>
        <v>0.5</v>
      </c>
      <c r="E5269">
        <f t="shared" si="82"/>
        <v>34031.25</v>
      </c>
    </row>
    <row r="5270" spans="1:5" x14ac:dyDescent="0.25">
      <c r="A5270" t="s">
        <v>3</v>
      </c>
      <c r="B5270">
        <v>1210802</v>
      </c>
      <c r="C5270">
        <v>68350</v>
      </c>
      <c r="D5270" s="4">
        <f>+VLOOKUP(A5270,Portfolio!$G$3:$I$6,3)</f>
        <v>0.5</v>
      </c>
      <c r="E5270">
        <f t="shared" si="82"/>
        <v>34175</v>
      </c>
    </row>
    <row r="5271" spans="1:5" x14ac:dyDescent="0.25">
      <c r="A5271" t="s">
        <v>3</v>
      </c>
      <c r="B5271">
        <v>1210803</v>
      </c>
      <c r="C5271">
        <v>68500</v>
      </c>
      <c r="D5271" s="4">
        <f>+VLOOKUP(A5271,Portfolio!$G$3:$I$6,3)</f>
        <v>0.5</v>
      </c>
      <c r="E5271">
        <f t="shared" si="82"/>
        <v>34250</v>
      </c>
    </row>
    <row r="5272" spans="1:5" x14ac:dyDescent="0.25">
      <c r="A5272" t="s">
        <v>3</v>
      </c>
      <c r="B5272">
        <v>1210804</v>
      </c>
      <c r="C5272">
        <v>68775</v>
      </c>
      <c r="D5272" s="4">
        <f>+VLOOKUP(A5272,Portfolio!$G$3:$I$6,3)</f>
        <v>0.5</v>
      </c>
      <c r="E5272">
        <f t="shared" si="82"/>
        <v>34387.5</v>
      </c>
    </row>
    <row r="5273" spans="1:5" x14ac:dyDescent="0.25">
      <c r="A5273" t="s">
        <v>3</v>
      </c>
      <c r="B5273">
        <v>1210805</v>
      </c>
      <c r="C5273">
        <v>67862.5</v>
      </c>
      <c r="D5273" s="4">
        <f>+VLOOKUP(A5273,Portfolio!$G$3:$I$6,3)</f>
        <v>0.5</v>
      </c>
      <c r="E5273">
        <f t="shared" si="82"/>
        <v>33931.25</v>
      </c>
    </row>
    <row r="5274" spans="1:5" x14ac:dyDescent="0.25">
      <c r="A5274" t="s">
        <v>3</v>
      </c>
      <c r="B5274">
        <v>1210806</v>
      </c>
      <c r="C5274">
        <v>67737.5</v>
      </c>
      <c r="D5274" s="4">
        <f>+VLOOKUP(A5274,Portfolio!$G$3:$I$6,3)</f>
        <v>0.5</v>
      </c>
      <c r="E5274">
        <f t="shared" si="82"/>
        <v>33868.75</v>
      </c>
    </row>
    <row r="5275" spans="1:5" x14ac:dyDescent="0.25">
      <c r="A5275" t="s">
        <v>3</v>
      </c>
      <c r="B5275">
        <v>1210808</v>
      </c>
      <c r="C5275">
        <v>68237.5</v>
      </c>
      <c r="D5275" s="4">
        <f>+VLOOKUP(A5275,Portfolio!$G$3:$I$6,3)</f>
        <v>0.5</v>
      </c>
      <c r="E5275">
        <f t="shared" si="82"/>
        <v>34118.75</v>
      </c>
    </row>
    <row r="5276" spans="1:5" x14ac:dyDescent="0.25">
      <c r="A5276" t="s">
        <v>3</v>
      </c>
      <c r="B5276">
        <v>1210809</v>
      </c>
      <c r="C5276">
        <v>68237.5</v>
      </c>
      <c r="D5276" s="4">
        <f>+VLOOKUP(A5276,Portfolio!$G$3:$I$6,3)</f>
        <v>0.5</v>
      </c>
      <c r="E5276">
        <f t="shared" si="82"/>
        <v>34118.75</v>
      </c>
    </row>
    <row r="5277" spans="1:5" x14ac:dyDescent="0.25">
      <c r="A5277" t="s">
        <v>3</v>
      </c>
      <c r="B5277">
        <v>1210810</v>
      </c>
      <c r="C5277">
        <v>68237.5</v>
      </c>
      <c r="D5277" s="4">
        <f>+VLOOKUP(A5277,Portfolio!$G$3:$I$6,3)</f>
        <v>0.5</v>
      </c>
      <c r="E5277">
        <f t="shared" si="82"/>
        <v>34118.75</v>
      </c>
    </row>
    <row r="5278" spans="1:5" x14ac:dyDescent="0.25">
      <c r="A5278" t="s">
        <v>3</v>
      </c>
      <c r="B5278">
        <v>1210811</v>
      </c>
      <c r="C5278">
        <v>67837.5</v>
      </c>
      <c r="D5278" s="4">
        <f>+VLOOKUP(A5278,Portfolio!$G$3:$I$6,3)</f>
        <v>0.5</v>
      </c>
      <c r="E5278">
        <f t="shared" si="82"/>
        <v>33918.75</v>
      </c>
    </row>
    <row r="5279" spans="1:5" x14ac:dyDescent="0.25">
      <c r="A5279" t="s">
        <v>3</v>
      </c>
      <c r="B5279">
        <v>1210812</v>
      </c>
      <c r="C5279">
        <v>68100</v>
      </c>
      <c r="D5279" s="4">
        <f>+VLOOKUP(A5279,Portfolio!$G$3:$I$6,3)</f>
        <v>0.5</v>
      </c>
      <c r="E5279">
        <f t="shared" si="82"/>
        <v>34050</v>
      </c>
    </row>
    <row r="5280" spans="1:5" x14ac:dyDescent="0.25">
      <c r="A5280" t="s">
        <v>3</v>
      </c>
      <c r="B5280">
        <v>1210813</v>
      </c>
      <c r="C5280">
        <v>67987.5</v>
      </c>
      <c r="D5280" s="4">
        <f>+VLOOKUP(A5280,Portfolio!$G$3:$I$6,3)</f>
        <v>0.5</v>
      </c>
      <c r="E5280">
        <f t="shared" si="82"/>
        <v>33993.75</v>
      </c>
    </row>
    <row r="5281" spans="1:5" x14ac:dyDescent="0.25">
      <c r="A5281" t="s">
        <v>3</v>
      </c>
      <c r="B5281">
        <v>1210815</v>
      </c>
      <c r="C5281">
        <v>68250</v>
      </c>
      <c r="D5281" s="4">
        <f>+VLOOKUP(A5281,Portfolio!$G$3:$I$6,3)</f>
        <v>0.5</v>
      </c>
      <c r="E5281">
        <f t="shared" si="82"/>
        <v>34125</v>
      </c>
    </row>
    <row r="5282" spans="1:5" x14ac:dyDescent="0.25">
      <c r="A5282" t="s">
        <v>3</v>
      </c>
      <c r="B5282">
        <v>1210816</v>
      </c>
      <c r="C5282">
        <v>68250</v>
      </c>
      <c r="D5282" s="4">
        <f>+VLOOKUP(A5282,Portfolio!$G$3:$I$6,3)</f>
        <v>0.5</v>
      </c>
      <c r="E5282">
        <f t="shared" si="82"/>
        <v>34125</v>
      </c>
    </row>
    <row r="5283" spans="1:5" x14ac:dyDescent="0.25">
      <c r="A5283" t="s">
        <v>3</v>
      </c>
      <c r="B5283">
        <v>1210817</v>
      </c>
      <c r="C5283">
        <v>67562.5</v>
      </c>
      <c r="D5283" s="4">
        <f>+VLOOKUP(A5283,Portfolio!$G$3:$I$6,3)</f>
        <v>0.5</v>
      </c>
      <c r="E5283">
        <f t="shared" si="82"/>
        <v>33781.25</v>
      </c>
    </row>
    <row r="5284" spans="1:5" x14ac:dyDescent="0.25">
      <c r="A5284" t="s">
        <v>3</v>
      </c>
      <c r="B5284">
        <v>1210818</v>
      </c>
      <c r="C5284">
        <v>65600</v>
      </c>
      <c r="D5284" s="4">
        <f>+VLOOKUP(A5284,Portfolio!$G$3:$I$6,3)</f>
        <v>0.5</v>
      </c>
      <c r="E5284">
        <f t="shared" si="82"/>
        <v>32800</v>
      </c>
    </row>
    <row r="5285" spans="1:5" x14ac:dyDescent="0.25">
      <c r="A5285" t="s">
        <v>3</v>
      </c>
      <c r="B5285">
        <v>1210819</v>
      </c>
      <c r="C5285">
        <v>66587.5</v>
      </c>
      <c r="D5285" s="4">
        <f>+VLOOKUP(A5285,Portfolio!$G$3:$I$6,3)</f>
        <v>0.5</v>
      </c>
      <c r="E5285">
        <f t="shared" si="82"/>
        <v>33293.75</v>
      </c>
    </row>
    <row r="5286" spans="1:5" x14ac:dyDescent="0.25">
      <c r="A5286" t="s">
        <v>3</v>
      </c>
      <c r="B5286">
        <v>1210820</v>
      </c>
      <c r="C5286">
        <v>66337.5</v>
      </c>
      <c r="D5286" s="4">
        <f>+VLOOKUP(A5286,Portfolio!$G$3:$I$6,3)</f>
        <v>0.5</v>
      </c>
      <c r="E5286">
        <f t="shared" si="82"/>
        <v>33168.75</v>
      </c>
    </row>
    <row r="5287" spans="1:5" x14ac:dyDescent="0.25">
      <c r="A5287" t="s">
        <v>3</v>
      </c>
      <c r="B5287">
        <v>1210822</v>
      </c>
      <c r="C5287">
        <v>68550</v>
      </c>
      <c r="D5287" s="4">
        <f>+VLOOKUP(A5287,Portfolio!$G$3:$I$6,3)</f>
        <v>0.5</v>
      </c>
      <c r="E5287">
        <f t="shared" si="82"/>
        <v>34275</v>
      </c>
    </row>
    <row r="5288" spans="1:5" x14ac:dyDescent="0.25">
      <c r="A5288" t="s">
        <v>3</v>
      </c>
      <c r="B5288">
        <v>1210823</v>
      </c>
      <c r="C5288">
        <v>69237.5</v>
      </c>
      <c r="D5288" s="4">
        <f>+VLOOKUP(A5288,Portfolio!$G$3:$I$6,3)</f>
        <v>0.5</v>
      </c>
      <c r="E5288">
        <f t="shared" si="82"/>
        <v>34618.75</v>
      </c>
    </row>
    <row r="5289" spans="1:5" x14ac:dyDescent="0.25">
      <c r="A5289" t="s">
        <v>3</v>
      </c>
      <c r="B5289">
        <v>1210824</v>
      </c>
      <c r="C5289">
        <v>70712.5</v>
      </c>
      <c r="D5289" s="4">
        <f>+VLOOKUP(A5289,Portfolio!$G$3:$I$6,3)</f>
        <v>0.5</v>
      </c>
      <c r="E5289">
        <f t="shared" si="82"/>
        <v>35356.25</v>
      </c>
    </row>
    <row r="5290" spans="1:5" x14ac:dyDescent="0.25">
      <c r="A5290" t="s">
        <v>3</v>
      </c>
      <c r="B5290">
        <v>1210825</v>
      </c>
      <c r="C5290">
        <v>70712.5</v>
      </c>
      <c r="D5290" s="4">
        <f>+VLOOKUP(A5290,Portfolio!$G$3:$I$6,3)</f>
        <v>0.5</v>
      </c>
      <c r="E5290">
        <f t="shared" si="82"/>
        <v>35356.25</v>
      </c>
    </row>
    <row r="5291" spans="1:5" x14ac:dyDescent="0.25">
      <c r="A5291" t="s">
        <v>3</v>
      </c>
      <c r="B5291">
        <v>1210826</v>
      </c>
      <c r="C5291">
        <v>70662.5</v>
      </c>
      <c r="D5291" s="4">
        <f>+VLOOKUP(A5291,Portfolio!$G$3:$I$6,3)</f>
        <v>0.5</v>
      </c>
      <c r="E5291">
        <f t="shared" si="82"/>
        <v>35331.25</v>
      </c>
    </row>
    <row r="5292" spans="1:5" x14ac:dyDescent="0.25">
      <c r="A5292" t="s">
        <v>3</v>
      </c>
      <c r="B5292">
        <v>1210827</v>
      </c>
      <c r="C5292">
        <v>70562.5</v>
      </c>
      <c r="D5292" s="4">
        <f>+VLOOKUP(A5292,Portfolio!$G$3:$I$6,3)</f>
        <v>0.5</v>
      </c>
      <c r="E5292">
        <f t="shared" si="82"/>
        <v>35281.25</v>
      </c>
    </row>
    <row r="5293" spans="1:5" x14ac:dyDescent="0.25">
      <c r="A5293" t="s">
        <v>3</v>
      </c>
      <c r="B5293">
        <v>1210829</v>
      </c>
      <c r="C5293">
        <v>71325</v>
      </c>
      <c r="D5293" s="4">
        <f>+VLOOKUP(A5293,Portfolio!$G$3:$I$6,3)</f>
        <v>0.5</v>
      </c>
      <c r="E5293">
        <f t="shared" si="82"/>
        <v>35662.5</v>
      </c>
    </row>
    <row r="5294" spans="1:5" x14ac:dyDescent="0.25">
      <c r="A5294" t="s">
        <v>3</v>
      </c>
      <c r="B5294">
        <v>1210830</v>
      </c>
      <c r="C5294">
        <v>71337.5</v>
      </c>
      <c r="D5294" s="4">
        <f>+VLOOKUP(A5294,Portfolio!$G$3:$I$6,3)</f>
        <v>0.5</v>
      </c>
      <c r="E5294">
        <f t="shared" si="82"/>
        <v>35668.75</v>
      </c>
    </row>
    <row r="5295" spans="1:5" x14ac:dyDescent="0.25">
      <c r="A5295" t="s">
        <v>3</v>
      </c>
      <c r="B5295">
        <v>1210831</v>
      </c>
      <c r="C5295">
        <v>72800</v>
      </c>
      <c r="D5295" s="4">
        <f>+VLOOKUP(A5295,Portfolio!$G$3:$I$6,3)</f>
        <v>0.5</v>
      </c>
      <c r="E5295">
        <f t="shared" si="82"/>
        <v>36400</v>
      </c>
    </row>
    <row r="5296" spans="1:5" x14ac:dyDescent="0.25">
      <c r="A5296" t="s">
        <v>3</v>
      </c>
      <c r="B5296">
        <v>1210901</v>
      </c>
      <c r="C5296">
        <v>72037.5</v>
      </c>
      <c r="D5296" s="4">
        <f>+VLOOKUP(A5296,Portfolio!$G$3:$I$6,3)</f>
        <v>0.5</v>
      </c>
      <c r="E5296">
        <f t="shared" si="82"/>
        <v>36018.75</v>
      </c>
    </row>
    <row r="5297" spans="1:5" x14ac:dyDescent="0.25">
      <c r="A5297" t="s">
        <v>3</v>
      </c>
      <c r="B5297">
        <v>1210902</v>
      </c>
      <c r="C5297">
        <v>72037.5</v>
      </c>
      <c r="D5297" s="4">
        <f>+VLOOKUP(A5297,Portfolio!$G$3:$I$6,3)</f>
        <v>0.5</v>
      </c>
      <c r="E5297">
        <f t="shared" si="82"/>
        <v>36018.75</v>
      </c>
    </row>
    <row r="5298" spans="1:5" x14ac:dyDescent="0.25">
      <c r="A5298" t="s">
        <v>3</v>
      </c>
      <c r="B5298">
        <v>1210903</v>
      </c>
      <c r="C5298">
        <v>72037.5</v>
      </c>
      <c r="D5298" s="4">
        <f>+VLOOKUP(A5298,Portfolio!$G$3:$I$6,3)</f>
        <v>0.5</v>
      </c>
      <c r="E5298">
        <f t="shared" si="82"/>
        <v>36018.75</v>
      </c>
    </row>
    <row r="5299" spans="1:5" x14ac:dyDescent="0.25">
      <c r="A5299" t="s">
        <v>3</v>
      </c>
      <c r="B5299">
        <v>1210905</v>
      </c>
      <c r="C5299">
        <v>72037.5</v>
      </c>
      <c r="D5299" s="4">
        <f>+VLOOKUP(A5299,Portfolio!$G$3:$I$6,3)</f>
        <v>0.5</v>
      </c>
      <c r="E5299">
        <f t="shared" si="82"/>
        <v>36018.75</v>
      </c>
    </row>
    <row r="5300" spans="1:5" x14ac:dyDescent="0.25">
      <c r="A5300" t="s">
        <v>3</v>
      </c>
      <c r="B5300">
        <v>1210906</v>
      </c>
      <c r="C5300">
        <v>72037.5</v>
      </c>
      <c r="D5300" s="4">
        <f>+VLOOKUP(A5300,Portfolio!$G$3:$I$6,3)</f>
        <v>0.5</v>
      </c>
      <c r="E5300">
        <f t="shared" si="82"/>
        <v>36018.75</v>
      </c>
    </row>
    <row r="5301" spans="1:5" x14ac:dyDescent="0.25">
      <c r="A5301" t="s">
        <v>3</v>
      </c>
      <c r="B5301">
        <v>1210907</v>
      </c>
      <c r="C5301">
        <v>71562.5</v>
      </c>
      <c r="D5301" s="4">
        <f>+VLOOKUP(A5301,Portfolio!$G$3:$I$6,3)</f>
        <v>0.5</v>
      </c>
      <c r="E5301">
        <f t="shared" si="82"/>
        <v>35781.25</v>
      </c>
    </row>
    <row r="5302" spans="1:5" x14ac:dyDescent="0.25">
      <c r="A5302" t="s">
        <v>3</v>
      </c>
      <c r="B5302">
        <v>1210908</v>
      </c>
      <c r="C5302">
        <v>70325</v>
      </c>
      <c r="D5302" s="4">
        <f>+VLOOKUP(A5302,Portfolio!$G$3:$I$6,3)</f>
        <v>0.5</v>
      </c>
      <c r="E5302">
        <f t="shared" si="82"/>
        <v>35162.5</v>
      </c>
    </row>
    <row r="5303" spans="1:5" x14ac:dyDescent="0.25">
      <c r="A5303" t="s">
        <v>3</v>
      </c>
      <c r="B5303">
        <v>1210909</v>
      </c>
      <c r="C5303">
        <v>71512.5</v>
      </c>
      <c r="D5303" s="4">
        <f>+VLOOKUP(A5303,Portfolio!$G$3:$I$6,3)</f>
        <v>0.5</v>
      </c>
      <c r="E5303">
        <f t="shared" si="82"/>
        <v>35756.25</v>
      </c>
    </row>
    <row r="5304" spans="1:5" x14ac:dyDescent="0.25">
      <c r="A5304" t="s">
        <v>3</v>
      </c>
      <c r="B5304">
        <v>1210910</v>
      </c>
      <c r="C5304">
        <v>69150</v>
      </c>
      <c r="D5304" s="4">
        <f>+VLOOKUP(A5304,Portfolio!$G$3:$I$6,3)</f>
        <v>0.5</v>
      </c>
      <c r="E5304">
        <f t="shared" si="82"/>
        <v>34575</v>
      </c>
    </row>
    <row r="5305" spans="1:5" x14ac:dyDescent="0.25">
      <c r="A5305" t="s">
        <v>3</v>
      </c>
      <c r="B5305">
        <v>1210912</v>
      </c>
      <c r="C5305">
        <v>70125</v>
      </c>
      <c r="D5305" s="4">
        <f>+VLOOKUP(A5305,Portfolio!$G$3:$I$6,3)</f>
        <v>0.5</v>
      </c>
      <c r="E5305">
        <f t="shared" si="82"/>
        <v>35062.5</v>
      </c>
    </row>
    <row r="5306" spans="1:5" x14ac:dyDescent="0.25">
      <c r="A5306" t="s">
        <v>3</v>
      </c>
      <c r="B5306">
        <v>1210913</v>
      </c>
      <c r="C5306">
        <v>70437.5</v>
      </c>
      <c r="D5306" s="4">
        <f>+VLOOKUP(A5306,Portfolio!$G$3:$I$6,3)</f>
        <v>0.5</v>
      </c>
      <c r="E5306">
        <f t="shared" si="82"/>
        <v>35218.75</v>
      </c>
    </row>
    <row r="5307" spans="1:5" x14ac:dyDescent="0.25">
      <c r="A5307" t="s">
        <v>3</v>
      </c>
      <c r="B5307">
        <v>1210914</v>
      </c>
      <c r="C5307">
        <v>69737.5</v>
      </c>
      <c r="D5307" s="4">
        <f>+VLOOKUP(A5307,Portfolio!$G$3:$I$6,3)</f>
        <v>0.5</v>
      </c>
      <c r="E5307">
        <f t="shared" si="82"/>
        <v>34868.75</v>
      </c>
    </row>
    <row r="5308" spans="1:5" x14ac:dyDescent="0.25">
      <c r="A5308" t="s">
        <v>3</v>
      </c>
      <c r="B5308">
        <v>1210915</v>
      </c>
      <c r="C5308">
        <v>70912.5</v>
      </c>
      <c r="D5308" s="4">
        <f>+VLOOKUP(A5308,Portfolio!$G$3:$I$6,3)</f>
        <v>0.5</v>
      </c>
      <c r="E5308">
        <f t="shared" si="82"/>
        <v>35456.25</v>
      </c>
    </row>
    <row r="5309" spans="1:5" x14ac:dyDescent="0.25">
      <c r="A5309" t="s">
        <v>3</v>
      </c>
      <c r="B5309">
        <v>1210916</v>
      </c>
      <c r="C5309">
        <v>71725</v>
      </c>
      <c r="D5309" s="4">
        <f>+VLOOKUP(A5309,Portfolio!$G$3:$I$6,3)</f>
        <v>0.5</v>
      </c>
      <c r="E5309">
        <f t="shared" si="82"/>
        <v>35862.5</v>
      </c>
    </row>
    <row r="5310" spans="1:5" x14ac:dyDescent="0.25">
      <c r="A5310" t="s">
        <v>3</v>
      </c>
      <c r="B5310">
        <v>1210917</v>
      </c>
      <c r="C5310">
        <v>70000</v>
      </c>
      <c r="D5310" s="4">
        <f>+VLOOKUP(A5310,Portfolio!$G$3:$I$6,3)</f>
        <v>0.5</v>
      </c>
      <c r="E5310">
        <f t="shared" si="82"/>
        <v>35000</v>
      </c>
    </row>
    <row r="5311" spans="1:5" x14ac:dyDescent="0.25">
      <c r="A5311" t="s">
        <v>3</v>
      </c>
      <c r="B5311">
        <v>1210919</v>
      </c>
      <c r="C5311">
        <v>72737.5</v>
      </c>
      <c r="D5311" s="4">
        <f>+VLOOKUP(A5311,Portfolio!$G$3:$I$6,3)</f>
        <v>0.5</v>
      </c>
      <c r="E5311">
        <f t="shared" si="82"/>
        <v>36368.75</v>
      </c>
    </row>
    <row r="5312" spans="1:5" x14ac:dyDescent="0.25">
      <c r="A5312" t="s">
        <v>3</v>
      </c>
      <c r="B5312">
        <v>1210920</v>
      </c>
      <c r="C5312">
        <v>73975</v>
      </c>
      <c r="D5312" s="4">
        <f>+VLOOKUP(A5312,Portfolio!$G$3:$I$6,3)</f>
        <v>0.5</v>
      </c>
      <c r="E5312">
        <f t="shared" si="82"/>
        <v>36987.5</v>
      </c>
    </row>
    <row r="5313" spans="1:5" x14ac:dyDescent="0.25">
      <c r="A5313" t="s">
        <v>3</v>
      </c>
      <c r="B5313">
        <v>1210921</v>
      </c>
      <c r="C5313">
        <v>74775</v>
      </c>
      <c r="D5313" s="4">
        <f>+VLOOKUP(A5313,Portfolio!$G$3:$I$6,3)</f>
        <v>0.5</v>
      </c>
      <c r="E5313">
        <f t="shared" si="82"/>
        <v>37387.5</v>
      </c>
    </row>
    <row r="5314" spans="1:5" x14ac:dyDescent="0.25">
      <c r="A5314" t="s">
        <v>3</v>
      </c>
      <c r="B5314">
        <v>1210922</v>
      </c>
      <c r="C5314">
        <v>76287.5</v>
      </c>
      <c r="D5314" s="4">
        <f>+VLOOKUP(A5314,Portfolio!$G$3:$I$6,3)</f>
        <v>0.5</v>
      </c>
      <c r="E5314">
        <f t="shared" si="82"/>
        <v>38143.75</v>
      </c>
    </row>
    <row r="5315" spans="1:5" x14ac:dyDescent="0.25">
      <c r="A5315" t="s">
        <v>3</v>
      </c>
      <c r="B5315">
        <v>1210923</v>
      </c>
      <c r="C5315">
        <v>77337.5</v>
      </c>
      <c r="D5315" s="4">
        <f>+VLOOKUP(A5315,Portfolio!$G$3:$I$6,3)</f>
        <v>0.5</v>
      </c>
      <c r="E5315">
        <f t="shared" ref="E5315:E5378" si="83">+C5315*D5315</f>
        <v>38668.75</v>
      </c>
    </row>
    <row r="5316" spans="1:5" x14ac:dyDescent="0.25">
      <c r="A5316" t="s">
        <v>3</v>
      </c>
      <c r="B5316">
        <v>1210924</v>
      </c>
      <c r="C5316">
        <v>79500</v>
      </c>
      <c r="D5316" s="4">
        <f>+VLOOKUP(A5316,Portfolio!$G$3:$I$6,3)</f>
        <v>0.5</v>
      </c>
      <c r="E5316">
        <f t="shared" si="83"/>
        <v>39750</v>
      </c>
    </row>
    <row r="5317" spans="1:5" x14ac:dyDescent="0.25">
      <c r="A5317" t="s">
        <v>3</v>
      </c>
      <c r="B5317">
        <v>1210926</v>
      </c>
      <c r="C5317">
        <v>79625</v>
      </c>
      <c r="D5317" s="4">
        <f>+VLOOKUP(A5317,Portfolio!$G$3:$I$6,3)</f>
        <v>0.5</v>
      </c>
      <c r="E5317">
        <f t="shared" si="83"/>
        <v>39812.5</v>
      </c>
    </row>
    <row r="5318" spans="1:5" x14ac:dyDescent="0.25">
      <c r="A5318" t="s">
        <v>3</v>
      </c>
      <c r="B5318">
        <v>1210927</v>
      </c>
      <c r="C5318">
        <v>80125</v>
      </c>
      <c r="D5318" s="4">
        <f>+VLOOKUP(A5318,Portfolio!$G$3:$I$6,3)</f>
        <v>0.5</v>
      </c>
      <c r="E5318">
        <f t="shared" si="83"/>
        <v>40062.5</v>
      </c>
    </row>
    <row r="5319" spans="1:5" x14ac:dyDescent="0.25">
      <c r="A5319" t="s">
        <v>3</v>
      </c>
      <c r="B5319">
        <v>1210928</v>
      </c>
      <c r="C5319">
        <v>78700</v>
      </c>
      <c r="D5319" s="4">
        <f>+VLOOKUP(A5319,Portfolio!$G$3:$I$6,3)</f>
        <v>0.5</v>
      </c>
      <c r="E5319">
        <f t="shared" si="83"/>
        <v>39350</v>
      </c>
    </row>
    <row r="5320" spans="1:5" x14ac:dyDescent="0.25">
      <c r="A5320" t="s">
        <v>3</v>
      </c>
      <c r="B5320">
        <v>1210929</v>
      </c>
      <c r="C5320">
        <v>79050</v>
      </c>
      <c r="D5320" s="4">
        <f>+VLOOKUP(A5320,Portfolio!$G$3:$I$6,3)</f>
        <v>0.5</v>
      </c>
      <c r="E5320">
        <f t="shared" si="83"/>
        <v>39525</v>
      </c>
    </row>
    <row r="5321" spans="1:5" x14ac:dyDescent="0.25">
      <c r="A5321" t="s">
        <v>3</v>
      </c>
      <c r="B5321">
        <v>1210930</v>
      </c>
      <c r="C5321">
        <v>78037.5</v>
      </c>
      <c r="D5321" s="4">
        <f>+VLOOKUP(A5321,Portfolio!$G$3:$I$6,3)</f>
        <v>0.5</v>
      </c>
      <c r="E5321">
        <f t="shared" si="83"/>
        <v>39018.75</v>
      </c>
    </row>
    <row r="5322" spans="1:5" x14ac:dyDescent="0.25">
      <c r="A5322" t="s">
        <v>3</v>
      </c>
      <c r="B5322">
        <v>1211001</v>
      </c>
      <c r="C5322">
        <v>80325</v>
      </c>
      <c r="D5322" s="4">
        <f>+VLOOKUP(A5322,Portfolio!$G$3:$I$6,3)</f>
        <v>0.5</v>
      </c>
      <c r="E5322">
        <f t="shared" si="83"/>
        <v>40162.5</v>
      </c>
    </row>
    <row r="5323" spans="1:5" x14ac:dyDescent="0.25">
      <c r="A5323" t="s">
        <v>3</v>
      </c>
      <c r="B5323">
        <v>1211003</v>
      </c>
      <c r="C5323">
        <v>82300</v>
      </c>
      <c r="D5323" s="4">
        <f>+VLOOKUP(A5323,Portfolio!$G$3:$I$6,3)</f>
        <v>0.5</v>
      </c>
      <c r="E5323">
        <f t="shared" si="83"/>
        <v>41150</v>
      </c>
    </row>
    <row r="5324" spans="1:5" x14ac:dyDescent="0.25">
      <c r="A5324" t="s">
        <v>3</v>
      </c>
      <c r="B5324">
        <v>1211004</v>
      </c>
      <c r="C5324">
        <v>81362.5</v>
      </c>
      <c r="D5324" s="4">
        <f>+VLOOKUP(A5324,Portfolio!$G$3:$I$6,3)</f>
        <v>0.5</v>
      </c>
      <c r="E5324">
        <f t="shared" si="83"/>
        <v>40681.25</v>
      </c>
    </row>
    <row r="5325" spans="1:5" x14ac:dyDescent="0.25">
      <c r="A5325" t="s">
        <v>3</v>
      </c>
      <c r="B5325">
        <v>1211005</v>
      </c>
      <c r="C5325">
        <v>81000</v>
      </c>
      <c r="D5325" s="4">
        <f>+VLOOKUP(A5325,Portfolio!$G$3:$I$6,3)</f>
        <v>0.5</v>
      </c>
      <c r="E5325">
        <f t="shared" si="83"/>
        <v>40500</v>
      </c>
    </row>
    <row r="5326" spans="1:5" x14ac:dyDescent="0.25">
      <c r="A5326" t="s">
        <v>3</v>
      </c>
      <c r="B5326">
        <v>1211006</v>
      </c>
      <c r="C5326">
        <v>79275</v>
      </c>
      <c r="D5326" s="4">
        <f>+VLOOKUP(A5326,Portfolio!$G$3:$I$6,3)</f>
        <v>0.5</v>
      </c>
      <c r="E5326">
        <f t="shared" si="83"/>
        <v>39637.5</v>
      </c>
    </row>
    <row r="5327" spans="1:5" x14ac:dyDescent="0.25">
      <c r="A5327" t="s">
        <v>3</v>
      </c>
      <c r="B5327">
        <v>1211007</v>
      </c>
      <c r="C5327">
        <v>81887.5</v>
      </c>
      <c r="D5327" s="4">
        <f>+VLOOKUP(A5327,Portfolio!$G$3:$I$6,3)</f>
        <v>0.5</v>
      </c>
      <c r="E5327">
        <f t="shared" si="83"/>
        <v>40943.75</v>
      </c>
    </row>
    <row r="5328" spans="1:5" x14ac:dyDescent="0.25">
      <c r="A5328" t="s">
        <v>3</v>
      </c>
      <c r="B5328">
        <v>1211008</v>
      </c>
      <c r="C5328">
        <v>83050</v>
      </c>
      <c r="D5328" s="4">
        <f>+VLOOKUP(A5328,Portfolio!$G$3:$I$6,3)</f>
        <v>0.5</v>
      </c>
      <c r="E5328">
        <f t="shared" si="83"/>
        <v>41525</v>
      </c>
    </row>
    <row r="5329" spans="1:5" x14ac:dyDescent="0.25">
      <c r="A5329" t="s">
        <v>3</v>
      </c>
      <c r="B5329">
        <v>1211010</v>
      </c>
      <c r="C5329">
        <v>83712.5</v>
      </c>
      <c r="D5329" s="4">
        <f>+VLOOKUP(A5329,Portfolio!$G$3:$I$6,3)</f>
        <v>0.5</v>
      </c>
      <c r="E5329">
        <f t="shared" si="83"/>
        <v>41856.25</v>
      </c>
    </row>
    <row r="5330" spans="1:5" x14ac:dyDescent="0.25">
      <c r="A5330" t="s">
        <v>3</v>
      </c>
      <c r="B5330">
        <v>1211011</v>
      </c>
      <c r="C5330">
        <v>83350</v>
      </c>
      <c r="D5330" s="4">
        <f>+VLOOKUP(A5330,Portfolio!$G$3:$I$6,3)</f>
        <v>0.5</v>
      </c>
      <c r="E5330">
        <f t="shared" si="83"/>
        <v>41675</v>
      </c>
    </row>
    <row r="5331" spans="1:5" x14ac:dyDescent="0.25">
      <c r="A5331" t="s">
        <v>3</v>
      </c>
      <c r="B5331">
        <v>1211012</v>
      </c>
      <c r="C5331">
        <v>78950</v>
      </c>
      <c r="D5331" s="4">
        <f>+VLOOKUP(A5331,Portfolio!$G$3:$I$6,3)</f>
        <v>0.5</v>
      </c>
      <c r="E5331">
        <f t="shared" si="83"/>
        <v>39475</v>
      </c>
    </row>
    <row r="5332" spans="1:5" x14ac:dyDescent="0.25">
      <c r="A5332" t="s">
        <v>3</v>
      </c>
      <c r="B5332">
        <v>1211013</v>
      </c>
      <c r="C5332">
        <v>78850</v>
      </c>
      <c r="D5332" s="4">
        <f>+VLOOKUP(A5332,Portfolio!$G$3:$I$6,3)</f>
        <v>0.5</v>
      </c>
      <c r="E5332">
        <f t="shared" si="83"/>
        <v>39425</v>
      </c>
    </row>
    <row r="5333" spans="1:5" x14ac:dyDescent="0.25">
      <c r="A5333" t="s">
        <v>3</v>
      </c>
      <c r="B5333">
        <v>1211014</v>
      </c>
      <c r="C5333">
        <v>77000</v>
      </c>
      <c r="D5333" s="4">
        <f>+VLOOKUP(A5333,Portfolio!$G$3:$I$6,3)</f>
        <v>0.5</v>
      </c>
      <c r="E5333">
        <f t="shared" si="83"/>
        <v>38500</v>
      </c>
    </row>
    <row r="5334" spans="1:5" x14ac:dyDescent="0.25">
      <c r="A5334" t="s">
        <v>3</v>
      </c>
      <c r="B5334">
        <v>1211015</v>
      </c>
      <c r="C5334">
        <v>79975</v>
      </c>
      <c r="D5334" s="4">
        <f>+VLOOKUP(A5334,Portfolio!$G$3:$I$6,3)</f>
        <v>0.5</v>
      </c>
      <c r="E5334">
        <f t="shared" si="83"/>
        <v>39987.5</v>
      </c>
    </row>
    <row r="5335" spans="1:5" x14ac:dyDescent="0.25">
      <c r="A5335" t="s">
        <v>3</v>
      </c>
      <c r="B5335">
        <v>1211017</v>
      </c>
      <c r="C5335">
        <v>80062.5</v>
      </c>
      <c r="D5335" s="4">
        <f>+VLOOKUP(A5335,Portfolio!$G$3:$I$6,3)</f>
        <v>0.5</v>
      </c>
      <c r="E5335">
        <f t="shared" si="83"/>
        <v>40031.25</v>
      </c>
    </row>
    <row r="5336" spans="1:5" x14ac:dyDescent="0.25">
      <c r="A5336" t="s">
        <v>3</v>
      </c>
      <c r="B5336">
        <v>1211018</v>
      </c>
      <c r="C5336">
        <v>79937.5</v>
      </c>
      <c r="D5336" s="4">
        <f>+VLOOKUP(A5336,Portfolio!$G$3:$I$6,3)</f>
        <v>0.5</v>
      </c>
      <c r="E5336">
        <f t="shared" si="83"/>
        <v>39968.75</v>
      </c>
    </row>
    <row r="5337" spans="1:5" x14ac:dyDescent="0.25">
      <c r="A5337" t="s">
        <v>3</v>
      </c>
      <c r="B5337">
        <v>1211019</v>
      </c>
      <c r="C5337">
        <v>81000</v>
      </c>
      <c r="D5337" s="4">
        <f>+VLOOKUP(A5337,Portfolio!$G$3:$I$6,3)</f>
        <v>0.5</v>
      </c>
      <c r="E5337">
        <f t="shared" si="83"/>
        <v>40500</v>
      </c>
    </row>
    <row r="5338" spans="1:5" x14ac:dyDescent="0.25">
      <c r="A5338" t="s">
        <v>3</v>
      </c>
      <c r="B5338">
        <v>1211020</v>
      </c>
      <c r="C5338">
        <v>82575</v>
      </c>
      <c r="D5338" s="4">
        <f>+VLOOKUP(A5338,Portfolio!$G$3:$I$6,3)</f>
        <v>0.5</v>
      </c>
      <c r="E5338">
        <f t="shared" si="83"/>
        <v>41287.5</v>
      </c>
    </row>
    <row r="5339" spans="1:5" x14ac:dyDescent="0.25">
      <c r="A5339" t="s">
        <v>3</v>
      </c>
      <c r="B5339">
        <v>1211021</v>
      </c>
      <c r="C5339">
        <v>83575</v>
      </c>
      <c r="D5339" s="4">
        <f>+VLOOKUP(A5339,Portfolio!$G$3:$I$6,3)</f>
        <v>0.5</v>
      </c>
      <c r="E5339">
        <f t="shared" si="83"/>
        <v>41787.5</v>
      </c>
    </row>
    <row r="5340" spans="1:5" x14ac:dyDescent="0.25">
      <c r="A5340" t="s">
        <v>3</v>
      </c>
      <c r="B5340">
        <v>1211022</v>
      </c>
      <c r="C5340">
        <v>84025</v>
      </c>
      <c r="D5340" s="4">
        <f>+VLOOKUP(A5340,Portfolio!$G$3:$I$6,3)</f>
        <v>0.5</v>
      </c>
      <c r="E5340">
        <f t="shared" si="83"/>
        <v>42012.5</v>
      </c>
    </row>
    <row r="5341" spans="1:5" x14ac:dyDescent="0.25">
      <c r="A5341" t="s">
        <v>3</v>
      </c>
      <c r="B5341">
        <v>1211024</v>
      </c>
      <c r="C5341">
        <v>83987.5</v>
      </c>
      <c r="D5341" s="4">
        <f>+VLOOKUP(A5341,Portfolio!$G$3:$I$6,3)</f>
        <v>0.5</v>
      </c>
      <c r="E5341">
        <f t="shared" si="83"/>
        <v>41993.75</v>
      </c>
    </row>
    <row r="5342" spans="1:5" x14ac:dyDescent="0.25">
      <c r="A5342" t="s">
        <v>3</v>
      </c>
      <c r="B5342">
        <v>1211025</v>
      </c>
      <c r="C5342">
        <v>83387.5</v>
      </c>
      <c r="D5342" s="4">
        <f>+VLOOKUP(A5342,Portfolio!$G$3:$I$6,3)</f>
        <v>0.5</v>
      </c>
      <c r="E5342">
        <f t="shared" si="83"/>
        <v>41693.75</v>
      </c>
    </row>
    <row r="5343" spans="1:5" x14ac:dyDescent="0.25">
      <c r="A5343" t="s">
        <v>3</v>
      </c>
      <c r="B5343">
        <v>1211026</v>
      </c>
      <c r="C5343">
        <v>84062.5</v>
      </c>
      <c r="D5343" s="4">
        <f>+VLOOKUP(A5343,Portfolio!$G$3:$I$6,3)</f>
        <v>0.5</v>
      </c>
      <c r="E5343">
        <f t="shared" si="83"/>
        <v>42031.25</v>
      </c>
    </row>
    <row r="5344" spans="1:5" x14ac:dyDescent="0.25">
      <c r="A5344" t="s">
        <v>3</v>
      </c>
      <c r="B5344">
        <v>1211027</v>
      </c>
      <c r="C5344">
        <v>83775</v>
      </c>
      <c r="D5344" s="4">
        <f>+VLOOKUP(A5344,Portfolio!$G$3:$I$6,3)</f>
        <v>0.5</v>
      </c>
      <c r="E5344">
        <f t="shared" si="83"/>
        <v>41887.5</v>
      </c>
    </row>
    <row r="5345" spans="1:5" x14ac:dyDescent="0.25">
      <c r="A5345" t="s">
        <v>3</v>
      </c>
      <c r="B5345">
        <v>1211028</v>
      </c>
      <c r="C5345">
        <v>82150</v>
      </c>
      <c r="D5345" s="4">
        <f>+VLOOKUP(A5345,Portfolio!$G$3:$I$6,3)</f>
        <v>0.5</v>
      </c>
      <c r="E5345">
        <f t="shared" si="83"/>
        <v>41075</v>
      </c>
    </row>
    <row r="5346" spans="1:5" x14ac:dyDescent="0.25">
      <c r="A5346" t="s">
        <v>3</v>
      </c>
      <c r="B5346">
        <v>1211029</v>
      </c>
      <c r="C5346">
        <v>83012.5</v>
      </c>
      <c r="D5346" s="4">
        <f>+VLOOKUP(A5346,Portfolio!$G$3:$I$6,3)</f>
        <v>0.5</v>
      </c>
      <c r="E5346">
        <f t="shared" si="83"/>
        <v>41506.25</v>
      </c>
    </row>
    <row r="5347" spans="1:5" x14ac:dyDescent="0.25">
      <c r="A5347" t="s">
        <v>3</v>
      </c>
      <c r="B5347">
        <v>1211031</v>
      </c>
      <c r="C5347">
        <v>84887.5</v>
      </c>
      <c r="D5347" s="4">
        <f>+VLOOKUP(A5347,Portfolio!$G$3:$I$6,3)</f>
        <v>0.5</v>
      </c>
      <c r="E5347">
        <f t="shared" si="83"/>
        <v>42443.75</v>
      </c>
    </row>
    <row r="5348" spans="1:5" x14ac:dyDescent="0.25">
      <c r="A5348" t="s">
        <v>3</v>
      </c>
      <c r="B5348">
        <v>1211101</v>
      </c>
      <c r="C5348">
        <v>84825</v>
      </c>
      <c r="D5348" s="4">
        <f>+VLOOKUP(A5348,Portfolio!$G$3:$I$6,3)</f>
        <v>0.5</v>
      </c>
      <c r="E5348">
        <f t="shared" si="83"/>
        <v>42412.5</v>
      </c>
    </row>
    <row r="5349" spans="1:5" x14ac:dyDescent="0.25">
      <c r="A5349" t="s">
        <v>3</v>
      </c>
      <c r="B5349">
        <v>1211102</v>
      </c>
      <c r="C5349">
        <v>84350</v>
      </c>
      <c r="D5349" s="4">
        <f>+VLOOKUP(A5349,Portfolio!$G$3:$I$6,3)</f>
        <v>0.5</v>
      </c>
      <c r="E5349">
        <f t="shared" si="83"/>
        <v>42175</v>
      </c>
    </row>
    <row r="5350" spans="1:5" x14ac:dyDescent="0.25">
      <c r="A5350" t="s">
        <v>3</v>
      </c>
      <c r="B5350">
        <v>1211103</v>
      </c>
      <c r="C5350">
        <v>83350</v>
      </c>
      <c r="D5350" s="4">
        <f>+VLOOKUP(A5350,Portfolio!$G$3:$I$6,3)</f>
        <v>0.5</v>
      </c>
      <c r="E5350">
        <f t="shared" si="83"/>
        <v>41675</v>
      </c>
    </row>
    <row r="5351" spans="1:5" x14ac:dyDescent="0.25">
      <c r="A5351" t="s">
        <v>3</v>
      </c>
      <c r="B5351">
        <v>1211104</v>
      </c>
      <c r="C5351">
        <v>83937.5</v>
      </c>
      <c r="D5351" s="4">
        <f>+VLOOKUP(A5351,Portfolio!$G$3:$I$6,3)</f>
        <v>0.5</v>
      </c>
      <c r="E5351">
        <f t="shared" si="83"/>
        <v>41968.75</v>
      </c>
    </row>
    <row r="5352" spans="1:5" x14ac:dyDescent="0.25">
      <c r="A5352" t="s">
        <v>3</v>
      </c>
      <c r="B5352">
        <v>1211105</v>
      </c>
      <c r="C5352">
        <v>84975</v>
      </c>
      <c r="D5352" s="4">
        <f>+VLOOKUP(A5352,Portfolio!$G$3:$I$6,3)</f>
        <v>0.5</v>
      </c>
      <c r="E5352">
        <f t="shared" si="83"/>
        <v>42487.5</v>
      </c>
    </row>
    <row r="5353" spans="1:5" x14ac:dyDescent="0.25">
      <c r="A5353" t="s">
        <v>3</v>
      </c>
      <c r="B5353">
        <v>1211107</v>
      </c>
      <c r="C5353">
        <v>83737.5</v>
      </c>
      <c r="D5353" s="4">
        <f>+VLOOKUP(A5353,Portfolio!$G$3:$I$6,3)</f>
        <v>0.5</v>
      </c>
      <c r="E5353">
        <f t="shared" si="83"/>
        <v>41868.75</v>
      </c>
    </row>
    <row r="5354" spans="1:5" x14ac:dyDescent="0.25">
      <c r="A5354" t="s">
        <v>3</v>
      </c>
      <c r="B5354">
        <v>1211108</v>
      </c>
      <c r="C5354">
        <v>83700</v>
      </c>
      <c r="D5354" s="4">
        <f>+VLOOKUP(A5354,Portfolio!$G$3:$I$6,3)</f>
        <v>0.5</v>
      </c>
      <c r="E5354">
        <f t="shared" si="83"/>
        <v>41850</v>
      </c>
    </row>
    <row r="5355" spans="1:5" x14ac:dyDescent="0.25">
      <c r="A5355" t="s">
        <v>3</v>
      </c>
      <c r="B5355">
        <v>1211109</v>
      </c>
      <c r="C5355">
        <v>84087.5</v>
      </c>
      <c r="D5355" s="4">
        <f>+VLOOKUP(A5355,Portfolio!$G$3:$I$6,3)</f>
        <v>0.5</v>
      </c>
      <c r="E5355">
        <f t="shared" si="83"/>
        <v>42043.75</v>
      </c>
    </row>
    <row r="5356" spans="1:5" x14ac:dyDescent="0.25">
      <c r="A5356" t="s">
        <v>3</v>
      </c>
      <c r="B5356">
        <v>1211110</v>
      </c>
      <c r="C5356">
        <v>84362.5</v>
      </c>
      <c r="D5356" s="4">
        <f>+VLOOKUP(A5356,Portfolio!$G$3:$I$6,3)</f>
        <v>0.5</v>
      </c>
      <c r="E5356">
        <f t="shared" si="83"/>
        <v>42181.25</v>
      </c>
    </row>
    <row r="5357" spans="1:5" x14ac:dyDescent="0.25">
      <c r="A5357" t="s">
        <v>3</v>
      </c>
      <c r="B5357">
        <v>1211111</v>
      </c>
      <c r="C5357">
        <v>84425</v>
      </c>
      <c r="D5357" s="4">
        <f>+VLOOKUP(A5357,Portfolio!$G$3:$I$6,3)</f>
        <v>0.5</v>
      </c>
      <c r="E5357">
        <f t="shared" si="83"/>
        <v>42212.5</v>
      </c>
    </row>
    <row r="5358" spans="1:5" x14ac:dyDescent="0.25">
      <c r="A5358" t="s">
        <v>3</v>
      </c>
      <c r="B5358">
        <v>1211112</v>
      </c>
      <c r="C5358">
        <v>84400</v>
      </c>
      <c r="D5358" s="4">
        <f>+VLOOKUP(A5358,Portfolio!$G$3:$I$6,3)</f>
        <v>0.5</v>
      </c>
      <c r="E5358">
        <f t="shared" si="83"/>
        <v>42200</v>
      </c>
    </row>
    <row r="5359" spans="1:5" x14ac:dyDescent="0.25">
      <c r="A5359" t="s">
        <v>3</v>
      </c>
      <c r="B5359">
        <v>1211114</v>
      </c>
      <c r="C5359">
        <v>85700</v>
      </c>
      <c r="D5359" s="4">
        <f>+VLOOKUP(A5359,Portfolio!$G$3:$I$6,3)</f>
        <v>0.5</v>
      </c>
      <c r="E5359">
        <f t="shared" si="83"/>
        <v>42850</v>
      </c>
    </row>
    <row r="5360" spans="1:5" x14ac:dyDescent="0.25">
      <c r="A5360" t="s">
        <v>3</v>
      </c>
      <c r="B5360">
        <v>1211115</v>
      </c>
      <c r="C5360">
        <v>85525</v>
      </c>
      <c r="D5360" s="4">
        <f>+VLOOKUP(A5360,Portfolio!$G$3:$I$6,3)</f>
        <v>0.5</v>
      </c>
      <c r="E5360">
        <f t="shared" si="83"/>
        <v>42762.5</v>
      </c>
    </row>
    <row r="5361" spans="1:5" x14ac:dyDescent="0.25">
      <c r="A5361" t="s">
        <v>3</v>
      </c>
      <c r="B5361">
        <v>1211116</v>
      </c>
      <c r="C5361">
        <v>85337.5</v>
      </c>
      <c r="D5361" s="4">
        <f>+VLOOKUP(A5361,Portfolio!$G$3:$I$6,3)</f>
        <v>0.5</v>
      </c>
      <c r="E5361">
        <f t="shared" si="83"/>
        <v>42668.75</v>
      </c>
    </row>
    <row r="5362" spans="1:5" x14ac:dyDescent="0.25">
      <c r="A5362" t="s">
        <v>3</v>
      </c>
      <c r="B5362">
        <v>1211117</v>
      </c>
      <c r="C5362">
        <v>84375</v>
      </c>
      <c r="D5362" s="4">
        <f>+VLOOKUP(A5362,Portfolio!$G$3:$I$6,3)</f>
        <v>0.5</v>
      </c>
      <c r="E5362">
        <f t="shared" si="83"/>
        <v>42187.5</v>
      </c>
    </row>
    <row r="5363" spans="1:5" x14ac:dyDescent="0.25">
      <c r="A5363" t="s">
        <v>3</v>
      </c>
      <c r="B5363">
        <v>1211118</v>
      </c>
      <c r="C5363">
        <v>84475</v>
      </c>
      <c r="D5363" s="4">
        <f>+VLOOKUP(A5363,Portfolio!$G$3:$I$6,3)</f>
        <v>0.5</v>
      </c>
      <c r="E5363">
        <f t="shared" si="83"/>
        <v>42237.5</v>
      </c>
    </row>
    <row r="5364" spans="1:5" x14ac:dyDescent="0.25">
      <c r="A5364" t="s">
        <v>3</v>
      </c>
      <c r="B5364">
        <v>1211119</v>
      </c>
      <c r="C5364">
        <v>84337.5</v>
      </c>
      <c r="D5364" s="4">
        <f>+VLOOKUP(A5364,Portfolio!$G$3:$I$6,3)</f>
        <v>0.5</v>
      </c>
      <c r="E5364">
        <f t="shared" si="83"/>
        <v>42168.75</v>
      </c>
    </row>
    <row r="5365" spans="1:5" x14ac:dyDescent="0.25">
      <c r="A5365" t="s">
        <v>3</v>
      </c>
      <c r="B5365">
        <v>1211121</v>
      </c>
      <c r="C5365">
        <v>83450</v>
      </c>
      <c r="D5365" s="4">
        <f>+VLOOKUP(A5365,Portfolio!$G$3:$I$6,3)</f>
        <v>0.5</v>
      </c>
      <c r="E5365">
        <f t="shared" si="83"/>
        <v>41725</v>
      </c>
    </row>
    <row r="5366" spans="1:5" x14ac:dyDescent="0.25">
      <c r="A5366" t="s">
        <v>3</v>
      </c>
      <c r="B5366">
        <v>1211122</v>
      </c>
      <c r="C5366">
        <v>83450</v>
      </c>
      <c r="D5366" s="4">
        <f>+VLOOKUP(A5366,Portfolio!$G$3:$I$6,3)</f>
        <v>0.5</v>
      </c>
      <c r="E5366">
        <f t="shared" si="83"/>
        <v>41725</v>
      </c>
    </row>
    <row r="5367" spans="1:5" x14ac:dyDescent="0.25">
      <c r="A5367" t="s">
        <v>3</v>
      </c>
      <c r="B5367">
        <v>1211123</v>
      </c>
      <c r="C5367">
        <v>83387.5</v>
      </c>
      <c r="D5367" s="4">
        <f>+VLOOKUP(A5367,Portfolio!$G$3:$I$6,3)</f>
        <v>0.5</v>
      </c>
      <c r="E5367">
        <f t="shared" si="83"/>
        <v>41693.75</v>
      </c>
    </row>
    <row r="5368" spans="1:5" x14ac:dyDescent="0.25">
      <c r="A5368" t="s">
        <v>3</v>
      </c>
      <c r="B5368">
        <v>1211124</v>
      </c>
      <c r="C5368">
        <v>82400</v>
      </c>
      <c r="D5368" s="4">
        <f>+VLOOKUP(A5368,Portfolio!$G$3:$I$6,3)</f>
        <v>0.5</v>
      </c>
      <c r="E5368">
        <f t="shared" si="83"/>
        <v>41200</v>
      </c>
    </row>
    <row r="5369" spans="1:5" x14ac:dyDescent="0.25">
      <c r="A5369" t="s">
        <v>3</v>
      </c>
      <c r="B5369">
        <v>1211125</v>
      </c>
      <c r="C5369">
        <v>83350</v>
      </c>
      <c r="D5369" s="4">
        <f>+VLOOKUP(A5369,Portfolio!$G$3:$I$6,3)</f>
        <v>0.5</v>
      </c>
      <c r="E5369">
        <f t="shared" si="83"/>
        <v>41675</v>
      </c>
    </row>
    <row r="5370" spans="1:5" x14ac:dyDescent="0.25">
      <c r="A5370" t="s">
        <v>3</v>
      </c>
      <c r="B5370">
        <v>1211126</v>
      </c>
      <c r="C5370">
        <v>84962.5</v>
      </c>
      <c r="D5370" s="4">
        <f>+VLOOKUP(A5370,Portfolio!$G$3:$I$6,3)</f>
        <v>0.5</v>
      </c>
      <c r="E5370">
        <f t="shared" si="83"/>
        <v>42481.25</v>
      </c>
    </row>
    <row r="5371" spans="1:5" x14ac:dyDescent="0.25">
      <c r="A5371" t="s">
        <v>3</v>
      </c>
      <c r="B5371">
        <v>1211128</v>
      </c>
      <c r="C5371">
        <v>86400</v>
      </c>
      <c r="D5371" s="4">
        <f>+VLOOKUP(A5371,Portfolio!$G$3:$I$6,3)</f>
        <v>0.5</v>
      </c>
      <c r="E5371">
        <f t="shared" si="83"/>
        <v>43200</v>
      </c>
    </row>
    <row r="5372" spans="1:5" x14ac:dyDescent="0.25">
      <c r="A5372" t="s">
        <v>3</v>
      </c>
      <c r="B5372">
        <v>1211129</v>
      </c>
      <c r="C5372">
        <v>85787.5</v>
      </c>
      <c r="D5372" s="4">
        <f>+VLOOKUP(A5372,Portfolio!$G$3:$I$6,3)</f>
        <v>0.5</v>
      </c>
      <c r="E5372">
        <f t="shared" si="83"/>
        <v>42893.75</v>
      </c>
    </row>
    <row r="5373" spans="1:5" x14ac:dyDescent="0.25">
      <c r="A5373" t="s">
        <v>3</v>
      </c>
      <c r="B5373">
        <v>1211130</v>
      </c>
      <c r="C5373">
        <v>83725</v>
      </c>
      <c r="D5373" s="4">
        <f>+VLOOKUP(A5373,Portfolio!$G$3:$I$6,3)</f>
        <v>0.5</v>
      </c>
      <c r="E5373">
        <f t="shared" si="83"/>
        <v>41862.5</v>
      </c>
    </row>
    <row r="5374" spans="1:5" x14ac:dyDescent="0.25">
      <c r="A5374" t="s">
        <v>3</v>
      </c>
      <c r="B5374">
        <v>1211201</v>
      </c>
      <c r="C5374">
        <v>81300</v>
      </c>
      <c r="D5374" s="4">
        <f>+VLOOKUP(A5374,Portfolio!$G$3:$I$6,3)</f>
        <v>0.5</v>
      </c>
      <c r="E5374">
        <f t="shared" si="83"/>
        <v>40650</v>
      </c>
    </row>
    <row r="5375" spans="1:5" x14ac:dyDescent="0.25">
      <c r="A5375" t="s">
        <v>3</v>
      </c>
      <c r="B5375">
        <v>1211202</v>
      </c>
      <c r="C5375">
        <v>80887.5</v>
      </c>
      <c r="D5375" s="4">
        <f>+VLOOKUP(A5375,Portfolio!$G$3:$I$6,3)</f>
        <v>0.5</v>
      </c>
      <c r="E5375">
        <f t="shared" si="83"/>
        <v>40443.75</v>
      </c>
    </row>
    <row r="5376" spans="1:5" x14ac:dyDescent="0.25">
      <c r="A5376" t="s">
        <v>3</v>
      </c>
      <c r="B5376">
        <v>1211203</v>
      </c>
      <c r="C5376">
        <v>80462.5</v>
      </c>
      <c r="D5376" s="4">
        <f>+VLOOKUP(A5376,Portfolio!$G$3:$I$6,3)</f>
        <v>0.5</v>
      </c>
      <c r="E5376">
        <f t="shared" si="83"/>
        <v>40231.25</v>
      </c>
    </row>
    <row r="5377" spans="1:5" x14ac:dyDescent="0.25">
      <c r="A5377" t="s">
        <v>3</v>
      </c>
      <c r="B5377">
        <v>1211205</v>
      </c>
      <c r="C5377">
        <v>79137.5</v>
      </c>
      <c r="D5377" s="4">
        <f>+VLOOKUP(A5377,Portfolio!$G$3:$I$6,3)</f>
        <v>0.5</v>
      </c>
      <c r="E5377">
        <f t="shared" si="83"/>
        <v>39568.75</v>
      </c>
    </row>
    <row r="5378" spans="1:5" x14ac:dyDescent="0.25">
      <c r="A5378" t="s">
        <v>3</v>
      </c>
      <c r="B5378">
        <v>1211206</v>
      </c>
      <c r="C5378">
        <v>78825</v>
      </c>
      <c r="D5378" s="4">
        <f>+VLOOKUP(A5378,Portfolio!$G$3:$I$6,3)</f>
        <v>0.5</v>
      </c>
      <c r="E5378">
        <f t="shared" si="83"/>
        <v>39412.5</v>
      </c>
    </row>
    <row r="5379" spans="1:5" x14ac:dyDescent="0.25">
      <c r="A5379" t="s">
        <v>3</v>
      </c>
      <c r="B5379">
        <v>1211207</v>
      </c>
      <c r="C5379">
        <v>80762.5</v>
      </c>
      <c r="D5379" s="4">
        <f>+VLOOKUP(A5379,Portfolio!$G$3:$I$6,3)</f>
        <v>0.5</v>
      </c>
      <c r="E5379">
        <f t="shared" ref="E5379:E5442" si="84">+C5379*D5379</f>
        <v>40381.25</v>
      </c>
    </row>
    <row r="5380" spans="1:5" x14ac:dyDescent="0.25">
      <c r="A5380" t="s">
        <v>3</v>
      </c>
      <c r="B5380">
        <v>1211208</v>
      </c>
      <c r="C5380">
        <v>84975</v>
      </c>
      <c r="D5380" s="4">
        <f>+VLOOKUP(A5380,Portfolio!$G$3:$I$6,3)</f>
        <v>0.5</v>
      </c>
      <c r="E5380">
        <f t="shared" si="84"/>
        <v>42487.5</v>
      </c>
    </row>
    <row r="5381" spans="1:5" x14ac:dyDescent="0.25">
      <c r="A5381" t="s">
        <v>3</v>
      </c>
      <c r="B5381">
        <v>1211209</v>
      </c>
      <c r="C5381">
        <v>83162.5</v>
      </c>
      <c r="D5381" s="4">
        <f>+VLOOKUP(A5381,Portfolio!$G$3:$I$6,3)</f>
        <v>0.5</v>
      </c>
      <c r="E5381">
        <f t="shared" si="84"/>
        <v>41581.25</v>
      </c>
    </row>
    <row r="5382" spans="1:5" x14ac:dyDescent="0.25">
      <c r="A5382" t="s">
        <v>3</v>
      </c>
      <c r="B5382">
        <v>1211210</v>
      </c>
      <c r="C5382">
        <v>84187.5</v>
      </c>
      <c r="D5382" s="4">
        <f>+VLOOKUP(A5382,Portfolio!$G$3:$I$6,3)</f>
        <v>0.5</v>
      </c>
      <c r="E5382">
        <f t="shared" si="84"/>
        <v>42093.75</v>
      </c>
    </row>
    <row r="5383" spans="1:5" x14ac:dyDescent="0.25">
      <c r="A5383" t="s">
        <v>3</v>
      </c>
      <c r="B5383">
        <v>1211212</v>
      </c>
      <c r="C5383">
        <v>81950</v>
      </c>
      <c r="D5383" s="4">
        <f>+VLOOKUP(A5383,Portfolio!$G$3:$I$6,3)</f>
        <v>0.5</v>
      </c>
      <c r="E5383">
        <f t="shared" si="84"/>
        <v>40975</v>
      </c>
    </row>
    <row r="5384" spans="1:5" x14ac:dyDescent="0.25">
      <c r="A5384" t="s">
        <v>3</v>
      </c>
      <c r="B5384">
        <v>1211213</v>
      </c>
      <c r="C5384">
        <v>81950</v>
      </c>
      <c r="D5384" s="4">
        <f>+VLOOKUP(A5384,Portfolio!$G$3:$I$6,3)</f>
        <v>0.5</v>
      </c>
      <c r="E5384">
        <f t="shared" si="84"/>
        <v>40975</v>
      </c>
    </row>
    <row r="5385" spans="1:5" x14ac:dyDescent="0.25">
      <c r="A5385" t="s">
        <v>3</v>
      </c>
      <c r="B5385">
        <v>1211214</v>
      </c>
      <c r="C5385">
        <v>82662.5</v>
      </c>
      <c r="D5385" s="4">
        <f>+VLOOKUP(A5385,Portfolio!$G$3:$I$6,3)</f>
        <v>0.5</v>
      </c>
      <c r="E5385">
        <f t="shared" si="84"/>
        <v>41331.25</v>
      </c>
    </row>
    <row r="5386" spans="1:5" x14ac:dyDescent="0.25">
      <c r="A5386" t="s">
        <v>3</v>
      </c>
      <c r="B5386">
        <v>1211215</v>
      </c>
      <c r="C5386">
        <v>84212.5</v>
      </c>
      <c r="D5386" s="4">
        <f>+VLOOKUP(A5386,Portfolio!$G$3:$I$6,3)</f>
        <v>0.5</v>
      </c>
      <c r="E5386">
        <f t="shared" si="84"/>
        <v>42106.25</v>
      </c>
    </row>
    <row r="5387" spans="1:5" x14ac:dyDescent="0.25">
      <c r="A5387" t="s">
        <v>3</v>
      </c>
      <c r="B5387">
        <v>1211216</v>
      </c>
      <c r="C5387">
        <v>87262.5</v>
      </c>
      <c r="D5387" s="4">
        <f>+VLOOKUP(A5387,Portfolio!$G$3:$I$6,3)</f>
        <v>0.5</v>
      </c>
      <c r="E5387">
        <f t="shared" si="84"/>
        <v>43631.25</v>
      </c>
    </row>
    <row r="5388" spans="1:5" x14ac:dyDescent="0.25">
      <c r="A5388" t="s">
        <v>3</v>
      </c>
      <c r="B5388">
        <v>1211217</v>
      </c>
      <c r="C5388">
        <v>89137.5</v>
      </c>
      <c r="D5388" s="4">
        <f>+VLOOKUP(A5388,Portfolio!$G$3:$I$6,3)</f>
        <v>0.5</v>
      </c>
      <c r="E5388">
        <f t="shared" si="84"/>
        <v>44568.75</v>
      </c>
    </row>
    <row r="5389" spans="1:5" x14ac:dyDescent="0.25">
      <c r="A5389" t="s">
        <v>3</v>
      </c>
      <c r="B5389">
        <v>1211219</v>
      </c>
      <c r="C5389">
        <v>90612.5</v>
      </c>
      <c r="D5389" s="4">
        <f>+VLOOKUP(A5389,Portfolio!$G$3:$I$6,3)</f>
        <v>0.5</v>
      </c>
      <c r="E5389">
        <f t="shared" si="84"/>
        <v>45306.25</v>
      </c>
    </row>
    <row r="5390" spans="1:5" x14ac:dyDescent="0.25">
      <c r="A5390" t="s">
        <v>3</v>
      </c>
      <c r="B5390">
        <v>1211220</v>
      </c>
      <c r="C5390">
        <v>90612.5</v>
      </c>
      <c r="D5390" s="4">
        <f>+VLOOKUP(A5390,Portfolio!$G$3:$I$6,3)</f>
        <v>0.5</v>
      </c>
      <c r="E5390">
        <f t="shared" si="84"/>
        <v>45306.25</v>
      </c>
    </row>
    <row r="5391" spans="1:5" x14ac:dyDescent="0.25">
      <c r="A5391" t="s">
        <v>3</v>
      </c>
      <c r="B5391">
        <v>1211221</v>
      </c>
      <c r="C5391">
        <v>87162.5</v>
      </c>
      <c r="D5391" s="4">
        <f>+VLOOKUP(A5391,Portfolio!$G$3:$I$6,3)</f>
        <v>0.5</v>
      </c>
      <c r="E5391">
        <f t="shared" si="84"/>
        <v>43581.25</v>
      </c>
    </row>
    <row r="5392" spans="1:5" x14ac:dyDescent="0.25">
      <c r="A5392" t="s">
        <v>3</v>
      </c>
      <c r="B5392">
        <v>1211222</v>
      </c>
      <c r="C5392">
        <v>88112.5</v>
      </c>
      <c r="D5392" s="4">
        <f>+VLOOKUP(A5392,Portfolio!$G$3:$I$6,3)</f>
        <v>0.5</v>
      </c>
      <c r="E5392">
        <f t="shared" si="84"/>
        <v>44056.25</v>
      </c>
    </row>
    <row r="5393" spans="1:5" x14ac:dyDescent="0.25">
      <c r="A5393" t="s">
        <v>3</v>
      </c>
      <c r="B5393">
        <v>1211223</v>
      </c>
      <c r="C5393">
        <v>90775</v>
      </c>
      <c r="D5393" s="4">
        <f>+VLOOKUP(A5393,Portfolio!$G$3:$I$6,3)</f>
        <v>0.5</v>
      </c>
      <c r="E5393">
        <f t="shared" si="84"/>
        <v>45387.5</v>
      </c>
    </row>
    <row r="5394" spans="1:5" x14ac:dyDescent="0.25">
      <c r="A5394" t="s">
        <v>3</v>
      </c>
      <c r="B5394">
        <v>1211226</v>
      </c>
      <c r="C5394">
        <v>92650</v>
      </c>
      <c r="D5394" s="4">
        <f>+VLOOKUP(A5394,Portfolio!$G$3:$I$6,3)</f>
        <v>0.5</v>
      </c>
      <c r="E5394">
        <f t="shared" si="84"/>
        <v>46325</v>
      </c>
    </row>
    <row r="5395" spans="1:5" x14ac:dyDescent="0.25">
      <c r="A5395" t="s">
        <v>3</v>
      </c>
      <c r="B5395">
        <v>1211227</v>
      </c>
      <c r="C5395">
        <v>92650</v>
      </c>
      <c r="D5395" s="4">
        <f>+VLOOKUP(A5395,Portfolio!$G$3:$I$6,3)</f>
        <v>0.5</v>
      </c>
      <c r="E5395">
        <f t="shared" si="84"/>
        <v>46325</v>
      </c>
    </row>
    <row r="5396" spans="1:5" x14ac:dyDescent="0.25">
      <c r="A5396" t="s">
        <v>3</v>
      </c>
      <c r="B5396">
        <v>1211228</v>
      </c>
      <c r="C5396">
        <v>94375</v>
      </c>
      <c r="D5396" s="4">
        <f>+VLOOKUP(A5396,Portfolio!$G$3:$I$6,3)</f>
        <v>0.5</v>
      </c>
      <c r="E5396">
        <f t="shared" si="84"/>
        <v>47187.5</v>
      </c>
    </row>
    <row r="5397" spans="1:5" x14ac:dyDescent="0.25">
      <c r="A5397" t="s">
        <v>3</v>
      </c>
      <c r="B5397">
        <v>1211229</v>
      </c>
      <c r="C5397">
        <v>94262.5</v>
      </c>
      <c r="D5397" s="4">
        <f>+VLOOKUP(A5397,Portfolio!$G$3:$I$6,3)</f>
        <v>0.5</v>
      </c>
      <c r="E5397">
        <f t="shared" si="84"/>
        <v>47131.25</v>
      </c>
    </row>
    <row r="5398" spans="1:5" x14ac:dyDescent="0.25">
      <c r="A5398" t="s">
        <v>3</v>
      </c>
      <c r="B5398">
        <v>1211230</v>
      </c>
      <c r="C5398">
        <v>94462.5</v>
      </c>
      <c r="D5398" s="4">
        <f>+VLOOKUP(A5398,Portfolio!$G$3:$I$6,3)</f>
        <v>0.5</v>
      </c>
      <c r="E5398">
        <f t="shared" si="84"/>
        <v>47231.25</v>
      </c>
    </row>
    <row r="5399" spans="1:5" x14ac:dyDescent="0.25">
      <c r="A5399" t="s">
        <v>3</v>
      </c>
      <c r="B5399">
        <v>1211231</v>
      </c>
      <c r="C5399">
        <v>92837.5</v>
      </c>
      <c r="D5399" s="4">
        <f>+VLOOKUP(A5399,Portfolio!$G$3:$I$6,3)</f>
        <v>0.5</v>
      </c>
      <c r="E5399">
        <f t="shared" si="84"/>
        <v>46418.75</v>
      </c>
    </row>
    <row r="5400" spans="1:5" x14ac:dyDescent="0.25">
      <c r="A5400" t="s">
        <v>3</v>
      </c>
      <c r="B5400">
        <v>1220102</v>
      </c>
      <c r="C5400">
        <v>92662.5</v>
      </c>
      <c r="D5400" s="4">
        <f>+VLOOKUP(A5400,Portfolio!$G$3:$I$6,3)</f>
        <v>0.5</v>
      </c>
      <c r="E5400">
        <f t="shared" si="84"/>
        <v>46331.25</v>
      </c>
    </row>
    <row r="5401" spans="1:5" x14ac:dyDescent="0.25">
      <c r="A5401" t="s">
        <v>3</v>
      </c>
      <c r="B5401">
        <v>1220103</v>
      </c>
      <c r="C5401">
        <v>92662.5</v>
      </c>
      <c r="D5401" s="4">
        <f>+VLOOKUP(A5401,Portfolio!$G$3:$I$6,3)</f>
        <v>0.5</v>
      </c>
      <c r="E5401">
        <f t="shared" si="84"/>
        <v>46331.25</v>
      </c>
    </row>
    <row r="5402" spans="1:5" x14ac:dyDescent="0.25">
      <c r="A5402" t="s">
        <v>3</v>
      </c>
      <c r="B5402">
        <v>1220104</v>
      </c>
      <c r="C5402">
        <v>92662.5</v>
      </c>
      <c r="D5402" s="4">
        <f>+VLOOKUP(A5402,Portfolio!$G$3:$I$6,3)</f>
        <v>0.5</v>
      </c>
      <c r="E5402">
        <f t="shared" si="84"/>
        <v>46331.25</v>
      </c>
    </row>
    <row r="5403" spans="1:5" x14ac:dyDescent="0.25">
      <c r="A5403" t="s">
        <v>3</v>
      </c>
      <c r="B5403">
        <v>1220105</v>
      </c>
      <c r="C5403">
        <v>93587.5</v>
      </c>
      <c r="D5403" s="4">
        <f>+VLOOKUP(A5403,Portfolio!$G$3:$I$6,3)</f>
        <v>0.5</v>
      </c>
      <c r="E5403">
        <f t="shared" si="84"/>
        <v>46793.75</v>
      </c>
    </row>
    <row r="5404" spans="1:5" x14ac:dyDescent="0.25">
      <c r="A5404" t="s">
        <v>3</v>
      </c>
      <c r="B5404">
        <v>1220106</v>
      </c>
      <c r="C5404">
        <v>96137.5</v>
      </c>
      <c r="D5404" s="4">
        <f>+VLOOKUP(A5404,Portfolio!$G$3:$I$6,3)</f>
        <v>0.5</v>
      </c>
      <c r="E5404">
        <f t="shared" si="84"/>
        <v>48068.75</v>
      </c>
    </row>
    <row r="5405" spans="1:5" x14ac:dyDescent="0.25">
      <c r="A5405" t="s">
        <v>3</v>
      </c>
      <c r="B5405">
        <v>1220107</v>
      </c>
      <c r="C5405">
        <v>93625</v>
      </c>
      <c r="D5405" s="4">
        <f>+VLOOKUP(A5405,Portfolio!$G$3:$I$6,3)</f>
        <v>0.5</v>
      </c>
      <c r="E5405">
        <f t="shared" si="84"/>
        <v>46812.5</v>
      </c>
    </row>
    <row r="5406" spans="1:5" x14ac:dyDescent="0.25">
      <c r="A5406" t="s">
        <v>3</v>
      </c>
      <c r="B5406">
        <v>1220109</v>
      </c>
      <c r="C5406">
        <v>92800</v>
      </c>
      <c r="D5406" s="4">
        <f>+VLOOKUP(A5406,Portfolio!$G$3:$I$6,3)</f>
        <v>0.5</v>
      </c>
      <c r="E5406">
        <f t="shared" si="84"/>
        <v>46400</v>
      </c>
    </row>
    <row r="5407" spans="1:5" x14ac:dyDescent="0.25">
      <c r="A5407" t="s">
        <v>3</v>
      </c>
      <c r="B5407">
        <v>1220110</v>
      </c>
      <c r="C5407">
        <v>92087.5</v>
      </c>
      <c r="D5407" s="4">
        <f>+VLOOKUP(A5407,Portfolio!$G$3:$I$6,3)</f>
        <v>0.5</v>
      </c>
      <c r="E5407">
        <f t="shared" si="84"/>
        <v>46043.75</v>
      </c>
    </row>
    <row r="5408" spans="1:5" x14ac:dyDescent="0.25">
      <c r="A5408" t="s">
        <v>3</v>
      </c>
      <c r="B5408">
        <v>1220111</v>
      </c>
      <c r="C5408">
        <v>92412.5</v>
      </c>
      <c r="D5408" s="4">
        <f>+VLOOKUP(A5408,Portfolio!$G$3:$I$6,3)</f>
        <v>0.5</v>
      </c>
      <c r="E5408">
        <f t="shared" si="84"/>
        <v>46206.25</v>
      </c>
    </row>
    <row r="5409" spans="1:5" x14ac:dyDescent="0.25">
      <c r="A5409" t="s">
        <v>3</v>
      </c>
      <c r="B5409">
        <v>1220112</v>
      </c>
      <c r="C5409">
        <v>92412.5</v>
      </c>
      <c r="D5409" s="4">
        <f>+VLOOKUP(A5409,Portfolio!$G$3:$I$6,3)</f>
        <v>0.5</v>
      </c>
      <c r="E5409">
        <f t="shared" si="84"/>
        <v>46206.25</v>
      </c>
    </row>
    <row r="5410" spans="1:5" x14ac:dyDescent="0.25">
      <c r="A5410" t="s">
        <v>3</v>
      </c>
      <c r="B5410">
        <v>1220113</v>
      </c>
      <c r="C5410">
        <v>92450</v>
      </c>
      <c r="D5410" s="4">
        <f>+VLOOKUP(A5410,Portfolio!$G$3:$I$6,3)</f>
        <v>0.5</v>
      </c>
      <c r="E5410">
        <f t="shared" si="84"/>
        <v>46225</v>
      </c>
    </row>
    <row r="5411" spans="1:5" x14ac:dyDescent="0.25">
      <c r="A5411" t="s">
        <v>3</v>
      </c>
      <c r="B5411">
        <v>1220114</v>
      </c>
      <c r="C5411">
        <v>94737.5</v>
      </c>
      <c r="D5411" s="4">
        <f>+VLOOKUP(A5411,Portfolio!$G$3:$I$6,3)</f>
        <v>0.5</v>
      </c>
      <c r="E5411">
        <f t="shared" si="84"/>
        <v>47368.75</v>
      </c>
    </row>
    <row r="5412" spans="1:5" x14ac:dyDescent="0.25">
      <c r="A5412" t="s">
        <v>3</v>
      </c>
      <c r="B5412">
        <v>1220116</v>
      </c>
      <c r="C5412">
        <v>93287.5</v>
      </c>
      <c r="D5412" s="4">
        <f>+VLOOKUP(A5412,Portfolio!$G$3:$I$6,3)</f>
        <v>0.5</v>
      </c>
      <c r="E5412">
        <f t="shared" si="84"/>
        <v>46643.75</v>
      </c>
    </row>
    <row r="5413" spans="1:5" x14ac:dyDescent="0.25">
      <c r="A5413" t="s">
        <v>3</v>
      </c>
      <c r="B5413">
        <v>1220117</v>
      </c>
      <c r="C5413">
        <v>93975</v>
      </c>
      <c r="D5413" s="4">
        <f>+VLOOKUP(A5413,Portfolio!$G$3:$I$6,3)</f>
        <v>0.5</v>
      </c>
      <c r="E5413">
        <f t="shared" si="84"/>
        <v>46987.5</v>
      </c>
    </row>
    <row r="5414" spans="1:5" x14ac:dyDescent="0.25">
      <c r="A5414" t="s">
        <v>3</v>
      </c>
      <c r="B5414">
        <v>1220118</v>
      </c>
      <c r="C5414">
        <v>93062.5</v>
      </c>
      <c r="D5414" s="4">
        <f>+VLOOKUP(A5414,Portfolio!$G$3:$I$6,3)</f>
        <v>0.5</v>
      </c>
      <c r="E5414">
        <f t="shared" si="84"/>
        <v>46531.25</v>
      </c>
    </row>
    <row r="5415" spans="1:5" x14ac:dyDescent="0.25">
      <c r="A5415" t="s">
        <v>3</v>
      </c>
      <c r="B5415">
        <v>1220119</v>
      </c>
      <c r="C5415">
        <v>94825</v>
      </c>
      <c r="D5415" s="4">
        <f>+VLOOKUP(A5415,Portfolio!$G$3:$I$6,3)</f>
        <v>0.5</v>
      </c>
      <c r="E5415">
        <f t="shared" si="84"/>
        <v>47412.5</v>
      </c>
    </row>
    <row r="5416" spans="1:5" x14ac:dyDescent="0.25">
      <c r="A5416" t="s">
        <v>3</v>
      </c>
      <c r="B5416">
        <v>1220120</v>
      </c>
      <c r="C5416">
        <v>92587.5</v>
      </c>
      <c r="D5416" s="4">
        <f>+VLOOKUP(A5416,Portfolio!$G$3:$I$6,3)</f>
        <v>0.5</v>
      </c>
      <c r="E5416">
        <f t="shared" si="84"/>
        <v>46293.75</v>
      </c>
    </row>
    <row r="5417" spans="1:5" x14ac:dyDescent="0.25">
      <c r="A5417" t="s">
        <v>3</v>
      </c>
      <c r="B5417">
        <v>1220121</v>
      </c>
      <c r="C5417">
        <v>86425</v>
      </c>
      <c r="D5417" s="4">
        <f>+VLOOKUP(A5417,Portfolio!$G$3:$I$6,3)</f>
        <v>0.5</v>
      </c>
      <c r="E5417">
        <f t="shared" si="84"/>
        <v>43212.5</v>
      </c>
    </row>
    <row r="5418" spans="1:5" x14ac:dyDescent="0.25">
      <c r="A5418" t="s">
        <v>3</v>
      </c>
      <c r="B5418">
        <v>1220123</v>
      </c>
      <c r="C5418">
        <v>81237.5</v>
      </c>
      <c r="D5418" s="4">
        <f>+VLOOKUP(A5418,Portfolio!$G$3:$I$6,3)</f>
        <v>0.5</v>
      </c>
      <c r="E5418">
        <f t="shared" si="84"/>
        <v>40618.75</v>
      </c>
    </row>
    <row r="5419" spans="1:5" x14ac:dyDescent="0.25">
      <c r="A5419" t="s">
        <v>3</v>
      </c>
      <c r="B5419">
        <v>1220124</v>
      </c>
      <c r="C5419">
        <v>80900</v>
      </c>
      <c r="D5419" s="4">
        <f>+VLOOKUP(A5419,Portfolio!$G$3:$I$6,3)</f>
        <v>0.5</v>
      </c>
      <c r="E5419">
        <f t="shared" si="84"/>
        <v>40450</v>
      </c>
    </row>
    <row r="5420" spans="1:5" x14ac:dyDescent="0.25">
      <c r="A5420" t="s">
        <v>3</v>
      </c>
      <c r="B5420">
        <v>1220125</v>
      </c>
      <c r="C5420">
        <v>82612.5</v>
      </c>
      <c r="D5420" s="4">
        <f>+VLOOKUP(A5420,Portfolio!$G$3:$I$6,3)</f>
        <v>0.5</v>
      </c>
      <c r="E5420">
        <f t="shared" si="84"/>
        <v>41306.25</v>
      </c>
    </row>
    <row r="5421" spans="1:5" x14ac:dyDescent="0.25">
      <c r="A5421" t="s">
        <v>3</v>
      </c>
      <c r="B5421">
        <v>1220126</v>
      </c>
      <c r="C5421">
        <v>80250</v>
      </c>
      <c r="D5421" s="4">
        <f>+VLOOKUP(A5421,Portfolio!$G$3:$I$6,3)</f>
        <v>0.5</v>
      </c>
      <c r="E5421">
        <f t="shared" si="84"/>
        <v>40125</v>
      </c>
    </row>
    <row r="5422" spans="1:5" x14ac:dyDescent="0.25">
      <c r="A5422" t="s">
        <v>3</v>
      </c>
      <c r="B5422">
        <v>1220127</v>
      </c>
      <c r="C5422">
        <v>79287.5</v>
      </c>
      <c r="D5422" s="4">
        <f>+VLOOKUP(A5422,Portfolio!$G$3:$I$6,3)</f>
        <v>0.5</v>
      </c>
      <c r="E5422">
        <f t="shared" si="84"/>
        <v>39643.75</v>
      </c>
    </row>
    <row r="5423" spans="1:5" x14ac:dyDescent="0.25">
      <c r="A5423" t="s">
        <v>3</v>
      </c>
      <c r="B5423">
        <v>1220128</v>
      </c>
      <c r="C5423">
        <v>75700</v>
      </c>
      <c r="D5423" s="4">
        <f>+VLOOKUP(A5423,Portfolio!$G$3:$I$6,3)</f>
        <v>0.5</v>
      </c>
      <c r="E5423">
        <f t="shared" si="84"/>
        <v>37850</v>
      </c>
    </row>
    <row r="5424" spans="1:5" x14ac:dyDescent="0.25">
      <c r="A5424" t="s">
        <v>3</v>
      </c>
      <c r="B5424">
        <v>1220130</v>
      </c>
      <c r="C5424">
        <v>78987.5</v>
      </c>
      <c r="D5424" s="4">
        <f>+VLOOKUP(A5424,Portfolio!$G$3:$I$6,3)</f>
        <v>0.5</v>
      </c>
      <c r="E5424">
        <f t="shared" si="84"/>
        <v>39493.75</v>
      </c>
    </row>
    <row r="5425" spans="1:5" x14ac:dyDescent="0.25">
      <c r="A5425" t="s">
        <v>3</v>
      </c>
      <c r="B5425">
        <v>1220131</v>
      </c>
      <c r="C5425">
        <v>80100</v>
      </c>
      <c r="D5425" s="4">
        <f>+VLOOKUP(A5425,Portfolio!$G$3:$I$6,3)</f>
        <v>0.5</v>
      </c>
      <c r="E5425">
        <f t="shared" si="84"/>
        <v>40050</v>
      </c>
    </row>
    <row r="5426" spans="1:5" x14ac:dyDescent="0.25">
      <c r="A5426" t="s">
        <v>3</v>
      </c>
      <c r="B5426">
        <v>1220201</v>
      </c>
      <c r="C5426">
        <v>83087.5</v>
      </c>
      <c r="D5426" s="4">
        <f>+VLOOKUP(A5426,Portfolio!$G$3:$I$6,3)</f>
        <v>0.5</v>
      </c>
      <c r="E5426">
        <f t="shared" si="84"/>
        <v>41543.75</v>
      </c>
    </row>
    <row r="5427" spans="1:5" x14ac:dyDescent="0.25">
      <c r="A5427" t="s">
        <v>3</v>
      </c>
      <c r="B5427">
        <v>1220202</v>
      </c>
      <c r="C5427">
        <v>83187.5</v>
      </c>
      <c r="D5427" s="4">
        <f>+VLOOKUP(A5427,Portfolio!$G$3:$I$6,3)</f>
        <v>0.5</v>
      </c>
      <c r="E5427">
        <f t="shared" si="84"/>
        <v>41593.75</v>
      </c>
    </row>
    <row r="5428" spans="1:5" x14ac:dyDescent="0.25">
      <c r="A5428" t="s">
        <v>3</v>
      </c>
      <c r="B5428">
        <v>1220203</v>
      </c>
      <c r="C5428">
        <v>78387.5</v>
      </c>
      <c r="D5428" s="4">
        <f>+VLOOKUP(A5428,Portfolio!$G$3:$I$6,3)</f>
        <v>0.5</v>
      </c>
      <c r="E5428">
        <f t="shared" si="84"/>
        <v>39193.75</v>
      </c>
    </row>
    <row r="5429" spans="1:5" x14ac:dyDescent="0.25">
      <c r="A5429" t="s">
        <v>3</v>
      </c>
      <c r="B5429">
        <v>1220204</v>
      </c>
      <c r="C5429">
        <v>75837.5</v>
      </c>
      <c r="D5429" s="4">
        <f>+VLOOKUP(A5429,Portfolio!$G$3:$I$6,3)</f>
        <v>0.5</v>
      </c>
      <c r="E5429">
        <f t="shared" si="84"/>
        <v>37918.75</v>
      </c>
    </row>
    <row r="5430" spans="1:5" x14ac:dyDescent="0.25">
      <c r="A5430" t="s">
        <v>3</v>
      </c>
      <c r="B5430">
        <v>1220206</v>
      </c>
      <c r="C5430">
        <v>76575</v>
      </c>
      <c r="D5430" s="4">
        <f>+VLOOKUP(A5430,Portfolio!$G$3:$I$6,3)</f>
        <v>0.5</v>
      </c>
      <c r="E5430">
        <f t="shared" si="84"/>
        <v>38287.5</v>
      </c>
    </row>
    <row r="5431" spans="1:5" x14ac:dyDescent="0.25">
      <c r="A5431" t="s">
        <v>3</v>
      </c>
      <c r="B5431">
        <v>1220207</v>
      </c>
      <c r="C5431">
        <v>76575</v>
      </c>
      <c r="D5431" s="4">
        <f>+VLOOKUP(A5431,Portfolio!$G$3:$I$6,3)</f>
        <v>0.5</v>
      </c>
      <c r="E5431">
        <f t="shared" si="84"/>
        <v>38287.5</v>
      </c>
    </row>
    <row r="5432" spans="1:5" x14ac:dyDescent="0.25">
      <c r="A5432" t="s">
        <v>3</v>
      </c>
      <c r="B5432">
        <v>1220208</v>
      </c>
      <c r="C5432">
        <v>71237.5</v>
      </c>
      <c r="D5432" s="4">
        <f>+VLOOKUP(A5432,Portfolio!$G$3:$I$6,3)</f>
        <v>0.5</v>
      </c>
      <c r="E5432">
        <f t="shared" si="84"/>
        <v>35618.75</v>
      </c>
    </row>
    <row r="5433" spans="1:5" x14ac:dyDescent="0.25">
      <c r="A5433" t="s">
        <v>3</v>
      </c>
      <c r="B5433">
        <v>1220209</v>
      </c>
      <c r="C5433">
        <v>70862.5</v>
      </c>
      <c r="D5433" s="4">
        <f>+VLOOKUP(A5433,Portfolio!$G$3:$I$6,3)</f>
        <v>0.5</v>
      </c>
      <c r="E5433">
        <f t="shared" si="84"/>
        <v>35431.25</v>
      </c>
    </row>
    <row r="5434" spans="1:5" x14ac:dyDescent="0.25">
      <c r="A5434" t="s">
        <v>3</v>
      </c>
      <c r="B5434">
        <v>1220210</v>
      </c>
      <c r="C5434">
        <v>72875</v>
      </c>
      <c r="D5434" s="4">
        <f>+VLOOKUP(A5434,Portfolio!$G$3:$I$6,3)</f>
        <v>0.5</v>
      </c>
      <c r="E5434">
        <f t="shared" si="84"/>
        <v>36437.5</v>
      </c>
    </row>
    <row r="5435" spans="1:5" x14ac:dyDescent="0.25">
      <c r="A5435" t="s">
        <v>3</v>
      </c>
      <c r="B5435">
        <v>1220211</v>
      </c>
      <c r="C5435">
        <v>72587.5</v>
      </c>
      <c r="D5435" s="4">
        <f>+VLOOKUP(A5435,Portfolio!$G$3:$I$6,3)</f>
        <v>0.5</v>
      </c>
      <c r="E5435">
        <f t="shared" si="84"/>
        <v>36293.75</v>
      </c>
    </row>
    <row r="5436" spans="1:5" x14ac:dyDescent="0.25">
      <c r="A5436" t="s">
        <v>3</v>
      </c>
      <c r="B5436">
        <v>1220213</v>
      </c>
      <c r="C5436">
        <v>74850</v>
      </c>
      <c r="D5436" s="4">
        <f>+VLOOKUP(A5436,Portfolio!$G$3:$I$6,3)</f>
        <v>0.5</v>
      </c>
      <c r="E5436">
        <f t="shared" si="84"/>
        <v>37425</v>
      </c>
    </row>
    <row r="5437" spans="1:5" x14ac:dyDescent="0.25">
      <c r="A5437" t="s">
        <v>3</v>
      </c>
      <c r="B5437">
        <v>1220214</v>
      </c>
      <c r="C5437">
        <v>74850</v>
      </c>
      <c r="D5437" s="4">
        <f>+VLOOKUP(A5437,Portfolio!$G$3:$I$6,3)</f>
        <v>0.5</v>
      </c>
      <c r="E5437">
        <f t="shared" si="84"/>
        <v>37425</v>
      </c>
    </row>
    <row r="5438" spans="1:5" x14ac:dyDescent="0.25">
      <c r="A5438" t="s">
        <v>3</v>
      </c>
      <c r="B5438">
        <v>1220215</v>
      </c>
      <c r="C5438">
        <v>74850</v>
      </c>
      <c r="D5438" s="4">
        <f>+VLOOKUP(A5438,Portfolio!$G$3:$I$6,3)</f>
        <v>0.5</v>
      </c>
      <c r="E5438">
        <f t="shared" si="84"/>
        <v>37425</v>
      </c>
    </row>
    <row r="5439" spans="1:5" x14ac:dyDescent="0.25">
      <c r="A5439" t="s">
        <v>3</v>
      </c>
      <c r="B5439">
        <v>1220216</v>
      </c>
      <c r="C5439">
        <v>74850</v>
      </c>
      <c r="D5439" s="4">
        <f>+VLOOKUP(A5439,Portfolio!$G$3:$I$6,3)</f>
        <v>0.5</v>
      </c>
      <c r="E5439">
        <f t="shared" si="84"/>
        <v>37425</v>
      </c>
    </row>
    <row r="5440" spans="1:5" x14ac:dyDescent="0.25">
      <c r="A5440" t="s">
        <v>3</v>
      </c>
      <c r="B5440">
        <v>1220217</v>
      </c>
      <c r="C5440">
        <v>73700</v>
      </c>
      <c r="D5440" s="4">
        <f>+VLOOKUP(A5440,Portfolio!$G$3:$I$6,3)</f>
        <v>0.5</v>
      </c>
      <c r="E5440">
        <f t="shared" si="84"/>
        <v>36850</v>
      </c>
    </row>
    <row r="5441" spans="1:5" x14ac:dyDescent="0.25">
      <c r="A5441" t="s">
        <v>3</v>
      </c>
      <c r="B5441">
        <v>1220218</v>
      </c>
      <c r="C5441">
        <v>75812.5</v>
      </c>
      <c r="D5441" s="4">
        <f>+VLOOKUP(A5441,Portfolio!$G$3:$I$6,3)</f>
        <v>0.5</v>
      </c>
      <c r="E5441">
        <f t="shared" si="84"/>
        <v>37906.25</v>
      </c>
    </row>
    <row r="5442" spans="1:5" x14ac:dyDescent="0.25">
      <c r="A5442" t="s">
        <v>3</v>
      </c>
      <c r="B5442">
        <v>1220220</v>
      </c>
      <c r="C5442">
        <v>77400</v>
      </c>
      <c r="D5442" s="4">
        <f>+VLOOKUP(A5442,Portfolio!$G$3:$I$6,3)</f>
        <v>0.5</v>
      </c>
      <c r="E5442">
        <f t="shared" si="84"/>
        <v>38700</v>
      </c>
    </row>
    <row r="5443" spans="1:5" x14ac:dyDescent="0.25">
      <c r="A5443" t="s">
        <v>3</v>
      </c>
      <c r="B5443">
        <v>1220221</v>
      </c>
      <c r="C5443">
        <v>77400</v>
      </c>
      <c r="D5443" s="4">
        <f>+VLOOKUP(A5443,Portfolio!$G$3:$I$6,3)</f>
        <v>0.5</v>
      </c>
      <c r="E5443">
        <f t="shared" ref="E5443:E5506" si="85">+C5443*D5443</f>
        <v>38700</v>
      </c>
    </row>
    <row r="5444" spans="1:5" x14ac:dyDescent="0.25">
      <c r="A5444" t="s">
        <v>3</v>
      </c>
      <c r="B5444">
        <v>1220222</v>
      </c>
      <c r="C5444">
        <v>78362.5</v>
      </c>
      <c r="D5444" s="4">
        <f>+VLOOKUP(A5444,Portfolio!$G$3:$I$6,3)</f>
        <v>0.5</v>
      </c>
      <c r="E5444">
        <f t="shared" si="85"/>
        <v>39181.25</v>
      </c>
    </row>
    <row r="5445" spans="1:5" x14ac:dyDescent="0.25">
      <c r="A5445" t="s">
        <v>3</v>
      </c>
      <c r="B5445">
        <v>1220223</v>
      </c>
      <c r="C5445">
        <v>72787.5</v>
      </c>
      <c r="D5445" s="4">
        <f>+VLOOKUP(A5445,Portfolio!$G$3:$I$6,3)</f>
        <v>0.5</v>
      </c>
      <c r="E5445">
        <f t="shared" si="85"/>
        <v>36393.75</v>
      </c>
    </row>
    <row r="5446" spans="1:5" x14ac:dyDescent="0.25">
      <c r="A5446" t="s">
        <v>3</v>
      </c>
      <c r="B5446">
        <v>1220224</v>
      </c>
      <c r="C5446">
        <v>81100</v>
      </c>
      <c r="D5446" s="4">
        <f>+VLOOKUP(A5446,Portfolio!$G$3:$I$6,3)</f>
        <v>0.5</v>
      </c>
      <c r="E5446">
        <f t="shared" si="85"/>
        <v>40550</v>
      </c>
    </row>
    <row r="5447" spans="1:5" x14ac:dyDescent="0.25">
      <c r="A5447" t="s">
        <v>3</v>
      </c>
      <c r="B5447">
        <v>1220225</v>
      </c>
      <c r="C5447">
        <v>82125</v>
      </c>
      <c r="D5447" s="4">
        <f>+VLOOKUP(A5447,Portfolio!$G$3:$I$6,3)</f>
        <v>0.5</v>
      </c>
      <c r="E5447">
        <f t="shared" si="85"/>
        <v>41062.5</v>
      </c>
    </row>
    <row r="5448" spans="1:5" x14ac:dyDescent="0.25">
      <c r="A5448" t="s">
        <v>3</v>
      </c>
      <c r="B5448">
        <v>1220227</v>
      </c>
      <c r="C5448">
        <v>83512.5</v>
      </c>
      <c r="D5448" s="4">
        <f>+VLOOKUP(A5448,Portfolio!$G$3:$I$6,3)</f>
        <v>0.5</v>
      </c>
      <c r="E5448">
        <f t="shared" si="85"/>
        <v>41756.25</v>
      </c>
    </row>
    <row r="5449" spans="1:5" x14ac:dyDescent="0.25">
      <c r="A5449" t="s">
        <v>3</v>
      </c>
      <c r="B5449">
        <v>1220228</v>
      </c>
      <c r="C5449">
        <v>83587.5</v>
      </c>
      <c r="D5449" s="4">
        <f>+VLOOKUP(A5449,Portfolio!$G$3:$I$6,3)</f>
        <v>0.5</v>
      </c>
      <c r="E5449">
        <f t="shared" si="85"/>
        <v>41793.75</v>
      </c>
    </row>
    <row r="5450" spans="1:5" x14ac:dyDescent="0.25">
      <c r="A5450" t="s">
        <v>3</v>
      </c>
      <c r="B5450">
        <v>1220301</v>
      </c>
      <c r="C5450">
        <v>85875</v>
      </c>
      <c r="D5450" s="4">
        <f>+VLOOKUP(A5450,Portfolio!$G$3:$I$6,3)</f>
        <v>0.5</v>
      </c>
      <c r="E5450">
        <f t="shared" si="85"/>
        <v>42937.5</v>
      </c>
    </row>
    <row r="5451" spans="1:5" x14ac:dyDescent="0.25">
      <c r="A5451" t="s">
        <v>3</v>
      </c>
      <c r="B5451">
        <v>1220302</v>
      </c>
      <c r="C5451">
        <v>86050</v>
      </c>
      <c r="D5451" s="4">
        <f>+VLOOKUP(A5451,Portfolio!$G$3:$I$6,3)</f>
        <v>0.5</v>
      </c>
      <c r="E5451">
        <f t="shared" si="85"/>
        <v>43025</v>
      </c>
    </row>
    <row r="5452" spans="1:5" x14ac:dyDescent="0.25">
      <c r="A5452" t="s">
        <v>3</v>
      </c>
      <c r="B5452">
        <v>1220303</v>
      </c>
      <c r="C5452">
        <v>86250</v>
      </c>
      <c r="D5452" s="4">
        <f>+VLOOKUP(A5452,Portfolio!$G$3:$I$6,3)</f>
        <v>0.5</v>
      </c>
      <c r="E5452">
        <f t="shared" si="85"/>
        <v>43125</v>
      </c>
    </row>
    <row r="5453" spans="1:5" x14ac:dyDescent="0.25">
      <c r="A5453" t="s">
        <v>3</v>
      </c>
      <c r="B5453">
        <v>1220304</v>
      </c>
      <c r="C5453">
        <v>86775</v>
      </c>
      <c r="D5453" s="4">
        <f>+VLOOKUP(A5453,Portfolio!$G$3:$I$6,3)</f>
        <v>0.5</v>
      </c>
      <c r="E5453">
        <f t="shared" si="85"/>
        <v>43387.5</v>
      </c>
    </row>
    <row r="5454" spans="1:5" x14ac:dyDescent="0.25">
      <c r="A5454" t="s">
        <v>3</v>
      </c>
      <c r="B5454">
        <v>1220306</v>
      </c>
      <c r="C5454">
        <v>90150</v>
      </c>
      <c r="D5454" s="4">
        <f>+VLOOKUP(A5454,Portfolio!$G$3:$I$6,3)</f>
        <v>0.5</v>
      </c>
      <c r="E5454">
        <f t="shared" si="85"/>
        <v>45075</v>
      </c>
    </row>
    <row r="5455" spans="1:5" x14ac:dyDescent="0.25">
      <c r="A5455" t="s">
        <v>3</v>
      </c>
      <c r="B5455">
        <v>1220307</v>
      </c>
      <c r="C5455">
        <v>90050</v>
      </c>
      <c r="D5455" s="4">
        <f>+VLOOKUP(A5455,Portfolio!$G$3:$I$6,3)</f>
        <v>0.5</v>
      </c>
      <c r="E5455">
        <f t="shared" si="85"/>
        <v>45025</v>
      </c>
    </row>
    <row r="5456" spans="1:5" x14ac:dyDescent="0.25">
      <c r="A5456" t="s">
        <v>3</v>
      </c>
      <c r="B5456">
        <v>1220308</v>
      </c>
      <c r="C5456">
        <v>95137.5</v>
      </c>
      <c r="D5456" s="4">
        <f>+VLOOKUP(A5456,Portfolio!$G$3:$I$6,3)</f>
        <v>0.5</v>
      </c>
      <c r="E5456">
        <f t="shared" si="85"/>
        <v>47568.75</v>
      </c>
    </row>
    <row r="5457" spans="1:5" x14ac:dyDescent="0.25">
      <c r="A5457" t="s">
        <v>3</v>
      </c>
      <c r="B5457">
        <v>1220309</v>
      </c>
      <c r="C5457">
        <v>89150</v>
      </c>
      <c r="D5457" s="4">
        <f>+VLOOKUP(A5457,Portfolio!$G$3:$I$6,3)</f>
        <v>0.5</v>
      </c>
      <c r="E5457">
        <f t="shared" si="85"/>
        <v>44575</v>
      </c>
    </row>
    <row r="5458" spans="1:5" x14ac:dyDescent="0.25">
      <c r="A5458" t="s">
        <v>3</v>
      </c>
      <c r="B5458">
        <v>1220310</v>
      </c>
      <c r="C5458">
        <v>93800</v>
      </c>
      <c r="D5458" s="4">
        <f>+VLOOKUP(A5458,Portfolio!$G$3:$I$6,3)</f>
        <v>0.5</v>
      </c>
      <c r="E5458">
        <f t="shared" si="85"/>
        <v>46900</v>
      </c>
    </row>
    <row r="5459" spans="1:5" x14ac:dyDescent="0.25">
      <c r="A5459" t="s">
        <v>3</v>
      </c>
      <c r="B5459">
        <v>1220311</v>
      </c>
      <c r="C5459">
        <v>89475</v>
      </c>
      <c r="D5459" s="4">
        <f>+VLOOKUP(A5459,Portfolio!$G$3:$I$6,3)</f>
        <v>0.5</v>
      </c>
      <c r="E5459">
        <f t="shared" si="85"/>
        <v>44737.5</v>
      </c>
    </row>
    <row r="5460" spans="1:5" x14ac:dyDescent="0.25">
      <c r="A5460" t="s">
        <v>3</v>
      </c>
      <c r="B5460">
        <v>1220313</v>
      </c>
      <c r="C5460">
        <v>90137.5</v>
      </c>
      <c r="D5460" s="4">
        <f>+VLOOKUP(A5460,Portfolio!$G$3:$I$6,3)</f>
        <v>0.5</v>
      </c>
      <c r="E5460">
        <f t="shared" si="85"/>
        <v>45068.75</v>
      </c>
    </row>
    <row r="5461" spans="1:5" x14ac:dyDescent="0.25">
      <c r="A5461" t="s">
        <v>3</v>
      </c>
      <c r="B5461">
        <v>1220314</v>
      </c>
      <c r="C5461">
        <v>90187.5</v>
      </c>
      <c r="D5461" s="4">
        <f>+VLOOKUP(A5461,Portfolio!$G$3:$I$6,3)</f>
        <v>0.5</v>
      </c>
      <c r="E5461">
        <f t="shared" si="85"/>
        <v>45093.75</v>
      </c>
    </row>
    <row r="5462" spans="1:5" x14ac:dyDescent="0.25">
      <c r="A5462" t="s">
        <v>3</v>
      </c>
      <c r="B5462">
        <v>1220315</v>
      </c>
      <c r="C5462">
        <v>92725</v>
      </c>
      <c r="D5462" s="4">
        <f>+VLOOKUP(A5462,Portfolio!$G$3:$I$6,3)</f>
        <v>0.5</v>
      </c>
      <c r="E5462">
        <f t="shared" si="85"/>
        <v>46362.5</v>
      </c>
    </row>
    <row r="5463" spans="1:5" x14ac:dyDescent="0.25">
      <c r="A5463" t="s">
        <v>3</v>
      </c>
      <c r="B5463">
        <v>1220316</v>
      </c>
      <c r="C5463">
        <v>94862.5</v>
      </c>
      <c r="D5463" s="4">
        <f>+VLOOKUP(A5463,Portfolio!$G$3:$I$6,3)</f>
        <v>0.5</v>
      </c>
      <c r="E5463">
        <f t="shared" si="85"/>
        <v>47431.25</v>
      </c>
    </row>
    <row r="5464" spans="1:5" x14ac:dyDescent="0.25">
      <c r="A5464" t="s">
        <v>3</v>
      </c>
      <c r="B5464">
        <v>1220317</v>
      </c>
      <c r="C5464">
        <v>89350</v>
      </c>
      <c r="D5464" s="4">
        <f>+VLOOKUP(A5464,Portfolio!$G$3:$I$6,3)</f>
        <v>0.5</v>
      </c>
      <c r="E5464">
        <f t="shared" si="85"/>
        <v>44675</v>
      </c>
    </row>
    <row r="5465" spans="1:5" x14ac:dyDescent="0.25">
      <c r="A5465" t="s">
        <v>3</v>
      </c>
      <c r="B5465">
        <v>1220318</v>
      </c>
      <c r="C5465">
        <v>89000</v>
      </c>
      <c r="D5465" s="4">
        <f>+VLOOKUP(A5465,Portfolio!$G$3:$I$6,3)</f>
        <v>0.5</v>
      </c>
      <c r="E5465">
        <f t="shared" si="85"/>
        <v>44500</v>
      </c>
    </row>
    <row r="5466" spans="1:5" x14ac:dyDescent="0.25">
      <c r="A5466" t="s">
        <v>3</v>
      </c>
      <c r="B5466">
        <v>1220320</v>
      </c>
      <c r="C5466">
        <v>93150</v>
      </c>
      <c r="D5466" s="4">
        <f>+VLOOKUP(A5466,Portfolio!$G$3:$I$6,3)</f>
        <v>0.5</v>
      </c>
      <c r="E5466">
        <f t="shared" si="85"/>
        <v>46575</v>
      </c>
    </row>
    <row r="5467" spans="1:5" x14ac:dyDescent="0.25">
      <c r="A5467" t="s">
        <v>3</v>
      </c>
      <c r="B5467">
        <v>1220321</v>
      </c>
      <c r="C5467">
        <v>92312.5</v>
      </c>
      <c r="D5467" s="4">
        <f>+VLOOKUP(A5467,Portfolio!$G$3:$I$6,3)</f>
        <v>0.5</v>
      </c>
      <c r="E5467">
        <f t="shared" si="85"/>
        <v>46156.25</v>
      </c>
    </row>
    <row r="5468" spans="1:5" x14ac:dyDescent="0.25">
      <c r="A5468" t="s">
        <v>3</v>
      </c>
      <c r="B5468">
        <v>1220322</v>
      </c>
      <c r="C5468">
        <v>91350</v>
      </c>
      <c r="D5468" s="4">
        <f>+VLOOKUP(A5468,Portfolio!$G$3:$I$6,3)</f>
        <v>0.5</v>
      </c>
      <c r="E5468">
        <f t="shared" si="85"/>
        <v>45675</v>
      </c>
    </row>
    <row r="5469" spans="1:5" x14ac:dyDescent="0.25">
      <c r="A5469" t="s">
        <v>3</v>
      </c>
      <c r="B5469">
        <v>1220323</v>
      </c>
      <c r="C5469">
        <v>90662.5</v>
      </c>
      <c r="D5469" s="4">
        <f>+VLOOKUP(A5469,Portfolio!$G$3:$I$6,3)</f>
        <v>0.5</v>
      </c>
      <c r="E5469">
        <f t="shared" si="85"/>
        <v>45331.25</v>
      </c>
    </row>
    <row r="5470" spans="1:5" x14ac:dyDescent="0.25">
      <c r="A5470" t="s">
        <v>3</v>
      </c>
      <c r="B5470">
        <v>1220324</v>
      </c>
      <c r="C5470">
        <v>89675</v>
      </c>
      <c r="D5470" s="4">
        <f>+VLOOKUP(A5470,Portfolio!$G$3:$I$6,3)</f>
        <v>0.5</v>
      </c>
      <c r="E5470">
        <f t="shared" si="85"/>
        <v>44837.5</v>
      </c>
    </row>
    <row r="5471" spans="1:5" x14ac:dyDescent="0.25">
      <c r="A5471" t="s">
        <v>3</v>
      </c>
      <c r="B5471">
        <v>1220325</v>
      </c>
      <c r="C5471">
        <v>90750</v>
      </c>
      <c r="D5471" s="4">
        <f>+VLOOKUP(A5471,Portfolio!$G$3:$I$6,3)</f>
        <v>0.5</v>
      </c>
      <c r="E5471">
        <f t="shared" si="85"/>
        <v>45375</v>
      </c>
    </row>
    <row r="5472" spans="1:5" x14ac:dyDescent="0.25">
      <c r="A5472" t="s">
        <v>3</v>
      </c>
      <c r="B5472">
        <v>1220327</v>
      </c>
      <c r="C5472">
        <v>88125</v>
      </c>
      <c r="D5472" s="4">
        <f>+VLOOKUP(A5472,Portfolio!$G$3:$I$6,3)</f>
        <v>0.5</v>
      </c>
      <c r="E5472">
        <f t="shared" si="85"/>
        <v>44062.5</v>
      </c>
    </row>
    <row r="5473" spans="1:5" x14ac:dyDescent="0.25">
      <c r="A5473" t="s">
        <v>3</v>
      </c>
      <c r="B5473">
        <v>1220328</v>
      </c>
      <c r="C5473">
        <v>88450</v>
      </c>
      <c r="D5473" s="4">
        <f>+VLOOKUP(A5473,Portfolio!$G$3:$I$6,3)</f>
        <v>0.5</v>
      </c>
      <c r="E5473">
        <f t="shared" si="85"/>
        <v>44225</v>
      </c>
    </row>
    <row r="5474" spans="1:5" x14ac:dyDescent="0.25">
      <c r="A5474" t="s">
        <v>3</v>
      </c>
      <c r="B5474">
        <v>1220329</v>
      </c>
      <c r="C5474">
        <v>89400</v>
      </c>
      <c r="D5474" s="4">
        <f>+VLOOKUP(A5474,Portfolio!$G$3:$I$6,3)</f>
        <v>0.5</v>
      </c>
      <c r="E5474">
        <f t="shared" si="85"/>
        <v>44700</v>
      </c>
    </row>
    <row r="5475" spans="1:5" x14ac:dyDescent="0.25">
      <c r="A5475" t="s">
        <v>3</v>
      </c>
      <c r="B5475">
        <v>1220330</v>
      </c>
      <c r="C5475">
        <v>92187.5</v>
      </c>
      <c r="D5475" s="4">
        <f>+VLOOKUP(A5475,Portfolio!$G$3:$I$6,3)</f>
        <v>0.5</v>
      </c>
      <c r="E5475">
        <f t="shared" si="85"/>
        <v>46093.75</v>
      </c>
    </row>
    <row r="5476" spans="1:5" x14ac:dyDescent="0.25">
      <c r="A5476" t="s">
        <v>3</v>
      </c>
      <c r="B5476">
        <v>1220331</v>
      </c>
      <c r="C5476">
        <v>92000</v>
      </c>
      <c r="D5476" s="4">
        <f>+VLOOKUP(A5476,Portfolio!$G$3:$I$6,3)</f>
        <v>0.5</v>
      </c>
      <c r="E5476">
        <f t="shared" si="85"/>
        <v>46000</v>
      </c>
    </row>
    <row r="5477" spans="1:5" x14ac:dyDescent="0.25">
      <c r="A5477" t="s">
        <v>3</v>
      </c>
      <c r="B5477">
        <v>1220401</v>
      </c>
      <c r="C5477">
        <v>95162.5</v>
      </c>
      <c r="D5477" s="4">
        <f>+VLOOKUP(A5477,Portfolio!$G$3:$I$6,3)</f>
        <v>0.5</v>
      </c>
      <c r="E5477">
        <f t="shared" si="85"/>
        <v>47581.25</v>
      </c>
    </row>
    <row r="5478" spans="1:5" x14ac:dyDescent="0.25">
      <c r="A5478" t="s">
        <v>3</v>
      </c>
      <c r="B5478">
        <v>1220403</v>
      </c>
      <c r="C5478">
        <v>95875</v>
      </c>
      <c r="D5478" s="4">
        <f>+VLOOKUP(A5478,Portfolio!$G$3:$I$6,3)</f>
        <v>0.5</v>
      </c>
      <c r="E5478">
        <f t="shared" si="85"/>
        <v>47937.5</v>
      </c>
    </row>
    <row r="5479" spans="1:5" x14ac:dyDescent="0.25">
      <c r="A5479" t="s">
        <v>3</v>
      </c>
      <c r="B5479">
        <v>1220404</v>
      </c>
      <c r="C5479">
        <v>95875</v>
      </c>
      <c r="D5479" s="4">
        <f>+VLOOKUP(A5479,Portfolio!$G$3:$I$6,3)</f>
        <v>0.5</v>
      </c>
      <c r="E5479">
        <f t="shared" si="85"/>
        <v>47937.5</v>
      </c>
    </row>
    <row r="5480" spans="1:5" x14ac:dyDescent="0.25">
      <c r="A5480" t="s">
        <v>3</v>
      </c>
      <c r="B5480">
        <v>1220405</v>
      </c>
      <c r="C5480">
        <v>96700</v>
      </c>
      <c r="D5480" s="4">
        <f>+VLOOKUP(A5480,Portfolio!$G$3:$I$6,3)</f>
        <v>0.5</v>
      </c>
      <c r="E5480">
        <f t="shared" si="85"/>
        <v>48350</v>
      </c>
    </row>
    <row r="5481" spans="1:5" x14ac:dyDescent="0.25">
      <c r="A5481" t="s">
        <v>3</v>
      </c>
      <c r="B5481">
        <v>1220406</v>
      </c>
      <c r="C5481">
        <v>98200</v>
      </c>
      <c r="D5481" s="4">
        <f>+VLOOKUP(A5481,Portfolio!$G$3:$I$6,3)</f>
        <v>0.5</v>
      </c>
      <c r="E5481">
        <f t="shared" si="85"/>
        <v>49100</v>
      </c>
    </row>
    <row r="5482" spans="1:5" x14ac:dyDescent="0.25">
      <c r="A5482" t="s">
        <v>3</v>
      </c>
      <c r="B5482">
        <v>1220407</v>
      </c>
      <c r="C5482">
        <v>100950</v>
      </c>
      <c r="D5482" s="4">
        <f>+VLOOKUP(A5482,Portfolio!$G$3:$I$6,3)</f>
        <v>0.5</v>
      </c>
      <c r="E5482">
        <f t="shared" si="85"/>
        <v>50475</v>
      </c>
    </row>
    <row r="5483" spans="1:5" x14ac:dyDescent="0.25">
      <c r="A5483" t="s">
        <v>3</v>
      </c>
      <c r="B5483">
        <v>1220408</v>
      </c>
      <c r="C5483">
        <v>99462.5</v>
      </c>
      <c r="D5483" s="4">
        <f>+VLOOKUP(A5483,Portfolio!$G$3:$I$6,3)</f>
        <v>0.5</v>
      </c>
      <c r="E5483">
        <f t="shared" si="85"/>
        <v>49731.25</v>
      </c>
    </row>
    <row r="5484" spans="1:5" x14ac:dyDescent="0.25">
      <c r="A5484" t="s">
        <v>3</v>
      </c>
      <c r="B5484">
        <v>1220410</v>
      </c>
      <c r="C5484">
        <v>97350</v>
      </c>
      <c r="D5484" s="4">
        <f>+VLOOKUP(A5484,Portfolio!$G$3:$I$6,3)</f>
        <v>0.5</v>
      </c>
      <c r="E5484">
        <f t="shared" si="85"/>
        <v>48675</v>
      </c>
    </row>
    <row r="5485" spans="1:5" x14ac:dyDescent="0.25">
      <c r="A5485" t="s">
        <v>3</v>
      </c>
      <c r="B5485">
        <v>1220411</v>
      </c>
      <c r="C5485">
        <v>99050</v>
      </c>
      <c r="D5485" s="4">
        <f>+VLOOKUP(A5485,Portfolio!$G$3:$I$6,3)</f>
        <v>0.5</v>
      </c>
      <c r="E5485">
        <f t="shared" si="85"/>
        <v>49525</v>
      </c>
    </row>
    <row r="5486" spans="1:5" x14ac:dyDescent="0.25">
      <c r="A5486" t="s">
        <v>3</v>
      </c>
      <c r="B5486">
        <v>1220412</v>
      </c>
      <c r="C5486">
        <v>102475</v>
      </c>
      <c r="D5486" s="4">
        <f>+VLOOKUP(A5486,Portfolio!$G$3:$I$6,3)</f>
        <v>0.5</v>
      </c>
      <c r="E5486">
        <f t="shared" si="85"/>
        <v>51237.5</v>
      </c>
    </row>
    <row r="5487" spans="1:5" x14ac:dyDescent="0.25">
      <c r="A5487" t="s">
        <v>3</v>
      </c>
      <c r="B5487">
        <v>1220413</v>
      </c>
      <c r="C5487">
        <v>101437.5</v>
      </c>
      <c r="D5487" s="4">
        <f>+VLOOKUP(A5487,Portfolio!$G$3:$I$6,3)</f>
        <v>0.5</v>
      </c>
      <c r="E5487">
        <f t="shared" si="85"/>
        <v>50718.75</v>
      </c>
    </row>
    <row r="5488" spans="1:5" x14ac:dyDescent="0.25">
      <c r="A5488" t="s">
        <v>3</v>
      </c>
      <c r="B5488">
        <v>1220414</v>
      </c>
      <c r="C5488">
        <v>102625</v>
      </c>
      <c r="D5488" s="4">
        <f>+VLOOKUP(A5488,Portfolio!$G$3:$I$6,3)</f>
        <v>0.5</v>
      </c>
      <c r="E5488">
        <f t="shared" si="85"/>
        <v>51312.5</v>
      </c>
    </row>
    <row r="5489" spans="1:5" x14ac:dyDescent="0.25">
      <c r="A5489" t="s">
        <v>3</v>
      </c>
      <c r="B5489">
        <v>1220417</v>
      </c>
      <c r="C5489">
        <v>103900</v>
      </c>
      <c r="D5489" s="4">
        <f>+VLOOKUP(A5489,Portfolio!$G$3:$I$6,3)</f>
        <v>0.5</v>
      </c>
      <c r="E5489">
        <f t="shared" si="85"/>
        <v>51950</v>
      </c>
    </row>
    <row r="5490" spans="1:5" x14ac:dyDescent="0.25">
      <c r="A5490" t="s">
        <v>3</v>
      </c>
      <c r="B5490">
        <v>1220418</v>
      </c>
      <c r="C5490">
        <v>104400</v>
      </c>
      <c r="D5490" s="4">
        <f>+VLOOKUP(A5490,Portfolio!$G$3:$I$6,3)</f>
        <v>0.5</v>
      </c>
      <c r="E5490">
        <f t="shared" si="85"/>
        <v>52200</v>
      </c>
    </row>
    <row r="5491" spans="1:5" x14ac:dyDescent="0.25">
      <c r="A5491" t="s">
        <v>3</v>
      </c>
      <c r="B5491">
        <v>1220419</v>
      </c>
      <c r="C5491">
        <v>102437.5</v>
      </c>
      <c r="D5491" s="4">
        <f>+VLOOKUP(A5491,Portfolio!$G$3:$I$6,3)</f>
        <v>0.5</v>
      </c>
      <c r="E5491">
        <f t="shared" si="85"/>
        <v>51218.75</v>
      </c>
    </row>
    <row r="5492" spans="1:5" x14ac:dyDescent="0.25">
      <c r="A5492" t="s">
        <v>3</v>
      </c>
      <c r="B5492">
        <v>1220420</v>
      </c>
      <c r="C5492">
        <v>104350</v>
      </c>
      <c r="D5492" s="4">
        <f>+VLOOKUP(A5492,Portfolio!$G$3:$I$6,3)</f>
        <v>0.5</v>
      </c>
      <c r="E5492">
        <f t="shared" si="85"/>
        <v>52175</v>
      </c>
    </row>
    <row r="5493" spans="1:5" x14ac:dyDescent="0.25">
      <c r="A5493" t="s">
        <v>3</v>
      </c>
      <c r="B5493">
        <v>1220421</v>
      </c>
      <c r="C5493">
        <v>105937.5</v>
      </c>
      <c r="D5493" s="4">
        <f>+VLOOKUP(A5493,Portfolio!$G$3:$I$6,3)</f>
        <v>0.5</v>
      </c>
      <c r="E5493">
        <f t="shared" si="85"/>
        <v>52968.75</v>
      </c>
    </row>
    <row r="5494" spans="1:5" x14ac:dyDescent="0.25">
      <c r="A5494" t="s">
        <v>3</v>
      </c>
      <c r="B5494">
        <v>1220422</v>
      </c>
      <c r="C5494">
        <v>110387.5</v>
      </c>
      <c r="D5494" s="4">
        <f>+VLOOKUP(A5494,Portfolio!$G$3:$I$6,3)</f>
        <v>0.5</v>
      </c>
      <c r="E5494">
        <f t="shared" si="85"/>
        <v>55193.75</v>
      </c>
    </row>
    <row r="5495" spans="1:5" x14ac:dyDescent="0.25">
      <c r="A5495" t="s">
        <v>3</v>
      </c>
      <c r="B5495">
        <v>1220424</v>
      </c>
      <c r="C5495">
        <v>116312.5</v>
      </c>
      <c r="D5495" s="4">
        <f>+VLOOKUP(A5495,Portfolio!$G$3:$I$6,3)</f>
        <v>0.5</v>
      </c>
      <c r="E5495">
        <f t="shared" si="85"/>
        <v>58156.25</v>
      </c>
    </row>
    <row r="5496" spans="1:5" x14ac:dyDescent="0.25">
      <c r="A5496" t="s">
        <v>3</v>
      </c>
      <c r="B5496">
        <v>1220425</v>
      </c>
      <c r="C5496">
        <v>117425</v>
      </c>
      <c r="D5496" s="4">
        <f>+VLOOKUP(A5496,Portfolio!$G$3:$I$6,3)</f>
        <v>0.5</v>
      </c>
      <c r="E5496">
        <f t="shared" si="85"/>
        <v>58712.5</v>
      </c>
    </row>
    <row r="5497" spans="1:5" x14ac:dyDescent="0.25">
      <c r="A5497" t="s">
        <v>3</v>
      </c>
      <c r="B5497">
        <v>1220426</v>
      </c>
      <c r="C5497">
        <v>118975</v>
      </c>
      <c r="D5497" s="4">
        <f>+VLOOKUP(A5497,Portfolio!$G$3:$I$6,3)</f>
        <v>0.5</v>
      </c>
      <c r="E5497">
        <f t="shared" si="85"/>
        <v>59487.5</v>
      </c>
    </row>
    <row r="5498" spans="1:5" x14ac:dyDescent="0.25">
      <c r="A5498" t="s">
        <v>3</v>
      </c>
      <c r="B5498">
        <v>1220427</v>
      </c>
      <c r="C5498">
        <v>118450</v>
      </c>
      <c r="D5498" s="4">
        <f>+VLOOKUP(A5498,Portfolio!$G$3:$I$6,3)</f>
        <v>0.5</v>
      </c>
      <c r="E5498">
        <f t="shared" si="85"/>
        <v>59225</v>
      </c>
    </row>
    <row r="5499" spans="1:5" x14ac:dyDescent="0.25">
      <c r="A5499" t="s">
        <v>3</v>
      </c>
      <c r="B5499">
        <v>1220428</v>
      </c>
      <c r="C5499">
        <v>117187.5</v>
      </c>
      <c r="D5499" s="4">
        <f>+VLOOKUP(A5499,Portfolio!$G$3:$I$6,3)</f>
        <v>0.5</v>
      </c>
      <c r="E5499">
        <f t="shared" si="85"/>
        <v>58593.75</v>
      </c>
    </row>
    <row r="5500" spans="1:5" x14ac:dyDescent="0.25">
      <c r="A5500" t="s">
        <v>3</v>
      </c>
      <c r="B5500">
        <v>1220429</v>
      </c>
      <c r="C5500">
        <v>114212.5</v>
      </c>
      <c r="D5500" s="4">
        <f>+VLOOKUP(A5500,Portfolio!$G$3:$I$6,3)</f>
        <v>0.5</v>
      </c>
      <c r="E5500">
        <f t="shared" si="85"/>
        <v>57106.25</v>
      </c>
    </row>
    <row r="5501" spans="1:5" x14ac:dyDescent="0.25">
      <c r="A5501" t="s">
        <v>3</v>
      </c>
      <c r="B5501">
        <v>1220501</v>
      </c>
      <c r="C5501">
        <v>117100</v>
      </c>
      <c r="D5501" s="4">
        <f>+VLOOKUP(A5501,Portfolio!$G$3:$I$6,3)</f>
        <v>0.5</v>
      </c>
      <c r="E5501">
        <f t="shared" si="85"/>
        <v>58550</v>
      </c>
    </row>
    <row r="5502" spans="1:5" x14ac:dyDescent="0.25">
      <c r="A5502" t="s">
        <v>3</v>
      </c>
      <c r="B5502">
        <v>1220502</v>
      </c>
      <c r="C5502">
        <v>116287.5</v>
      </c>
      <c r="D5502" s="4">
        <f>+VLOOKUP(A5502,Portfolio!$G$3:$I$6,3)</f>
        <v>0.5</v>
      </c>
      <c r="E5502">
        <f t="shared" si="85"/>
        <v>58143.75</v>
      </c>
    </row>
    <row r="5503" spans="1:5" x14ac:dyDescent="0.25">
      <c r="A5503" t="s">
        <v>3</v>
      </c>
      <c r="B5503">
        <v>1220503</v>
      </c>
      <c r="C5503">
        <v>109650</v>
      </c>
      <c r="D5503" s="4">
        <f>+VLOOKUP(A5503,Portfolio!$G$3:$I$6,3)</f>
        <v>0.5</v>
      </c>
      <c r="E5503">
        <f t="shared" si="85"/>
        <v>54825</v>
      </c>
    </row>
    <row r="5504" spans="1:5" x14ac:dyDescent="0.25">
      <c r="A5504" t="s">
        <v>3</v>
      </c>
      <c r="B5504">
        <v>1220504</v>
      </c>
      <c r="C5504">
        <v>108862.5</v>
      </c>
      <c r="D5504" s="4">
        <f>+VLOOKUP(A5504,Portfolio!$G$3:$I$6,3)</f>
        <v>0.5</v>
      </c>
      <c r="E5504">
        <f t="shared" si="85"/>
        <v>54431.25</v>
      </c>
    </row>
    <row r="5505" spans="1:5" x14ac:dyDescent="0.25">
      <c r="A5505" t="s">
        <v>3</v>
      </c>
      <c r="B5505">
        <v>1220505</v>
      </c>
      <c r="C5505">
        <v>110112.5</v>
      </c>
      <c r="D5505" s="4">
        <f>+VLOOKUP(A5505,Portfolio!$G$3:$I$6,3)</f>
        <v>0.5</v>
      </c>
      <c r="E5505">
        <f t="shared" si="85"/>
        <v>55056.25</v>
      </c>
    </row>
    <row r="5506" spans="1:5" x14ac:dyDescent="0.25">
      <c r="A5506" t="s">
        <v>3</v>
      </c>
      <c r="B5506">
        <v>1220506</v>
      </c>
      <c r="C5506">
        <v>109850</v>
      </c>
      <c r="D5506" s="4">
        <f>+VLOOKUP(A5506,Portfolio!$G$3:$I$6,3)</f>
        <v>0.5</v>
      </c>
      <c r="E5506">
        <f t="shared" si="85"/>
        <v>54925</v>
      </c>
    </row>
    <row r="5507" spans="1:5" x14ac:dyDescent="0.25">
      <c r="A5507" t="s">
        <v>3</v>
      </c>
      <c r="B5507">
        <v>1220508</v>
      </c>
      <c r="C5507">
        <v>106362.5</v>
      </c>
      <c r="D5507" s="4">
        <f>+VLOOKUP(A5507,Portfolio!$G$3:$I$6,3)</f>
        <v>0.5</v>
      </c>
      <c r="E5507">
        <f t="shared" ref="E5507:E5570" si="86">+C5507*D5507</f>
        <v>53181.25</v>
      </c>
    </row>
    <row r="5508" spans="1:5" x14ac:dyDescent="0.25">
      <c r="A5508" t="s">
        <v>3</v>
      </c>
      <c r="B5508">
        <v>1220509</v>
      </c>
      <c r="C5508">
        <v>105400</v>
      </c>
      <c r="D5508" s="4">
        <f>+VLOOKUP(A5508,Portfolio!$G$3:$I$6,3)</f>
        <v>0.5</v>
      </c>
      <c r="E5508">
        <f t="shared" si="86"/>
        <v>52700</v>
      </c>
    </row>
    <row r="5509" spans="1:5" x14ac:dyDescent="0.25">
      <c r="A5509" t="s">
        <v>3</v>
      </c>
      <c r="B5509">
        <v>1220510</v>
      </c>
      <c r="C5509">
        <v>104287.5</v>
      </c>
      <c r="D5509" s="4">
        <f>+VLOOKUP(A5509,Portfolio!$G$3:$I$6,3)</f>
        <v>0.5</v>
      </c>
      <c r="E5509">
        <f t="shared" si="86"/>
        <v>52143.75</v>
      </c>
    </row>
    <row r="5510" spans="1:5" x14ac:dyDescent="0.25">
      <c r="A5510" t="s">
        <v>3</v>
      </c>
      <c r="B5510">
        <v>1220511</v>
      </c>
      <c r="C5510">
        <v>104050</v>
      </c>
      <c r="D5510" s="4">
        <f>+VLOOKUP(A5510,Portfolio!$G$3:$I$6,3)</f>
        <v>0.5</v>
      </c>
      <c r="E5510">
        <f t="shared" si="86"/>
        <v>52025</v>
      </c>
    </row>
    <row r="5511" spans="1:5" x14ac:dyDescent="0.25">
      <c r="A5511" t="s">
        <v>3</v>
      </c>
      <c r="B5511">
        <v>1220512</v>
      </c>
      <c r="C5511">
        <v>108200</v>
      </c>
      <c r="D5511" s="4">
        <f>+VLOOKUP(A5511,Portfolio!$G$3:$I$6,3)</f>
        <v>0.5</v>
      </c>
      <c r="E5511">
        <f t="shared" si="86"/>
        <v>54100</v>
      </c>
    </row>
    <row r="5512" spans="1:5" x14ac:dyDescent="0.25">
      <c r="A5512" t="s">
        <v>3</v>
      </c>
      <c r="B5512">
        <v>1220513</v>
      </c>
      <c r="C5512">
        <v>98450</v>
      </c>
      <c r="D5512" s="4">
        <f>+VLOOKUP(A5512,Portfolio!$G$3:$I$6,3)</f>
        <v>0.5</v>
      </c>
      <c r="E5512">
        <f t="shared" si="86"/>
        <v>49225</v>
      </c>
    </row>
    <row r="5513" spans="1:5" x14ac:dyDescent="0.25">
      <c r="A5513" t="s">
        <v>3</v>
      </c>
      <c r="B5513">
        <v>1220515</v>
      </c>
      <c r="C5513">
        <v>99062.5</v>
      </c>
      <c r="D5513" s="4">
        <f>+VLOOKUP(A5513,Portfolio!$G$3:$I$6,3)</f>
        <v>0.5</v>
      </c>
      <c r="E5513">
        <f t="shared" si="86"/>
        <v>49531.25</v>
      </c>
    </row>
    <row r="5514" spans="1:5" x14ac:dyDescent="0.25">
      <c r="A5514" t="s">
        <v>3</v>
      </c>
      <c r="B5514">
        <v>1220516</v>
      </c>
      <c r="C5514">
        <v>97300</v>
      </c>
      <c r="D5514" s="4">
        <f>+VLOOKUP(A5514,Portfolio!$G$3:$I$6,3)</f>
        <v>0.5</v>
      </c>
      <c r="E5514">
        <f t="shared" si="86"/>
        <v>48650</v>
      </c>
    </row>
    <row r="5515" spans="1:5" x14ac:dyDescent="0.25">
      <c r="A5515" t="s">
        <v>3</v>
      </c>
      <c r="B5515">
        <v>1220517</v>
      </c>
      <c r="C5515">
        <v>97937.5</v>
      </c>
      <c r="D5515" s="4">
        <f>+VLOOKUP(A5515,Portfolio!$G$3:$I$6,3)</f>
        <v>0.5</v>
      </c>
      <c r="E5515">
        <f t="shared" si="86"/>
        <v>48968.75</v>
      </c>
    </row>
    <row r="5516" spans="1:5" x14ac:dyDescent="0.25">
      <c r="A5516" t="s">
        <v>3</v>
      </c>
      <c r="B5516">
        <v>1220518</v>
      </c>
      <c r="C5516">
        <v>100662.5</v>
      </c>
      <c r="D5516" s="4">
        <f>+VLOOKUP(A5516,Portfolio!$G$3:$I$6,3)</f>
        <v>0.5</v>
      </c>
      <c r="E5516">
        <f t="shared" si="86"/>
        <v>50331.25</v>
      </c>
    </row>
    <row r="5517" spans="1:5" x14ac:dyDescent="0.25">
      <c r="A5517" t="s">
        <v>3</v>
      </c>
      <c r="B5517">
        <v>1220519</v>
      </c>
      <c r="C5517">
        <v>104812.5</v>
      </c>
      <c r="D5517" s="4">
        <f>+VLOOKUP(A5517,Portfolio!$G$3:$I$6,3)</f>
        <v>0.5</v>
      </c>
      <c r="E5517">
        <f t="shared" si="86"/>
        <v>52406.25</v>
      </c>
    </row>
    <row r="5518" spans="1:5" x14ac:dyDescent="0.25">
      <c r="A5518" t="s">
        <v>3</v>
      </c>
      <c r="B5518">
        <v>1220520</v>
      </c>
      <c r="C5518">
        <v>104475</v>
      </c>
      <c r="D5518" s="4">
        <f>+VLOOKUP(A5518,Portfolio!$G$3:$I$6,3)</f>
        <v>0.5</v>
      </c>
      <c r="E5518">
        <f t="shared" si="86"/>
        <v>52237.5</v>
      </c>
    </row>
    <row r="5519" spans="1:5" x14ac:dyDescent="0.25">
      <c r="A5519" t="s">
        <v>3</v>
      </c>
      <c r="B5519">
        <v>1220522</v>
      </c>
      <c r="C5519">
        <v>103125</v>
      </c>
      <c r="D5519" s="4">
        <f>+VLOOKUP(A5519,Portfolio!$G$3:$I$6,3)</f>
        <v>0.5</v>
      </c>
      <c r="E5519">
        <f t="shared" si="86"/>
        <v>51562.5</v>
      </c>
    </row>
    <row r="5520" spans="1:5" x14ac:dyDescent="0.25">
      <c r="A5520" t="s">
        <v>3</v>
      </c>
      <c r="B5520">
        <v>1220523</v>
      </c>
      <c r="C5520">
        <v>102900</v>
      </c>
      <c r="D5520" s="4">
        <f>+VLOOKUP(A5520,Portfolio!$G$3:$I$6,3)</f>
        <v>0.5</v>
      </c>
      <c r="E5520">
        <f t="shared" si="86"/>
        <v>51450</v>
      </c>
    </row>
    <row r="5521" spans="1:5" x14ac:dyDescent="0.25">
      <c r="A5521" t="s">
        <v>3</v>
      </c>
      <c r="B5521">
        <v>1220524</v>
      </c>
      <c r="C5521">
        <v>100612.5</v>
      </c>
      <c r="D5521" s="4">
        <f>+VLOOKUP(A5521,Portfolio!$G$3:$I$6,3)</f>
        <v>0.5</v>
      </c>
      <c r="E5521">
        <f t="shared" si="86"/>
        <v>50306.25</v>
      </c>
    </row>
    <row r="5522" spans="1:5" x14ac:dyDescent="0.25">
      <c r="A5522" t="s">
        <v>3</v>
      </c>
      <c r="B5522">
        <v>1220525</v>
      </c>
      <c r="C5522">
        <v>96662.5</v>
      </c>
      <c r="D5522" s="4">
        <f>+VLOOKUP(A5522,Portfolio!$G$3:$I$6,3)</f>
        <v>0.5</v>
      </c>
      <c r="E5522">
        <f t="shared" si="86"/>
        <v>48331.25</v>
      </c>
    </row>
    <row r="5523" spans="1:5" x14ac:dyDescent="0.25">
      <c r="A5523" t="s">
        <v>3</v>
      </c>
      <c r="B5523">
        <v>1220526</v>
      </c>
      <c r="C5523">
        <v>96200</v>
      </c>
      <c r="D5523" s="4">
        <f>+VLOOKUP(A5523,Portfolio!$G$3:$I$6,3)</f>
        <v>0.5</v>
      </c>
      <c r="E5523">
        <f t="shared" si="86"/>
        <v>48100</v>
      </c>
    </row>
    <row r="5524" spans="1:5" x14ac:dyDescent="0.25">
      <c r="A5524" t="s">
        <v>3</v>
      </c>
      <c r="B5524">
        <v>1220527</v>
      </c>
      <c r="C5524">
        <v>100500</v>
      </c>
      <c r="D5524" s="4">
        <f>+VLOOKUP(A5524,Portfolio!$G$3:$I$6,3)</f>
        <v>0.5</v>
      </c>
      <c r="E5524">
        <f t="shared" si="86"/>
        <v>50250</v>
      </c>
    </row>
    <row r="5525" spans="1:5" x14ac:dyDescent="0.25">
      <c r="A5525" t="s">
        <v>3</v>
      </c>
      <c r="B5525">
        <v>1220529</v>
      </c>
      <c r="C5525">
        <v>106075</v>
      </c>
      <c r="D5525" s="4">
        <f>+VLOOKUP(A5525,Portfolio!$G$3:$I$6,3)</f>
        <v>0.5</v>
      </c>
      <c r="E5525">
        <f t="shared" si="86"/>
        <v>53037.5</v>
      </c>
    </row>
    <row r="5526" spans="1:5" x14ac:dyDescent="0.25">
      <c r="A5526" t="s">
        <v>3</v>
      </c>
      <c r="B5526">
        <v>1220530</v>
      </c>
      <c r="C5526">
        <v>106787.5</v>
      </c>
      <c r="D5526" s="4">
        <f>+VLOOKUP(A5526,Portfolio!$G$3:$I$6,3)</f>
        <v>0.5</v>
      </c>
      <c r="E5526">
        <f t="shared" si="86"/>
        <v>53393.75</v>
      </c>
    </row>
    <row r="5527" spans="1:5" x14ac:dyDescent="0.25">
      <c r="A5527" t="s">
        <v>3</v>
      </c>
      <c r="B5527">
        <v>1220531</v>
      </c>
      <c r="C5527">
        <v>106225</v>
      </c>
      <c r="D5527" s="4">
        <f>+VLOOKUP(A5527,Portfolio!$G$3:$I$6,3)</f>
        <v>0.5</v>
      </c>
      <c r="E5527">
        <f t="shared" si="86"/>
        <v>53112.5</v>
      </c>
    </row>
    <row r="5528" spans="1:5" x14ac:dyDescent="0.25">
      <c r="A5528" t="s">
        <v>3</v>
      </c>
      <c r="B5528">
        <v>1220601</v>
      </c>
      <c r="C5528">
        <v>107100</v>
      </c>
      <c r="D5528" s="4">
        <f>+VLOOKUP(A5528,Portfolio!$G$3:$I$6,3)</f>
        <v>0.5</v>
      </c>
      <c r="E5528">
        <f t="shared" si="86"/>
        <v>53550</v>
      </c>
    </row>
    <row r="5529" spans="1:5" x14ac:dyDescent="0.25">
      <c r="A5529" t="s">
        <v>3</v>
      </c>
      <c r="B5529">
        <v>1220602</v>
      </c>
      <c r="C5529">
        <v>108237.5</v>
      </c>
      <c r="D5529" s="4">
        <f>+VLOOKUP(A5529,Portfolio!$G$3:$I$6,3)</f>
        <v>0.5</v>
      </c>
      <c r="E5529">
        <f t="shared" si="86"/>
        <v>54118.75</v>
      </c>
    </row>
    <row r="5530" spans="1:5" x14ac:dyDescent="0.25">
      <c r="A5530" t="s">
        <v>3</v>
      </c>
      <c r="B5530">
        <v>1220603</v>
      </c>
      <c r="C5530">
        <v>109775</v>
      </c>
      <c r="D5530" s="4">
        <f>+VLOOKUP(A5530,Portfolio!$G$3:$I$6,3)</f>
        <v>0.5</v>
      </c>
      <c r="E5530">
        <f t="shared" si="86"/>
        <v>54887.5</v>
      </c>
    </row>
    <row r="5531" spans="1:5" x14ac:dyDescent="0.25">
      <c r="A5531" t="s">
        <v>3</v>
      </c>
      <c r="B5531">
        <v>1220605</v>
      </c>
      <c r="C5531">
        <v>107062.5</v>
      </c>
      <c r="D5531" s="4">
        <f>+VLOOKUP(A5531,Portfolio!$G$3:$I$6,3)</f>
        <v>0.5</v>
      </c>
      <c r="E5531">
        <f t="shared" si="86"/>
        <v>53531.25</v>
      </c>
    </row>
    <row r="5532" spans="1:5" x14ac:dyDescent="0.25">
      <c r="A5532" t="s">
        <v>3</v>
      </c>
      <c r="B5532">
        <v>1220606</v>
      </c>
      <c r="C5532">
        <v>105987.5</v>
      </c>
      <c r="D5532" s="4">
        <f>+VLOOKUP(A5532,Portfolio!$G$3:$I$6,3)</f>
        <v>0.5</v>
      </c>
      <c r="E5532">
        <f t="shared" si="86"/>
        <v>52993.75</v>
      </c>
    </row>
    <row r="5533" spans="1:5" x14ac:dyDescent="0.25">
      <c r="A5533" t="s">
        <v>3</v>
      </c>
      <c r="B5533">
        <v>1220607</v>
      </c>
      <c r="C5533">
        <v>103650</v>
      </c>
      <c r="D5533" s="4">
        <f>+VLOOKUP(A5533,Portfolio!$G$3:$I$6,3)</f>
        <v>0.5</v>
      </c>
      <c r="E5533">
        <f t="shared" si="86"/>
        <v>51825</v>
      </c>
    </row>
    <row r="5534" spans="1:5" x14ac:dyDescent="0.25">
      <c r="A5534" t="s">
        <v>3</v>
      </c>
      <c r="B5534">
        <v>1220608</v>
      </c>
      <c r="C5534">
        <v>104462.5</v>
      </c>
      <c r="D5534" s="4">
        <f>+VLOOKUP(A5534,Portfolio!$G$3:$I$6,3)</f>
        <v>0.5</v>
      </c>
      <c r="E5534">
        <f t="shared" si="86"/>
        <v>52231.25</v>
      </c>
    </row>
    <row r="5535" spans="1:5" x14ac:dyDescent="0.25">
      <c r="A5535" t="s">
        <v>3</v>
      </c>
      <c r="B5535">
        <v>1220609</v>
      </c>
      <c r="C5535">
        <v>105837.5</v>
      </c>
      <c r="D5535" s="4">
        <f>+VLOOKUP(A5535,Portfolio!$G$3:$I$6,3)</f>
        <v>0.5</v>
      </c>
      <c r="E5535">
        <f t="shared" si="86"/>
        <v>52918.75</v>
      </c>
    </row>
    <row r="5536" spans="1:5" x14ac:dyDescent="0.25">
      <c r="A5536" t="s">
        <v>3</v>
      </c>
      <c r="B5536">
        <v>1220610</v>
      </c>
      <c r="C5536">
        <v>110050</v>
      </c>
      <c r="D5536" s="4">
        <f>+VLOOKUP(A5536,Portfolio!$G$3:$I$6,3)</f>
        <v>0.5</v>
      </c>
      <c r="E5536">
        <f t="shared" si="86"/>
        <v>55025</v>
      </c>
    </row>
    <row r="5537" spans="1:5" x14ac:dyDescent="0.25">
      <c r="A5537" t="s">
        <v>3</v>
      </c>
      <c r="B5537">
        <v>1220612</v>
      </c>
      <c r="C5537">
        <v>116012.5</v>
      </c>
      <c r="D5537" s="4">
        <f>+VLOOKUP(A5537,Portfolio!$G$3:$I$6,3)</f>
        <v>0.5</v>
      </c>
      <c r="E5537">
        <f t="shared" si="86"/>
        <v>58006.25</v>
      </c>
    </row>
    <row r="5538" spans="1:5" x14ac:dyDescent="0.25">
      <c r="A5538" t="s">
        <v>3</v>
      </c>
      <c r="B5538">
        <v>1220613</v>
      </c>
      <c r="C5538">
        <v>116012.5</v>
      </c>
      <c r="D5538" s="4">
        <f>+VLOOKUP(A5538,Portfolio!$G$3:$I$6,3)</f>
        <v>0.5</v>
      </c>
      <c r="E5538">
        <f t="shared" si="86"/>
        <v>58006.25</v>
      </c>
    </row>
    <row r="5539" spans="1:5" x14ac:dyDescent="0.25">
      <c r="A5539" t="s">
        <v>3</v>
      </c>
      <c r="B5539">
        <v>1220614</v>
      </c>
      <c r="C5539">
        <v>116025</v>
      </c>
      <c r="D5539" s="4">
        <f>+VLOOKUP(A5539,Portfolio!$G$3:$I$6,3)</f>
        <v>0.5</v>
      </c>
      <c r="E5539">
        <f t="shared" si="86"/>
        <v>58012.5</v>
      </c>
    </row>
    <row r="5540" spans="1:5" x14ac:dyDescent="0.25">
      <c r="A5540" t="s">
        <v>3</v>
      </c>
      <c r="B5540">
        <v>1220615</v>
      </c>
      <c r="C5540">
        <v>118075</v>
      </c>
      <c r="D5540" s="4">
        <f>+VLOOKUP(A5540,Portfolio!$G$3:$I$6,3)</f>
        <v>0.5</v>
      </c>
      <c r="E5540">
        <f t="shared" si="86"/>
        <v>59037.5</v>
      </c>
    </row>
    <row r="5541" spans="1:5" x14ac:dyDescent="0.25">
      <c r="A5541" t="s">
        <v>3</v>
      </c>
      <c r="B5541">
        <v>1220616</v>
      </c>
      <c r="C5541">
        <v>109950</v>
      </c>
      <c r="D5541" s="4">
        <f>+VLOOKUP(A5541,Portfolio!$G$3:$I$6,3)</f>
        <v>0.5</v>
      </c>
      <c r="E5541">
        <f t="shared" si="86"/>
        <v>54975</v>
      </c>
    </row>
    <row r="5542" spans="1:5" x14ac:dyDescent="0.25">
      <c r="A5542" t="s">
        <v>3</v>
      </c>
      <c r="B5542">
        <v>1220617</v>
      </c>
      <c r="C5542">
        <v>116250</v>
      </c>
      <c r="D5542" s="4">
        <f>+VLOOKUP(A5542,Portfolio!$G$3:$I$6,3)</f>
        <v>0.5</v>
      </c>
      <c r="E5542">
        <f t="shared" si="86"/>
        <v>58125</v>
      </c>
    </row>
    <row r="5543" spans="1:5" x14ac:dyDescent="0.25">
      <c r="A5543" t="s">
        <v>3</v>
      </c>
      <c r="B5543">
        <v>1220619</v>
      </c>
      <c r="C5543">
        <v>114675</v>
      </c>
      <c r="D5543" s="4">
        <f>+VLOOKUP(A5543,Portfolio!$G$3:$I$6,3)</f>
        <v>0.5</v>
      </c>
      <c r="E5543">
        <f t="shared" si="86"/>
        <v>57337.5</v>
      </c>
    </row>
    <row r="5544" spans="1:5" x14ac:dyDescent="0.25">
      <c r="A5544" t="s">
        <v>3</v>
      </c>
      <c r="B5544">
        <v>1220620</v>
      </c>
      <c r="C5544">
        <v>115637.5</v>
      </c>
      <c r="D5544" s="4">
        <f>+VLOOKUP(A5544,Portfolio!$G$3:$I$6,3)</f>
        <v>0.5</v>
      </c>
      <c r="E5544">
        <f t="shared" si="86"/>
        <v>57818.75</v>
      </c>
    </row>
    <row r="5545" spans="1:5" x14ac:dyDescent="0.25">
      <c r="A5545" t="s">
        <v>3</v>
      </c>
      <c r="B5545">
        <v>1220621</v>
      </c>
      <c r="C5545">
        <v>115575</v>
      </c>
      <c r="D5545" s="4">
        <f>+VLOOKUP(A5545,Portfolio!$G$3:$I$6,3)</f>
        <v>0.5</v>
      </c>
      <c r="E5545">
        <f t="shared" si="86"/>
        <v>57787.5</v>
      </c>
    </row>
    <row r="5546" spans="1:5" x14ac:dyDescent="0.25">
      <c r="A5546" t="s">
        <v>3</v>
      </c>
      <c r="B5546">
        <v>1220622</v>
      </c>
      <c r="C5546">
        <v>117225</v>
      </c>
      <c r="D5546" s="4">
        <f>+VLOOKUP(A5546,Portfolio!$G$3:$I$6,3)</f>
        <v>0.5</v>
      </c>
      <c r="E5546">
        <f t="shared" si="86"/>
        <v>58612.5</v>
      </c>
    </row>
    <row r="5547" spans="1:5" x14ac:dyDescent="0.25">
      <c r="A5547" t="s">
        <v>3</v>
      </c>
      <c r="B5547">
        <v>1220623</v>
      </c>
      <c r="C5547">
        <v>116987.5</v>
      </c>
      <c r="D5547" s="4">
        <f>+VLOOKUP(A5547,Portfolio!$G$3:$I$6,3)</f>
        <v>0.5</v>
      </c>
      <c r="E5547">
        <f t="shared" si="86"/>
        <v>58493.75</v>
      </c>
    </row>
    <row r="5548" spans="1:5" x14ac:dyDescent="0.25">
      <c r="A5548" t="s">
        <v>3</v>
      </c>
      <c r="B5548">
        <v>1220624</v>
      </c>
      <c r="C5548">
        <v>117562.5</v>
      </c>
      <c r="D5548" s="4">
        <f>+VLOOKUP(A5548,Portfolio!$G$3:$I$6,3)</f>
        <v>0.5</v>
      </c>
      <c r="E5548">
        <f t="shared" si="86"/>
        <v>58781.25</v>
      </c>
    </row>
    <row r="5549" spans="1:5" x14ac:dyDescent="0.25">
      <c r="A5549" t="s">
        <v>3</v>
      </c>
      <c r="B5549">
        <v>1220626</v>
      </c>
      <c r="C5549">
        <v>119875</v>
      </c>
      <c r="D5549" s="4">
        <f>+VLOOKUP(A5549,Portfolio!$G$3:$I$6,3)</f>
        <v>0.5</v>
      </c>
      <c r="E5549">
        <f t="shared" si="86"/>
        <v>59937.5</v>
      </c>
    </row>
    <row r="5550" spans="1:5" x14ac:dyDescent="0.25">
      <c r="A5550" t="s">
        <v>3</v>
      </c>
      <c r="B5550">
        <v>1220627</v>
      </c>
      <c r="C5550">
        <v>120962.5</v>
      </c>
      <c r="D5550" s="4">
        <f>+VLOOKUP(A5550,Portfolio!$G$3:$I$6,3)</f>
        <v>0.5</v>
      </c>
      <c r="E5550">
        <f t="shared" si="86"/>
        <v>60481.25</v>
      </c>
    </row>
    <row r="5551" spans="1:5" x14ac:dyDescent="0.25">
      <c r="A5551" t="s">
        <v>3</v>
      </c>
      <c r="B5551">
        <v>1220628</v>
      </c>
      <c r="C5551">
        <v>120825</v>
      </c>
      <c r="D5551" s="4">
        <f>+VLOOKUP(A5551,Portfolio!$G$3:$I$6,3)</f>
        <v>0.5</v>
      </c>
      <c r="E5551">
        <f t="shared" si="86"/>
        <v>60412.5</v>
      </c>
    </row>
    <row r="5552" spans="1:5" x14ac:dyDescent="0.25">
      <c r="A5552" t="s">
        <v>3</v>
      </c>
      <c r="B5552">
        <v>1220629</v>
      </c>
      <c r="C5552">
        <v>123500</v>
      </c>
      <c r="D5552" s="4">
        <f>+VLOOKUP(A5552,Portfolio!$G$3:$I$6,3)</f>
        <v>0.5</v>
      </c>
      <c r="E5552">
        <f t="shared" si="86"/>
        <v>61750</v>
      </c>
    </row>
    <row r="5553" spans="1:5" x14ac:dyDescent="0.25">
      <c r="A5553" t="s">
        <v>3</v>
      </c>
      <c r="B5553">
        <v>1220630</v>
      </c>
      <c r="C5553">
        <v>121550</v>
      </c>
      <c r="D5553" s="4">
        <f>+VLOOKUP(A5553,Portfolio!$G$3:$I$6,3)</f>
        <v>0.5</v>
      </c>
      <c r="E5553">
        <f t="shared" si="86"/>
        <v>60775</v>
      </c>
    </row>
    <row r="5554" spans="1:5" x14ac:dyDescent="0.25">
      <c r="A5554" t="s">
        <v>3</v>
      </c>
      <c r="B5554">
        <v>1220701</v>
      </c>
      <c r="C5554">
        <v>111600</v>
      </c>
      <c r="D5554" s="4">
        <f>+VLOOKUP(A5554,Portfolio!$G$3:$I$6,3)</f>
        <v>0.5</v>
      </c>
      <c r="E5554">
        <f t="shared" si="86"/>
        <v>55800</v>
      </c>
    </row>
    <row r="5555" spans="1:5" x14ac:dyDescent="0.25">
      <c r="A5555" t="s">
        <v>3</v>
      </c>
      <c r="B5555">
        <v>1220703</v>
      </c>
      <c r="C5555">
        <v>114412.5</v>
      </c>
      <c r="D5555" s="4">
        <f>+VLOOKUP(A5555,Portfolio!$G$3:$I$6,3)</f>
        <v>0.5</v>
      </c>
      <c r="E5555">
        <f t="shared" si="86"/>
        <v>57206.25</v>
      </c>
    </row>
    <row r="5556" spans="1:5" x14ac:dyDescent="0.25">
      <c r="A5556" t="s">
        <v>3</v>
      </c>
      <c r="B5556">
        <v>1220704</v>
      </c>
      <c r="C5556">
        <v>113450</v>
      </c>
      <c r="D5556" s="4">
        <f>+VLOOKUP(A5556,Portfolio!$G$3:$I$6,3)</f>
        <v>0.5</v>
      </c>
      <c r="E5556">
        <f t="shared" si="86"/>
        <v>56725</v>
      </c>
    </row>
    <row r="5557" spans="1:5" x14ac:dyDescent="0.25">
      <c r="A5557" t="s">
        <v>3</v>
      </c>
      <c r="B5557">
        <v>1220705</v>
      </c>
      <c r="C5557">
        <v>115625</v>
      </c>
      <c r="D5557" s="4">
        <f>+VLOOKUP(A5557,Portfolio!$G$3:$I$6,3)</f>
        <v>0.5</v>
      </c>
      <c r="E5557">
        <f t="shared" si="86"/>
        <v>57812.5</v>
      </c>
    </row>
    <row r="5558" spans="1:5" x14ac:dyDescent="0.25">
      <c r="A5558" t="s">
        <v>3</v>
      </c>
      <c r="B5558">
        <v>1220706</v>
      </c>
      <c r="C5558">
        <v>111575</v>
      </c>
      <c r="D5558" s="4">
        <f>+VLOOKUP(A5558,Portfolio!$G$3:$I$6,3)</f>
        <v>0.5</v>
      </c>
      <c r="E5558">
        <f t="shared" si="86"/>
        <v>55787.5</v>
      </c>
    </row>
    <row r="5559" spans="1:5" x14ac:dyDescent="0.25">
      <c r="A5559" t="s">
        <v>3</v>
      </c>
      <c r="B5559">
        <v>1220707</v>
      </c>
      <c r="C5559">
        <v>111987.5</v>
      </c>
      <c r="D5559" s="4">
        <f>+VLOOKUP(A5559,Portfolio!$G$3:$I$6,3)</f>
        <v>0.5</v>
      </c>
      <c r="E5559">
        <f t="shared" si="86"/>
        <v>55993.75</v>
      </c>
    </row>
    <row r="5560" spans="1:5" x14ac:dyDescent="0.25">
      <c r="A5560" t="s">
        <v>3</v>
      </c>
      <c r="B5560">
        <v>1220708</v>
      </c>
      <c r="C5560">
        <v>114475</v>
      </c>
      <c r="D5560" s="4">
        <f>+VLOOKUP(A5560,Portfolio!$G$3:$I$6,3)</f>
        <v>0.5</v>
      </c>
      <c r="E5560">
        <f t="shared" si="86"/>
        <v>57237.5</v>
      </c>
    </row>
    <row r="5561" spans="1:5" x14ac:dyDescent="0.25">
      <c r="A5561" t="s">
        <v>3</v>
      </c>
      <c r="B5561">
        <v>1220710</v>
      </c>
      <c r="C5561">
        <v>113587.5</v>
      </c>
      <c r="D5561" s="4">
        <f>+VLOOKUP(A5561,Portfolio!$G$3:$I$6,3)</f>
        <v>0.5</v>
      </c>
      <c r="E5561">
        <f t="shared" si="86"/>
        <v>56793.75</v>
      </c>
    </row>
    <row r="5562" spans="1:5" x14ac:dyDescent="0.25">
      <c r="A5562" t="s">
        <v>3</v>
      </c>
      <c r="B5562">
        <v>1220711</v>
      </c>
      <c r="C5562">
        <v>112837.5</v>
      </c>
      <c r="D5562" s="4">
        <f>+VLOOKUP(A5562,Portfolio!$G$3:$I$6,3)</f>
        <v>0.5</v>
      </c>
      <c r="E5562">
        <f t="shared" si="86"/>
        <v>56418.75</v>
      </c>
    </row>
    <row r="5563" spans="1:5" x14ac:dyDescent="0.25">
      <c r="A5563" t="s">
        <v>3</v>
      </c>
      <c r="B5563">
        <v>1220712</v>
      </c>
      <c r="C5563">
        <v>112412.5</v>
      </c>
      <c r="D5563" s="4">
        <f>+VLOOKUP(A5563,Portfolio!$G$3:$I$6,3)</f>
        <v>0.5</v>
      </c>
      <c r="E5563">
        <f t="shared" si="86"/>
        <v>56206.25</v>
      </c>
    </row>
    <row r="5564" spans="1:5" x14ac:dyDescent="0.25">
      <c r="A5564" t="s">
        <v>3</v>
      </c>
      <c r="B5564">
        <v>1220713</v>
      </c>
      <c r="C5564">
        <v>111275</v>
      </c>
      <c r="D5564" s="4">
        <f>+VLOOKUP(A5564,Portfolio!$G$3:$I$6,3)</f>
        <v>0.5</v>
      </c>
      <c r="E5564">
        <f t="shared" si="86"/>
        <v>55637.5</v>
      </c>
    </row>
    <row r="5565" spans="1:5" x14ac:dyDescent="0.25">
      <c r="A5565" t="s">
        <v>3</v>
      </c>
      <c r="B5565">
        <v>1220714</v>
      </c>
      <c r="C5565">
        <v>111275</v>
      </c>
      <c r="D5565" s="4">
        <f>+VLOOKUP(A5565,Portfolio!$G$3:$I$6,3)</f>
        <v>0.5</v>
      </c>
      <c r="E5565">
        <f t="shared" si="86"/>
        <v>55637.5</v>
      </c>
    </row>
    <row r="5566" spans="1:5" x14ac:dyDescent="0.25">
      <c r="A5566" t="s">
        <v>3</v>
      </c>
      <c r="B5566">
        <v>1220715</v>
      </c>
      <c r="C5566">
        <v>107625</v>
      </c>
      <c r="D5566" s="4">
        <f>+VLOOKUP(A5566,Portfolio!$G$3:$I$6,3)</f>
        <v>0.5</v>
      </c>
      <c r="E5566">
        <f t="shared" si="86"/>
        <v>53812.5</v>
      </c>
    </row>
    <row r="5567" spans="1:5" x14ac:dyDescent="0.25">
      <c r="A5567" t="s">
        <v>3</v>
      </c>
      <c r="B5567">
        <v>1220717</v>
      </c>
      <c r="C5567">
        <v>106512.5</v>
      </c>
      <c r="D5567" s="4">
        <f>+VLOOKUP(A5567,Portfolio!$G$3:$I$6,3)</f>
        <v>0.5</v>
      </c>
      <c r="E5567">
        <f t="shared" si="86"/>
        <v>53256.25</v>
      </c>
    </row>
    <row r="5568" spans="1:5" x14ac:dyDescent="0.25">
      <c r="A5568" t="s">
        <v>3</v>
      </c>
      <c r="B5568">
        <v>1220718</v>
      </c>
      <c r="C5568">
        <v>107137.5</v>
      </c>
      <c r="D5568" s="4">
        <f>+VLOOKUP(A5568,Portfolio!$G$3:$I$6,3)</f>
        <v>0.5</v>
      </c>
      <c r="E5568">
        <f t="shared" si="86"/>
        <v>53568.75</v>
      </c>
    </row>
    <row r="5569" spans="1:5" x14ac:dyDescent="0.25">
      <c r="A5569" t="s">
        <v>3</v>
      </c>
      <c r="B5569">
        <v>1220719</v>
      </c>
      <c r="C5569">
        <v>109550</v>
      </c>
      <c r="D5569" s="4">
        <f>+VLOOKUP(A5569,Portfolio!$G$3:$I$6,3)</f>
        <v>0.5</v>
      </c>
      <c r="E5569">
        <f t="shared" si="86"/>
        <v>54775</v>
      </c>
    </row>
    <row r="5570" spans="1:5" x14ac:dyDescent="0.25">
      <c r="A5570" t="s">
        <v>3</v>
      </c>
      <c r="B5570">
        <v>1220720</v>
      </c>
      <c r="C5570">
        <v>111062.5</v>
      </c>
      <c r="D5570" s="4">
        <f>+VLOOKUP(A5570,Portfolio!$G$3:$I$6,3)</f>
        <v>0.5</v>
      </c>
      <c r="E5570">
        <f t="shared" si="86"/>
        <v>55531.25</v>
      </c>
    </row>
    <row r="5571" spans="1:5" x14ac:dyDescent="0.25">
      <c r="A5571" t="s">
        <v>3</v>
      </c>
      <c r="B5571">
        <v>1220721</v>
      </c>
      <c r="C5571">
        <v>111075</v>
      </c>
      <c r="D5571" s="4">
        <f>+VLOOKUP(A5571,Portfolio!$G$3:$I$6,3)</f>
        <v>0.5</v>
      </c>
      <c r="E5571">
        <f t="shared" ref="E5571:E5634" si="87">+C5571*D5571</f>
        <v>55537.5</v>
      </c>
    </row>
    <row r="5572" spans="1:5" x14ac:dyDescent="0.25">
      <c r="A5572" t="s">
        <v>3</v>
      </c>
      <c r="B5572">
        <v>1220722</v>
      </c>
      <c r="C5572">
        <v>108525</v>
      </c>
      <c r="D5572" s="4">
        <f>+VLOOKUP(A5572,Portfolio!$G$3:$I$6,3)</f>
        <v>0.5</v>
      </c>
      <c r="E5572">
        <f t="shared" si="87"/>
        <v>54262.5</v>
      </c>
    </row>
    <row r="5573" spans="1:5" x14ac:dyDescent="0.25">
      <c r="A5573" t="s">
        <v>3</v>
      </c>
      <c r="B5573">
        <v>1220724</v>
      </c>
      <c r="C5573">
        <v>109400</v>
      </c>
      <c r="D5573" s="4">
        <f>+VLOOKUP(A5573,Portfolio!$G$3:$I$6,3)</f>
        <v>0.5</v>
      </c>
      <c r="E5573">
        <f t="shared" si="87"/>
        <v>54700</v>
      </c>
    </row>
    <row r="5574" spans="1:5" x14ac:dyDescent="0.25">
      <c r="A5574" t="s">
        <v>3</v>
      </c>
      <c r="B5574">
        <v>1220725</v>
      </c>
      <c r="C5574">
        <v>109350</v>
      </c>
      <c r="D5574" s="4">
        <f>+VLOOKUP(A5574,Portfolio!$G$3:$I$6,3)</f>
        <v>0.5</v>
      </c>
      <c r="E5574">
        <f t="shared" si="87"/>
        <v>54675</v>
      </c>
    </row>
    <row r="5575" spans="1:5" x14ac:dyDescent="0.25">
      <c r="A5575" t="s">
        <v>3</v>
      </c>
      <c r="B5575">
        <v>1220726</v>
      </c>
      <c r="C5575">
        <v>108400</v>
      </c>
      <c r="D5575" s="4">
        <f>+VLOOKUP(A5575,Portfolio!$G$3:$I$6,3)</f>
        <v>0.5</v>
      </c>
      <c r="E5575">
        <f t="shared" si="87"/>
        <v>54200</v>
      </c>
    </row>
    <row r="5576" spans="1:5" x14ac:dyDescent="0.25">
      <c r="A5576" t="s">
        <v>3</v>
      </c>
      <c r="B5576">
        <v>1220727</v>
      </c>
      <c r="C5576">
        <v>110187.5</v>
      </c>
      <c r="D5576" s="4">
        <f>+VLOOKUP(A5576,Portfolio!$G$3:$I$6,3)</f>
        <v>0.5</v>
      </c>
      <c r="E5576">
        <f t="shared" si="87"/>
        <v>55093.75</v>
      </c>
    </row>
    <row r="5577" spans="1:5" x14ac:dyDescent="0.25">
      <c r="A5577" t="s">
        <v>3</v>
      </c>
      <c r="B5577">
        <v>1220728</v>
      </c>
      <c r="C5577">
        <v>112425</v>
      </c>
      <c r="D5577" s="4">
        <f>+VLOOKUP(A5577,Portfolio!$G$3:$I$6,3)</f>
        <v>0.5</v>
      </c>
      <c r="E5577">
        <f t="shared" si="87"/>
        <v>56212.5</v>
      </c>
    </row>
    <row r="5578" spans="1:5" x14ac:dyDescent="0.25">
      <c r="A5578" t="s">
        <v>3</v>
      </c>
      <c r="B5578">
        <v>1220729</v>
      </c>
      <c r="C5578">
        <v>112050</v>
      </c>
      <c r="D5578" s="4">
        <f>+VLOOKUP(A5578,Portfolio!$G$3:$I$6,3)</f>
        <v>0.5</v>
      </c>
      <c r="E5578">
        <f t="shared" si="87"/>
        <v>56025</v>
      </c>
    </row>
    <row r="5579" spans="1:5" x14ac:dyDescent="0.25">
      <c r="A5579" t="s">
        <v>3</v>
      </c>
      <c r="B5579">
        <v>1220731</v>
      </c>
      <c r="C5579">
        <v>112962.5</v>
      </c>
      <c r="D5579" s="4">
        <f>+VLOOKUP(A5579,Portfolio!$G$3:$I$6,3)</f>
        <v>0.5</v>
      </c>
      <c r="E5579">
        <f t="shared" si="87"/>
        <v>56481.25</v>
      </c>
    </row>
    <row r="5580" spans="1:5" x14ac:dyDescent="0.25">
      <c r="A5580" t="s">
        <v>3</v>
      </c>
      <c r="B5580">
        <v>1220801</v>
      </c>
      <c r="C5580">
        <v>112987.5</v>
      </c>
      <c r="D5580" s="4">
        <f>+VLOOKUP(A5580,Portfolio!$G$3:$I$6,3)</f>
        <v>0.5</v>
      </c>
      <c r="E5580">
        <f t="shared" si="87"/>
        <v>56493.75</v>
      </c>
    </row>
    <row r="5581" spans="1:5" x14ac:dyDescent="0.25">
      <c r="A5581" t="s">
        <v>3</v>
      </c>
      <c r="B5581">
        <v>1220802</v>
      </c>
      <c r="C5581">
        <v>113500</v>
      </c>
      <c r="D5581" s="4">
        <f>+VLOOKUP(A5581,Portfolio!$G$3:$I$6,3)</f>
        <v>0.5</v>
      </c>
      <c r="E5581">
        <f t="shared" si="87"/>
        <v>56750</v>
      </c>
    </row>
    <row r="5582" spans="1:5" x14ac:dyDescent="0.25">
      <c r="A5582" t="s">
        <v>3</v>
      </c>
      <c r="B5582">
        <v>1220803</v>
      </c>
      <c r="C5582">
        <v>111700</v>
      </c>
      <c r="D5582" s="4">
        <f>+VLOOKUP(A5582,Portfolio!$G$3:$I$6,3)</f>
        <v>0.5</v>
      </c>
      <c r="E5582">
        <f t="shared" si="87"/>
        <v>55850</v>
      </c>
    </row>
    <row r="5583" spans="1:5" x14ac:dyDescent="0.25">
      <c r="A5583" t="s">
        <v>3</v>
      </c>
      <c r="B5583">
        <v>1220804</v>
      </c>
      <c r="C5583">
        <v>114287.5</v>
      </c>
      <c r="D5583" s="4">
        <f>+VLOOKUP(A5583,Portfolio!$G$3:$I$6,3)</f>
        <v>0.5</v>
      </c>
      <c r="E5583">
        <f t="shared" si="87"/>
        <v>57143.75</v>
      </c>
    </row>
    <row r="5584" spans="1:5" x14ac:dyDescent="0.25">
      <c r="A5584" t="s">
        <v>3</v>
      </c>
      <c r="B5584">
        <v>1220805</v>
      </c>
      <c r="C5584">
        <v>113100</v>
      </c>
      <c r="D5584" s="4">
        <f>+VLOOKUP(A5584,Portfolio!$G$3:$I$6,3)</f>
        <v>0.5</v>
      </c>
      <c r="E5584">
        <f t="shared" si="87"/>
        <v>56550</v>
      </c>
    </row>
    <row r="5585" spans="1:5" x14ac:dyDescent="0.25">
      <c r="A5585" t="s">
        <v>3</v>
      </c>
      <c r="B5585">
        <v>1220807</v>
      </c>
      <c r="C5585">
        <v>115387.5</v>
      </c>
      <c r="D5585" s="4">
        <f>+VLOOKUP(A5585,Portfolio!$G$3:$I$6,3)</f>
        <v>0.5</v>
      </c>
      <c r="E5585">
        <f t="shared" si="87"/>
        <v>57693.75</v>
      </c>
    </row>
    <row r="5586" spans="1:5" x14ac:dyDescent="0.25">
      <c r="A5586" t="s">
        <v>3</v>
      </c>
      <c r="B5586">
        <v>1220808</v>
      </c>
      <c r="C5586">
        <v>115387.5</v>
      </c>
      <c r="D5586" s="4">
        <f>+VLOOKUP(A5586,Portfolio!$G$3:$I$6,3)</f>
        <v>0.5</v>
      </c>
      <c r="E5586">
        <f t="shared" si="87"/>
        <v>57693.75</v>
      </c>
    </row>
    <row r="5587" spans="1:5" x14ac:dyDescent="0.25">
      <c r="A5587" t="s">
        <v>3</v>
      </c>
      <c r="B5587">
        <v>1220809</v>
      </c>
      <c r="C5587">
        <v>112025</v>
      </c>
      <c r="D5587" s="4">
        <f>+VLOOKUP(A5587,Portfolio!$G$3:$I$6,3)</f>
        <v>0.5</v>
      </c>
      <c r="E5587">
        <f t="shared" si="87"/>
        <v>56012.5</v>
      </c>
    </row>
    <row r="5588" spans="1:5" x14ac:dyDescent="0.25">
      <c r="A5588" t="s">
        <v>3</v>
      </c>
      <c r="B5588">
        <v>1220810</v>
      </c>
      <c r="C5588">
        <v>113237.5</v>
      </c>
      <c r="D5588" s="4">
        <f>+VLOOKUP(A5588,Portfolio!$G$3:$I$6,3)</f>
        <v>0.5</v>
      </c>
      <c r="E5588">
        <f t="shared" si="87"/>
        <v>56618.75</v>
      </c>
    </row>
    <row r="5589" spans="1:5" x14ac:dyDescent="0.25">
      <c r="A5589" t="s">
        <v>3</v>
      </c>
      <c r="B5589">
        <v>1220811</v>
      </c>
      <c r="C5589">
        <v>110237.5</v>
      </c>
      <c r="D5589" s="4">
        <f>+VLOOKUP(A5589,Portfolio!$G$3:$I$6,3)</f>
        <v>0.5</v>
      </c>
      <c r="E5589">
        <f t="shared" si="87"/>
        <v>55118.75</v>
      </c>
    </row>
    <row r="5590" spans="1:5" x14ac:dyDescent="0.25">
      <c r="A5590" t="s">
        <v>3</v>
      </c>
      <c r="B5590">
        <v>1220812</v>
      </c>
      <c r="C5590">
        <v>110887.5</v>
      </c>
      <c r="D5590" s="4">
        <f>+VLOOKUP(A5590,Portfolio!$G$3:$I$6,3)</f>
        <v>0.5</v>
      </c>
      <c r="E5590">
        <f t="shared" si="87"/>
        <v>55443.75</v>
      </c>
    </row>
    <row r="5591" spans="1:5" x14ac:dyDescent="0.25">
      <c r="A5591" t="s">
        <v>3</v>
      </c>
      <c r="B5591">
        <v>1220814</v>
      </c>
      <c r="C5591">
        <v>111337.5</v>
      </c>
      <c r="D5591" s="4">
        <f>+VLOOKUP(A5591,Portfolio!$G$3:$I$6,3)</f>
        <v>0.5</v>
      </c>
      <c r="E5591">
        <f t="shared" si="87"/>
        <v>55668.75</v>
      </c>
    </row>
    <row r="5592" spans="1:5" x14ac:dyDescent="0.25">
      <c r="A5592" t="s">
        <v>3</v>
      </c>
      <c r="B5592">
        <v>1220815</v>
      </c>
      <c r="C5592">
        <v>111262.5</v>
      </c>
      <c r="D5592" s="4">
        <f>+VLOOKUP(A5592,Portfolio!$G$3:$I$6,3)</f>
        <v>0.5</v>
      </c>
      <c r="E5592">
        <f t="shared" si="87"/>
        <v>55631.25</v>
      </c>
    </row>
    <row r="5593" spans="1:5" x14ac:dyDescent="0.25">
      <c r="A5593" t="s">
        <v>3</v>
      </c>
      <c r="B5593">
        <v>1220816</v>
      </c>
      <c r="C5593">
        <v>112425</v>
      </c>
      <c r="D5593" s="4">
        <f>+VLOOKUP(A5593,Portfolio!$G$3:$I$6,3)</f>
        <v>0.5</v>
      </c>
      <c r="E5593">
        <f t="shared" si="87"/>
        <v>56212.5</v>
      </c>
    </row>
    <row r="5594" spans="1:5" x14ac:dyDescent="0.25">
      <c r="A5594" t="s">
        <v>3</v>
      </c>
      <c r="B5594">
        <v>1220817</v>
      </c>
      <c r="C5594">
        <v>111550</v>
      </c>
      <c r="D5594" s="4">
        <f>+VLOOKUP(A5594,Portfolio!$G$3:$I$6,3)</f>
        <v>0.5</v>
      </c>
      <c r="E5594">
        <f t="shared" si="87"/>
        <v>55775</v>
      </c>
    </row>
    <row r="5595" spans="1:5" x14ac:dyDescent="0.25">
      <c r="A5595" t="s">
        <v>3</v>
      </c>
      <c r="B5595">
        <v>1220818</v>
      </c>
      <c r="C5595">
        <v>109150</v>
      </c>
      <c r="D5595" s="4">
        <f>+VLOOKUP(A5595,Portfolio!$G$3:$I$6,3)</f>
        <v>0.5</v>
      </c>
      <c r="E5595">
        <f t="shared" si="87"/>
        <v>54575</v>
      </c>
    </row>
    <row r="5596" spans="1:5" x14ac:dyDescent="0.25">
      <c r="A5596" t="s">
        <v>3</v>
      </c>
      <c r="B5596">
        <v>1220819</v>
      </c>
      <c r="C5596">
        <v>108350</v>
      </c>
      <c r="D5596" s="4">
        <f>+VLOOKUP(A5596,Portfolio!$G$3:$I$6,3)</f>
        <v>0.5</v>
      </c>
      <c r="E5596">
        <f t="shared" si="87"/>
        <v>54175</v>
      </c>
    </row>
    <row r="5597" spans="1:5" x14ac:dyDescent="0.25">
      <c r="A5597" t="s">
        <v>3</v>
      </c>
      <c r="B5597">
        <v>1220821</v>
      </c>
      <c r="C5597">
        <v>109325</v>
      </c>
      <c r="D5597" s="4">
        <f>+VLOOKUP(A5597,Portfolio!$G$3:$I$6,3)</f>
        <v>0.5</v>
      </c>
      <c r="E5597">
        <f t="shared" si="87"/>
        <v>54662.5</v>
      </c>
    </row>
    <row r="5598" spans="1:5" x14ac:dyDescent="0.25">
      <c r="A5598" t="s">
        <v>3</v>
      </c>
      <c r="B5598">
        <v>1220822</v>
      </c>
      <c r="C5598">
        <v>109625</v>
      </c>
      <c r="D5598" s="4">
        <f>+VLOOKUP(A5598,Portfolio!$G$3:$I$6,3)</f>
        <v>0.5</v>
      </c>
      <c r="E5598">
        <f t="shared" si="87"/>
        <v>54812.5</v>
      </c>
    </row>
    <row r="5599" spans="1:5" x14ac:dyDescent="0.25">
      <c r="A5599" t="s">
        <v>3</v>
      </c>
      <c r="B5599">
        <v>1220823</v>
      </c>
      <c r="C5599">
        <v>113050</v>
      </c>
      <c r="D5599" s="4">
        <f>+VLOOKUP(A5599,Portfolio!$G$3:$I$6,3)</f>
        <v>0.5</v>
      </c>
      <c r="E5599">
        <f t="shared" si="87"/>
        <v>56525</v>
      </c>
    </row>
    <row r="5600" spans="1:5" x14ac:dyDescent="0.25">
      <c r="A5600" t="s">
        <v>3</v>
      </c>
      <c r="B5600">
        <v>1220824</v>
      </c>
      <c r="C5600">
        <v>110725</v>
      </c>
      <c r="D5600" s="4">
        <f>+VLOOKUP(A5600,Portfolio!$G$3:$I$6,3)</f>
        <v>0.5</v>
      </c>
      <c r="E5600">
        <f t="shared" si="87"/>
        <v>55362.5</v>
      </c>
    </row>
    <row r="5601" spans="1:5" x14ac:dyDescent="0.25">
      <c r="A5601" t="s">
        <v>3</v>
      </c>
      <c r="B5601">
        <v>1220825</v>
      </c>
      <c r="C5601">
        <v>112475</v>
      </c>
      <c r="D5601" s="4">
        <f>+VLOOKUP(A5601,Portfolio!$G$3:$I$6,3)</f>
        <v>0.5</v>
      </c>
      <c r="E5601">
        <f t="shared" si="87"/>
        <v>56237.5</v>
      </c>
    </row>
    <row r="5602" spans="1:5" x14ac:dyDescent="0.25">
      <c r="A5602" t="s">
        <v>3</v>
      </c>
      <c r="B5602">
        <v>1220826</v>
      </c>
      <c r="C5602">
        <v>113187.5</v>
      </c>
      <c r="D5602" s="4">
        <f>+VLOOKUP(A5602,Portfolio!$G$3:$I$6,3)</f>
        <v>0.5</v>
      </c>
      <c r="E5602">
        <f t="shared" si="87"/>
        <v>56593.75</v>
      </c>
    </row>
    <row r="5603" spans="1:5" x14ac:dyDescent="0.25">
      <c r="A5603" t="s">
        <v>3</v>
      </c>
      <c r="B5603">
        <v>1220828</v>
      </c>
      <c r="C5603">
        <v>120900</v>
      </c>
      <c r="D5603" s="4">
        <f>+VLOOKUP(A5603,Portfolio!$G$3:$I$6,3)</f>
        <v>0.5</v>
      </c>
      <c r="E5603">
        <f t="shared" si="87"/>
        <v>60450</v>
      </c>
    </row>
    <row r="5604" spans="1:5" x14ac:dyDescent="0.25">
      <c r="A5604" t="s">
        <v>3</v>
      </c>
      <c r="B5604">
        <v>1220829</v>
      </c>
      <c r="C5604">
        <v>120887.5</v>
      </c>
      <c r="D5604" s="4">
        <f>+VLOOKUP(A5604,Portfolio!$G$3:$I$6,3)</f>
        <v>0.5</v>
      </c>
      <c r="E5604">
        <f t="shared" si="87"/>
        <v>60443.75</v>
      </c>
    </row>
    <row r="5605" spans="1:5" x14ac:dyDescent="0.25">
      <c r="A5605" t="s">
        <v>3</v>
      </c>
      <c r="B5605">
        <v>1220830</v>
      </c>
      <c r="C5605">
        <v>119737.5</v>
      </c>
      <c r="D5605" s="4">
        <f>+VLOOKUP(A5605,Portfolio!$G$3:$I$6,3)</f>
        <v>0.5</v>
      </c>
      <c r="E5605">
        <f t="shared" si="87"/>
        <v>59868.75</v>
      </c>
    </row>
    <row r="5606" spans="1:5" x14ac:dyDescent="0.25">
      <c r="A5606" t="s">
        <v>3</v>
      </c>
      <c r="B5606">
        <v>1220831</v>
      </c>
      <c r="C5606">
        <v>118812.5</v>
      </c>
      <c r="D5606" s="4">
        <f>+VLOOKUP(A5606,Portfolio!$G$3:$I$6,3)</f>
        <v>0.5</v>
      </c>
      <c r="E5606">
        <f t="shared" si="87"/>
        <v>59406.25</v>
      </c>
    </row>
    <row r="5607" spans="1:5" x14ac:dyDescent="0.25">
      <c r="A5607" t="s">
        <v>3</v>
      </c>
      <c r="B5607">
        <v>1220901</v>
      </c>
      <c r="C5607">
        <v>121987.5</v>
      </c>
      <c r="D5607" s="4">
        <f>+VLOOKUP(A5607,Portfolio!$G$3:$I$6,3)</f>
        <v>0.5</v>
      </c>
      <c r="E5607">
        <f t="shared" si="87"/>
        <v>60993.75</v>
      </c>
    </row>
    <row r="5608" spans="1:5" x14ac:dyDescent="0.25">
      <c r="A5608" t="s">
        <v>3</v>
      </c>
      <c r="B5608">
        <v>1220902</v>
      </c>
      <c r="C5608">
        <v>123575</v>
      </c>
      <c r="D5608" s="4">
        <f>+VLOOKUP(A5608,Portfolio!$G$3:$I$6,3)</f>
        <v>0.5</v>
      </c>
      <c r="E5608">
        <f t="shared" si="87"/>
        <v>61787.5</v>
      </c>
    </row>
    <row r="5609" spans="1:5" x14ac:dyDescent="0.25">
      <c r="A5609" t="s">
        <v>3</v>
      </c>
      <c r="B5609">
        <v>1220904</v>
      </c>
      <c r="C5609">
        <v>124637.5</v>
      </c>
      <c r="D5609" s="4">
        <f>+VLOOKUP(A5609,Portfolio!$G$3:$I$6,3)</f>
        <v>0.5</v>
      </c>
      <c r="E5609">
        <f t="shared" si="87"/>
        <v>62318.75</v>
      </c>
    </row>
    <row r="5610" spans="1:5" x14ac:dyDescent="0.25">
      <c r="A5610" t="s">
        <v>3</v>
      </c>
      <c r="B5610">
        <v>1220905</v>
      </c>
      <c r="C5610">
        <v>123987.5</v>
      </c>
      <c r="D5610" s="4">
        <f>+VLOOKUP(A5610,Portfolio!$G$3:$I$6,3)</f>
        <v>0.5</v>
      </c>
      <c r="E5610">
        <f t="shared" si="87"/>
        <v>61993.75</v>
      </c>
    </row>
    <row r="5611" spans="1:5" x14ac:dyDescent="0.25">
      <c r="A5611" t="s">
        <v>3</v>
      </c>
      <c r="B5611">
        <v>1220906</v>
      </c>
      <c r="C5611">
        <v>123275</v>
      </c>
      <c r="D5611" s="4">
        <f>+VLOOKUP(A5611,Portfolio!$G$3:$I$6,3)</f>
        <v>0.5</v>
      </c>
      <c r="E5611">
        <f t="shared" si="87"/>
        <v>61637.5</v>
      </c>
    </row>
    <row r="5612" spans="1:5" x14ac:dyDescent="0.25">
      <c r="A5612" t="s">
        <v>3</v>
      </c>
      <c r="B5612">
        <v>1220907</v>
      </c>
      <c r="C5612">
        <v>122375</v>
      </c>
      <c r="D5612" s="4">
        <f>+VLOOKUP(A5612,Portfolio!$G$3:$I$6,3)</f>
        <v>0.5</v>
      </c>
      <c r="E5612">
        <f t="shared" si="87"/>
        <v>61187.5</v>
      </c>
    </row>
    <row r="5613" spans="1:5" x14ac:dyDescent="0.25">
      <c r="A5613" t="s">
        <v>3</v>
      </c>
      <c r="B5613">
        <v>1220908</v>
      </c>
      <c r="C5613">
        <v>123387.5</v>
      </c>
      <c r="D5613" s="4">
        <f>+VLOOKUP(A5613,Portfolio!$G$3:$I$6,3)</f>
        <v>0.5</v>
      </c>
      <c r="E5613">
        <f t="shared" si="87"/>
        <v>61693.75</v>
      </c>
    </row>
    <row r="5614" spans="1:5" x14ac:dyDescent="0.25">
      <c r="A5614" t="s">
        <v>3</v>
      </c>
      <c r="B5614">
        <v>1220909</v>
      </c>
      <c r="C5614">
        <v>125412.5</v>
      </c>
      <c r="D5614" s="4">
        <f>+VLOOKUP(A5614,Portfolio!$G$3:$I$6,3)</f>
        <v>0.5</v>
      </c>
      <c r="E5614">
        <f t="shared" si="87"/>
        <v>62706.25</v>
      </c>
    </row>
    <row r="5615" spans="1:5" x14ac:dyDescent="0.25">
      <c r="A5615" t="s">
        <v>3</v>
      </c>
      <c r="B5615">
        <v>1220911</v>
      </c>
      <c r="C5615">
        <v>128175</v>
      </c>
      <c r="D5615" s="4">
        <f>+VLOOKUP(A5615,Portfolio!$G$3:$I$6,3)</f>
        <v>0.5</v>
      </c>
      <c r="E5615">
        <f t="shared" si="87"/>
        <v>64087.5</v>
      </c>
    </row>
    <row r="5616" spans="1:5" x14ac:dyDescent="0.25">
      <c r="A5616" t="s">
        <v>3</v>
      </c>
      <c r="B5616">
        <v>1220912</v>
      </c>
      <c r="C5616">
        <v>127462.5</v>
      </c>
      <c r="D5616" s="4">
        <f>+VLOOKUP(A5616,Portfolio!$G$3:$I$6,3)</f>
        <v>0.5</v>
      </c>
      <c r="E5616">
        <f t="shared" si="87"/>
        <v>63731.25</v>
      </c>
    </row>
    <row r="5617" spans="1:5" x14ac:dyDescent="0.25">
      <c r="A5617" t="s">
        <v>3</v>
      </c>
      <c r="B5617">
        <v>1220913</v>
      </c>
      <c r="C5617">
        <v>129850</v>
      </c>
      <c r="D5617" s="4">
        <f>+VLOOKUP(A5617,Portfolio!$G$3:$I$6,3)</f>
        <v>0.5</v>
      </c>
      <c r="E5617">
        <f t="shared" si="87"/>
        <v>64925</v>
      </c>
    </row>
    <row r="5618" spans="1:5" x14ac:dyDescent="0.25">
      <c r="A5618" t="s">
        <v>3</v>
      </c>
      <c r="B5618">
        <v>1220914</v>
      </c>
      <c r="C5618">
        <v>133312.5</v>
      </c>
      <c r="D5618" s="4">
        <f>+VLOOKUP(A5618,Portfolio!$G$3:$I$6,3)</f>
        <v>0.5</v>
      </c>
      <c r="E5618">
        <f t="shared" si="87"/>
        <v>66656.25</v>
      </c>
    </row>
    <row r="5619" spans="1:5" x14ac:dyDescent="0.25">
      <c r="A5619" t="s">
        <v>3</v>
      </c>
      <c r="B5619">
        <v>1220915</v>
      </c>
      <c r="C5619">
        <v>129187.5</v>
      </c>
      <c r="D5619" s="4">
        <f>+VLOOKUP(A5619,Portfolio!$G$3:$I$6,3)</f>
        <v>0.5</v>
      </c>
      <c r="E5619">
        <f t="shared" si="87"/>
        <v>64593.75</v>
      </c>
    </row>
    <row r="5620" spans="1:5" x14ac:dyDescent="0.25">
      <c r="A5620" t="s">
        <v>3</v>
      </c>
      <c r="B5620">
        <v>1220916</v>
      </c>
      <c r="C5620">
        <v>129287.5</v>
      </c>
      <c r="D5620" s="4">
        <f>+VLOOKUP(A5620,Portfolio!$G$3:$I$6,3)</f>
        <v>0.5</v>
      </c>
      <c r="E5620">
        <f t="shared" si="87"/>
        <v>64643.75</v>
      </c>
    </row>
    <row r="5621" spans="1:5" x14ac:dyDescent="0.25">
      <c r="A5621" t="s">
        <v>3</v>
      </c>
      <c r="B5621">
        <v>1220918</v>
      </c>
      <c r="C5621">
        <v>128150</v>
      </c>
      <c r="D5621" s="4">
        <f>+VLOOKUP(A5621,Portfolio!$G$3:$I$6,3)</f>
        <v>0.5</v>
      </c>
      <c r="E5621">
        <f t="shared" si="87"/>
        <v>64075</v>
      </c>
    </row>
    <row r="5622" spans="1:5" x14ac:dyDescent="0.25">
      <c r="A5622" t="s">
        <v>3</v>
      </c>
      <c r="B5622">
        <v>1220919</v>
      </c>
      <c r="C5622">
        <v>128700</v>
      </c>
      <c r="D5622" s="4">
        <f>+VLOOKUP(A5622,Portfolio!$G$3:$I$6,3)</f>
        <v>0.5</v>
      </c>
      <c r="E5622">
        <f t="shared" si="87"/>
        <v>64350</v>
      </c>
    </row>
    <row r="5623" spans="1:5" x14ac:dyDescent="0.25">
      <c r="A5623" t="s">
        <v>3</v>
      </c>
      <c r="B5623">
        <v>1220920</v>
      </c>
      <c r="C5623">
        <v>129475</v>
      </c>
      <c r="D5623" s="4">
        <f>+VLOOKUP(A5623,Portfolio!$G$3:$I$6,3)</f>
        <v>0.5</v>
      </c>
      <c r="E5623">
        <f t="shared" si="87"/>
        <v>64737.5</v>
      </c>
    </row>
    <row r="5624" spans="1:5" x14ac:dyDescent="0.25">
      <c r="A5624" t="s">
        <v>3</v>
      </c>
      <c r="B5624">
        <v>1220921</v>
      </c>
      <c r="C5624">
        <v>125862.5</v>
      </c>
      <c r="D5624" s="4">
        <f>+VLOOKUP(A5624,Portfolio!$G$3:$I$6,3)</f>
        <v>0.5</v>
      </c>
      <c r="E5624">
        <f t="shared" si="87"/>
        <v>62931.25</v>
      </c>
    </row>
    <row r="5625" spans="1:5" x14ac:dyDescent="0.25">
      <c r="A5625" t="s">
        <v>3</v>
      </c>
      <c r="B5625">
        <v>1220922</v>
      </c>
      <c r="C5625">
        <v>114175</v>
      </c>
      <c r="D5625" s="4">
        <f>+VLOOKUP(A5625,Portfolio!$G$3:$I$6,3)</f>
        <v>0.5</v>
      </c>
      <c r="E5625">
        <f t="shared" si="87"/>
        <v>57087.5</v>
      </c>
    </row>
    <row r="5626" spans="1:5" x14ac:dyDescent="0.25">
      <c r="A5626" t="s">
        <v>3</v>
      </c>
      <c r="B5626">
        <v>1220923</v>
      </c>
      <c r="C5626">
        <v>114312.5</v>
      </c>
      <c r="D5626" s="4">
        <f>+VLOOKUP(A5626,Portfolio!$G$3:$I$6,3)</f>
        <v>0.5</v>
      </c>
      <c r="E5626">
        <f t="shared" si="87"/>
        <v>57156.25</v>
      </c>
    </row>
    <row r="5627" spans="1:5" x14ac:dyDescent="0.25">
      <c r="A5627" t="s">
        <v>3</v>
      </c>
      <c r="B5627">
        <v>1220925</v>
      </c>
      <c r="C5627">
        <v>117075</v>
      </c>
      <c r="D5627" s="4">
        <f>+VLOOKUP(A5627,Portfolio!$G$3:$I$6,3)</f>
        <v>0.5</v>
      </c>
      <c r="E5627">
        <f t="shared" si="87"/>
        <v>58537.5</v>
      </c>
    </row>
    <row r="5628" spans="1:5" x14ac:dyDescent="0.25">
      <c r="A5628" t="s">
        <v>3</v>
      </c>
      <c r="B5628">
        <v>1220926</v>
      </c>
      <c r="C5628">
        <v>118187.5</v>
      </c>
      <c r="D5628" s="4">
        <f>+VLOOKUP(A5628,Portfolio!$G$3:$I$6,3)</f>
        <v>0.5</v>
      </c>
      <c r="E5628">
        <f t="shared" si="87"/>
        <v>59093.75</v>
      </c>
    </row>
    <row r="5629" spans="1:5" x14ac:dyDescent="0.25">
      <c r="A5629" t="s">
        <v>3</v>
      </c>
      <c r="B5629">
        <v>1220927</v>
      </c>
      <c r="C5629">
        <v>112837.5</v>
      </c>
      <c r="D5629" s="4">
        <f>+VLOOKUP(A5629,Portfolio!$G$3:$I$6,3)</f>
        <v>0.5</v>
      </c>
      <c r="E5629">
        <f t="shared" si="87"/>
        <v>56418.75</v>
      </c>
    </row>
    <row r="5630" spans="1:5" x14ac:dyDescent="0.25">
      <c r="A5630" t="s">
        <v>3</v>
      </c>
      <c r="B5630">
        <v>1220928</v>
      </c>
      <c r="C5630">
        <v>115675</v>
      </c>
      <c r="D5630" s="4">
        <f>+VLOOKUP(A5630,Portfolio!$G$3:$I$6,3)</f>
        <v>0.5</v>
      </c>
      <c r="E5630">
        <f t="shared" si="87"/>
        <v>57837.5</v>
      </c>
    </row>
    <row r="5631" spans="1:5" x14ac:dyDescent="0.25">
      <c r="A5631" t="s">
        <v>3</v>
      </c>
      <c r="B5631">
        <v>1220929</v>
      </c>
      <c r="C5631">
        <v>116175</v>
      </c>
      <c r="D5631" s="4">
        <f>+VLOOKUP(A5631,Portfolio!$G$3:$I$6,3)</f>
        <v>0.5</v>
      </c>
      <c r="E5631">
        <f t="shared" si="87"/>
        <v>58087.5</v>
      </c>
    </row>
    <row r="5632" spans="1:5" x14ac:dyDescent="0.25">
      <c r="A5632" t="s">
        <v>3</v>
      </c>
      <c r="B5632">
        <v>1220930</v>
      </c>
      <c r="C5632">
        <v>112475</v>
      </c>
      <c r="D5632" s="4">
        <f>+VLOOKUP(A5632,Portfolio!$G$3:$I$6,3)</f>
        <v>0.5</v>
      </c>
      <c r="E5632">
        <f t="shared" si="87"/>
        <v>56237.5</v>
      </c>
    </row>
    <row r="5633" spans="1:5" x14ac:dyDescent="0.25">
      <c r="A5633" t="s">
        <v>3</v>
      </c>
      <c r="B5633">
        <v>1221002</v>
      </c>
      <c r="C5633">
        <v>113162.5</v>
      </c>
      <c r="D5633" s="4">
        <f>+VLOOKUP(A5633,Portfolio!$G$3:$I$6,3)</f>
        <v>0.5</v>
      </c>
      <c r="E5633">
        <f t="shared" si="87"/>
        <v>56581.25</v>
      </c>
    </row>
    <row r="5634" spans="1:5" x14ac:dyDescent="0.25">
      <c r="A5634" t="s">
        <v>3</v>
      </c>
      <c r="B5634">
        <v>1221003</v>
      </c>
      <c r="C5634">
        <v>113712.5</v>
      </c>
      <c r="D5634" s="4">
        <f>+VLOOKUP(A5634,Portfolio!$G$3:$I$6,3)</f>
        <v>0.5</v>
      </c>
      <c r="E5634">
        <f t="shared" si="87"/>
        <v>56856.25</v>
      </c>
    </row>
    <row r="5635" spans="1:5" x14ac:dyDescent="0.25">
      <c r="A5635" t="s">
        <v>3</v>
      </c>
      <c r="B5635">
        <v>1221004</v>
      </c>
      <c r="C5635">
        <v>115187.5</v>
      </c>
      <c r="D5635" s="4">
        <f>+VLOOKUP(A5635,Portfolio!$G$3:$I$6,3)</f>
        <v>0.5</v>
      </c>
      <c r="E5635">
        <f t="shared" ref="E5635:E5698" si="88">+C5635*D5635</f>
        <v>57593.75</v>
      </c>
    </row>
    <row r="5636" spans="1:5" x14ac:dyDescent="0.25">
      <c r="A5636" t="s">
        <v>3</v>
      </c>
      <c r="B5636">
        <v>1221005</v>
      </c>
      <c r="C5636">
        <v>118087.5</v>
      </c>
      <c r="D5636" s="4">
        <f>+VLOOKUP(A5636,Portfolio!$G$3:$I$6,3)</f>
        <v>0.5</v>
      </c>
      <c r="E5636">
        <f t="shared" si="88"/>
        <v>59043.75</v>
      </c>
    </row>
    <row r="5637" spans="1:5" x14ac:dyDescent="0.25">
      <c r="A5637" t="s">
        <v>3</v>
      </c>
      <c r="B5637">
        <v>1221006</v>
      </c>
      <c r="C5637">
        <v>116400</v>
      </c>
      <c r="D5637" s="4">
        <f>+VLOOKUP(A5637,Portfolio!$G$3:$I$6,3)</f>
        <v>0.5</v>
      </c>
      <c r="E5637">
        <f t="shared" si="88"/>
        <v>58200</v>
      </c>
    </row>
    <row r="5638" spans="1:5" x14ac:dyDescent="0.25">
      <c r="A5638" t="s">
        <v>3</v>
      </c>
      <c r="B5638">
        <v>1221007</v>
      </c>
      <c r="C5638">
        <v>114725</v>
      </c>
      <c r="D5638" s="4">
        <f>+VLOOKUP(A5638,Portfolio!$G$3:$I$6,3)</f>
        <v>0.5</v>
      </c>
      <c r="E5638">
        <f t="shared" si="88"/>
        <v>57362.5</v>
      </c>
    </row>
    <row r="5639" spans="1:5" x14ac:dyDescent="0.25">
      <c r="A5639" t="s">
        <v>3</v>
      </c>
      <c r="B5639">
        <v>1221009</v>
      </c>
      <c r="C5639">
        <v>120975</v>
      </c>
      <c r="D5639" s="4">
        <f>+VLOOKUP(A5639,Portfolio!$G$3:$I$6,3)</f>
        <v>0.5</v>
      </c>
      <c r="E5639">
        <f t="shared" si="88"/>
        <v>60487.5</v>
      </c>
    </row>
    <row r="5640" spans="1:5" x14ac:dyDescent="0.25">
      <c r="A5640" t="s">
        <v>3</v>
      </c>
      <c r="B5640">
        <v>1221010</v>
      </c>
      <c r="C5640">
        <v>120037.5</v>
      </c>
      <c r="D5640" s="4">
        <f>+VLOOKUP(A5640,Portfolio!$G$3:$I$6,3)</f>
        <v>0.5</v>
      </c>
      <c r="E5640">
        <f t="shared" si="88"/>
        <v>60018.75</v>
      </c>
    </row>
    <row r="5641" spans="1:5" x14ac:dyDescent="0.25">
      <c r="A5641" t="s">
        <v>3</v>
      </c>
      <c r="B5641">
        <v>1221011</v>
      </c>
      <c r="C5641">
        <v>121100</v>
      </c>
      <c r="D5641" s="4">
        <f>+VLOOKUP(A5641,Portfolio!$G$3:$I$6,3)</f>
        <v>0.5</v>
      </c>
      <c r="E5641">
        <f t="shared" si="88"/>
        <v>60550</v>
      </c>
    </row>
    <row r="5642" spans="1:5" x14ac:dyDescent="0.25">
      <c r="A5642" t="s">
        <v>3</v>
      </c>
      <c r="B5642">
        <v>1221012</v>
      </c>
      <c r="C5642">
        <v>119350</v>
      </c>
      <c r="D5642" s="4">
        <f>+VLOOKUP(A5642,Portfolio!$G$3:$I$6,3)</f>
        <v>0.5</v>
      </c>
      <c r="E5642">
        <f t="shared" si="88"/>
        <v>59675</v>
      </c>
    </row>
    <row r="5643" spans="1:5" x14ac:dyDescent="0.25">
      <c r="A5643" t="s">
        <v>3</v>
      </c>
      <c r="B5643">
        <v>1221013</v>
      </c>
      <c r="C5643">
        <v>118912.5</v>
      </c>
      <c r="D5643" s="4">
        <f>+VLOOKUP(A5643,Portfolio!$G$3:$I$6,3)</f>
        <v>0.5</v>
      </c>
      <c r="E5643">
        <f t="shared" si="88"/>
        <v>59456.25</v>
      </c>
    </row>
    <row r="5644" spans="1:5" x14ac:dyDescent="0.25">
      <c r="A5644" t="s">
        <v>3</v>
      </c>
      <c r="B5644">
        <v>1221014</v>
      </c>
      <c r="C5644">
        <v>121900</v>
      </c>
      <c r="D5644" s="4">
        <f>+VLOOKUP(A5644,Portfolio!$G$3:$I$6,3)</f>
        <v>0.5</v>
      </c>
      <c r="E5644">
        <f t="shared" si="88"/>
        <v>60950</v>
      </c>
    </row>
    <row r="5645" spans="1:5" x14ac:dyDescent="0.25">
      <c r="A5645" t="s">
        <v>3</v>
      </c>
      <c r="B5645">
        <v>1221016</v>
      </c>
      <c r="C5645">
        <v>122200</v>
      </c>
      <c r="D5645" s="4">
        <f>+VLOOKUP(A5645,Portfolio!$G$3:$I$6,3)</f>
        <v>0.5</v>
      </c>
      <c r="E5645">
        <f t="shared" si="88"/>
        <v>61100</v>
      </c>
    </row>
    <row r="5646" spans="1:5" x14ac:dyDescent="0.25">
      <c r="A5646" t="s">
        <v>3</v>
      </c>
      <c r="B5646">
        <v>1221017</v>
      </c>
      <c r="C5646">
        <v>122000</v>
      </c>
      <c r="D5646" s="4">
        <f>+VLOOKUP(A5646,Portfolio!$G$3:$I$6,3)</f>
        <v>0.5</v>
      </c>
      <c r="E5646">
        <f t="shared" si="88"/>
        <v>61000</v>
      </c>
    </row>
    <row r="5647" spans="1:5" x14ac:dyDescent="0.25">
      <c r="A5647" t="s">
        <v>3</v>
      </c>
      <c r="B5647">
        <v>1221018</v>
      </c>
      <c r="C5647">
        <v>120762.5</v>
      </c>
      <c r="D5647" s="4">
        <f>+VLOOKUP(A5647,Portfolio!$G$3:$I$6,3)</f>
        <v>0.5</v>
      </c>
      <c r="E5647">
        <f t="shared" si="88"/>
        <v>60381.25</v>
      </c>
    </row>
    <row r="5648" spans="1:5" x14ac:dyDescent="0.25">
      <c r="A5648" t="s">
        <v>3</v>
      </c>
      <c r="B5648">
        <v>1221019</v>
      </c>
      <c r="C5648">
        <v>116187.5</v>
      </c>
      <c r="D5648" s="4">
        <f>+VLOOKUP(A5648,Portfolio!$G$3:$I$6,3)</f>
        <v>0.5</v>
      </c>
      <c r="E5648">
        <f t="shared" si="88"/>
        <v>58093.75</v>
      </c>
    </row>
    <row r="5649" spans="1:5" x14ac:dyDescent="0.25">
      <c r="A5649" t="s">
        <v>3</v>
      </c>
      <c r="B5649">
        <v>1221020</v>
      </c>
      <c r="C5649">
        <v>119250</v>
      </c>
      <c r="D5649" s="4">
        <f>+VLOOKUP(A5649,Portfolio!$G$3:$I$6,3)</f>
        <v>0.5</v>
      </c>
      <c r="E5649">
        <f t="shared" si="88"/>
        <v>59625</v>
      </c>
    </row>
    <row r="5650" spans="1:5" x14ac:dyDescent="0.25">
      <c r="A5650" t="s">
        <v>3</v>
      </c>
      <c r="B5650">
        <v>1221021</v>
      </c>
      <c r="C5650">
        <v>115762.5</v>
      </c>
      <c r="D5650" s="4">
        <f>+VLOOKUP(A5650,Portfolio!$G$3:$I$6,3)</f>
        <v>0.5</v>
      </c>
      <c r="E5650">
        <f t="shared" si="88"/>
        <v>57881.25</v>
      </c>
    </row>
    <row r="5651" spans="1:5" x14ac:dyDescent="0.25">
      <c r="A5651" t="s">
        <v>3</v>
      </c>
      <c r="B5651">
        <v>1221023</v>
      </c>
      <c r="C5651">
        <v>117587.5</v>
      </c>
      <c r="D5651" s="4">
        <f>+VLOOKUP(A5651,Portfolio!$G$3:$I$6,3)</f>
        <v>0.5</v>
      </c>
      <c r="E5651">
        <f t="shared" si="88"/>
        <v>58793.75</v>
      </c>
    </row>
    <row r="5652" spans="1:5" x14ac:dyDescent="0.25">
      <c r="A5652" t="s">
        <v>3</v>
      </c>
      <c r="B5652">
        <v>1221024</v>
      </c>
      <c r="C5652">
        <v>116850</v>
      </c>
      <c r="D5652" s="4">
        <f>+VLOOKUP(A5652,Portfolio!$G$3:$I$6,3)</f>
        <v>0.5</v>
      </c>
      <c r="E5652">
        <f t="shared" si="88"/>
        <v>58425</v>
      </c>
    </row>
    <row r="5653" spans="1:5" x14ac:dyDescent="0.25">
      <c r="A5653" t="s">
        <v>3</v>
      </c>
      <c r="B5653">
        <v>1221025</v>
      </c>
      <c r="C5653">
        <v>118150</v>
      </c>
      <c r="D5653" s="4">
        <f>+VLOOKUP(A5653,Portfolio!$G$3:$I$6,3)</f>
        <v>0.5</v>
      </c>
      <c r="E5653">
        <f t="shared" si="88"/>
        <v>59075</v>
      </c>
    </row>
    <row r="5654" spans="1:5" x14ac:dyDescent="0.25">
      <c r="A5654" t="s">
        <v>3</v>
      </c>
      <c r="B5654">
        <v>1221026</v>
      </c>
      <c r="C5654">
        <v>121050</v>
      </c>
      <c r="D5654" s="4">
        <f>+VLOOKUP(A5654,Portfolio!$G$3:$I$6,3)</f>
        <v>0.5</v>
      </c>
      <c r="E5654">
        <f t="shared" si="88"/>
        <v>60525</v>
      </c>
    </row>
    <row r="5655" spans="1:5" x14ac:dyDescent="0.25">
      <c r="A5655" t="s">
        <v>3</v>
      </c>
      <c r="B5655">
        <v>1221027</v>
      </c>
      <c r="C5655">
        <v>121487.5</v>
      </c>
      <c r="D5655" s="4">
        <f>+VLOOKUP(A5655,Portfolio!$G$3:$I$6,3)</f>
        <v>0.5</v>
      </c>
      <c r="E5655">
        <f t="shared" si="88"/>
        <v>60743.75</v>
      </c>
    </row>
    <row r="5656" spans="1:5" x14ac:dyDescent="0.25">
      <c r="A5656" t="s">
        <v>3</v>
      </c>
      <c r="B5656">
        <v>1221028</v>
      </c>
      <c r="C5656">
        <v>121362.5</v>
      </c>
      <c r="D5656" s="4">
        <f>+VLOOKUP(A5656,Portfolio!$G$3:$I$6,3)</f>
        <v>0.5</v>
      </c>
      <c r="E5656">
        <f t="shared" si="88"/>
        <v>60681.25</v>
      </c>
    </row>
    <row r="5657" spans="1:5" x14ac:dyDescent="0.25">
      <c r="A5657" t="s">
        <v>3</v>
      </c>
      <c r="B5657">
        <v>1221030</v>
      </c>
      <c r="C5657">
        <v>121325</v>
      </c>
      <c r="D5657" s="4">
        <f>+VLOOKUP(A5657,Portfolio!$G$3:$I$6,3)</f>
        <v>0.5</v>
      </c>
      <c r="E5657">
        <f t="shared" si="88"/>
        <v>60662.5</v>
      </c>
    </row>
    <row r="5658" spans="1:5" x14ac:dyDescent="0.25">
      <c r="A5658" t="s">
        <v>3</v>
      </c>
      <c r="B5658">
        <v>1221031</v>
      </c>
      <c r="C5658">
        <v>121162.5</v>
      </c>
      <c r="D5658" s="4">
        <f>+VLOOKUP(A5658,Portfolio!$G$3:$I$6,3)</f>
        <v>0.5</v>
      </c>
      <c r="E5658">
        <f t="shared" si="88"/>
        <v>60581.25</v>
      </c>
    </row>
    <row r="5659" spans="1:5" x14ac:dyDescent="0.25">
      <c r="A5659" t="s">
        <v>3</v>
      </c>
      <c r="B5659">
        <v>1221101</v>
      </c>
      <c r="C5659">
        <v>118562.5</v>
      </c>
      <c r="D5659" s="4">
        <f>+VLOOKUP(A5659,Portfolio!$G$3:$I$6,3)</f>
        <v>0.5</v>
      </c>
      <c r="E5659">
        <f t="shared" si="88"/>
        <v>59281.25</v>
      </c>
    </row>
    <row r="5660" spans="1:5" x14ac:dyDescent="0.25">
      <c r="A5660" t="s">
        <v>3</v>
      </c>
      <c r="B5660">
        <v>1221102</v>
      </c>
      <c r="C5660">
        <v>119575</v>
      </c>
      <c r="D5660" s="4">
        <f>+VLOOKUP(A5660,Portfolio!$G$3:$I$6,3)</f>
        <v>0.5</v>
      </c>
      <c r="E5660">
        <f t="shared" si="88"/>
        <v>59787.5</v>
      </c>
    </row>
    <row r="5661" spans="1:5" x14ac:dyDescent="0.25">
      <c r="A5661" t="s">
        <v>3</v>
      </c>
      <c r="B5661">
        <v>1221103</v>
      </c>
      <c r="C5661">
        <v>113562.5</v>
      </c>
      <c r="D5661" s="4">
        <f>+VLOOKUP(A5661,Portfolio!$G$3:$I$6,3)</f>
        <v>0.5</v>
      </c>
      <c r="E5661">
        <f t="shared" si="88"/>
        <v>56781.25</v>
      </c>
    </row>
    <row r="5662" spans="1:5" x14ac:dyDescent="0.25">
      <c r="A5662" t="s">
        <v>3</v>
      </c>
      <c r="B5662">
        <v>1221104</v>
      </c>
      <c r="C5662">
        <v>108625</v>
      </c>
      <c r="D5662" s="4">
        <f>+VLOOKUP(A5662,Portfolio!$G$3:$I$6,3)</f>
        <v>0.5</v>
      </c>
      <c r="E5662">
        <f t="shared" si="88"/>
        <v>54312.5</v>
      </c>
    </row>
    <row r="5663" spans="1:5" x14ac:dyDescent="0.25">
      <c r="A5663" t="s">
        <v>3</v>
      </c>
      <c r="B5663">
        <v>1221106</v>
      </c>
      <c r="C5663">
        <v>104050</v>
      </c>
      <c r="D5663" s="4">
        <f>+VLOOKUP(A5663,Portfolio!$G$3:$I$6,3)</f>
        <v>0.5</v>
      </c>
      <c r="E5663">
        <f t="shared" si="88"/>
        <v>52025</v>
      </c>
    </row>
    <row r="5664" spans="1:5" x14ac:dyDescent="0.25">
      <c r="A5664" t="s">
        <v>3</v>
      </c>
      <c r="B5664">
        <v>1221107</v>
      </c>
      <c r="C5664">
        <v>105087.5</v>
      </c>
      <c r="D5664" s="4">
        <f>+VLOOKUP(A5664,Portfolio!$G$3:$I$6,3)</f>
        <v>0.5</v>
      </c>
      <c r="E5664">
        <f t="shared" si="88"/>
        <v>52543.75</v>
      </c>
    </row>
    <row r="5665" spans="1:5" x14ac:dyDescent="0.25">
      <c r="A5665" t="s">
        <v>3</v>
      </c>
      <c r="B5665">
        <v>1221108</v>
      </c>
      <c r="C5665">
        <v>105587.5</v>
      </c>
      <c r="D5665" s="4">
        <f>+VLOOKUP(A5665,Portfolio!$G$3:$I$6,3)</f>
        <v>0.5</v>
      </c>
      <c r="E5665">
        <f t="shared" si="88"/>
        <v>52793.75</v>
      </c>
    </row>
    <row r="5666" spans="1:5" x14ac:dyDescent="0.25">
      <c r="A5666" t="s">
        <v>3</v>
      </c>
      <c r="B5666">
        <v>1221109</v>
      </c>
      <c r="C5666">
        <v>103562.5</v>
      </c>
      <c r="D5666" s="4">
        <f>+VLOOKUP(A5666,Portfolio!$G$3:$I$6,3)</f>
        <v>0.5</v>
      </c>
      <c r="E5666">
        <f t="shared" si="88"/>
        <v>51781.25</v>
      </c>
    </row>
    <row r="5667" spans="1:5" x14ac:dyDescent="0.25">
      <c r="A5667" t="s">
        <v>3</v>
      </c>
      <c r="B5667">
        <v>1221110</v>
      </c>
      <c r="C5667">
        <v>107300</v>
      </c>
      <c r="D5667" s="4">
        <f>+VLOOKUP(A5667,Portfolio!$G$3:$I$6,3)</f>
        <v>0.5</v>
      </c>
      <c r="E5667">
        <f t="shared" si="88"/>
        <v>53650</v>
      </c>
    </row>
    <row r="5668" spans="1:5" x14ac:dyDescent="0.25">
      <c r="A5668" t="s">
        <v>3</v>
      </c>
      <c r="B5668">
        <v>1221111</v>
      </c>
      <c r="C5668">
        <v>110862.5</v>
      </c>
      <c r="D5668" s="4">
        <f>+VLOOKUP(A5668,Portfolio!$G$3:$I$6,3)</f>
        <v>0.5</v>
      </c>
      <c r="E5668">
        <f t="shared" si="88"/>
        <v>55431.25</v>
      </c>
    </row>
    <row r="5669" spans="1:5" x14ac:dyDescent="0.25">
      <c r="A5669" t="s">
        <v>3</v>
      </c>
      <c r="B5669">
        <v>1221113</v>
      </c>
      <c r="C5669">
        <v>109712.5</v>
      </c>
      <c r="D5669" s="4">
        <f>+VLOOKUP(A5669,Portfolio!$G$3:$I$6,3)</f>
        <v>0.5</v>
      </c>
      <c r="E5669">
        <f t="shared" si="88"/>
        <v>54856.25</v>
      </c>
    </row>
    <row r="5670" spans="1:5" x14ac:dyDescent="0.25">
      <c r="A5670" t="s">
        <v>3</v>
      </c>
      <c r="B5670">
        <v>1221114</v>
      </c>
      <c r="C5670">
        <v>109250</v>
      </c>
      <c r="D5670" s="4">
        <f>+VLOOKUP(A5670,Portfolio!$G$3:$I$6,3)</f>
        <v>0.5</v>
      </c>
      <c r="E5670">
        <f t="shared" si="88"/>
        <v>54625</v>
      </c>
    </row>
    <row r="5671" spans="1:5" x14ac:dyDescent="0.25">
      <c r="A5671" t="s">
        <v>3</v>
      </c>
      <c r="B5671">
        <v>1221115</v>
      </c>
      <c r="C5671">
        <v>110300</v>
      </c>
      <c r="D5671" s="4">
        <f>+VLOOKUP(A5671,Portfolio!$G$3:$I$6,3)</f>
        <v>0.5</v>
      </c>
      <c r="E5671">
        <f t="shared" si="88"/>
        <v>55150</v>
      </c>
    </row>
    <row r="5672" spans="1:5" x14ac:dyDescent="0.25">
      <c r="A5672" t="s">
        <v>3</v>
      </c>
      <c r="B5672">
        <v>1221116</v>
      </c>
      <c r="C5672">
        <v>109150</v>
      </c>
      <c r="D5672" s="4">
        <f>+VLOOKUP(A5672,Portfolio!$G$3:$I$6,3)</f>
        <v>0.5</v>
      </c>
      <c r="E5672">
        <f t="shared" si="88"/>
        <v>54575</v>
      </c>
    </row>
    <row r="5673" spans="1:5" x14ac:dyDescent="0.25">
      <c r="A5673" t="s">
        <v>3</v>
      </c>
      <c r="B5673">
        <v>1221117</v>
      </c>
      <c r="C5673">
        <v>110587.5</v>
      </c>
      <c r="D5673" s="4">
        <f>+VLOOKUP(A5673,Portfolio!$G$3:$I$6,3)</f>
        <v>0.5</v>
      </c>
      <c r="E5673">
        <f t="shared" si="88"/>
        <v>55293.75</v>
      </c>
    </row>
    <row r="5674" spans="1:5" x14ac:dyDescent="0.25">
      <c r="A5674" t="s">
        <v>3</v>
      </c>
      <c r="B5674">
        <v>1221118</v>
      </c>
      <c r="C5674">
        <v>110587.5</v>
      </c>
      <c r="D5674" s="4">
        <f>+VLOOKUP(A5674,Portfolio!$G$3:$I$6,3)</f>
        <v>0.5</v>
      </c>
      <c r="E5674">
        <f t="shared" si="88"/>
        <v>55293.75</v>
      </c>
    </row>
    <row r="5675" spans="1:5" x14ac:dyDescent="0.25">
      <c r="A5675" t="s">
        <v>3</v>
      </c>
      <c r="B5675">
        <v>1221120</v>
      </c>
      <c r="C5675">
        <v>109300</v>
      </c>
      <c r="D5675" s="4">
        <f>+VLOOKUP(A5675,Portfolio!$G$3:$I$6,3)</f>
        <v>0.5</v>
      </c>
      <c r="E5675">
        <f t="shared" si="88"/>
        <v>54650</v>
      </c>
    </row>
    <row r="5676" spans="1:5" x14ac:dyDescent="0.25">
      <c r="A5676" t="s">
        <v>3</v>
      </c>
      <c r="B5676">
        <v>1221121</v>
      </c>
      <c r="C5676">
        <v>109587.5</v>
      </c>
      <c r="D5676" s="4">
        <f>+VLOOKUP(A5676,Portfolio!$G$3:$I$6,3)</f>
        <v>0.5</v>
      </c>
      <c r="E5676">
        <f t="shared" si="88"/>
        <v>54793.75</v>
      </c>
    </row>
    <row r="5677" spans="1:5" x14ac:dyDescent="0.25">
      <c r="A5677" t="s">
        <v>3</v>
      </c>
      <c r="B5677">
        <v>1221122</v>
      </c>
      <c r="C5677">
        <v>109787.5</v>
      </c>
      <c r="D5677" s="4">
        <f>+VLOOKUP(A5677,Portfolio!$G$3:$I$6,3)</f>
        <v>0.5</v>
      </c>
      <c r="E5677">
        <f t="shared" si="88"/>
        <v>54893.75</v>
      </c>
    </row>
    <row r="5678" spans="1:5" x14ac:dyDescent="0.25">
      <c r="A5678" t="s">
        <v>3</v>
      </c>
      <c r="B5678">
        <v>1221123</v>
      </c>
      <c r="C5678">
        <v>111312.5</v>
      </c>
      <c r="D5678" s="4">
        <f>+VLOOKUP(A5678,Portfolio!$G$3:$I$6,3)</f>
        <v>0.5</v>
      </c>
      <c r="E5678">
        <f t="shared" si="88"/>
        <v>55656.25</v>
      </c>
    </row>
    <row r="5679" spans="1:5" x14ac:dyDescent="0.25">
      <c r="A5679" t="s">
        <v>3</v>
      </c>
      <c r="B5679">
        <v>1221124</v>
      </c>
      <c r="C5679">
        <v>112025</v>
      </c>
      <c r="D5679" s="4">
        <f>+VLOOKUP(A5679,Portfolio!$G$3:$I$6,3)</f>
        <v>0.5</v>
      </c>
      <c r="E5679">
        <f t="shared" si="88"/>
        <v>56012.5</v>
      </c>
    </row>
    <row r="5680" spans="1:5" x14ac:dyDescent="0.25">
      <c r="A5680" t="s">
        <v>3</v>
      </c>
      <c r="B5680">
        <v>1221125</v>
      </c>
      <c r="C5680">
        <v>112125</v>
      </c>
      <c r="D5680" s="4">
        <f>+VLOOKUP(A5680,Portfolio!$G$3:$I$6,3)</f>
        <v>0.5</v>
      </c>
      <c r="E5680">
        <f t="shared" si="88"/>
        <v>56062.5</v>
      </c>
    </row>
    <row r="5681" spans="1:5" x14ac:dyDescent="0.25">
      <c r="A5681" t="s">
        <v>3</v>
      </c>
      <c r="B5681">
        <v>1221127</v>
      </c>
      <c r="C5681">
        <v>112337.5</v>
      </c>
      <c r="D5681" s="4">
        <f>+VLOOKUP(A5681,Portfolio!$G$3:$I$6,3)</f>
        <v>0.5</v>
      </c>
      <c r="E5681">
        <f t="shared" si="88"/>
        <v>56168.75</v>
      </c>
    </row>
    <row r="5682" spans="1:5" x14ac:dyDescent="0.25">
      <c r="A5682" t="s">
        <v>3</v>
      </c>
      <c r="B5682">
        <v>1221128</v>
      </c>
      <c r="C5682">
        <v>113012.5</v>
      </c>
      <c r="D5682" s="4">
        <f>+VLOOKUP(A5682,Portfolio!$G$3:$I$6,3)</f>
        <v>0.5</v>
      </c>
      <c r="E5682">
        <f t="shared" si="88"/>
        <v>56506.25</v>
      </c>
    </row>
    <row r="5683" spans="1:5" x14ac:dyDescent="0.25">
      <c r="A5683" t="s">
        <v>3</v>
      </c>
      <c r="B5683">
        <v>1221129</v>
      </c>
      <c r="C5683">
        <v>114450</v>
      </c>
      <c r="D5683" s="4">
        <f>+VLOOKUP(A5683,Portfolio!$G$3:$I$6,3)</f>
        <v>0.5</v>
      </c>
      <c r="E5683">
        <f t="shared" si="88"/>
        <v>57225</v>
      </c>
    </row>
    <row r="5684" spans="1:5" x14ac:dyDescent="0.25">
      <c r="A5684" t="s">
        <v>3</v>
      </c>
      <c r="B5684">
        <v>1221130</v>
      </c>
      <c r="C5684">
        <v>114237.5</v>
      </c>
      <c r="D5684" s="4">
        <f>+VLOOKUP(A5684,Portfolio!$G$3:$I$6,3)</f>
        <v>0.5</v>
      </c>
      <c r="E5684">
        <f t="shared" si="88"/>
        <v>57118.75</v>
      </c>
    </row>
    <row r="5685" spans="1:5" x14ac:dyDescent="0.25">
      <c r="A5685" t="s">
        <v>3</v>
      </c>
      <c r="B5685">
        <v>1221201</v>
      </c>
      <c r="C5685">
        <v>119087.5</v>
      </c>
      <c r="D5685" s="4">
        <f>+VLOOKUP(A5685,Portfolio!$G$3:$I$6,3)</f>
        <v>0.5</v>
      </c>
      <c r="E5685">
        <f t="shared" si="88"/>
        <v>59543.75</v>
      </c>
    </row>
    <row r="5686" spans="1:5" x14ac:dyDescent="0.25">
      <c r="A5686" t="s">
        <v>3</v>
      </c>
      <c r="B5686">
        <v>1221202</v>
      </c>
      <c r="C5686">
        <v>117937.5</v>
      </c>
      <c r="D5686" s="4">
        <f>+VLOOKUP(A5686,Portfolio!$G$3:$I$6,3)</f>
        <v>0.5</v>
      </c>
      <c r="E5686">
        <f t="shared" si="88"/>
        <v>58968.75</v>
      </c>
    </row>
    <row r="5687" spans="1:5" x14ac:dyDescent="0.25">
      <c r="A5687" t="s">
        <v>3</v>
      </c>
      <c r="B5687">
        <v>1221204</v>
      </c>
      <c r="C5687">
        <v>118650</v>
      </c>
      <c r="D5687" s="4">
        <f>+VLOOKUP(A5687,Portfolio!$G$3:$I$6,3)</f>
        <v>0.5</v>
      </c>
      <c r="E5687">
        <f t="shared" si="88"/>
        <v>59325</v>
      </c>
    </row>
    <row r="5688" spans="1:5" x14ac:dyDescent="0.25">
      <c r="A5688" t="s">
        <v>3</v>
      </c>
      <c r="B5688">
        <v>1221205</v>
      </c>
      <c r="C5688">
        <v>118650</v>
      </c>
      <c r="D5688" s="4">
        <f>+VLOOKUP(A5688,Portfolio!$G$3:$I$6,3)</f>
        <v>0.5</v>
      </c>
      <c r="E5688">
        <f t="shared" si="88"/>
        <v>59325</v>
      </c>
    </row>
    <row r="5689" spans="1:5" x14ac:dyDescent="0.25">
      <c r="A5689" t="s">
        <v>3</v>
      </c>
      <c r="B5689">
        <v>1221206</v>
      </c>
      <c r="C5689">
        <v>120300</v>
      </c>
      <c r="D5689" s="4">
        <f>+VLOOKUP(A5689,Portfolio!$G$3:$I$6,3)</f>
        <v>0.5</v>
      </c>
      <c r="E5689">
        <f t="shared" si="88"/>
        <v>60150</v>
      </c>
    </row>
    <row r="5690" spans="1:5" x14ac:dyDescent="0.25">
      <c r="A5690" t="s">
        <v>3</v>
      </c>
      <c r="B5690">
        <v>1221207</v>
      </c>
      <c r="C5690">
        <v>123162.5</v>
      </c>
      <c r="D5690" s="4">
        <f>+VLOOKUP(A5690,Portfolio!$G$3:$I$6,3)</f>
        <v>0.5</v>
      </c>
      <c r="E5690">
        <f t="shared" si="88"/>
        <v>61581.25</v>
      </c>
    </row>
    <row r="5691" spans="1:5" x14ac:dyDescent="0.25">
      <c r="A5691" t="s">
        <v>3</v>
      </c>
      <c r="B5691">
        <v>1221208</v>
      </c>
      <c r="C5691">
        <v>121537.5</v>
      </c>
      <c r="D5691" s="4">
        <f>+VLOOKUP(A5691,Portfolio!$G$3:$I$6,3)</f>
        <v>0.5</v>
      </c>
      <c r="E5691">
        <f t="shared" si="88"/>
        <v>60768.75</v>
      </c>
    </row>
    <row r="5692" spans="1:5" x14ac:dyDescent="0.25">
      <c r="A5692" t="s">
        <v>3</v>
      </c>
      <c r="B5692">
        <v>1221209</v>
      </c>
      <c r="C5692">
        <v>123500</v>
      </c>
      <c r="D5692" s="4">
        <f>+VLOOKUP(A5692,Portfolio!$G$3:$I$6,3)</f>
        <v>0.5</v>
      </c>
      <c r="E5692">
        <f t="shared" si="88"/>
        <v>61750</v>
      </c>
    </row>
    <row r="5693" spans="1:5" x14ac:dyDescent="0.25">
      <c r="A5693" t="s">
        <v>3</v>
      </c>
      <c r="B5693">
        <v>1221211</v>
      </c>
      <c r="C5693">
        <v>122987.5</v>
      </c>
      <c r="D5693" s="4">
        <f>+VLOOKUP(A5693,Portfolio!$G$3:$I$6,3)</f>
        <v>0.5</v>
      </c>
      <c r="E5693">
        <f t="shared" si="88"/>
        <v>61493.75</v>
      </c>
    </row>
    <row r="5694" spans="1:5" x14ac:dyDescent="0.25">
      <c r="A5694" t="s">
        <v>3</v>
      </c>
      <c r="B5694">
        <v>1221212</v>
      </c>
      <c r="C5694">
        <v>122987.5</v>
      </c>
      <c r="D5694" s="4">
        <f>+VLOOKUP(A5694,Portfolio!$G$3:$I$6,3)</f>
        <v>0.5</v>
      </c>
      <c r="E5694">
        <f t="shared" si="88"/>
        <v>61493.75</v>
      </c>
    </row>
    <row r="5695" spans="1:5" x14ac:dyDescent="0.25">
      <c r="A5695" t="s">
        <v>3</v>
      </c>
      <c r="B5695">
        <v>1221213</v>
      </c>
      <c r="C5695">
        <v>125275</v>
      </c>
      <c r="D5695" s="4">
        <f>+VLOOKUP(A5695,Portfolio!$G$3:$I$6,3)</f>
        <v>0.5</v>
      </c>
      <c r="E5695">
        <f t="shared" si="88"/>
        <v>62637.5</v>
      </c>
    </row>
    <row r="5696" spans="1:5" x14ac:dyDescent="0.25">
      <c r="A5696" t="s">
        <v>3</v>
      </c>
      <c r="B5696">
        <v>1221214</v>
      </c>
      <c r="C5696">
        <v>126975</v>
      </c>
      <c r="D5696" s="4">
        <f>+VLOOKUP(A5696,Portfolio!$G$3:$I$6,3)</f>
        <v>0.5</v>
      </c>
      <c r="E5696">
        <f t="shared" si="88"/>
        <v>63487.5</v>
      </c>
    </row>
    <row r="5697" spans="1:5" x14ac:dyDescent="0.25">
      <c r="A5697" t="s">
        <v>3</v>
      </c>
      <c r="B5697">
        <v>1221215</v>
      </c>
      <c r="C5697">
        <v>125912.5</v>
      </c>
      <c r="D5697" s="4">
        <f>+VLOOKUP(A5697,Portfolio!$G$3:$I$6,3)</f>
        <v>0.5</v>
      </c>
      <c r="E5697">
        <f t="shared" si="88"/>
        <v>62956.25</v>
      </c>
    </row>
    <row r="5698" spans="1:5" x14ac:dyDescent="0.25">
      <c r="A5698" t="s">
        <v>3</v>
      </c>
      <c r="B5698">
        <v>1221216</v>
      </c>
      <c r="C5698">
        <v>131275</v>
      </c>
      <c r="D5698" s="4">
        <f>+VLOOKUP(A5698,Portfolio!$G$3:$I$6,3)</f>
        <v>0.5</v>
      </c>
      <c r="E5698">
        <f t="shared" si="88"/>
        <v>65637.5</v>
      </c>
    </row>
    <row r="5699" spans="1:5" x14ac:dyDescent="0.25">
      <c r="A5699" t="s">
        <v>3</v>
      </c>
      <c r="B5699">
        <v>1221218</v>
      </c>
      <c r="C5699">
        <v>130812.5</v>
      </c>
      <c r="D5699" s="4">
        <f>+VLOOKUP(A5699,Portfolio!$G$3:$I$6,3)</f>
        <v>0.5</v>
      </c>
      <c r="E5699">
        <f t="shared" ref="E5699:E5762" si="89">+C5699*D5699</f>
        <v>65406.25</v>
      </c>
    </row>
    <row r="5700" spans="1:5" x14ac:dyDescent="0.25">
      <c r="A5700" t="s">
        <v>3</v>
      </c>
      <c r="B5700">
        <v>1221219</v>
      </c>
      <c r="C5700">
        <v>130812.5</v>
      </c>
      <c r="D5700" s="4">
        <f>+VLOOKUP(A5700,Portfolio!$G$3:$I$6,3)</f>
        <v>0.5</v>
      </c>
      <c r="E5700">
        <f t="shared" si="89"/>
        <v>65406.25</v>
      </c>
    </row>
    <row r="5701" spans="1:5" x14ac:dyDescent="0.25">
      <c r="A5701" t="s">
        <v>3</v>
      </c>
      <c r="B5701">
        <v>1221220</v>
      </c>
      <c r="C5701">
        <v>134200</v>
      </c>
      <c r="D5701" s="4">
        <f>+VLOOKUP(A5701,Portfolio!$G$3:$I$6,3)</f>
        <v>0.5</v>
      </c>
      <c r="E5701">
        <f t="shared" si="89"/>
        <v>67100</v>
      </c>
    </row>
    <row r="5702" spans="1:5" x14ac:dyDescent="0.25">
      <c r="A5702" t="s">
        <v>3</v>
      </c>
      <c r="B5702">
        <v>1221221</v>
      </c>
      <c r="C5702">
        <v>132875</v>
      </c>
      <c r="D5702" s="4">
        <f>+VLOOKUP(A5702,Portfolio!$G$3:$I$6,3)</f>
        <v>0.5</v>
      </c>
      <c r="E5702">
        <f t="shared" si="89"/>
        <v>66437.5</v>
      </c>
    </row>
    <row r="5703" spans="1:5" x14ac:dyDescent="0.25">
      <c r="A5703" t="s">
        <v>3</v>
      </c>
      <c r="B5703">
        <v>1221222</v>
      </c>
      <c r="C5703">
        <v>135375</v>
      </c>
      <c r="D5703" s="4">
        <f>+VLOOKUP(A5703,Portfolio!$G$3:$I$6,3)</f>
        <v>0.5</v>
      </c>
      <c r="E5703">
        <f t="shared" si="89"/>
        <v>67687.5</v>
      </c>
    </row>
    <row r="5704" spans="1:5" x14ac:dyDescent="0.25">
      <c r="A5704" t="s">
        <v>3</v>
      </c>
      <c r="B5704">
        <v>1221223</v>
      </c>
      <c r="C5704">
        <v>132037.5</v>
      </c>
      <c r="D5704" s="4">
        <f>+VLOOKUP(A5704,Portfolio!$G$3:$I$6,3)</f>
        <v>0.5</v>
      </c>
      <c r="E5704">
        <f t="shared" si="89"/>
        <v>66018.75</v>
      </c>
    </row>
    <row r="5705" spans="1:5" x14ac:dyDescent="0.25">
      <c r="A5705" t="s">
        <v>3</v>
      </c>
      <c r="B5705">
        <v>1221226</v>
      </c>
      <c r="C5705">
        <v>131762.5</v>
      </c>
      <c r="D5705" s="4">
        <f>+VLOOKUP(A5705,Portfolio!$G$3:$I$6,3)</f>
        <v>0.5</v>
      </c>
      <c r="E5705">
        <f t="shared" si="89"/>
        <v>65881.25</v>
      </c>
    </row>
    <row r="5706" spans="1:5" x14ac:dyDescent="0.25">
      <c r="A5706" t="s">
        <v>3</v>
      </c>
      <c r="B5706">
        <v>1221227</v>
      </c>
      <c r="C5706">
        <v>131762.5</v>
      </c>
      <c r="D5706" s="4">
        <f>+VLOOKUP(A5706,Portfolio!$G$3:$I$6,3)</f>
        <v>0.5</v>
      </c>
      <c r="E5706">
        <f t="shared" si="89"/>
        <v>65881.25</v>
      </c>
    </row>
    <row r="5707" spans="1:5" x14ac:dyDescent="0.25">
      <c r="A5707" t="s">
        <v>3</v>
      </c>
      <c r="B5707">
        <v>1221228</v>
      </c>
      <c r="C5707">
        <v>131062.5</v>
      </c>
      <c r="D5707" s="4">
        <f>+VLOOKUP(A5707,Portfolio!$G$3:$I$6,3)</f>
        <v>0.5</v>
      </c>
      <c r="E5707">
        <f t="shared" si="89"/>
        <v>65531.25</v>
      </c>
    </row>
    <row r="5708" spans="1:5" x14ac:dyDescent="0.25">
      <c r="A5708" t="s">
        <v>3</v>
      </c>
      <c r="B5708">
        <v>1221229</v>
      </c>
      <c r="C5708">
        <v>133350</v>
      </c>
      <c r="D5708" s="4">
        <f>+VLOOKUP(A5708,Portfolio!$G$3:$I$6,3)</f>
        <v>0.5</v>
      </c>
      <c r="E5708">
        <f t="shared" si="89"/>
        <v>66675</v>
      </c>
    </row>
    <row r="5709" spans="1:5" x14ac:dyDescent="0.25">
      <c r="A5709" t="s">
        <v>3</v>
      </c>
      <c r="B5709">
        <v>1221230</v>
      </c>
      <c r="C5709">
        <v>131287.5</v>
      </c>
      <c r="D5709" s="4">
        <f>+VLOOKUP(A5709,Portfolio!$G$3:$I$6,3)</f>
        <v>0.5</v>
      </c>
      <c r="E5709">
        <f t="shared" si="89"/>
        <v>65643.75</v>
      </c>
    </row>
    <row r="5710" spans="1:5" x14ac:dyDescent="0.25">
      <c r="A5710" t="s">
        <v>3</v>
      </c>
      <c r="B5710">
        <v>1230102</v>
      </c>
      <c r="C5710">
        <v>128200</v>
      </c>
      <c r="D5710" s="4">
        <f>+VLOOKUP(A5710,Portfolio!$G$3:$I$6,3)</f>
        <v>0.5</v>
      </c>
      <c r="E5710">
        <f t="shared" si="89"/>
        <v>64100</v>
      </c>
    </row>
    <row r="5711" spans="1:5" x14ac:dyDescent="0.25">
      <c r="A5711" t="s">
        <v>3</v>
      </c>
      <c r="B5711">
        <v>1230103</v>
      </c>
      <c r="C5711">
        <v>128200</v>
      </c>
      <c r="D5711" s="4">
        <f>+VLOOKUP(A5711,Portfolio!$G$3:$I$6,3)</f>
        <v>0.5</v>
      </c>
      <c r="E5711">
        <f t="shared" si="89"/>
        <v>64100</v>
      </c>
    </row>
    <row r="5712" spans="1:5" x14ac:dyDescent="0.25">
      <c r="A5712" t="s">
        <v>3</v>
      </c>
      <c r="B5712">
        <v>1230104</v>
      </c>
      <c r="C5712">
        <v>129912.5</v>
      </c>
      <c r="D5712" s="4">
        <f>+VLOOKUP(A5712,Portfolio!$G$3:$I$6,3)</f>
        <v>0.5</v>
      </c>
      <c r="E5712">
        <f t="shared" si="89"/>
        <v>64956.25</v>
      </c>
    </row>
    <row r="5713" spans="1:5" x14ac:dyDescent="0.25">
      <c r="A5713" t="s">
        <v>3</v>
      </c>
      <c r="B5713">
        <v>1230105</v>
      </c>
      <c r="C5713">
        <v>126212.5</v>
      </c>
      <c r="D5713" s="4">
        <f>+VLOOKUP(A5713,Portfolio!$G$3:$I$6,3)</f>
        <v>0.5</v>
      </c>
      <c r="E5713">
        <f t="shared" si="89"/>
        <v>63106.25</v>
      </c>
    </row>
    <row r="5714" spans="1:5" x14ac:dyDescent="0.25">
      <c r="A5714" t="s">
        <v>3</v>
      </c>
      <c r="B5714">
        <v>1230106</v>
      </c>
      <c r="C5714">
        <v>122887.5</v>
      </c>
      <c r="D5714" s="4">
        <f>+VLOOKUP(A5714,Portfolio!$G$3:$I$6,3)</f>
        <v>0.5</v>
      </c>
      <c r="E5714">
        <f t="shared" si="89"/>
        <v>61443.75</v>
      </c>
    </row>
    <row r="5715" spans="1:5" x14ac:dyDescent="0.25">
      <c r="A5715" t="s">
        <v>3</v>
      </c>
      <c r="B5715">
        <v>1230108</v>
      </c>
      <c r="C5715">
        <v>123475</v>
      </c>
      <c r="D5715" s="4">
        <f>+VLOOKUP(A5715,Portfolio!$G$3:$I$6,3)</f>
        <v>0.5</v>
      </c>
      <c r="E5715">
        <f t="shared" si="89"/>
        <v>61737.5</v>
      </c>
    </row>
    <row r="5716" spans="1:5" x14ac:dyDescent="0.25">
      <c r="A5716" t="s">
        <v>3</v>
      </c>
      <c r="B5716">
        <v>1230109</v>
      </c>
      <c r="C5716">
        <v>123750</v>
      </c>
      <c r="D5716" s="4">
        <f>+VLOOKUP(A5716,Portfolio!$G$3:$I$6,3)</f>
        <v>0.5</v>
      </c>
      <c r="E5716">
        <f t="shared" si="89"/>
        <v>61875</v>
      </c>
    </row>
    <row r="5717" spans="1:5" x14ac:dyDescent="0.25">
      <c r="A5717" t="s">
        <v>3</v>
      </c>
      <c r="B5717">
        <v>1230110</v>
      </c>
      <c r="C5717">
        <v>122700</v>
      </c>
      <c r="D5717" s="4">
        <f>+VLOOKUP(A5717,Portfolio!$G$3:$I$6,3)</f>
        <v>0.5</v>
      </c>
      <c r="E5717">
        <f t="shared" si="89"/>
        <v>61350</v>
      </c>
    </row>
    <row r="5718" spans="1:5" x14ac:dyDescent="0.25">
      <c r="A5718" t="s">
        <v>3</v>
      </c>
      <c r="B5718">
        <v>1230111</v>
      </c>
      <c r="C5718">
        <v>124462.5</v>
      </c>
      <c r="D5718" s="4">
        <f>+VLOOKUP(A5718,Portfolio!$G$3:$I$6,3)</f>
        <v>0.5</v>
      </c>
      <c r="E5718">
        <f t="shared" si="89"/>
        <v>62231.25</v>
      </c>
    </row>
    <row r="5719" spans="1:5" x14ac:dyDescent="0.25">
      <c r="A5719" t="s">
        <v>3</v>
      </c>
      <c r="B5719">
        <v>1230112</v>
      </c>
      <c r="C5719">
        <v>126800</v>
      </c>
      <c r="D5719" s="4">
        <f>+VLOOKUP(A5719,Portfolio!$G$3:$I$6,3)</f>
        <v>0.5</v>
      </c>
      <c r="E5719">
        <f t="shared" si="89"/>
        <v>63400</v>
      </c>
    </row>
    <row r="5720" spans="1:5" x14ac:dyDescent="0.25">
      <c r="A5720" t="s">
        <v>3</v>
      </c>
      <c r="B5720">
        <v>1230113</v>
      </c>
      <c r="C5720">
        <v>126800</v>
      </c>
      <c r="D5720" s="4">
        <f>+VLOOKUP(A5720,Portfolio!$G$3:$I$6,3)</f>
        <v>0.5</v>
      </c>
      <c r="E5720">
        <f t="shared" si="89"/>
        <v>63400</v>
      </c>
    </row>
    <row r="5721" spans="1:5" x14ac:dyDescent="0.25">
      <c r="A5721" t="s">
        <v>3</v>
      </c>
      <c r="B5721">
        <v>1230115</v>
      </c>
      <c r="C5721">
        <v>127187.5</v>
      </c>
      <c r="D5721" s="4">
        <f>+VLOOKUP(A5721,Portfolio!$G$3:$I$6,3)</f>
        <v>0.5</v>
      </c>
      <c r="E5721">
        <f t="shared" si="89"/>
        <v>63593.75</v>
      </c>
    </row>
    <row r="5722" spans="1:5" x14ac:dyDescent="0.25">
      <c r="A5722" t="s">
        <v>3</v>
      </c>
      <c r="B5722">
        <v>1230116</v>
      </c>
      <c r="C5722">
        <v>127537.5</v>
      </c>
      <c r="D5722" s="4">
        <f>+VLOOKUP(A5722,Portfolio!$G$3:$I$6,3)</f>
        <v>0.5</v>
      </c>
      <c r="E5722">
        <f t="shared" si="89"/>
        <v>63768.75</v>
      </c>
    </row>
    <row r="5723" spans="1:5" x14ac:dyDescent="0.25">
      <c r="A5723" t="s">
        <v>3</v>
      </c>
      <c r="B5723">
        <v>1230117</v>
      </c>
      <c r="C5723">
        <v>127200</v>
      </c>
      <c r="D5723" s="4">
        <f>+VLOOKUP(A5723,Portfolio!$G$3:$I$6,3)</f>
        <v>0.5</v>
      </c>
      <c r="E5723">
        <f t="shared" si="89"/>
        <v>63600</v>
      </c>
    </row>
    <row r="5724" spans="1:5" x14ac:dyDescent="0.25">
      <c r="A5724" t="s">
        <v>3</v>
      </c>
      <c r="B5724">
        <v>1230118</v>
      </c>
      <c r="C5724">
        <v>126687.5</v>
      </c>
      <c r="D5724" s="4">
        <f>+VLOOKUP(A5724,Portfolio!$G$3:$I$6,3)</f>
        <v>0.5</v>
      </c>
      <c r="E5724">
        <f t="shared" si="89"/>
        <v>63343.75</v>
      </c>
    </row>
    <row r="5725" spans="1:5" x14ac:dyDescent="0.25">
      <c r="A5725" t="s">
        <v>3</v>
      </c>
      <c r="B5725">
        <v>1230119</v>
      </c>
      <c r="C5725">
        <v>129837.5</v>
      </c>
      <c r="D5725" s="4">
        <f>+VLOOKUP(A5725,Portfolio!$G$3:$I$6,3)</f>
        <v>0.5</v>
      </c>
      <c r="E5725">
        <f t="shared" si="89"/>
        <v>64918.75</v>
      </c>
    </row>
    <row r="5726" spans="1:5" x14ac:dyDescent="0.25">
      <c r="A5726" t="s">
        <v>3</v>
      </c>
      <c r="B5726">
        <v>1230120</v>
      </c>
      <c r="C5726">
        <v>131412.5</v>
      </c>
      <c r="D5726" s="4">
        <f>+VLOOKUP(A5726,Portfolio!$G$3:$I$6,3)</f>
        <v>0.5</v>
      </c>
      <c r="E5726">
        <f t="shared" si="89"/>
        <v>65706.25</v>
      </c>
    </row>
    <row r="5727" spans="1:5" x14ac:dyDescent="0.25">
      <c r="A5727" t="s">
        <v>3</v>
      </c>
      <c r="B5727">
        <v>1230122</v>
      </c>
      <c r="C5727">
        <v>133925</v>
      </c>
      <c r="D5727" s="4">
        <f>+VLOOKUP(A5727,Portfolio!$G$3:$I$6,3)</f>
        <v>0.5</v>
      </c>
      <c r="E5727">
        <f t="shared" si="89"/>
        <v>66962.5</v>
      </c>
    </row>
    <row r="5728" spans="1:5" x14ac:dyDescent="0.25">
      <c r="A5728" t="s">
        <v>3</v>
      </c>
      <c r="B5728">
        <v>1230123</v>
      </c>
      <c r="C5728">
        <v>134037.5</v>
      </c>
      <c r="D5728" s="4">
        <f>+VLOOKUP(A5728,Portfolio!$G$3:$I$6,3)</f>
        <v>0.5</v>
      </c>
      <c r="E5728">
        <f t="shared" si="89"/>
        <v>67018.75</v>
      </c>
    </row>
    <row r="5729" spans="1:5" x14ac:dyDescent="0.25">
      <c r="A5729" t="s">
        <v>3</v>
      </c>
      <c r="B5729">
        <v>1230124</v>
      </c>
      <c r="C5729">
        <v>136600</v>
      </c>
      <c r="D5729" s="4">
        <f>+VLOOKUP(A5729,Portfolio!$G$3:$I$6,3)</f>
        <v>0.5</v>
      </c>
      <c r="E5729">
        <f t="shared" si="89"/>
        <v>68300</v>
      </c>
    </row>
    <row r="5730" spans="1:5" x14ac:dyDescent="0.25">
      <c r="A5730" t="s">
        <v>3</v>
      </c>
      <c r="B5730">
        <v>1230125</v>
      </c>
      <c r="C5730">
        <v>134912.5</v>
      </c>
      <c r="D5730" s="4">
        <f>+VLOOKUP(A5730,Portfolio!$G$3:$I$6,3)</f>
        <v>0.5</v>
      </c>
      <c r="E5730">
        <f t="shared" si="89"/>
        <v>67456.25</v>
      </c>
    </row>
    <row r="5731" spans="1:5" x14ac:dyDescent="0.25">
      <c r="A5731" t="s">
        <v>3</v>
      </c>
      <c r="B5731">
        <v>1230126</v>
      </c>
      <c r="C5731">
        <v>136575</v>
      </c>
      <c r="D5731" s="4">
        <f>+VLOOKUP(A5731,Portfolio!$G$3:$I$6,3)</f>
        <v>0.5</v>
      </c>
      <c r="E5731">
        <f t="shared" si="89"/>
        <v>68287.5</v>
      </c>
    </row>
    <row r="5732" spans="1:5" x14ac:dyDescent="0.25">
      <c r="A5732" t="s">
        <v>3</v>
      </c>
      <c r="B5732">
        <v>1230127</v>
      </c>
      <c r="C5732">
        <v>134662.5</v>
      </c>
      <c r="D5732" s="4">
        <f>+VLOOKUP(A5732,Portfolio!$G$3:$I$6,3)</f>
        <v>0.5</v>
      </c>
      <c r="E5732">
        <f t="shared" si="89"/>
        <v>67331.25</v>
      </c>
    </row>
    <row r="5733" spans="1:5" x14ac:dyDescent="0.25">
      <c r="A5733" t="s">
        <v>3</v>
      </c>
      <c r="B5733">
        <v>1230129</v>
      </c>
      <c r="C5733">
        <v>133550</v>
      </c>
      <c r="D5733" s="4">
        <f>+VLOOKUP(A5733,Portfolio!$G$3:$I$6,3)</f>
        <v>0.5</v>
      </c>
      <c r="E5733">
        <f t="shared" si="89"/>
        <v>66775</v>
      </c>
    </row>
    <row r="5734" spans="1:5" x14ac:dyDescent="0.25">
      <c r="A5734" t="s">
        <v>3</v>
      </c>
      <c r="B5734">
        <v>1230130</v>
      </c>
      <c r="C5734">
        <v>133150</v>
      </c>
      <c r="D5734" s="4">
        <f>+VLOOKUP(A5734,Portfolio!$G$3:$I$6,3)</f>
        <v>0.5</v>
      </c>
      <c r="E5734">
        <f t="shared" si="89"/>
        <v>66575</v>
      </c>
    </row>
    <row r="5735" spans="1:5" x14ac:dyDescent="0.25">
      <c r="A5735" t="s">
        <v>3</v>
      </c>
      <c r="B5735">
        <v>1230131</v>
      </c>
      <c r="C5735">
        <v>133200</v>
      </c>
      <c r="D5735" s="4">
        <f>+VLOOKUP(A5735,Portfolio!$G$3:$I$6,3)</f>
        <v>0.5</v>
      </c>
      <c r="E5735">
        <f t="shared" si="89"/>
        <v>66600</v>
      </c>
    </row>
    <row r="5736" spans="1:5" x14ac:dyDescent="0.25">
      <c r="A5736" t="s">
        <v>3</v>
      </c>
      <c r="B5736">
        <v>1230201</v>
      </c>
      <c r="C5736">
        <v>133625</v>
      </c>
      <c r="D5736" s="4">
        <f>+VLOOKUP(A5736,Portfolio!$G$3:$I$6,3)</f>
        <v>0.5</v>
      </c>
      <c r="E5736">
        <f t="shared" si="89"/>
        <v>66812.5</v>
      </c>
    </row>
    <row r="5737" spans="1:5" x14ac:dyDescent="0.25">
      <c r="A5737" t="s">
        <v>3</v>
      </c>
      <c r="B5737">
        <v>1230202</v>
      </c>
      <c r="C5737">
        <v>135012.5</v>
      </c>
      <c r="D5737" s="4">
        <f>+VLOOKUP(A5737,Portfolio!$G$3:$I$6,3)</f>
        <v>0.5</v>
      </c>
      <c r="E5737">
        <f t="shared" si="89"/>
        <v>67506.25</v>
      </c>
    </row>
    <row r="5738" spans="1:5" x14ac:dyDescent="0.25">
      <c r="A5738" t="s">
        <v>3</v>
      </c>
      <c r="B5738">
        <v>1230203</v>
      </c>
      <c r="C5738">
        <v>137400</v>
      </c>
      <c r="D5738" s="4">
        <f>+VLOOKUP(A5738,Portfolio!$G$3:$I$6,3)</f>
        <v>0.5</v>
      </c>
      <c r="E5738">
        <f t="shared" si="89"/>
        <v>68700</v>
      </c>
    </row>
    <row r="5739" spans="1:5" x14ac:dyDescent="0.25">
      <c r="A5739" t="s">
        <v>3</v>
      </c>
      <c r="B5739">
        <v>1230205</v>
      </c>
      <c r="C5739">
        <v>135687.5</v>
      </c>
      <c r="D5739" s="4">
        <f>+VLOOKUP(A5739,Portfolio!$G$3:$I$6,3)</f>
        <v>0.5</v>
      </c>
      <c r="E5739">
        <f t="shared" si="89"/>
        <v>67843.75</v>
      </c>
    </row>
    <row r="5740" spans="1:5" x14ac:dyDescent="0.25">
      <c r="A5740" t="s">
        <v>3</v>
      </c>
      <c r="B5740">
        <v>1230206</v>
      </c>
      <c r="C5740">
        <v>135337.5</v>
      </c>
      <c r="D5740" s="4">
        <f>+VLOOKUP(A5740,Portfolio!$G$3:$I$6,3)</f>
        <v>0.5</v>
      </c>
      <c r="E5740">
        <f t="shared" si="89"/>
        <v>67668.75</v>
      </c>
    </row>
    <row r="5741" spans="1:5" x14ac:dyDescent="0.25">
      <c r="A5741" t="s">
        <v>3</v>
      </c>
      <c r="B5741">
        <v>1230207</v>
      </c>
      <c r="C5741">
        <v>132187.5</v>
      </c>
      <c r="D5741" s="4">
        <f>+VLOOKUP(A5741,Portfolio!$G$3:$I$6,3)</f>
        <v>0.5</v>
      </c>
      <c r="E5741">
        <f t="shared" si="89"/>
        <v>66093.75</v>
      </c>
    </row>
    <row r="5742" spans="1:5" x14ac:dyDescent="0.25">
      <c r="A5742" t="s">
        <v>3</v>
      </c>
      <c r="B5742">
        <v>1230208</v>
      </c>
      <c r="C5742">
        <v>129137.5</v>
      </c>
      <c r="D5742" s="4">
        <f>+VLOOKUP(A5742,Portfolio!$G$3:$I$6,3)</f>
        <v>0.5</v>
      </c>
      <c r="E5742">
        <f t="shared" si="89"/>
        <v>64568.75</v>
      </c>
    </row>
    <row r="5743" spans="1:5" x14ac:dyDescent="0.25">
      <c r="A5743" t="s">
        <v>3</v>
      </c>
      <c r="B5743">
        <v>1230209</v>
      </c>
      <c r="C5743">
        <v>128062.5</v>
      </c>
      <c r="D5743" s="4">
        <f>+VLOOKUP(A5743,Portfolio!$G$3:$I$6,3)</f>
        <v>0.5</v>
      </c>
      <c r="E5743">
        <f t="shared" si="89"/>
        <v>64031.25</v>
      </c>
    </row>
    <row r="5744" spans="1:5" x14ac:dyDescent="0.25">
      <c r="A5744" t="s">
        <v>3</v>
      </c>
      <c r="B5744">
        <v>1230210</v>
      </c>
      <c r="C5744">
        <v>130712.5</v>
      </c>
      <c r="D5744" s="4">
        <f>+VLOOKUP(A5744,Portfolio!$G$3:$I$6,3)</f>
        <v>0.5</v>
      </c>
      <c r="E5744">
        <f t="shared" si="89"/>
        <v>65356.25</v>
      </c>
    </row>
    <row r="5745" spans="1:5" x14ac:dyDescent="0.25">
      <c r="A5745" t="s">
        <v>3</v>
      </c>
      <c r="B5745">
        <v>1230212</v>
      </c>
      <c r="C5745">
        <v>129737.5</v>
      </c>
      <c r="D5745" s="4">
        <f>+VLOOKUP(A5745,Portfolio!$G$3:$I$6,3)</f>
        <v>0.5</v>
      </c>
      <c r="E5745">
        <f t="shared" si="89"/>
        <v>64868.75</v>
      </c>
    </row>
    <row r="5746" spans="1:5" x14ac:dyDescent="0.25">
      <c r="A5746" t="s">
        <v>3</v>
      </c>
      <c r="B5746">
        <v>1230213</v>
      </c>
      <c r="C5746">
        <v>129612.5</v>
      </c>
      <c r="D5746" s="4">
        <f>+VLOOKUP(A5746,Portfolio!$G$3:$I$6,3)</f>
        <v>0.5</v>
      </c>
      <c r="E5746">
        <f t="shared" si="89"/>
        <v>64806.25</v>
      </c>
    </row>
    <row r="5747" spans="1:5" x14ac:dyDescent="0.25">
      <c r="A5747" t="s">
        <v>3</v>
      </c>
      <c r="B5747">
        <v>1230214</v>
      </c>
      <c r="C5747">
        <v>132437.5</v>
      </c>
      <c r="D5747" s="4">
        <f>+VLOOKUP(A5747,Portfolio!$G$3:$I$6,3)</f>
        <v>0.5</v>
      </c>
      <c r="E5747">
        <f t="shared" si="89"/>
        <v>66218.75</v>
      </c>
    </row>
    <row r="5748" spans="1:5" x14ac:dyDescent="0.25">
      <c r="A5748" t="s">
        <v>3</v>
      </c>
      <c r="B5748">
        <v>1230215</v>
      </c>
      <c r="C5748">
        <v>130312.5</v>
      </c>
      <c r="D5748" s="4">
        <f>+VLOOKUP(A5748,Portfolio!$G$3:$I$6,3)</f>
        <v>0.5</v>
      </c>
      <c r="E5748">
        <f t="shared" si="89"/>
        <v>65156.25</v>
      </c>
    </row>
    <row r="5749" spans="1:5" x14ac:dyDescent="0.25">
      <c r="A5749" t="s">
        <v>3</v>
      </c>
      <c r="B5749">
        <v>1230216</v>
      </c>
      <c r="C5749">
        <v>130725</v>
      </c>
      <c r="D5749" s="4">
        <f>+VLOOKUP(A5749,Portfolio!$G$3:$I$6,3)</f>
        <v>0.5</v>
      </c>
      <c r="E5749">
        <f t="shared" si="89"/>
        <v>65362.5</v>
      </c>
    </row>
    <row r="5750" spans="1:5" x14ac:dyDescent="0.25">
      <c r="A5750" t="s">
        <v>3</v>
      </c>
      <c r="B5750">
        <v>1230217</v>
      </c>
      <c r="C5750">
        <v>129412.5</v>
      </c>
      <c r="D5750" s="4">
        <f>+VLOOKUP(A5750,Portfolio!$G$3:$I$6,3)</f>
        <v>0.5</v>
      </c>
      <c r="E5750">
        <f t="shared" si="89"/>
        <v>64706.25</v>
      </c>
    </row>
    <row r="5751" spans="1:5" x14ac:dyDescent="0.25">
      <c r="A5751" t="s">
        <v>3</v>
      </c>
      <c r="B5751">
        <v>1230219</v>
      </c>
      <c r="C5751">
        <v>128312.5</v>
      </c>
      <c r="D5751" s="4">
        <f>+VLOOKUP(A5751,Portfolio!$G$3:$I$6,3)</f>
        <v>0.5</v>
      </c>
      <c r="E5751">
        <f t="shared" si="89"/>
        <v>64156.25</v>
      </c>
    </row>
    <row r="5752" spans="1:5" x14ac:dyDescent="0.25">
      <c r="A5752" t="s">
        <v>3</v>
      </c>
      <c r="B5752">
        <v>1230220</v>
      </c>
      <c r="C5752">
        <v>127875</v>
      </c>
      <c r="D5752" s="4">
        <f>+VLOOKUP(A5752,Portfolio!$G$3:$I$6,3)</f>
        <v>0.5</v>
      </c>
      <c r="E5752">
        <f t="shared" si="89"/>
        <v>63937.5</v>
      </c>
    </row>
    <row r="5753" spans="1:5" x14ac:dyDescent="0.25">
      <c r="A5753" t="s">
        <v>3</v>
      </c>
      <c r="B5753">
        <v>1230221</v>
      </c>
      <c r="C5753">
        <v>128625</v>
      </c>
      <c r="D5753" s="4">
        <f>+VLOOKUP(A5753,Portfolio!$G$3:$I$6,3)</f>
        <v>0.5</v>
      </c>
      <c r="E5753">
        <f t="shared" si="89"/>
        <v>64312.5</v>
      </c>
    </row>
    <row r="5754" spans="1:5" x14ac:dyDescent="0.25">
      <c r="A5754" t="s">
        <v>3</v>
      </c>
      <c r="B5754">
        <v>1230222</v>
      </c>
      <c r="C5754">
        <v>131612.5</v>
      </c>
      <c r="D5754" s="4">
        <f>+VLOOKUP(A5754,Portfolio!$G$3:$I$6,3)</f>
        <v>0.5</v>
      </c>
      <c r="E5754">
        <f t="shared" si="89"/>
        <v>65806.25</v>
      </c>
    </row>
    <row r="5755" spans="1:5" x14ac:dyDescent="0.25">
      <c r="A5755" t="s">
        <v>3</v>
      </c>
      <c r="B5755">
        <v>1230223</v>
      </c>
      <c r="C5755">
        <v>128062.5</v>
      </c>
      <c r="D5755" s="4">
        <f>+VLOOKUP(A5755,Portfolio!$G$3:$I$6,3)</f>
        <v>0.5</v>
      </c>
      <c r="E5755">
        <f t="shared" si="89"/>
        <v>64031.25</v>
      </c>
    </row>
    <row r="5756" spans="1:5" x14ac:dyDescent="0.25">
      <c r="A5756" t="s">
        <v>3</v>
      </c>
      <c r="B5756">
        <v>1230224</v>
      </c>
      <c r="C5756">
        <v>125600</v>
      </c>
      <c r="D5756" s="4">
        <f>+VLOOKUP(A5756,Portfolio!$G$3:$I$6,3)</f>
        <v>0.5</v>
      </c>
      <c r="E5756">
        <f t="shared" si="89"/>
        <v>62800</v>
      </c>
    </row>
    <row r="5757" spans="1:5" x14ac:dyDescent="0.25">
      <c r="A5757" t="s">
        <v>3</v>
      </c>
      <c r="B5757">
        <v>1230226</v>
      </c>
      <c r="C5757">
        <v>127850</v>
      </c>
      <c r="D5757" s="4">
        <f>+VLOOKUP(A5757,Portfolio!$G$3:$I$6,3)</f>
        <v>0.5</v>
      </c>
      <c r="E5757">
        <f t="shared" si="89"/>
        <v>63925</v>
      </c>
    </row>
    <row r="5758" spans="1:5" x14ac:dyDescent="0.25">
      <c r="A5758" t="s">
        <v>3</v>
      </c>
      <c r="B5758">
        <v>1230227</v>
      </c>
      <c r="C5758">
        <v>127850</v>
      </c>
      <c r="D5758" s="4">
        <f>+VLOOKUP(A5758,Portfolio!$G$3:$I$6,3)</f>
        <v>0.5</v>
      </c>
      <c r="E5758">
        <f t="shared" si="89"/>
        <v>63925</v>
      </c>
    </row>
    <row r="5759" spans="1:5" x14ac:dyDescent="0.25">
      <c r="A5759" t="s">
        <v>3</v>
      </c>
      <c r="B5759">
        <v>1230228</v>
      </c>
      <c r="C5759">
        <v>126475</v>
      </c>
      <c r="D5759" s="4">
        <f>+VLOOKUP(A5759,Portfolio!$G$3:$I$6,3)</f>
        <v>0.5</v>
      </c>
      <c r="E5759">
        <f t="shared" si="89"/>
        <v>63237.5</v>
      </c>
    </row>
    <row r="5760" spans="1:5" x14ac:dyDescent="0.25">
      <c r="A5760" t="s">
        <v>3</v>
      </c>
      <c r="B5760">
        <v>1230301</v>
      </c>
      <c r="C5760">
        <v>126325</v>
      </c>
      <c r="D5760" s="4">
        <f>+VLOOKUP(A5760,Portfolio!$G$3:$I$6,3)</f>
        <v>0.5</v>
      </c>
      <c r="E5760">
        <f t="shared" si="89"/>
        <v>63162.5</v>
      </c>
    </row>
    <row r="5761" spans="1:5" x14ac:dyDescent="0.25">
      <c r="A5761" t="s">
        <v>3</v>
      </c>
      <c r="B5761">
        <v>1230302</v>
      </c>
      <c r="C5761">
        <v>127487.5</v>
      </c>
      <c r="D5761" s="4">
        <f>+VLOOKUP(A5761,Portfolio!$G$3:$I$6,3)</f>
        <v>0.5</v>
      </c>
      <c r="E5761">
        <f t="shared" si="89"/>
        <v>63743.75</v>
      </c>
    </row>
    <row r="5762" spans="1:5" x14ac:dyDescent="0.25">
      <c r="A5762" t="s">
        <v>3</v>
      </c>
      <c r="B5762">
        <v>1230303</v>
      </c>
      <c r="C5762">
        <v>128525</v>
      </c>
      <c r="D5762" s="4">
        <f>+VLOOKUP(A5762,Portfolio!$G$3:$I$6,3)</f>
        <v>0.5</v>
      </c>
      <c r="E5762">
        <f t="shared" si="89"/>
        <v>64262.5</v>
      </c>
    </row>
    <row r="5763" spans="1:5" x14ac:dyDescent="0.25">
      <c r="A5763" t="s">
        <v>3</v>
      </c>
      <c r="B5763">
        <v>1230305</v>
      </c>
      <c r="C5763">
        <v>131787.5</v>
      </c>
      <c r="D5763" s="4">
        <f>+VLOOKUP(A5763,Portfolio!$G$3:$I$6,3)</f>
        <v>0.5</v>
      </c>
      <c r="E5763">
        <f t="shared" ref="E5763:E5826" si="90">+C5763*D5763</f>
        <v>65893.75</v>
      </c>
    </row>
    <row r="5764" spans="1:5" x14ac:dyDescent="0.25">
      <c r="A5764" t="s">
        <v>3</v>
      </c>
      <c r="B5764">
        <v>1230306</v>
      </c>
      <c r="C5764">
        <v>132337.5</v>
      </c>
      <c r="D5764" s="4">
        <f>+VLOOKUP(A5764,Portfolio!$G$3:$I$6,3)</f>
        <v>0.5</v>
      </c>
      <c r="E5764">
        <f t="shared" si="90"/>
        <v>66168.75</v>
      </c>
    </row>
    <row r="5765" spans="1:5" x14ac:dyDescent="0.25">
      <c r="A5765" t="s">
        <v>3</v>
      </c>
      <c r="B5765">
        <v>1230307</v>
      </c>
      <c r="C5765">
        <v>132362.5</v>
      </c>
      <c r="D5765" s="4">
        <f>+VLOOKUP(A5765,Portfolio!$G$3:$I$6,3)</f>
        <v>0.5</v>
      </c>
      <c r="E5765">
        <f t="shared" si="90"/>
        <v>66181.25</v>
      </c>
    </row>
    <row r="5766" spans="1:5" x14ac:dyDescent="0.25">
      <c r="A5766" t="s">
        <v>3</v>
      </c>
      <c r="B5766">
        <v>1230308</v>
      </c>
      <c r="C5766">
        <v>135375</v>
      </c>
      <c r="D5766" s="4">
        <f>+VLOOKUP(A5766,Portfolio!$G$3:$I$6,3)</f>
        <v>0.5</v>
      </c>
      <c r="E5766">
        <f t="shared" si="90"/>
        <v>67687.5</v>
      </c>
    </row>
    <row r="5767" spans="1:5" x14ac:dyDescent="0.25">
      <c r="A5767" t="s">
        <v>3</v>
      </c>
      <c r="B5767">
        <v>1230309</v>
      </c>
      <c r="C5767">
        <v>131487.5</v>
      </c>
      <c r="D5767" s="4">
        <f>+VLOOKUP(A5767,Portfolio!$G$3:$I$6,3)</f>
        <v>0.5</v>
      </c>
      <c r="E5767">
        <f t="shared" si="90"/>
        <v>65743.75</v>
      </c>
    </row>
    <row r="5768" spans="1:5" x14ac:dyDescent="0.25">
      <c r="A5768" t="s">
        <v>3</v>
      </c>
      <c r="B5768">
        <v>1230310</v>
      </c>
      <c r="C5768">
        <v>136500</v>
      </c>
      <c r="D5768" s="4">
        <f>+VLOOKUP(A5768,Portfolio!$G$3:$I$6,3)</f>
        <v>0.5</v>
      </c>
      <c r="E5768">
        <f t="shared" si="90"/>
        <v>68250</v>
      </c>
    </row>
    <row r="5769" spans="1:5" x14ac:dyDescent="0.25">
      <c r="A5769" t="s">
        <v>3</v>
      </c>
      <c r="B5769">
        <v>1230312</v>
      </c>
      <c r="C5769">
        <v>137950</v>
      </c>
      <c r="D5769" s="4">
        <f>+VLOOKUP(A5769,Portfolio!$G$3:$I$6,3)</f>
        <v>0.5</v>
      </c>
      <c r="E5769">
        <f t="shared" si="90"/>
        <v>68975</v>
      </c>
    </row>
    <row r="5770" spans="1:5" x14ac:dyDescent="0.25">
      <c r="A5770" t="s">
        <v>3</v>
      </c>
      <c r="B5770">
        <v>1230313</v>
      </c>
      <c r="C5770">
        <v>137950</v>
      </c>
      <c r="D5770" s="4">
        <f>+VLOOKUP(A5770,Portfolio!$G$3:$I$6,3)</f>
        <v>0.5</v>
      </c>
      <c r="E5770">
        <f t="shared" si="90"/>
        <v>68975</v>
      </c>
    </row>
    <row r="5771" spans="1:5" x14ac:dyDescent="0.25">
      <c r="A5771" t="s">
        <v>3</v>
      </c>
      <c r="B5771">
        <v>1230314</v>
      </c>
      <c r="C5771">
        <v>137950</v>
      </c>
      <c r="D5771" s="4">
        <f>+VLOOKUP(A5771,Portfolio!$G$3:$I$6,3)</f>
        <v>0.5</v>
      </c>
      <c r="E5771">
        <f t="shared" si="90"/>
        <v>68975</v>
      </c>
    </row>
    <row r="5772" spans="1:5" x14ac:dyDescent="0.25">
      <c r="A5772" t="s">
        <v>3</v>
      </c>
      <c r="B5772">
        <v>1230315</v>
      </c>
      <c r="C5772">
        <v>137987.5</v>
      </c>
      <c r="D5772" s="4">
        <f>+VLOOKUP(A5772,Portfolio!$G$3:$I$6,3)</f>
        <v>0.5</v>
      </c>
      <c r="E5772">
        <f t="shared" si="90"/>
        <v>68993.75</v>
      </c>
    </row>
    <row r="5773" spans="1:5" x14ac:dyDescent="0.25">
      <c r="A5773" t="s">
        <v>3</v>
      </c>
      <c r="B5773">
        <v>1230316</v>
      </c>
      <c r="C5773">
        <v>134575</v>
      </c>
      <c r="D5773" s="4">
        <f>+VLOOKUP(A5773,Portfolio!$G$3:$I$6,3)</f>
        <v>0.5</v>
      </c>
      <c r="E5773">
        <f t="shared" si="90"/>
        <v>67287.5</v>
      </c>
    </row>
    <row r="5774" spans="1:5" x14ac:dyDescent="0.25">
      <c r="A5774" t="s">
        <v>3</v>
      </c>
      <c r="B5774">
        <v>1230317</v>
      </c>
      <c r="C5774">
        <v>137250</v>
      </c>
      <c r="D5774" s="4">
        <f>+VLOOKUP(A5774,Portfolio!$G$3:$I$6,3)</f>
        <v>0.5</v>
      </c>
      <c r="E5774">
        <f t="shared" si="90"/>
        <v>68625</v>
      </c>
    </row>
    <row r="5775" spans="1:5" x14ac:dyDescent="0.25">
      <c r="A5775" t="s">
        <v>3</v>
      </c>
      <c r="B5775">
        <v>1230319</v>
      </c>
      <c r="C5775">
        <v>134637.5</v>
      </c>
      <c r="D5775" s="4">
        <f>+VLOOKUP(A5775,Portfolio!$G$3:$I$6,3)</f>
        <v>0.5</v>
      </c>
      <c r="E5775">
        <f t="shared" si="90"/>
        <v>67318.75</v>
      </c>
    </row>
    <row r="5776" spans="1:5" x14ac:dyDescent="0.25">
      <c r="A5776" t="s">
        <v>3</v>
      </c>
      <c r="B5776">
        <v>1230320</v>
      </c>
      <c r="C5776">
        <v>135650</v>
      </c>
      <c r="D5776" s="4">
        <f>+VLOOKUP(A5776,Portfolio!$G$3:$I$6,3)</f>
        <v>0.5</v>
      </c>
      <c r="E5776">
        <f t="shared" si="90"/>
        <v>67825</v>
      </c>
    </row>
    <row r="5777" spans="1:5" x14ac:dyDescent="0.25">
      <c r="A5777" t="s">
        <v>3</v>
      </c>
      <c r="B5777">
        <v>1230321</v>
      </c>
      <c r="C5777">
        <v>135525</v>
      </c>
      <c r="D5777" s="4">
        <f>+VLOOKUP(A5777,Portfolio!$G$3:$I$6,3)</f>
        <v>0.5</v>
      </c>
      <c r="E5777">
        <f t="shared" si="90"/>
        <v>67762.5</v>
      </c>
    </row>
    <row r="5778" spans="1:5" x14ac:dyDescent="0.25">
      <c r="A5778" t="s">
        <v>3</v>
      </c>
      <c r="B5778">
        <v>1230322</v>
      </c>
      <c r="C5778">
        <v>137162.5</v>
      </c>
      <c r="D5778" s="4">
        <f>+VLOOKUP(A5778,Portfolio!$G$3:$I$6,3)</f>
        <v>0.5</v>
      </c>
      <c r="E5778">
        <f t="shared" si="90"/>
        <v>68581.25</v>
      </c>
    </row>
    <row r="5779" spans="1:5" x14ac:dyDescent="0.25">
      <c r="A5779" t="s">
        <v>3</v>
      </c>
      <c r="B5779">
        <v>1230323</v>
      </c>
      <c r="C5779">
        <v>132800</v>
      </c>
      <c r="D5779" s="4">
        <f>+VLOOKUP(A5779,Portfolio!$G$3:$I$6,3)</f>
        <v>0.5</v>
      </c>
      <c r="E5779">
        <f t="shared" si="90"/>
        <v>66400</v>
      </c>
    </row>
    <row r="5780" spans="1:5" x14ac:dyDescent="0.25">
      <c r="A5780" t="s">
        <v>3</v>
      </c>
      <c r="B5780">
        <v>1230324</v>
      </c>
      <c r="C5780">
        <v>131975</v>
      </c>
      <c r="D5780" s="4">
        <f>+VLOOKUP(A5780,Portfolio!$G$3:$I$6,3)</f>
        <v>0.5</v>
      </c>
      <c r="E5780">
        <f t="shared" si="90"/>
        <v>65987.5</v>
      </c>
    </row>
    <row r="5781" spans="1:5" x14ac:dyDescent="0.25">
      <c r="A5781" t="s">
        <v>3</v>
      </c>
      <c r="B5781">
        <v>1230326</v>
      </c>
      <c r="C5781">
        <v>130887.5</v>
      </c>
      <c r="D5781" s="4">
        <f>+VLOOKUP(A5781,Portfolio!$G$3:$I$6,3)</f>
        <v>0.5</v>
      </c>
      <c r="E5781">
        <f t="shared" si="90"/>
        <v>65443.75</v>
      </c>
    </row>
    <row r="5782" spans="1:5" x14ac:dyDescent="0.25">
      <c r="A5782" t="s">
        <v>3</v>
      </c>
      <c r="B5782">
        <v>1230327</v>
      </c>
      <c r="C5782">
        <v>130887.5</v>
      </c>
      <c r="D5782" s="4">
        <f>+VLOOKUP(A5782,Portfolio!$G$3:$I$6,3)</f>
        <v>0.5</v>
      </c>
      <c r="E5782">
        <f t="shared" si="90"/>
        <v>65443.75</v>
      </c>
    </row>
    <row r="5783" spans="1:5" x14ac:dyDescent="0.25">
      <c r="A5783" t="s">
        <v>3</v>
      </c>
      <c r="B5783">
        <v>1230328</v>
      </c>
      <c r="C5783">
        <v>130887.5</v>
      </c>
      <c r="D5783" s="4">
        <f>+VLOOKUP(A5783,Portfolio!$G$3:$I$6,3)</f>
        <v>0.5</v>
      </c>
      <c r="E5783">
        <f t="shared" si="90"/>
        <v>65443.75</v>
      </c>
    </row>
    <row r="5784" spans="1:5" x14ac:dyDescent="0.25">
      <c r="A5784" t="s">
        <v>3</v>
      </c>
      <c r="B5784">
        <v>1230329</v>
      </c>
      <c r="C5784">
        <v>129562.5</v>
      </c>
      <c r="D5784" s="4">
        <f>+VLOOKUP(A5784,Portfolio!$G$3:$I$6,3)</f>
        <v>0.5</v>
      </c>
      <c r="E5784">
        <f t="shared" si="90"/>
        <v>64781.25</v>
      </c>
    </row>
    <row r="5785" spans="1:5" x14ac:dyDescent="0.25">
      <c r="A5785" t="s">
        <v>3</v>
      </c>
      <c r="B5785">
        <v>1230330</v>
      </c>
      <c r="C5785">
        <v>128837.5</v>
      </c>
      <c r="D5785" s="4">
        <f>+VLOOKUP(A5785,Portfolio!$G$3:$I$6,3)</f>
        <v>0.5</v>
      </c>
      <c r="E5785">
        <f t="shared" si="90"/>
        <v>64418.75</v>
      </c>
    </row>
    <row r="5786" spans="1:5" x14ac:dyDescent="0.25">
      <c r="A5786" t="s">
        <v>3</v>
      </c>
      <c r="B5786">
        <v>1230331</v>
      </c>
      <c r="C5786">
        <v>129662.5</v>
      </c>
      <c r="D5786" s="4">
        <f>+VLOOKUP(A5786,Portfolio!$G$3:$I$6,3)</f>
        <v>0.5</v>
      </c>
      <c r="E5786">
        <f t="shared" si="90"/>
        <v>64831.25</v>
      </c>
    </row>
    <row r="5787" spans="1:5" x14ac:dyDescent="0.25">
      <c r="A5787" t="s">
        <v>3</v>
      </c>
      <c r="B5787">
        <v>1230402</v>
      </c>
      <c r="C5787">
        <v>131275</v>
      </c>
      <c r="D5787" s="4">
        <f>+VLOOKUP(A5787,Portfolio!$G$3:$I$6,3)</f>
        <v>0.5</v>
      </c>
      <c r="E5787">
        <f t="shared" si="90"/>
        <v>65637.5</v>
      </c>
    </row>
    <row r="5788" spans="1:5" x14ac:dyDescent="0.25">
      <c r="A5788" t="s">
        <v>3</v>
      </c>
      <c r="B5788">
        <v>1230403</v>
      </c>
      <c r="C5788">
        <v>130937.5</v>
      </c>
      <c r="D5788" s="4">
        <f>+VLOOKUP(A5788,Portfolio!$G$3:$I$6,3)</f>
        <v>0.5</v>
      </c>
      <c r="E5788">
        <f t="shared" si="90"/>
        <v>65468.75</v>
      </c>
    </row>
    <row r="5789" spans="1:5" x14ac:dyDescent="0.25">
      <c r="A5789" t="s">
        <v>3</v>
      </c>
      <c r="B5789">
        <v>1230404</v>
      </c>
      <c r="C5789">
        <v>131512.5</v>
      </c>
      <c r="D5789" s="4">
        <f>+VLOOKUP(A5789,Portfolio!$G$3:$I$6,3)</f>
        <v>0.5</v>
      </c>
      <c r="E5789">
        <f t="shared" si="90"/>
        <v>65756.25</v>
      </c>
    </row>
    <row r="5790" spans="1:5" x14ac:dyDescent="0.25">
      <c r="A5790" t="s">
        <v>3</v>
      </c>
      <c r="B5790">
        <v>1230405</v>
      </c>
      <c r="C5790">
        <v>132412.5</v>
      </c>
      <c r="D5790" s="4">
        <f>+VLOOKUP(A5790,Portfolio!$G$3:$I$6,3)</f>
        <v>0.5</v>
      </c>
      <c r="E5790">
        <f t="shared" si="90"/>
        <v>66206.25</v>
      </c>
    </row>
    <row r="5791" spans="1:5" x14ac:dyDescent="0.25">
      <c r="A5791" t="s">
        <v>3</v>
      </c>
      <c r="B5791">
        <v>1230406</v>
      </c>
      <c r="C5791">
        <v>133550</v>
      </c>
      <c r="D5791" s="4">
        <f>+VLOOKUP(A5791,Portfolio!$G$3:$I$6,3)</f>
        <v>0.5</v>
      </c>
      <c r="E5791">
        <f t="shared" si="90"/>
        <v>66775</v>
      </c>
    </row>
    <row r="5792" spans="1:5" x14ac:dyDescent="0.25">
      <c r="A5792" t="s">
        <v>3</v>
      </c>
      <c r="B5792">
        <v>1230407</v>
      </c>
      <c r="C5792">
        <v>132975</v>
      </c>
      <c r="D5792" s="4">
        <f>+VLOOKUP(A5792,Portfolio!$G$3:$I$6,3)</f>
        <v>0.5</v>
      </c>
      <c r="E5792">
        <f t="shared" si="90"/>
        <v>66487.5</v>
      </c>
    </row>
    <row r="5793" spans="1:5" x14ac:dyDescent="0.25">
      <c r="A5793" t="s">
        <v>3</v>
      </c>
      <c r="B5793">
        <v>1230409</v>
      </c>
      <c r="C5793">
        <v>133562.5</v>
      </c>
      <c r="D5793" s="4">
        <f>+VLOOKUP(A5793,Portfolio!$G$3:$I$6,3)</f>
        <v>0.5</v>
      </c>
      <c r="E5793">
        <f t="shared" si="90"/>
        <v>66781.25</v>
      </c>
    </row>
    <row r="5794" spans="1:5" x14ac:dyDescent="0.25">
      <c r="A5794" t="s">
        <v>3</v>
      </c>
      <c r="B5794">
        <v>1230410</v>
      </c>
      <c r="C5794">
        <v>133212.5</v>
      </c>
      <c r="D5794" s="4">
        <f>+VLOOKUP(A5794,Portfolio!$G$3:$I$6,3)</f>
        <v>0.5</v>
      </c>
      <c r="E5794">
        <f t="shared" si="90"/>
        <v>66606.25</v>
      </c>
    </row>
    <row r="5795" spans="1:5" x14ac:dyDescent="0.25">
      <c r="A5795" t="s">
        <v>3</v>
      </c>
      <c r="B5795">
        <v>1230411</v>
      </c>
      <c r="C5795">
        <v>133212.5</v>
      </c>
      <c r="D5795" s="4">
        <f>+VLOOKUP(A5795,Portfolio!$G$3:$I$6,3)</f>
        <v>0.5</v>
      </c>
      <c r="E5795">
        <f t="shared" si="90"/>
        <v>66606.25</v>
      </c>
    </row>
    <row r="5796" spans="1:5" x14ac:dyDescent="0.25">
      <c r="A5796" t="s">
        <v>3</v>
      </c>
      <c r="B5796">
        <v>1230412</v>
      </c>
      <c r="C5796">
        <v>131837.5</v>
      </c>
      <c r="D5796" s="4">
        <f>+VLOOKUP(A5796,Portfolio!$G$3:$I$6,3)</f>
        <v>0.5</v>
      </c>
      <c r="E5796">
        <f t="shared" si="90"/>
        <v>65918.75</v>
      </c>
    </row>
    <row r="5797" spans="1:5" x14ac:dyDescent="0.25">
      <c r="A5797" t="s">
        <v>3</v>
      </c>
      <c r="B5797">
        <v>1230413</v>
      </c>
      <c r="C5797">
        <v>132162.5</v>
      </c>
      <c r="D5797" s="4">
        <f>+VLOOKUP(A5797,Portfolio!$G$3:$I$6,3)</f>
        <v>0.5</v>
      </c>
      <c r="E5797">
        <f t="shared" si="90"/>
        <v>66081.25</v>
      </c>
    </row>
    <row r="5798" spans="1:5" x14ac:dyDescent="0.25">
      <c r="A5798" t="s">
        <v>3</v>
      </c>
      <c r="B5798">
        <v>1230414</v>
      </c>
      <c r="C5798">
        <v>133062.5</v>
      </c>
      <c r="D5798" s="4">
        <f>+VLOOKUP(A5798,Portfolio!$G$3:$I$6,3)</f>
        <v>0.5</v>
      </c>
      <c r="E5798">
        <f t="shared" si="90"/>
        <v>66531.25</v>
      </c>
    </row>
    <row r="5799" spans="1:5" x14ac:dyDescent="0.25">
      <c r="A5799" t="s">
        <v>3</v>
      </c>
      <c r="B5799">
        <v>1230416</v>
      </c>
      <c r="C5799">
        <v>132062.5</v>
      </c>
      <c r="D5799" s="4">
        <f>+VLOOKUP(A5799,Portfolio!$G$3:$I$6,3)</f>
        <v>0.5</v>
      </c>
      <c r="E5799">
        <f t="shared" si="90"/>
        <v>66031.25</v>
      </c>
    </row>
    <row r="5800" spans="1:5" x14ac:dyDescent="0.25">
      <c r="A5800" t="s">
        <v>3</v>
      </c>
      <c r="B5800">
        <v>1230417</v>
      </c>
      <c r="C5800">
        <v>132212.5</v>
      </c>
      <c r="D5800" s="4">
        <f>+VLOOKUP(A5800,Portfolio!$G$3:$I$6,3)</f>
        <v>0.5</v>
      </c>
      <c r="E5800">
        <f t="shared" si="90"/>
        <v>66106.25</v>
      </c>
    </row>
    <row r="5801" spans="1:5" x14ac:dyDescent="0.25">
      <c r="A5801" t="s">
        <v>3</v>
      </c>
      <c r="B5801">
        <v>1230418</v>
      </c>
      <c r="C5801">
        <v>132062.5</v>
      </c>
      <c r="D5801" s="4">
        <f>+VLOOKUP(A5801,Portfolio!$G$3:$I$6,3)</f>
        <v>0.5</v>
      </c>
      <c r="E5801">
        <f t="shared" si="90"/>
        <v>66031.25</v>
      </c>
    </row>
    <row r="5802" spans="1:5" x14ac:dyDescent="0.25">
      <c r="A5802" t="s">
        <v>3</v>
      </c>
      <c r="B5802">
        <v>1230419</v>
      </c>
      <c r="C5802">
        <v>131800</v>
      </c>
      <c r="D5802" s="4">
        <f>+VLOOKUP(A5802,Portfolio!$G$3:$I$6,3)</f>
        <v>0.5</v>
      </c>
      <c r="E5802">
        <f t="shared" si="90"/>
        <v>65900</v>
      </c>
    </row>
    <row r="5803" spans="1:5" x14ac:dyDescent="0.25">
      <c r="A5803" t="s">
        <v>3</v>
      </c>
      <c r="B5803">
        <v>1230420</v>
      </c>
      <c r="C5803">
        <v>131350</v>
      </c>
      <c r="D5803" s="4">
        <f>+VLOOKUP(A5803,Portfolio!$G$3:$I$6,3)</f>
        <v>0.5</v>
      </c>
      <c r="E5803">
        <f t="shared" si="90"/>
        <v>65675</v>
      </c>
    </row>
    <row r="5804" spans="1:5" x14ac:dyDescent="0.25">
      <c r="A5804" t="s">
        <v>3</v>
      </c>
      <c r="B5804">
        <v>1230421</v>
      </c>
      <c r="C5804">
        <v>131262.5</v>
      </c>
      <c r="D5804" s="4">
        <f>+VLOOKUP(A5804,Portfolio!$G$3:$I$6,3)</f>
        <v>0.5</v>
      </c>
      <c r="E5804">
        <f t="shared" si="90"/>
        <v>65631.25</v>
      </c>
    </row>
    <row r="5805" spans="1:5" x14ac:dyDescent="0.25">
      <c r="A5805" t="s">
        <v>3</v>
      </c>
      <c r="B5805">
        <v>1230423</v>
      </c>
      <c r="C5805">
        <v>129912.5</v>
      </c>
      <c r="D5805" s="4">
        <f>+VLOOKUP(A5805,Portfolio!$G$3:$I$6,3)</f>
        <v>0.5</v>
      </c>
      <c r="E5805">
        <f t="shared" si="90"/>
        <v>64956.25</v>
      </c>
    </row>
    <row r="5806" spans="1:5" x14ac:dyDescent="0.25">
      <c r="A5806" t="s">
        <v>3</v>
      </c>
      <c r="B5806">
        <v>1230424</v>
      </c>
      <c r="C5806">
        <v>129500</v>
      </c>
      <c r="D5806" s="4">
        <f>+VLOOKUP(A5806,Portfolio!$G$3:$I$6,3)</f>
        <v>0.5</v>
      </c>
      <c r="E5806">
        <f t="shared" si="90"/>
        <v>64750</v>
      </c>
    </row>
    <row r="5807" spans="1:5" x14ac:dyDescent="0.25">
      <c r="A5807" t="s">
        <v>3</v>
      </c>
      <c r="B5807">
        <v>1230425</v>
      </c>
      <c r="C5807">
        <v>130375</v>
      </c>
      <c r="D5807" s="4">
        <f>+VLOOKUP(A5807,Portfolio!$G$3:$I$6,3)</f>
        <v>0.5</v>
      </c>
      <c r="E5807">
        <f t="shared" si="90"/>
        <v>65187.5</v>
      </c>
    </row>
    <row r="5808" spans="1:5" x14ac:dyDescent="0.25">
      <c r="A5808" t="s">
        <v>3</v>
      </c>
      <c r="B5808">
        <v>1230426</v>
      </c>
      <c r="C5808">
        <v>131337.5</v>
      </c>
      <c r="D5808" s="4">
        <f>+VLOOKUP(A5808,Portfolio!$G$3:$I$6,3)</f>
        <v>0.5</v>
      </c>
      <c r="E5808">
        <f t="shared" si="90"/>
        <v>65668.75</v>
      </c>
    </row>
    <row r="5809" spans="1:5" x14ac:dyDescent="0.25">
      <c r="A5809" t="s">
        <v>3</v>
      </c>
      <c r="B5809">
        <v>1230427</v>
      </c>
      <c r="C5809">
        <v>131675</v>
      </c>
      <c r="D5809" s="4">
        <f>+VLOOKUP(A5809,Portfolio!$G$3:$I$6,3)</f>
        <v>0.5</v>
      </c>
      <c r="E5809">
        <f t="shared" si="90"/>
        <v>65837.5</v>
      </c>
    </row>
    <row r="5810" spans="1:5" x14ac:dyDescent="0.25">
      <c r="A5810" t="s">
        <v>3</v>
      </c>
      <c r="B5810">
        <v>1230428</v>
      </c>
      <c r="C5810">
        <v>132725</v>
      </c>
      <c r="D5810" s="4">
        <f>+VLOOKUP(A5810,Portfolio!$G$3:$I$6,3)</f>
        <v>0.5</v>
      </c>
      <c r="E5810">
        <f t="shared" si="90"/>
        <v>66362.5</v>
      </c>
    </row>
    <row r="5811" spans="1:5" x14ac:dyDescent="0.25">
      <c r="A5811" t="s">
        <v>3</v>
      </c>
      <c r="B5811">
        <v>1230430</v>
      </c>
      <c r="C5811">
        <v>134475</v>
      </c>
      <c r="D5811" s="4">
        <f>+VLOOKUP(A5811,Portfolio!$G$3:$I$6,3)</f>
        <v>0.5</v>
      </c>
      <c r="E5811">
        <f t="shared" si="90"/>
        <v>67237.5</v>
      </c>
    </row>
    <row r="5812" spans="1:5" x14ac:dyDescent="0.25">
      <c r="A5812" t="s">
        <v>3</v>
      </c>
      <c r="B5812">
        <v>1230501</v>
      </c>
      <c r="C5812">
        <v>134825</v>
      </c>
      <c r="D5812" s="4">
        <f>+VLOOKUP(A5812,Portfolio!$G$3:$I$6,3)</f>
        <v>0.5</v>
      </c>
      <c r="E5812">
        <f t="shared" si="90"/>
        <v>67412.5</v>
      </c>
    </row>
    <row r="5813" spans="1:5" x14ac:dyDescent="0.25">
      <c r="A5813" t="s">
        <v>3</v>
      </c>
      <c r="B5813">
        <v>1230502</v>
      </c>
      <c r="C5813">
        <v>134462.5</v>
      </c>
      <c r="D5813" s="4">
        <f>+VLOOKUP(A5813,Portfolio!$G$3:$I$6,3)</f>
        <v>0.5</v>
      </c>
      <c r="E5813">
        <f t="shared" si="90"/>
        <v>67231.25</v>
      </c>
    </row>
    <row r="5814" spans="1:5" x14ac:dyDescent="0.25">
      <c r="A5814" t="s">
        <v>3</v>
      </c>
      <c r="B5814">
        <v>1230503</v>
      </c>
      <c r="C5814">
        <v>134612.5</v>
      </c>
      <c r="D5814" s="4">
        <f>+VLOOKUP(A5814,Portfolio!$G$3:$I$6,3)</f>
        <v>0.5</v>
      </c>
      <c r="E5814">
        <f t="shared" si="90"/>
        <v>67306.25</v>
      </c>
    </row>
    <row r="5815" spans="1:5" x14ac:dyDescent="0.25">
      <c r="A5815" t="s">
        <v>3</v>
      </c>
      <c r="B5815">
        <v>1230504</v>
      </c>
      <c r="C5815">
        <v>134162.5</v>
      </c>
      <c r="D5815" s="4">
        <f>+VLOOKUP(A5815,Portfolio!$G$3:$I$6,3)</f>
        <v>0.5</v>
      </c>
      <c r="E5815">
        <f t="shared" si="90"/>
        <v>67081.25</v>
      </c>
    </row>
    <row r="5816" spans="1:5" x14ac:dyDescent="0.25">
      <c r="A5816" t="s">
        <v>3</v>
      </c>
      <c r="B5816">
        <v>1230505</v>
      </c>
      <c r="C5816">
        <v>136075</v>
      </c>
      <c r="D5816" s="4">
        <f>+VLOOKUP(A5816,Portfolio!$G$3:$I$6,3)</f>
        <v>0.5</v>
      </c>
      <c r="E5816">
        <f t="shared" si="90"/>
        <v>68037.5</v>
      </c>
    </row>
    <row r="5817" spans="1:5" x14ac:dyDescent="0.25">
      <c r="A5817" t="s">
        <v>3</v>
      </c>
      <c r="B5817">
        <v>1230507</v>
      </c>
      <c r="C5817">
        <v>137200</v>
      </c>
      <c r="D5817" s="4">
        <f>+VLOOKUP(A5817,Portfolio!$G$3:$I$6,3)</f>
        <v>0.5</v>
      </c>
      <c r="E5817">
        <f t="shared" si="90"/>
        <v>68600</v>
      </c>
    </row>
    <row r="5818" spans="1:5" x14ac:dyDescent="0.25">
      <c r="A5818" t="s">
        <v>3</v>
      </c>
      <c r="B5818">
        <v>1230508</v>
      </c>
      <c r="C5818">
        <v>136962.5</v>
      </c>
      <c r="D5818" s="4">
        <f>+VLOOKUP(A5818,Portfolio!$G$3:$I$6,3)</f>
        <v>0.5</v>
      </c>
      <c r="E5818">
        <f t="shared" si="90"/>
        <v>68481.25</v>
      </c>
    </row>
    <row r="5819" spans="1:5" x14ac:dyDescent="0.25">
      <c r="A5819" t="s">
        <v>3</v>
      </c>
      <c r="B5819">
        <v>1230509</v>
      </c>
      <c r="C5819">
        <v>136437.5</v>
      </c>
      <c r="D5819" s="4">
        <f>+VLOOKUP(A5819,Portfolio!$G$3:$I$6,3)</f>
        <v>0.5</v>
      </c>
      <c r="E5819">
        <f t="shared" si="90"/>
        <v>68218.75</v>
      </c>
    </row>
    <row r="5820" spans="1:5" x14ac:dyDescent="0.25">
      <c r="A5820" t="s">
        <v>3</v>
      </c>
      <c r="B5820">
        <v>1230510</v>
      </c>
      <c r="C5820">
        <v>137287.5</v>
      </c>
      <c r="D5820" s="4">
        <f>+VLOOKUP(A5820,Portfolio!$G$3:$I$6,3)</f>
        <v>0.5</v>
      </c>
      <c r="E5820">
        <f t="shared" si="90"/>
        <v>68643.75</v>
      </c>
    </row>
    <row r="5821" spans="1:5" x14ac:dyDescent="0.25">
      <c r="A5821" t="s">
        <v>3</v>
      </c>
      <c r="B5821">
        <v>1230511</v>
      </c>
      <c r="C5821">
        <v>135225</v>
      </c>
      <c r="D5821" s="4">
        <f>+VLOOKUP(A5821,Portfolio!$G$3:$I$6,3)</f>
        <v>0.5</v>
      </c>
      <c r="E5821">
        <f t="shared" si="90"/>
        <v>67612.5</v>
      </c>
    </row>
    <row r="5822" spans="1:5" x14ac:dyDescent="0.25">
      <c r="A5822" t="s">
        <v>3</v>
      </c>
      <c r="B5822">
        <v>1230512</v>
      </c>
      <c r="C5822">
        <v>136087.5</v>
      </c>
      <c r="D5822" s="4">
        <f>+VLOOKUP(A5822,Portfolio!$G$3:$I$6,3)</f>
        <v>0.5</v>
      </c>
      <c r="E5822">
        <f t="shared" si="90"/>
        <v>68043.75</v>
      </c>
    </row>
    <row r="5823" spans="1:5" x14ac:dyDescent="0.25">
      <c r="A5823" t="s">
        <v>3</v>
      </c>
      <c r="B5823">
        <v>1230514</v>
      </c>
      <c r="C5823">
        <v>136975</v>
      </c>
      <c r="D5823" s="4">
        <f>+VLOOKUP(A5823,Portfolio!$G$3:$I$6,3)</f>
        <v>0.5</v>
      </c>
      <c r="E5823">
        <f t="shared" si="90"/>
        <v>68487.5</v>
      </c>
    </row>
    <row r="5824" spans="1:5" x14ac:dyDescent="0.25">
      <c r="A5824" t="s">
        <v>3</v>
      </c>
      <c r="B5824">
        <v>1230515</v>
      </c>
      <c r="C5824">
        <v>136437.5</v>
      </c>
      <c r="D5824" s="4">
        <f>+VLOOKUP(A5824,Portfolio!$G$3:$I$6,3)</f>
        <v>0.5</v>
      </c>
      <c r="E5824">
        <f t="shared" si="90"/>
        <v>68218.75</v>
      </c>
    </row>
    <row r="5825" spans="1:5" x14ac:dyDescent="0.25">
      <c r="A5825" t="s">
        <v>3</v>
      </c>
      <c r="B5825">
        <v>1230516</v>
      </c>
      <c r="C5825">
        <v>136375</v>
      </c>
      <c r="D5825" s="4">
        <f>+VLOOKUP(A5825,Portfolio!$G$3:$I$6,3)</f>
        <v>0.5</v>
      </c>
      <c r="E5825">
        <f t="shared" si="90"/>
        <v>68187.5</v>
      </c>
    </row>
    <row r="5826" spans="1:5" x14ac:dyDescent="0.25">
      <c r="A5826" t="s">
        <v>3</v>
      </c>
      <c r="B5826">
        <v>1230517</v>
      </c>
      <c r="C5826">
        <v>136475</v>
      </c>
      <c r="D5826" s="4">
        <f>+VLOOKUP(A5826,Portfolio!$G$3:$I$6,3)</f>
        <v>0.5</v>
      </c>
      <c r="E5826">
        <f t="shared" si="90"/>
        <v>68237.5</v>
      </c>
    </row>
    <row r="5827" spans="1:5" x14ac:dyDescent="0.25">
      <c r="A5827" t="s">
        <v>3</v>
      </c>
      <c r="B5827">
        <v>1230518</v>
      </c>
      <c r="C5827">
        <v>137050</v>
      </c>
      <c r="D5827" s="4">
        <f>+VLOOKUP(A5827,Portfolio!$G$3:$I$6,3)</f>
        <v>0.5</v>
      </c>
      <c r="E5827">
        <f t="shared" ref="E5827:E5890" si="91">+C5827*D5827</f>
        <v>68525</v>
      </c>
    </row>
    <row r="5828" spans="1:5" x14ac:dyDescent="0.25">
      <c r="A5828" t="s">
        <v>3</v>
      </c>
      <c r="B5828">
        <v>1230519</v>
      </c>
      <c r="C5828">
        <v>139300</v>
      </c>
      <c r="D5828" s="4">
        <f>+VLOOKUP(A5828,Portfolio!$G$3:$I$6,3)</f>
        <v>0.5</v>
      </c>
      <c r="E5828">
        <f t="shared" si="91"/>
        <v>69650</v>
      </c>
    </row>
    <row r="5829" spans="1:5" x14ac:dyDescent="0.25">
      <c r="A5829" t="s">
        <v>3</v>
      </c>
      <c r="B5829">
        <v>1230521</v>
      </c>
      <c r="C5829">
        <v>139775</v>
      </c>
      <c r="D5829" s="4">
        <f>+VLOOKUP(A5829,Portfolio!$G$3:$I$6,3)</f>
        <v>0.5</v>
      </c>
      <c r="E5829">
        <f t="shared" si="91"/>
        <v>69887.5</v>
      </c>
    </row>
    <row r="5830" spans="1:5" x14ac:dyDescent="0.25">
      <c r="A5830" t="s">
        <v>3</v>
      </c>
      <c r="B5830">
        <v>1230522</v>
      </c>
      <c r="C5830">
        <v>139375</v>
      </c>
      <c r="D5830" s="4">
        <f>+VLOOKUP(A5830,Portfolio!$G$3:$I$6,3)</f>
        <v>0.5</v>
      </c>
      <c r="E5830">
        <f t="shared" si="91"/>
        <v>69687.5</v>
      </c>
    </row>
    <row r="5831" spans="1:5" x14ac:dyDescent="0.25">
      <c r="A5831" t="s">
        <v>3</v>
      </c>
      <c r="B5831">
        <v>1230523</v>
      </c>
      <c r="C5831">
        <v>139162.5</v>
      </c>
      <c r="D5831" s="4">
        <f>+VLOOKUP(A5831,Portfolio!$G$3:$I$6,3)</f>
        <v>0.5</v>
      </c>
      <c r="E5831">
        <f t="shared" si="91"/>
        <v>69581.25</v>
      </c>
    </row>
    <row r="5832" spans="1:5" x14ac:dyDescent="0.25">
      <c r="A5832" t="s">
        <v>3</v>
      </c>
      <c r="B5832">
        <v>1230524</v>
      </c>
      <c r="C5832">
        <v>140187.5</v>
      </c>
      <c r="D5832" s="4">
        <f>+VLOOKUP(A5832,Portfolio!$G$3:$I$6,3)</f>
        <v>0.5</v>
      </c>
      <c r="E5832">
        <f t="shared" si="91"/>
        <v>70093.75</v>
      </c>
    </row>
    <row r="5833" spans="1:5" x14ac:dyDescent="0.25">
      <c r="A5833" t="s">
        <v>3</v>
      </c>
      <c r="B5833">
        <v>1230525</v>
      </c>
      <c r="C5833">
        <v>141325</v>
      </c>
      <c r="D5833" s="4">
        <f>+VLOOKUP(A5833,Portfolio!$G$3:$I$6,3)</f>
        <v>0.5</v>
      </c>
      <c r="E5833">
        <f t="shared" si="91"/>
        <v>70662.5</v>
      </c>
    </row>
    <row r="5834" spans="1:5" x14ac:dyDescent="0.25">
      <c r="A5834" t="s">
        <v>3</v>
      </c>
      <c r="B5834">
        <v>1230526</v>
      </c>
      <c r="C5834">
        <v>139275</v>
      </c>
      <c r="D5834" s="4">
        <f>+VLOOKUP(A5834,Portfolio!$G$3:$I$6,3)</f>
        <v>0.5</v>
      </c>
      <c r="E5834">
        <f t="shared" si="91"/>
        <v>69637.5</v>
      </c>
    </row>
    <row r="5835" spans="1:5" x14ac:dyDescent="0.25">
      <c r="A5835" t="s">
        <v>3</v>
      </c>
      <c r="B5835">
        <v>1230528</v>
      </c>
      <c r="C5835">
        <v>142325</v>
      </c>
      <c r="D5835" s="4">
        <f>+VLOOKUP(A5835,Portfolio!$G$3:$I$6,3)</f>
        <v>0.5</v>
      </c>
      <c r="E5835">
        <f t="shared" si="91"/>
        <v>71162.5</v>
      </c>
    </row>
    <row r="5836" spans="1:5" x14ac:dyDescent="0.25">
      <c r="A5836" t="s">
        <v>3</v>
      </c>
      <c r="B5836">
        <v>1230529</v>
      </c>
      <c r="C5836">
        <v>142325</v>
      </c>
      <c r="D5836" s="4">
        <f>+VLOOKUP(A5836,Portfolio!$G$3:$I$6,3)</f>
        <v>0.5</v>
      </c>
      <c r="E5836">
        <f t="shared" si="91"/>
        <v>71162.5</v>
      </c>
    </row>
    <row r="5837" spans="1:5" x14ac:dyDescent="0.25">
      <c r="A5837" t="s">
        <v>3</v>
      </c>
      <c r="B5837">
        <v>1230530</v>
      </c>
      <c r="C5837">
        <v>142325</v>
      </c>
      <c r="D5837" s="4">
        <f>+VLOOKUP(A5837,Portfolio!$G$3:$I$6,3)</f>
        <v>0.5</v>
      </c>
      <c r="E5837">
        <f t="shared" si="91"/>
        <v>71162.5</v>
      </c>
    </row>
    <row r="5838" spans="1:5" x14ac:dyDescent="0.25">
      <c r="A5838" t="s">
        <v>3</v>
      </c>
      <c r="B5838">
        <v>1230531</v>
      </c>
      <c r="C5838">
        <v>143125</v>
      </c>
      <c r="D5838" s="4">
        <f>+VLOOKUP(A5838,Portfolio!$G$3:$I$6,3)</f>
        <v>0.5</v>
      </c>
      <c r="E5838">
        <f t="shared" si="91"/>
        <v>71562.5</v>
      </c>
    </row>
    <row r="5839" spans="1:5" x14ac:dyDescent="0.25">
      <c r="A5839" t="s">
        <v>3</v>
      </c>
      <c r="B5839">
        <v>1230601</v>
      </c>
      <c r="C5839">
        <v>143712.5</v>
      </c>
      <c r="D5839" s="4">
        <f>+VLOOKUP(A5839,Portfolio!$G$3:$I$6,3)</f>
        <v>0.5</v>
      </c>
      <c r="E5839">
        <f t="shared" si="91"/>
        <v>71856.25</v>
      </c>
    </row>
    <row r="5840" spans="1:5" x14ac:dyDescent="0.25">
      <c r="A5840" t="s">
        <v>3</v>
      </c>
      <c r="B5840">
        <v>1230602</v>
      </c>
      <c r="C5840">
        <v>144800</v>
      </c>
      <c r="D5840" s="4">
        <f>+VLOOKUP(A5840,Portfolio!$G$3:$I$6,3)</f>
        <v>0.5</v>
      </c>
      <c r="E5840">
        <f t="shared" si="91"/>
        <v>72400</v>
      </c>
    </row>
    <row r="5841" spans="1:5" x14ac:dyDescent="0.25">
      <c r="A5841" t="s">
        <v>3</v>
      </c>
      <c r="B5841">
        <v>1230604</v>
      </c>
      <c r="C5841">
        <v>147612.5</v>
      </c>
      <c r="D5841" s="4">
        <f>+VLOOKUP(A5841,Portfolio!$G$3:$I$6,3)</f>
        <v>0.5</v>
      </c>
      <c r="E5841">
        <f t="shared" si="91"/>
        <v>73806.25</v>
      </c>
    </row>
    <row r="5842" spans="1:5" x14ac:dyDescent="0.25">
      <c r="A5842" t="s">
        <v>3</v>
      </c>
      <c r="B5842">
        <v>1230605</v>
      </c>
      <c r="C5842">
        <v>147187.5</v>
      </c>
      <c r="D5842" s="4">
        <f>+VLOOKUP(A5842,Portfolio!$G$3:$I$6,3)</f>
        <v>0.5</v>
      </c>
      <c r="E5842">
        <f t="shared" si="91"/>
        <v>73593.75</v>
      </c>
    </row>
    <row r="5843" spans="1:5" x14ac:dyDescent="0.25">
      <c r="A5843" t="s">
        <v>3</v>
      </c>
      <c r="B5843">
        <v>1230606</v>
      </c>
      <c r="C5843">
        <v>147712.5</v>
      </c>
      <c r="D5843" s="4">
        <f>+VLOOKUP(A5843,Portfolio!$G$3:$I$6,3)</f>
        <v>0.5</v>
      </c>
      <c r="E5843">
        <f t="shared" si="91"/>
        <v>73856.25</v>
      </c>
    </row>
    <row r="5844" spans="1:5" x14ac:dyDescent="0.25">
      <c r="A5844" t="s">
        <v>3</v>
      </c>
      <c r="B5844">
        <v>1230607</v>
      </c>
      <c r="C5844">
        <v>147975</v>
      </c>
      <c r="D5844" s="4">
        <f>+VLOOKUP(A5844,Portfolio!$G$3:$I$6,3)</f>
        <v>0.5</v>
      </c>
      <c r="E5844">
        <f t="shared" si="91"/>
        <v>73987.5</v>
      </c>
    </row>
    <row r="5845" spans="1:5" x14ac:dyDescent="0.25">
      <c r="A5845" t="s">
        <v>3</v>
      </c>
      <c r="B5845">
        <v>1230608</v>
      </c>
      <c r="C5845">
        <v>148212.5</v>
      </c>
      <c r="D5845" s="4">
        <f>+VLOOKUP(A5845,Portfolio!$G$3:$I$6,3)</f>
        <v>0.5</v>
      </c>
      <c r="E5845">
        <f t="shared" si="91"/>
        <v>74106.25</v>
      </c>
    </row>
    <row r="5846" spans="1:5" x14ac:dyDescent="0.25">
      <c r="A5846" t="s">
        <v>3</v>
      </c>
      <c r="B5846">
        <v>1230609</v>
      </c>
      <c r="C5846">
        <v>148200</v>
      </c>
      <c r="D5846" s="4">
        <f>+VLOOKUP(A5846,Portfolio!$G$3:$I$6,3)</f>
        <v>0.5</v>
      </c>
      <c r="E5846">
        <f t="shared" si="91"/>
        <v>74100</v>
      </c>
    </row>
    <row r="5847" spans="1:5" x14ac:dyDescent="0.25">
      <c r="A5847" t="s">
        <v>3</v>
      </c>
      <c r="B5847">
        <v>1230611</v>
      </c>
      <c r="C5847">
        <v>148562.5</v>
      </c>
      <c r="D5847" s="4">
        <f>+VLOOKUP(A5847,Portfolio!$G$3:$I$6,3)</f>
        <v>0.5</v>
      </c>
      <c r="E5847">
        <f t="shared" si="91"/>
        <v>74281.25</v>
      </c>
    </row>
    <row r="5848" spans="1:5" x14ac:dyDescent="0.25">
      <c r="A5848" t="s">
        <v>3</v>
      </c>
      <c r="B5848">
        <v>1230612</v>
      </c>
      <c r="C5848">
        <v>148562.5</v>
      </c>
      <c r="D5848" s="4">
        <f>+VLOOKUP(A5848,Portfolio!$G$3:$I$6,3)</f>
        <v>0.5</v>
      </c>
      <c r="E5848">
        <f t="shared" si="91"/>
        <v>74281.25</v>
      </c>
    </row>
    <row r="5849" spans="1:5" x14ac:dyDescent="0.25">
      <c r="A5849" t="s">
        <v>3</v>
      </c>
      <c r="B5849">
        <v>1230613</v>
      </c>
      <c r="C5849">
        <v>149262.5</v>
      </c>
      <c r="D5849" s="4">
        <f>+VLOOKUP(A5849,Portfolio!$G$3:$I$6,3)</f>
        <v>0.5</v>
      </c>
      <c r="E5849">
        <f t="shared" si="91"/>
        <v>74631.25</v>
      </c>
    </row>
    <row r="5850" spans="1:5" x14ac:dyDescent="0.25">
      <c r="A5850" t="s">
        <v>3</v>
      </c>
      <c r="B5850">
        <v>1230614</v>
      </c>
      <c r="C5850">
        <v>149925</v>
      </c>
      <c r="D5850" s="4">
        <f>+VLOOKUP(A5850,Portfolio!$G$3:$I$6,3)</f>
        <v>0.5</v>
      </c>
      <c r="E5850">
        <f t="shared" si="91"/>
        <v>74962.5</v>
      </c>
    </row>
    <row r="5851" spans="1:5" x14ac:dyDescent="0.25">
      <c r="A5851" t="s">
        <v>3</v>
      </c>
      <c r="B5851">
        <v>1230615</v>
      </c>
      <c r="C5851">
        <v>148975</v>
      </c>
      <c r="D5851" s="4">
        <f>+VLOOKUP(A5851,Portfolio!$G$3:$I$6,3)</f>
        <v>0.5</v>
      </c>
      <c r="E5851">
        <f t="shared" si="91"/>
        <v>74487.5</v>
      </c>
    </row>
    <row r="5852" spans="1:5" x14ac:dyDescent="0.25">
      <c r="A5852" t="s">
        <v>3</v>
      </c>
      <c r="B5852">
        <v>1230616</v>
      </c>
      <c r="C5852">
        <v>149750</v>
      </c>
      <c r="D5852" s="4">
        <f>+VLOOKUP(A5852,Portfolio!$G$3:$I$6,3)</f>
        <v>0.5</v>
      </c>
      <c r="E5852">
        <f t="shared" si="91"/>
        <v>74875</v>
      </c>
    </row>
    <row r="5853" spans="1:5" x14ac:dyDescent="0.25">
      <c r="A5853" t="s">
        <v>3</v>
      </c>
      <c r="B5853">
        <v>1230618</v>
      </c>
      <c r="C5853">
        <v>150200</v>
      </c>
      <c r="D5853" s="4">
        <f>+VLOOKUP(A5853,Portfolio!$G$3:$I$6,3)</f>
        <v>0.5</v>
      </c>
      <c r="E5853">
        <f t="shared" si="91"/>
        <v>75100</v>
      </c>
    </row>
    <row r="5854" spans="1:5" x14ac:dyDescent="0.25">
      <c r="A5854" t="s">
        <v>3</v>
      </c>
      <c r="B5854">
        <v>1230619</v>
      </c>
      <c r="C5854">
        <v>150200</v>
      </c>
      <c r="D5854" s="4">
        <f>+VLOOKUP(A5854,Portfolio!$G$3:$I$6,3)</f>
        <v>0.5</v>
      </c>
      <c r="E5854">
        <f t="shared" si="91"/>
        <v>75100</v>
      </c>
    </row>
    <row r="5855" spans="1:5" x14ac:dyDescent="0.25">
      <c r="A5855" t="s">
        <v>3</v>
      </c>
      <c r="B5855">
        <v>1230620</v>
      </c>
      <c r="C5855">
        <v>150300</v>
      </c>
      <c r="D5855" s="4">
        <f>+VLOOKUP(A5855,Portfolio!$G$3:$I$6,3)</f>
        <v>0.5</v>
      </c>
      <c r="E5855">
        <f t="shared" si="91"/>
        <v>75150</v>
      </c>
    </row>
    <row r="5856" spans="1:5" x14ac:dyDescent="0.25">
      <c r="A5856" t="s">
        <v>3</v>
      </c>
      <c r="B5856">
        <v>1230621</v>
      </c>
      <c r="C5856">
        <v>150712.5</v>
      </c>
      <c r="D5856" s="4">
        <f>+VLOOKUP(A5856,Portfolio!$G$3:$I$6,3)</f>
        <v>0.5</v>
      </c>
      <c r="E5856">
        <f t="shared" si="91"/>
        <v>75356.25</v>
      </c>
    </row>
    <row r="5857" spans="1:5" x14ac:dyDescent="0.25">
      <c r="A5857" t="s">
        <v>3</v>
      </c>
      <c r="B5857">
        <v>1230622</v>
      </c>
      <c r="C5857">
        <v>150937.5</v>
      </c>
      <c r="D5857" s="4">
        <f>+VLOOKUP(A5857,Portfolio!$G$3:$I$6,3)</f>
        <v>0.5</v>
      </c>
      <c r="E5857">
        <f t="shared" si="91"/>
        <v>75468.75</v>
      </c>
    </row>
    <row r="5858" spans="1:5" x14ac:dyDescent="0.25">
      <c r="A5858" t="s">
        <v>3</v>
      </c>
      <c r="B5858">
        <v>1230623</v>
      </c>
      <c r="C5858">
        <v>150362.5</v>
      </c>
      <c r="D5858" s="4">
        <f>+VLOOKUP(A5858,Portfolio!$G$3:$I$6,3)</f>
        <v>0.5</v>
      </c>
      <c r="E5858">
        <f t="shared" si="91"/>
        <v>75181.25</v>
      </c>
    </row>
    <row r="5859" spans="1:5" x14ac:dyDescent="0.25">
      <c r="A5859" t="s">
        <v>3</v>
      </c>
      <c r="B5859">
        <v>1230625</v>
      </c>
      <c r="C5859">
        <v>149987.5</v>
      </c>
      <c r="D5859" s="4">
        <f>+VLOOKUP(A5859,Portfolio!$G$3:$I$6,3)</f>
        <v>0.5</v>
      </c>
      <c r="E5859">
        <f t="shared" si="91"/>
        <v>74993.75</v>
      </c>
    </row>
    <row r="5860" spans="1:5" x14ac:dyDescent="0.25">
      <c r="A5860" t="s">
        <v>3</v>
      </c>
      <c r="B5860">
        <v>1230626</v>
      </c>
      <c r="C5860">
        <v>149987.5</v>
      </c>
      <c r="D5860" s="4">
        <f>+VLOOKUP(A5860,Portfolio!$G$3:$I$6,3)</f>
        <v>0.5</v>
      </c>
      <c r="E5860">
        <f t="shared" si="91"/>
        <v>74993.75</v>
      </c>
    </row>
    <row r="5861" spans="1:5" x14ac:dyDescent="0.25">
      <c r="A5861" t="s">
        <v>3</v>
      </c>
      <c r="B5861">
        <v>1230627</v>
      </c>
      <c r="C5861">
        <v>148437.5</v>
      </c>
      <c r="D5861" s="4">
        <f>+VLOOKUP(A5861,Portfolio!$G$3:$I$6,3)</f>
        <v>0.5</v>
      </c>
      <c r="E5861">
        <f t="shared" si="91"/>
        <v>74218.75</v>
      </c>
    </row>
    <row r="5862" spans="1:5" x14ac:dyDescent="0.25">
      <c r="A5862" t="s">
        <v>3</v>
      </c>
      <c r="B5862">
        <v>1230628</v>
      </c>
      <c r="C5862">
        <v>149037.5</v>
      </c>
      <c r="D5862" s="4">
        <f>+VLOOKUP(A5862,Portfolio!$G$3:$I$6,3)</f>
        <v>0.5</v>
      </c>
      <c r="E5862">
        <f t="shared" si="91"/>
        <v>74518.75</v>
      </c>
    </row>
    <row r="5863" spans="1:5" x14ac:dyDescent="0.25">
      <c r="A5863" t="s">
        <v>3</v>
      </c>
      <c r="B5863">
        <v>1230629</v>
      </c>
      <c r="C5863">
        <v>149550</v>
      </c>
      <c r="D5863" s="4">
        <f>+VLOOKUP(A5863,Portfolio!$G$3:$I$6,3)</f>
        <v>0.5</v>
      </c>
      <c r="E5863">
        <f t="shared" si="91"/>
        <v>74775</v>
      </c>
    </row>
    <row r="5864" spans="1:5" x14ac:dyDescent="0.25">
      <c r="A5864" t="s">
        <v>3</v>
      </c>
      <c r="B5864">
        <v>1230630</v>
      </c>
      <c r="C5864">
        <v>149812.5</v>
      </c>
      <c r="D5864" s="4">
        <f>+VLOOKUP(A5864,Portfolio!$G$3:$I$6,3)</f>
        <v>0.5</v>
      </c>
      <c r="E5864">
        <f t="shared" si="91"/>
        <v>74906.25</v>
      </c>
    </row>
    <row r="5865" spans="1:5" x14ac:dyDescent="0.25">
      <c r="A5865" t="s">
        <v>3</v>
      </c>
      <c r="B5865">
        <v>1230702</v>
      </c>
      <c r="C5865">
        <v>150087.5</v>
      </c>
      <c r="D5865" s="4">
        <f>+VLOOKUP(A5865,Portfolio!$G$3:$I$6,3)</f>
        <v>0.5</v>
      </c>
      <c r="E5865">
        <f t="shared" si="91"/>
        <v>75043.75</v>
      </c>
    </row>
    <row r="5866" spans="1:5" x14ac:dyDescent="0.25">
      <c r="A5866" t="s">
        <v>3</v>
      </c>
      <c r="B5866">
        <v>1230703</v>
      </c>
      <c r="C5866">
        <v>150212.5</v>
      </c>
      <c r="D5866" s="4">
        <f>+VLOOKUP(A5866,Portfolio!$G$3:$I$6,3)</f>
        <v>0.5</v>
      </c>
      <c r="E5866">
        <f t="shared" si="91"/>
        <v>75106.25</v>
      </c>
    </row>
    <row r="5867" spans="1:5" x14ac:dyDescent="0.25">
      <c r="A5867" t="s">
        <v>3</v>
      </c>
      <c r="B5867">
        <v>1230704</v>
      </c>
      <c r="C5867">
        <v>150150</v>
      </c>
      <c r="D5867" s="4">
        <f>+VLOOKUP(A5867,Portfolio!$G$3:$I$6,3)</f>
        <v>0.5</v>
      </c>
      <c r="E5867">
        <f t="shared" si="91"/>
        <v>75075</v>
      </c>
    </row>
    <row r="5868" spans="1:5" x14ac:dyDescent="0.25">
      <c r="A5868" t="s">
        <v>3</v>
      </c>
      <c r="B5868">
        <v>1230705</v>
      </c>
      <c r="C5868">
        <v>150150</v>
      </c>
      <c r="D5868" s="4">
        <f>+VLOOKUP(A5868,Portfolio!$G$3:$I$6,3)</f>
        <v>0.5</v>
      </c>
      <c r="E5868">
        <f t="shared" si="91"/>
        <v>75075</v>
      </c>
    </row>
    <row r="5869" spans="1:5" x14ac:dyDescent="0.25">
      <c r="A5869" t="s">
        <v>3</v>
      </c>
      <c r="B5869">
        <v>1230706</v>
      </c>
      <c r="C5869">
        <v>150150</v>
      </c>
      <c r="D5869" s="4">
        <f>+VLOOKUP(A5869,Portfolio!$G$3:$I$6,3)</f>
        <v>0.5</v>
      </c>
      <c r="E5869">
        <f t="shared" si="91"/>
        <v>75075</v>
      </c>
    </row>
    <row r="5870" spans="1:5" x14ac:dyDescent="0.25">
      <c r="A5870" t="s">
        <v>3</v>
      </c>
      <c r="B5870">
        <v>1230707</v>
      </c>
      <c r="C5870">
        <v>149462.5</v>
      </c>
      <c r="D5870" s="4">
        <f>+VLOOKUP(A5870,Portfolio!$G$3:$I$6,3)</f>
        <v>0.5</v>
      </c>
      <c r="E5870">
        <f t="shared" si="91"/>
        <v>74731.25</v>
      </c>
    </row>
    <row r="5871" spans="1:5" x14ac:dyDescent="0.25">
      <c r="A5871" t="s">
        <v>3</v>
      </c>
      <c r="B5871">
        <v>1230709</v>
      </c>
      <c r="C5871">
        <v>148237.5</v>
      </c>
      <c r="D5871" s="4">
        <f>+VLOOKUP(A5871,Portfolio!$G$3:$I$6,3)</f>
        <v>0.5</v>
      </c>
      <c r="E5871">
        <f t="shared" si="91"/>
        <v>74118.75</v>
      </c>
    </row>
    <row r="5872" spans="1:5" x14ac:dyDescent="0.25">
      <c r="A5872" t="s">
        <v>3</v>
      </c>
      <c r="B5872">
        <v>1230710</v>
      </c>
      <c r="C5872">
        <v>147612.5</v>
      </c>
      <c r="D5872" s="4">
        <f>+VLOOKUP(A5872,Portfolio!$G$3:$I$6,3)</f>
        <v>0.5</v>
      </c>
      <c r="E5872">
        <f t="shared" si="91"/>
        <v>73806.25</v>
      </c>
    </row>
    <row r="5873" spans="1:5" x14ac:dyDescent="0.25">
      <c r="A5873" t="s">
        <v>3</v>
      </c>
      <c r="B5873">
        <v>1230711</v>
      </c>
      <c r="C5873">
        <v>148437.5</v>
      </c>
      <c r="D5873" s="4">
        <f>+VLOOKUP(A5873,Portfolio!$G$3:$I$6,3)</f>
        <v>0.5</v>
      </c>
      <c r="E5873">
        <f t="shared" si="91"/>
        <v>74218.75</v>
      </c>
    </row>
    <row r="5874" spans="1:5" x14ac:dyDescent="0.25">
      <c r="A5874" t="s">
        <v>3</v>
      </c>
      <c r="B5874">
        <v>1230712</v>
      </c>
      <c r="C5874">
        <v>149737.5</v>
      </c>
      <c r="D5874" s="4">
        <f>+VLOOKUP(A5874,Portfolio!$G$3:$I$6,3)</f>
        <v>0.5</v>
      </c>
      <c r="E5874">
        <f t="shared" si="91"/>
        <v>74868.75</v>
      </c>
    </row>
    <row r="5875" spans="1:5" x14ac:dyDescent="0.25">
      <c r="A5875" t="s">
        <v>3</v>
      </c>
      <c r="B5875">
        <v>1230713</v>
      </c>
      <c r="C5875">
        <v>149625</v>
      </c>
      <c r="D5875" s="4">
        <f>+VLOOKUP(A5875,Portfolio!$G$3:$I$6,3)</f>
        <v>0.5</v>
      </c>
      <c r="E5875">
        <f t="shared" si="91"/>
        <v>74812.5</v>
      </c>
    </row>
    <row r="5876" spans="1:5" x14ac:dyDescent="0.25">
      <c r="A5876" t="s">
        <v>3</v>
      </c>
      <c r="B5876">
        <v>1230714</v>
      </c>
      <c r="C5876">
        <v>150775</v>
      </c>
      <c r="D5876" s="4">
        <f>+VLOOKUP(A5876,Portfolio!$G$3:$I$6,3)</f>
        <v>0.5</v>
      </c>
      <c r="E5876">
        <f t="shared" si="91"/>
        <v>75387.5</v>
      </c>
    </row>
    <row r="5877" spans="1:5" x14ac:dyDescent="0.25">
      <c r="A5877" t="s">
        <v>3</v>
      </c>
      <c r="B5877">
        <v>1230716</v>
      </c>
      <c r="C5877">
        <v>151000</v>
      </c>
      <c r="D5877" s="4">
        <f>+VLOOKUP(A5877,Portfolio!$G$3:$I$6,3)</f>
        <v>0.5</v>
      </c>
      <c r="E5877">
        <f t="shared" si="91"/>
        <v>75500</v>
      </c>
    </row>
    <row r="5878" spans="1:5" x14ac:dyDescent="0.25">
      <c r="A5878" t="s">
        <v>3</v>
      </c>
      <c r="B5878">
        <v>1230717</v>
      </c>
      <c r="C5878">
        <v>151000</v>
      </c>
      <c r="D5878" s="4">
        <f>+VLOOKUP(A5878,Portfolio!$G$3:$I$6,3)</f>
        <v>0.5</v>
      </c>
      <c r="E5878">
        <f t="shared" si="91"/>
        <v>75500</v>
      </c>
    </row>
    <row r="5879" spans="1:5" x14ac:dyDescent="0.25">
      <c r="A5879" t="s">
        <v>3</v>
      </c>
      <c r="B5879">
        <v>1230718</v>
      </c>
      <c r="C5879">
        <v>151350</v>
      </c>
      <c r="D5879" s="4">
        <f>+VLOOKUP(A5879,Portfolio!$G$3:$I$6,3)</f>
        <v>0.5</v>
      </c>
      <c r="E5879">
        <f t="shared" si="91"/>
        <v>75675</v>
      </c>
    </row>
    <row r="5880" spans="1:5" x14ac:dyDescent="0.25">
      <c r="A5880" t="s">
        <v>3</v>
      </c>
      <c r="B5880">
        <v>1230719</v>
      </c>
      <c r="C5880">
        <v>153112.5</v>
      </c>
      <c r="D5880" s="4">
        <f>+VLOOKUP(A5880,Portfolio!$G$3:$I$6,3)</f>
        <v>0.5</v>
      </c>
      <c r="E5880">
        <f t="shared" si="91"/>
        <v>76556.25</v>
      </c>
    </row>
    <row r="5881" spans="1:5" x14ac:dyDescent="0.25">
      <c r="A5881" t="s">
        <v>3</v>
      </c>
      <c r="B5881">
        <v>1230720</v>
      </c>
      <c r="C5881">
        <v>153587.5</v>
      </c>
      <c r="D5881" s="4">
        <f>+VLOOKUP(A5881,Portfolio!$G$3:$I$6,3)</f>
        <v>0.5</v>
      </c>
      <c r="E5881">
        <f t="shared" si="91"/>
        <v>76793.75</v>
      </c>
    </row>
    <row r="5882" spans="1:5" x14ac:dyDescent="0.25">
      <c r="A5882" t="s">
        <v>3</v>
      </c>
      <c r="B5882">
        <v>1230721</v>
      </c>
      <c r="C5882">
        <v>154037.5</v>
      </c>
      <c r="D5882" s="4">
        <f>+VLOOKUP(A5882,Portfolio!$G$3:$I$6,3)</f>
        <v>0.5</v>
      </c>
      <c r="E5882">
        <f t="shared" si="91"/>
        <v>77018.75</v>
      </c>
    </row>
    <row r="5883" spans="1:5" x14ac:dyDescent="0.25">
      <c r="A5883" t="s">
        <v>3</v>
      </c>
      <c r="B5883">
        <v>1230723</v>
      </c>
      <c r="C5883">
        <v>153587.5</v>
      </c>
      <c r="D5883" s="4">
        <f>+VLOOKUP(A5883,Portfolio!$G$3:$I$6,3)</f>
        <v>0.5</v>
      </c>
      <c r="E5883">
        <f t="shared" si="91"/>
        <v>76793.75</v>
      </c>
    </row>
    <row r="5884" spans="1:5" x14ac:dyDescent="0.25">
      <c r="A5884" t="s">
        <v>3</v>
      </c>
      <c r="B5884">
        <v>1230724</v>
      </c>
      <c r="C5884">
        <v>153587.5</v>
      </c>
      <c r="D5884" s="4">
        <f>+VLOOKUP(A5884,Portfolio!$G$3:$I$6,3)</f>
        <v>0.5</v>
      </c>
      <c r="E5884">
        <f t="shared" si="91"/>
        <v>76793.75</v>
      </c>
    </row>
    <row r="5885" spans="1:5" x14ac:dyDescent="0.25">
      <c r="A5885" t="s">
        <v>3</v>
      </c>
      <c r="B5885">
        <v>1230725</v>
      </c>
      <c r="C5885">
        <v>153400</v>
      </c>
      <c r="D5885" s="4">
        <f>+VLOOKUP(A5885,Portfolio!$G$3:$I$6,3)</f>
        <v>0.5</v>
      </c>
      <c r="E5885">
        <f t="shared" si="91"/>
        <v>76700</v>
      </c>
    </row>
    <row r="5886" spans="1:5" x14ac:dyDescent="0.25">
      <c r="A5886" t="s">
        <v>3</v>
      </c>
      <c r="B5886">
        <v>1230726</v>
      </c>
      <c r="C5886">
        <v>154000</v>
      </c>
      <c r="D5886" s="4">
        <f>+VLOOKUP(A5886,Portfolio!$G$3:$I$6,3)</f>
        <v>0.5</v>
      </c>
      <c r="E5886">
        <f t="shared" si="91"/>
        <v>77000</v>
      </c>
    </row>
    <row r="5887" spans="1:5" x14ac:dyDescent="0.25">
      <c r="A5887" t="s">
        <v>3</v>
      </c>
      <c r="B5887">
        <v>1230727</v>
      </c>
      <c r="C5887">
        <v>152950</v>
      </c>
      <c r="D5887" s="4">
        <f>+VLOOKUP(A5887,Portfolio!$G$3:$I$6,3)</f>
        <v>0.5</v>
      </c>
      <c r="E5887">
        <f t="shared" si="91"/>
        <v>76475</v>
      </c>
    </row>
    <row r="5888" spans="1:5" x14ac:dyDescent="0.25">
      <c r="A5888" t="s">
        <v>3</v>
      </c>
      <c r="B5888">
        <v>1230728</v>
      </c>
      <c r="C5888">
        <v>154212.5</v>
      </c>
      <c r="D5888" s="4">
        <f>+VLOOKUP(A5888,Portfolio!$G$3:$I$6,3)</f>
        <v>0.5</v>
      </c>
      <c r="E5888">
        <f t="shared" si="91"/>
        <v>77106.25</v>
      </c>
    </row>
    <row r="5889" spans="1:5" x14ac:dyDescent="0.25">
      <c r="A5889" t="s">
        <v>3</v>
      </c>
      <c r="B5889">
        <v>1230730</v>
      </c>
      <c r="C5889">
        <v>153150</v>
      </c>
      <c r="D5889" s="4">
        <f>+VLOOKUP(A5889,Portfolio!$G$3:$I$6,3)</f>
        <v>0.5</v>
      </c>
      <c r="E5889">
        <f t="shared" si="91"/>
        <v>76575</v>
      </c>
    </row>
    <row r="5890" spans="1:5" x14ac:dyDescent="0.25">
      <c r="A5890" t="s">
        <v>3</v>
      </c>
      <c r="B5890">
        <v>1230731</v>
      </c>
      <c r="C5890">
        <v>152287.5</v>
      </c>
      <c r="D5890" s="4">
        <f>+VLOOKUP(A5890,Portfolio!$G$3:$I$6,3)</f>
        <v>0.5</v>
      </c>
      <c r="E5890">
        <f t="shared" si="91"/>
        <v>76143.75</v>
      </c>
    </row>
    <row r="5891" spans="1:5" x14ac:dyDescent="0.25">
      <c r="A5891" t="s">
        <v>3</v>
      </c>
      <c r="B5891">
        <v>1230801</v>
      </c>
      <c r="C5891">
        <v>152725</v>
      </c>
      <c r="D5891" s="4">
        <f>+VLOOKUP(A5891,Portfolio!$G$3:$I$6,3)</f>
        <v>0.5</v>
      </c>
      <c r="E5891">
        <f t="shared" ref="E5891:E5954" si="92">+C5891*D5891</f>
        <v>76362.5</v>
      </c>
    </row>
    <row r="5892" spans="1:5" x14ac:dyDescent="0.25">
      <c r="A5892" t="s">
        <v>3</v>
      </c>
      <c r="B5892">
        <v>1230802</v>
      </c>
      <c r="C5892">
        <v>153387.5</v>
      </c>
      <c r="D5892" s="4">
        <f>+VLOOKUP(A5892,Portfolio!$G$3:$I$6,3)</f>
        <v>0.5</v>
      </c>
      <c r="E5892">
        <f t="shared" si="92"/>
        <v>76693.75</v>
      </c>
    </row>
    <row r="5893" spans="1:5" x14ac:dyDescent="0.25">
      <c r="A5893" t="s">
        <v>3</v>
      </c>
      <c r="B5893">
        <v>1230803</v>
      </c>
      <c r="C5893">
        <v>155475</v>
      </c>
      <c r="D5893" s="4">
        <f>+VLOOKUP(A5893,Portfolio!$G$3:$I$6,3)</f>
        <v>0.5</v>
      </c>
      <c r="E5893">
        <f t="shared" si="92"/>
        <v>77737.5</v>
      </c>
    </row>
    <row r="5894" spans="1:5" x14ac:dyDescent="0.25">
      <c r="A5894" t="s">
        <v>3</v>
      </c>
      <c r="B5894">
        <v>1230804</v>
      </c>
      <c r="C5894">
        <v>155950</v>
      </c>
      <c r="D5894" s="4">
        <f>+VLOOKUP(A5894,Portfolio!$G$3:$I$6,3)</f>
        <v>0.5</v>
      </c>
      <c r="E5894">
        <f t="shared" si="92"/>
        <v>77975</v>
      </c>
    </row>
    <row r="5895" spans="1:5" x14ac:dyDescent="0.25">
      <c r="A5895" t="s">
        <v>3</v>
      </c>
      <c r="B5895">
        <v>1230806</v>
      </c>
      <c r="C5895">
        <v>154500</v>
      </c>
      <c r="D5895" s="4">
        <f>+VLOOKUP(A5895,Portfolio!$G$3:$I$6,3)</f>
        <v>0.5</v>
      </c>
      <c r="E5895">
        <f t="shared" si="92"/>
        <v>77250</v>
      </c>
    </row>
    <row r="5896" spans="1:5" x14ac:dyDescent="0.25">
      <c r="A5896" t="s">
        <v>3</v>
      </c>
      <c r="B5896">
        <v>1230807</v>
      </c>
      <c r="C5896">
        <v>154150</v>
      </c>
      <c r="D5896" s="4">
        <f>+VLOOKUP(A5896,Portfolio!$G$3:$I$6,3)</f>
        <v>0.5</v>
      </c>
      <c r="E5896">
        <f t="shared" si="92"/>
        <v>77075</v>
      </c>
    </row>
    <row r="5897" spans="1:5" x14ac:dyDescent="0.25">
      <c r="A5897" t="s">
        <v>3</v>
      </c>
      <c r="B5897">
        <v>1230808</v>
      </c>
      <c r="C5897">
        <v>153525</v>
      </c>
      <c r="D5897" s="4">
        <f>+VLOOKUP(A5897,Portfolio!$G$3:$I$6,3)</f>
        <v>0.5</v>
      </c>
      <c r="E5897">
        <f t="shared" si="92"/>
        <v>76762.5</v>
      </c>
    </row>
    <row r="5898" spans="1:5" x14ac:dyDescent="0.25">
      <c r="A5898" t="s">
        <v>3</v>
      </c>
      <c r="B5898">
        <v>1230809</v>
      </c>
      <c r="C5898">
        <v>149962.5</v>
      </c>
      <c r="D5898" s="4">
        <f>+VLOOKUP(A5898,Portfolio!$G$3:$I$6,3)</f>
        <v>0.5</v>
      </c>
      <c r="E5898">
        <f t="shared" si="92"/>
        <v>74981.25</v>
      </c>
    </row>
    <row r="5899" spans="1:5" x14ac:dyDescent="0.25">
      <c r="A5899" t="s">
        <v>3</v>
      </c>
      <c r="B5899">
        <v>1230810</v>
      </c>
      <c r="C5899">
        <v>151037.5</v>
      </c>
      <c r="D5899" s="4">
        <f>+VLOOKUP(A5899,Portfolio!$G$3:$I$6,3)</f>
        <v>0.5</v>
      </c>
      <c r="E5899">
        <f t="shared" si="92"/>
        <v>75518.75</v>
      </c>
    </row>
    <row r="5900" spans="1:5" x14ac:dyDescent="0.25">
      <c r="A5900" t="s">
        <v>3</v>
      </c>
      <c r="B5900">
        <v>1230811</v>
      </c>
      <c r="C5900">
        <v>147300</v>
      </c>
      <c r="D5900" s="4">
        <f>+VLOOKUP(A5900,Portfolio!$G$3:$I$6,3)</f>
        <v>0.5</v>
      </c>
      <c r="E5900">
        <f t="shared" si="92"/>
        <v>73650</v>
      </c>
    </row>
    <row r="5901" spans="1:5" x14ac:dyDescent="0.25">
      <c r="A5901" t="s">
        <v>3</v>
      </c>
      <c r="B5901">
        <v>1230813</v>
      </c>
      <c r="C5901">
        <v>147737.5</v>
      </c>
      <c r="D5901" s="4">
        <f>+VLOOKUP(A5901,Portfolio!$G$3:$I$6,3)</f>
        <v>0.5</v>
      </c>
      <c r="E5901">
        <f t="shared" si="92"/>
        <v>73868.75</v>
      </c>
    </row>
    <row r="5902" spans="1:5" x14ac:dyDescent="0.25">
      <c r="A5902" t="s">
        <v>3</v>
      </c>
      <c r="B5902">
        <v>1230814</v>
      </c>
      <c r="C5902">
        <v>147737.5</v>
      </c>
      <c r="D5902" s="4">
        <f>+VLOOKUP(A5902,Portfolio!$G$3:$I$6,3)</f>
        <v>0.5</v>
      </c>
      <c r="E5902">
        <f t="shared" si="92"/>
        <v>73868.75</v>
      </c>
    </row>
    <row r="5903" spans="1:5" x14ac:dyDescent="0.25">
      <c r="A5903" t="s">
        <v>3</v>
      </c>
      <c r="B5903">
        <v>1230815</v>
      </c>
      <c r="C5903">
        <v>148387.5</v>
      </c>
      <c r="D5903" s="4">
        <f>+VLOOKUP(A5903,Portfolio!$G$3:$I$6,3)</f>
        <v>0.5</v>
      </c>
      <c r="E5903">
        <f t="shared" si="92"/>
        <v>74193.75</v>
      </c>
    </row>
    <row r="5904" spans="1:5" x14ac:dyDescent="0.25">
      <c r="A5904" t="s">
        <v>3</v>
      </c>
      <c r="B5904">
        <v>1230816</v>
      </c>
      <c r="C5904">
        <v>146987.5</v>
      </c>
      <c r="D5904" s="4">
        <f>+VLOOKUP(A5904,Portfolio!$G$3:$I$6,3)</f>
        <v>0.5</v>
      </c>
      <c r="E5904">
        <f t="shared" si="92"/>
        <v>73493.75</v>
      </c>
    </row>
    <row r="5905" spans="1:5" x14ac:dyDescent="0.25">
      <c r="A5905" t="s">
        <v>3</v>
      </c>
      <c r="B5905">
        <v>1230817</v>
      </c>
      <c r="C5905">
        <v>148375</v>
      </c>
      <c r="D5905" s="4">
        <f>+VLOOKUP(A5905,Portfolio!$G$3:$I$6,3)</f>
        <v>0.5</v>
      </c>
      <c r="E5905">
        <f t="shared" si="92"/>
        <v>74187.5</v>
      </c>
    </row>
    <row r="5906" spans="1:5" x14ac:dyDescent="0.25">
      <c r="A5906" t="s">
        <v>3</v>
      </c>
      <c r="B5906">
        <v>1230818</v>
      </c>
      <c r="C5906">
        <v>150237.5</v>
      </c>
      <c r="D5906" s="4">
        <f>+VLOOKUP(A5906,Portfolio!$G$3:$I$6,3)</f>
        <v>0.5</v>
      </c>
      <c r="E5906">
        <f t="shared" si="92"/>
        <v>75118.75</v>
      </c>
    </row>
    <row r="5907" spans="1:5" x14ac:dyDescent="0.25">
      <c r="A5907" t="s">
        <v>3</v>
      </c>
      <c r="B5907">
        <v>1230820</v>
      </c>
      <c r="C5907">
        <v>150225</v>
      </c>
      <c r="D5907" s="4">
        <f>+VLOOKUP(A5907,Portfolio!$G$3:$I$6,3)</f>
        <v>0.5</v>
      </c>
      <c r="E5907">
        <f t="shared" si="92"/>
        <v>75112.5</v>
      </c>
    </row>
    <row r="5908" spans="1:5" x14ac:dyDescent="0.25">
      <c r="A5908" t="s">
        <v>3</v>
      </c>
      <c r="B5908">
        <v>1230821</v>
      </c>
      <c r="C5908">
        <v>150225</v>
      </c>
      <c r="D5908" s="4">
        <f>+VLOOKUP(A5908,Portfolio!$G$3:$I$6,3)</f>
        <v>0.5</v>
      </c>
      <c r="E5908">
        <f t="shared" si="92"/>
        <v>75112.5</v>
      </c>
    </row>
    <row r="5909" spans="1:5" x14ac:dyDescent="0.25">
      <c r="A5909" t="s">
        <v>3</v>
      </c>
      <c r="B5909">
        <v>1230822</v>
      </c>
      <c r="C5909">
        <v>147062.5</v>
      </c>
      <c r="D5909" s="4">
        <f>+VLOOKUP(A5909,Portfolio!$G$3:$I$6,3)</f>
        <v>0.5</v>
      </c>
      <c r="E5909">
        <f t="shared" si="92"/>
        <v>73531.25</v>
      </c>
    </row>
    <row r="5910" spans="1:5" x14ac:dyDescent="0.25">
      <c r="A5910" t="s">
        <v>3</v>
      </c>
      <c r="B5910">
        <v>1230823</v>
      </c>
      <c r="C5910">
        <v>146662.5</v>
      </c>
      <c r="D5910" s="4">
        <f>+VLOOKUP(A5910,Portfolio!$G$3:$I$6,3)</f>
        <v>0.5</v>
      </c>
      <c r="E5910">
        <f t="shared" si="92"/>
        <v>73331.25</v>
      </c>
    </row>
    <row r="5911" spans="1:5" x14ac:dyDescent="0.25">
      <c r="A5911" t="s">
        <v>3</v>
      </c>
      <c r="B5911">
        <v>1230824</v>
      </c>
      <c r="C5911">
        <v>148687.5</v>
      </c>
      <c r="D5911" s="4">
        <f>+VLOOKUP(A5911,Portfolio!$G$3:$I$6,3)</f>
        <v>0.5</v>
      </c>
      <c r="E5911">
        <f t="shared" si="92"/>
        <v>74343.75</v>
      </c>
    </row>
    <row r="5912" spans="1:5" x14ac:dyDescent="0.25">
      <c r="A5912" t="s">
        <v>3</v>
      </c>
      <c r="B5912">
        <v>1230825</v>
      </c>
      <c r="C5912">
        <v>150450</v>
      </c>
      <c r="D5912" s="4">
        <f>+VLOOKUP(A5912,Portfolio!$G$3:$I$6,3)</f>
        <v>0.5</v>
      </c>
      <c r="E5912">
        <f t="shared" si="92"/>
        <v>75225</v>
      </c>
    </row>
    <row r="5913" spans="1:5" x14ac:dyDescent="0.25">
      <c r="A5913" t="s">
        <v>3</v>
      </c>
      <c r="B5913">
        <v>1230827</v>
      </c>
      <c r="C5913">
        <v>146700</v>
      </c>
      <c r="D5913" s="4">
        <f>+VLOOKUP(A5913,Portfolio!$G$3:$I$6,3)</f>
        <v>0.5</v>
      </c>
      <c r="E5913">
        <f t="shared" si="92"/>
        <v>73350</v>
      </c>
    </row>
    <row r="5914" spans="1:5" x14ac:dyDescent="0.25">
      <c r="A5914" t="s">
        <v>3</v>
      </c>
      <c r="B5914">
        <v>1230828</v>
      </c>
      <c r="C5914">
        <v>146537.5</v>
      </c>
      <c r="D5914" s="4">
        <f>+VLOOKUP(A5914,Portfolio!$G$3:$I$6,3)</f>
        <v>0.5</v>
      </c>
      <c r="E5914">
        <f t="shared" si="92"/>
        <v>73268.75</v>
      </c>
    </row>
    <row r="5915" spans="1:5" x14ac:dyDescent="0.25">
      <c r="A5915" t="s">
        <v>3</v>
      </c>
      <c r="B5915">
        <v>1230829</v>
      </c>
      <c r="C5915">
        <v>147737.5</v>
      </c>
      <c r="D5915" s="4">
        <f>+VLOOKUP(A5915,Portfolio!$G$3:$I$6,3)</f>
        <v>0.5</v>
      </c>
      <c r="E5915">
        <f t="shared" si="92"/>
        <v>73868.75</v>
      </c>
    </row>
    <row r="5916" spans="1:5" x14ac:dyDescent="0.25">
      <c r="A5916" t="s">
        <v>3</v>
      </c>
      <c r="B5916">
        <v>1230830</v>
      </c>
      <c r="C5916">
        <v>150487.5</v>
      </c>
      <c r="D5916" s="4">
        <f>+VLOOKUP(A5916,Portfolio!$G$3:$I$6,3)</f>
        <v>0.5</v>
      </c>
      <c r="E5916">
        <f t="shared" si="92"/>
        <v>75243.75</v>
      </c>
    </row>
    <row r="5917" spans="1:5" x14ac:dyDescent="0.25">
      <c r="A5917" t="s">
        <v>3</v>
      </c>
      <c r="B5917">
        <v>1230831</v>
      </c>
      <c r="C5917">
        <v>151150</v>
      </c>
      <c r="D5917" s="4">
        <f>+VLOOKUP(A5917,Portfolio!$G$3:$I$6,3)</f>
        <v>0.5</v>
      </c>
      <c r="E5917">
        <f t="shared" si="92"/>
        <v>75575</v>
      </c>
    </row>
    <row r="5918" spans="1:5" x14ac:dyDescent="0.25">
      <c r="A5918" t="s">
        <v>3</v>
      </c>
      <c r="B5918">
        <v>1230901</v>
      </c>
      <c r="C5918">
        <v>150975</v>
      </c>
      <c r="D5918" s="4">
        <f>+VLOOKUP(A5918,Portfolio!$G$3:$I$6,3)</f>
        <v>0.5</v>
      </c>
      <c r="E5918">
        <f t="shared" si="92"/>
        <v>75487.5</v>
      </c>
    </row>
    <row r="5919" spans="1:5" x14ac:dyDescent="0.25">
      <c r="A5919" t="s">
        <v>3</v>
      </c>
      <c r="B5919">
        <v>1230903</v>
      </c>
      <c r="C5919">
        <v>150987.5</v>
      </c>
      <c r="D5919" s="4">
        <f>+VLOOKUP(A5919,Portfolio!$G$3:$I$6,3)</f>
        <v>0.5</v>
      </c>
      <c r="E5919">
        <f t="shared" si="92"/>
        <v>75493.75</v>
      </c>
    </row>
    <row r="5920" spans="1:5" x14ac:dyDescent="0.25">
      <c r="A5920" t="s">
        <v>3</v>
      </c>
      <c r="B5920">
        <v>1230904</v>
      </c>
      <c r="C5920">
        <v>150775</v>
      </c>
      <c r="D5920" s="4">
        <f>+VLOOKUP(A5920,Portfolio!$G$3:$I$6,3)</f>
        <v>0.5</v>
      </c>
      <c r="E5920">
        <f t="shared" si="92"/>
        <v>75387.5</v>
      </c>
    </row>
    <row r="5921" spans="1:5" x14ac:dyDescent="0.25">
      <c r="A5921" t="s">
        <v>3</v>
      </c>
      <c r="B5921">
        <v>1230905</v>
      </c>
      <c r="C5921">
        <v>151212.5</v>
      </c>
      <c r="D5921" s="4">
        <f>+VLOOKUP(A5921,Portfolio!$G$3:$I$6,3)</f>
        <v>0.5</v>
      </c>
      <c r="E5921">
        <f t="shared" si="92"/>
        <v>75606.25</v>
      </c>
    </row>
    <row r="5922" spans="1:5" x14ac:dyDescent="0.25">
      <c r="A5922" t="s">
        <v>3</v>
      </c>
      <c r="B5922">
        <v>1230906</v>
      </c>
      <c r="C5922">
        <v>150112.5</v>
      </c>
      <c r="D5922" s="4">
        <f>+VLOOKUP(A5922,Portfolio!$G$3:$I$6,3)</f>
        <v>0.5</v>
      </c>
      <c r="E5922">
        <f t="shared" si="92"/>
        <v>75056.25</v>
      </c>
    </row>
    <row r="5923" spans="1:5" x14ac:dyDescent="0.25">
      <c r="A5923" t="s">
        <v>3</v>
      </c>
      <c r="B5923">
        <v>1230907</v>
      </c>
      <c r="C5923">
        <v>150312.5</v>
      </c>
      <c r="D5923" s="4">
        <f>+VLOOKUP(A5923,Portfolio!$G$3:$I$6,3)</f>
        <v>0.5</v>
      </c>
      <c r="E5923">
        <f t="shared" si="92"/>
        <v>75156.25</v>
      </c>
    </row>
    <row r="5924" spans="1:5" x14ac:dyDescent="0.25">
      <c r="A5924" t="s">
        <v>3</v>
      </c>
      <c r="B5924">
        <v>1230908</v>
      </c>
      <c r="C5924">
        <v>151162.5</v>
      </c>
      <c r="D5924" s="4">
        <f>+VLOOKUP(A5924,Portfolio!$G$3:$I$6,3)</f>
        <v>0.5</v>
      </c>
      <c r="E5924">
        <f t="shared" si="92"/>
        <v>75581.25</v>
      </c>
    </row>
    <row r="5925" spans="1:5" x14ac:dyDescent="0.25">
      <c r="A5925" t="s">
        <v>3</v>
      </c>
      <c r="B5925">
        <v>1230910</v>
      </c>
      <c r="C5925">
        <v>150937.5</v>
      </c>
      <c r="D5925" s="4">
        <f>+VLOOKUP(A5925,Portfolio!$G$3:$I$6,3)</f>
        <v>0.5</v>
      </c>
      <c r="E5925">
        <f t="shared" si="92"/>
        <v>75468.75</v>
      </c>
    </row>
    <row r="5926" spans="1:5" x14ac:dyDescent="0.25">
      <c r="A5926" t="s">
        <v>3</v>
      </c>
      <c r="B5926">
        <v>1230911</v>
      </c>
      <c r="C5926">
        <v>151187.5</v>
      </c>
      <c r="D5926" s="4">
        <f>+VLOOKUP(A5926,Portfolio!$G$3:$I$6,3)</f>
        <v>0.5</v>
      </c>
      <c r="E5926">
        <f t="shared" si="92"/>
        <v>75593.75</v>
      </c>
    </row>
    <row r="5927" spans="1:5" x14ac:dyDescent="0.25">
      <c r="A5927" t="s">
        <v>3</v>
      </c>
      <c r="B5927">
        <v>1230912</v>
      </c>
      <c r="C5927">
        <v>151437.5</v>
      </c>
      <c r="D5927" s="4">
        <f>+VLOOKUP(A5927,Portfolio!$G$3:$I$6,3)</f>
        <v>0.5</v>
      </c>
      <c r="E5927">
        <f t="shared" si="92"/>
        <v>75718.75</v>
      </c>
    </row>
    <row r="5928" spans="1:5" x14ac:dyDescent="0.25">
      <c r="A5928" t="s">
        <v>3</v>
      </c>
      <c r="B5928">
        <v>1230913</v>
      </c>
      <c r="C5928">
        <v>150062.5</v>
      </c>
      <c r="D5928" s="4">
        <f>+VLOOKUP(A5928,Portfolio!$G$3:$I$6,3)</f>
        <v>0.5</v>
      </c>
      <c r="E5928">
        <f t="shared" si="92"/>
        <v>75031.25</v>
      </c>
    </row>
    <row r="5929" spans="1:5" x14ac:dyDescent="0.25">
      <c r="A5929" t="s">
        <v>3</v>
      </c>
      <c r="B5929">
        <v>1230914</v>
      </c>
      <c r="C5929">
        <v>149537.5</v>
      </c>
      <c r="D5929" s="4">
        <f>+VLOOKUP(A5929,Portfolio!$G$3:$I$6,3)</f>
        <v>0.5</v>
      </c>
      <c r="E5929">
        <f t="shared" si="92"/>
        <v>74768.75</v>
      </c>
    </row>
    <row r="5930" spans="1:5" x14ac:dyDescent="0.25">
      <c r="A5930" t="s">
        <v>3</v>
      </c>
      <c r="B5930">
        <v>1230915</v>
      </c>
      <c r="C5930">
        <v>151287.5</v>
      </c>
      <c r="D5930" s="4">
        <f>+VLOOKUP(A5930,Portfolio!$G$3:$I$6,3)</f>
        <v>0.5</v>
      </c>
      <c r="E5930">
        <f t="shared" si="92"/>
        <v>75643.75</v>
      </c>
    </row>
    <row r="5931" spans="1:5" x14ac:dyDescent="0.25">
      <c r="A5931" t="s">
        <v>3</v>
      </c>
      <c r="B5931">
        <v>1230917</v>
      </c>
      <c r="C5931">
        <v>150362.5</v>
      </c>
      <c r="D5931" s="4">
        <f>+VLOOKUP(A5931,Portfolio!$G$3:$I$6,3)</f>
        <v>0.5</v>
      </c>
      <c r="E5931">
        <f t="shared" si="92"/>
        <v>75181.25</v>
      </c>
    </row>
    <row r="5932" spans="1:5" x14ac:dyDescent="0.25">
      <c r="A5932" t="s">
        <v>3</v>
      </c>
      <c r="B5932">
        <v>1230918</v>
      </c>
      <c r="C5932">
        <v>150275</v>
      </c>
      <c r="D5932" s="4">
        <f>+VLOOKUP(A5932,Portfolio!$G$3:$I$6,3)</f>
        <v>0.5</v>
      </c>
      <c r="E5932">
        <f t="shared" si="92"/>
        <v>75137.5</v>
      </c>
    </row>
    <row r="5933" spans="1:5" x14ac:dyDescent="0.25">
      <c r="A5933" t="s">
        <v>3</v>
      </c>
      <c r="B5933">
        <v>1230919</v>
      </c>
      <c r="C5933">
        <v>149762.5</v>
      </c>
      <c r="D5933" s="4">
        <f>+VLOOKUP(A5933,Portfolio!$G$3:$I$6,3)</f>
        <v>0.5</v>
      </c>
      <c r="E5933">
        <f t="shared" si="92"/>
        <v>74881.25</v>
      </c>
    </row>
    <row r="5934" spans="1:5" x14ac:dyDescent="0.25">
      <c r="A5934" t="s">
        <v>3</v>
      </c>
      <c r="B5934">
        <v>1230920</v>
      </c>
      <c r="C5934">
        <v>149037.5</v>
      </c>
      <c r="D5934" s="4">
        <f>+VLOOKUP(A5934,Portfolio!$G$3:$I$6,3)</f>
        <v>0.5</v>
      </c>
      <c r="E5934">
        <f t="shared" si="92"/>
        <v>74518.75</v>
      </c>
    </row>
    <row r="5935" spans="1:5" x14ac:dyDescent="0.25">
      <c r="A5935" t="s">
        <v>3</v>
      </c>
      <c r="B5935">
        <v>1230921</v>
      </c>
      <c r="C5935">
        <v>150787.5</v>
      </c>
      <c r="D5935" s="4">
        <f>+VLOOKUP(A5935,Portfolio!$G$3:$I$6,3)</f>
        <v>0.5</v>
      </c>
      <c r="E5935">
        <f t="shared" si="92"/>
        <v>75393.75</v>
      </c>
    </row>
    <row r="5936" spans="1:5" x14ac:dyDescent="0.25">
      <c r="A5936" t="s">
        <v>3</v>
      </c>
      <c r="B5936">
        <v>1230922</v>
      </c>
      <c r="C5936">
        <v>153850</v>
      </c>
      <c r="D5936" s="4">
        <f>+VLOOKUP(A5936,Portfolio!$G$3:$I$6,3)</f>
        <v>0.5</v>
      </c>
      <c r="E5936">
        <f t="shared" si="92"/>
        <v>76925</v>
      </c>
    </row>
    <row r="5937" spans="1:5" x14ac:dyDescent="0.25">
      <c r="A5937" t="s">
        <v>3</v>
      </c>
      <c r="B5937">
        <v>1230924</v>
      </c>
      <c r="C5937">
        <v>153237.5</v>
      </c>
      <c r="D5937" s="4">
        <f>+VLOOKUP(A5937,Portfolio!$G$3:$I$6,3)</f>
        <v>0.5</v>
      </c>
      <c r="E5937">
        <f t="shared" si="92"/>
        <v>76618.75</v>
      </c>
    </row>
    <row r="5938" spans="1:5" x14ac:dyDescent="0.25">
      <c r="A5938" t="s">
        <v>3</v>
      </c>
      <c r="B5938">
        <v>1230925</v>
      </c>
      <c r="C5938">
        <v>152962.5</v>
      </c>
      <c r="D5938" s="4">
        <f>+VLOOKUP(A5938,Portfolio!$G$3:$I$6,3)</f>
        <v>0.5</v>
      </c>
      <c r="E5938">
        <f t="shared" si="92"/>
        <v>76481.25</v>
      </c>
    </row>
    <row r="5939" spans="1:5" x14ac:dyDescent="0.25">
      <c r="A5939" t="s">
        <v>3</v>
      </c>
      <c r="B5939">
        <v>1230926</v>
      </c>
      <c r="C5939">
        <v>153325</v>
      </c>
      <c r="D5939" s="4">
        <f>+VLOOKUP(A5939,Portfolio!$G$3:$I$6,3)</f>
        <v>0.5</v>
      </c>
      <c r="E5939">
        <f t="shared" si="92"/>
        <v>76662.5</v>
      </c>
    </row>
    <row r="5940" spans="1:5" x14ac:dyDescent="0.25">
      <c r="A5940" t="s">
        <v>3</v>
      </c>
      <c r="B5940">
        <v>1230927</v>
      </c>
      <c r="C5940">
        <v>154050</v>
      </c>
      <c r="D5940" s="4">
        <f>+VLOOKUP(A5940,Portfolio!$G$3:$I$6,3)</f>
        <v>0.5</v>
      </c>
      <c r="E5940">
        <f t="shared" si="92"/>
        <v>77025</v>
      </c>
    </row>
    <row r="5941" spans="1:5" x14ac:dyDescent="0.25">
      <c r="A5941" t="s">
        <v>3</v>
      </c>
      <c r="B5941">
        <v>1230928</v>
      </c>
      <c r="C5941">
        <v>154600</v>
      </c>
      <c r="D5941" s="4">
        <f>+VLOOKUP(A5941,Portfolio!$G$3:$I$6,3)</f>
        <v>0.5</v>
      </c>
      <c r="E5941">
        <f t="shared" si="92"/>
        <v>77300</v>
      </c>
    </row>
    <row r="5942" spans="1:5" x14ac:dyDescent="0.25">
      <c r="A5942" t="s">
        <v>3</v>
      </c>
      <c r="B5942">
        <v>1230929</v>
      </c>
      <c r="C5942">
        <v>154412.5</v>
      </c>
      <c r="D5942" s="4">
        <f>+VLOOKUP(A5942,Portfolio!$G$3:$I$6,3)</f>
        <v>0.5</v>
      </c>
      <c r="E5942">
        <f t="shared" si="92"/>
        <v>77206.25</v>
      </c>
    </row>
    <row r="5943" spans="1:5" x14ac:dyDescent="0.25">
      <c r="A5943" t="s">
        <v>3</v>
      </c>
      <c r="B5943">
        <v>1231001</v>
      </c>
      <c r="C5943">
        <v>154287.5</v>
      </c>
      <c r="D5943" s="4">
        <f>+VLOOKUP(A5943,Portfolio!$G$3:$I$6,3)</f>
        <v>0.5</v>
      </c>
      <c r="E5943">
        <f t="shared" si="92"/>
        <v>77143.75</v>
      </c>
    </row>
    <row r="5944" spans="1:5" x14ac:dyDescent="0.25">
      <c r="A5944" t="s">
        <v>3</v>
      </c>
      <c r="B5944">
        <v>1231002</v>
      </c>
      <c r="C5944">
        <v>154025</v>
      </c>
      <c r="D5944" s="4">
        <f>+VLOOKUP(A5944,Portfolio!$G$3:$I$6,3)</f>
        <v>0.5</v>
      </c>
      <c r="E5944">
        <f t="shared" si="92"/>
        <v>77012.5</v>
      </c>
    </row>
    <row r="5945" spans="1:5" x14ac:dyDescent="0.25">
      <c r="A5945" t="s">
        <v>3</v>
      </c>
      <c r="B5945">
        <v>1231003</v>
      </c>
      <c r="C5945">
        <v>155525</v>
      </c>
      <c r="D5945" s="4">
        <f>+VLOOKUP(A5945,Portfolio!$G$3:$I$6,3)</f>
        <v>0.5</v>
      </c>
      <c r="E5945">
        <f t="shared" si="92"/>
        <v>77762.5</v>
      </c>
    </row>
    <row r="5946" spans="1:5" x14ac:dyDescent="0.25">
      <c r="A5946" t="s">
        <v>3</v>
      </c>
      <c r="B5946">
        <v>1231004</v>
      </c>
      <c r="C5946">
        <v>158012.5</v>
      </c>
      <c r="D5946" s="4">
        <f>+VLOOKUP(A5946,Portfolio!$G$3:$I$6,3)</f>
        <v>0.5</v>
      </c>
      <c r="E5946">
        <f t="shared" si="92"/>
        <v>79006.25</v>
      </c>
    </row>
    <row r="5947" spans="1:5" x14ac:dyDescent="0.25">
      <c r="A5947" t="s">
        <v>3</v>
      </c>
      <c r="B5947">
        <v>1231005</v>
      </c>
      <c r="C5947">
        <v>158825</v>
      </c>
      <c r="D5947" s="4">
        <f>+VLOOKUP(A5947,Portfolio!$G$3:$I$6,3)</f>
        <v>0.5</v>
      </c>
      <c r="E5947">
        <f t="shared" si="92"/>
        <v>79412.5</v>
      </c>
    </row>
    <row r="5948" spans="1:5" x14ac:dyDescent="0.25">
      <c r="A5948" t="s">
        <v>3</v>
      </c>
      <c r="B5948">
        <v>1231006</v>
      </c>
      <c r="C5948">
        <v>157262.5</v>
      </c>
      <c r="D5948" s="4">
        <f>+VLOOKUP(A5948,Portfolio!$G$3:$I$6,3)</f>
        <v>0.5</v>
      </c>
      <c r="E5948">
        <f t="shared" si="92"/>
        <v>78631.25</v>
      </c>
    </row>
    <row r="5949" spans="1:5" x14ac:dyDescent="0.25">
      <c r="A5949" t="s">
        <v>3</v>
      </c>
      <c r="B5949">
        <v>1231008</v>
      </c>
      <c r="C5949">
        <v>156425</v>
      </c>
      <c r="D5949" s="4">
        <f>+VLOOKUP(A5949,Portfolio!$G$3:$I$6,3)</f>
        <v>0.5</v>
      </c>
      <c r="E5949">
        <f t="shared" si="92"/>
        <v>78212.5</v>
      </c>
    </row>
    <row r="5950" spans="1:5" x14ac:dyDescent="0.25">
      <c r="A5950" t="s">
        <v>3</v>
      </c>
      <c r="B5950">
        <v>1231009</v>
      </c>
      <c r="C5950">
        <v>156487.5</v>
      </c>
      <c r="D5950" s="4">
        <f>+VLOOKUP(A5950,Portfolio!$G$3:$I$6,3)</f>
        <v>0.5</v>
      </c>
      <c r="E5950">
        <f t="shared" si="92"/>
        <v>78243.75</v>
      </c>
    </row>
    <row r="5951" spans="1:5" x14ac:dyDescent="0.25">
      <c r="A5951" t="s">
        <v>3</v>
      </c>
      <c r="B5951">
        <v>1231010</v>
      </c>
      <c r="C5951">
        <v>159587.5</v>
      </c>
      <c r="D5951" s="4">
        <f>+VLOOKUP(A5951,Portfolio!$G$3:$I$6,3)</f>
        <v>0.5</v>
      </c>
      <c r="E5951">
        <f t="shared" si="92"/>
        <v>79793.75</v>
      </c>
    </row>
    <row r="5952" spans="1:5" x14ac:dyDescent="0.25">
      <c r="A5952" t="s">
        <v>3</v>
      </c>
      <c r="B5952">
        <v>1231011</v>
      </c>
      <c r="C5952">
        <v>160637.5</v>
      </c>
      <c r="D5952" s="4">
        <f>+VLOOKUP(A5952,Portfolio!$G$3:$I$6,3)</f>
        <v>0.5</v>
      </c>
      <c r="E5952">
        <f t="shared" si="92"/>
        <v>80318.75</v>
      </c>
    </row>
    <row r="5953" spans="1:5" x14ac:dyDescent="0.25">
      <c r="A5953" t="s">
        <v>3</v>
      </c>
      <c r="B5953">
        <v>1231012</v>
      </c>
      <c r="C5953">
        <v>158887.5</v>
      </c>
      <c r="D5953" s="4">
        <f>+VLOOKUP(A5953,Portfolio!$G$3:$I$6,3)</f>
        <v>0.5</v>
      </c>
      <c r="E5953">
        <f t="shared" si="92"/>
        <v>79443.75</v>
      </c>
    </row>
    <row r="5954" spans="1:5" x14ac:dyDescent="0.25">
      <c r="A5954" t="s">
        <v>3</v>
      </c>
      <c r="B5954">
        <v>1231013</v>
      </c>
      <c r="C5954">
        <v>160100</v>
      </c>
      <c r="D5954" s="4">
        <f>+VLOOKUP(A5954,Portfolio!$G$3:$I$6,3)</f>
        <v>0.5</v>
      </c>
      <c r="E5954">
        <f t="shared" si="92"/>
        <v>80050</v>
      </c>
    </row>
    <row r="5955" spans="1:5" x14ac:dyDescent="0.25">
      <c r="A5955" t="s">
        <v>3</v>
      </c>
      <c r="B5955">
        <v>1231015</v>
      </c>
      <c r="C5955">
        <v>161375</v>
      </c>
      <c r="D5955" s="4">
        <f>+VLOOKUP(A5955,Portfolio!$G$3:$I$6,3)</f>
        <v>0.5</v>
      </c>
      <c r="E5955">
        <f t="shared" ref="E5955:E6018" si="93">+C5955*D5955</f>
        <v>80687.5</v>
      </c>
    </row>
    <row r="5956" spans="1:5" x14ac:dyDescent="0.25">
      <c r="A5956" t="s">
        <v>3</v>
      </c>
      <c r="B5956">
        <v>1231016</v>
      </c>
      <c r="C5956">
        <v>161375</v>
      </c>
      <c r="D5956" s="4">
        <f>+VLOOKUP(A5956,Portfolio!$G$3:$I$6,3)</f>
        <v>0.5</v>
      </c>
      <c r="E5956">
        <f t="shared" si="93"/>
        <v>80687.5</v>
      </c>
    </row>
    <row r="5957" spans="1:5" x14ac:dyDescent="0.25">
      <c r="A5957" t="s">
        <v>3</v>
      </c>
      <c r="B5957">
        <v>1231017</v>
      </c>
      <c r="C5957">
        <v>161587.5</v>
      </c>
      <c r="D5957" s="4">
        <f>+VLOOKUP(A5957,Portfolio!$G$3:$I$6,3)</f>
        <v>0.5</v>
      </c>
      <c r="E5957">
        <f t="shared" si="93"/>
        <v>80793.75</v>
      </c>
    </row>
    <row r="5958" spans="1:5" x14ac:dyDescent="0.25">
      <c r="A5958" t="s">
        <v>3</v>
      </c>
      <c r="B5958">
        <v>1231018</v>
      </c>
      <c r="C5958">
        <v>161637.5</v>
      </c>
      <c r="D5958" s="4">
        <f>+VLOOKUP(A5958,Portfolio!$G$3:$I$6,3)</f>
        <v>0.5</v>
      </c>
      <c r="E5958">
        <f t="shared" si="93"/>
        <v>80818.75</v>
      </c>
    </row>
    <row r="5959" spans="1:5" x14ac:dyDescent="0.25">
      <c r="A5959" t="s">
        <v>3</v>
      </c>
      <c r="B5959">
        <v>1231019</v>
      </c>
      <c r="C5959">
        <v>162662.5</v>
      </c>
      <c r="D5959" s="4">
        <f>+VLOOKUP(A5959,Portfolio!$G$3:$I$6,3)</f>
        <v>0.5</v>
      </c>
      <c r="E5959">
        <f t="shared" si="93"/>
        <v>81331.25</v>
      </c>
    </row>
    <row r="5960" spans="1:5" x14ac:dyDescent="0.25">
      <c r="A5960" t="s">
        <v>3</v>
      </c>
      <c r="B5960">
        <v>1231020</v>
      </c>
      <c r="C5960">
        <v>160525</v>
      </c>
      <c r="D5960" s="4">
        <f>+VLOOKUP(A5960,Portfolio!$G$3:$I$6,3)</f>
        <v>0.5</v>
      </c>
      <c r="E5960">
        <f t="shared" si="93"/>
        <v>80262.5</v>
      </c>
    </row>
    <row r="5961" spans="1:5" x14ac:dyDescent="0.25">
      <c r="A5961" t="s">
        <v>3</v>
      </c>
      <c r="B5961">
        <v>1231022</v>
      </c>
      <c r="C5961">
        <v>162975</v>
      </c>
      <c r="D5961" s="4">
        <f>+VLOOKUP(A5961,Portfolio!$G$3:$I$6,3)</f>
        <v>0.5</v>
      </c>
      <c r="E5961">
        <f t="shared" si="93"/>
        <v>81487.5</v>
      </c>
    </row>
    <row r="5962" spans="1:5" x14ac:dyDescent="0.25">
      <c r="A5962" t="s">
        <v>3</v>
      </c>
      <c r="B5962">
        <v>1231023</v>
      </c>
      <c r="C5962">
        <v>162975</v>
      </c>
      <c r="D5962" s="4">
        <f>+VLOOKUP(A5962,Portfolio!$G$3:$I$6,3)</f>
        <v>0.5</v>
      </c>
      <c r="E5962">
        <f t="shared" si="93"/>
        <v>81487.5</v>
      </c>
    </row>
    <row r="5963" spans="1:5" x14ac:dyDescent="0.25">
      <c r="A5963" t="s">
        <v>3</v>
      </c>
      <c r="B5963">
        <v>1231024</v>
      </c>
      <c r="C5963">
        <v>162687.5</v>
      </c>
      <c r="D5963" s="4">
        <f>+VLOOKUP(A5963,Portfolio!$G$3:$I$6,3)</f>
        <v>0.5</v>
      </c>
      <c r="E5963">
        <f t="shared" si="93"/>
        <v>81343.75</v>
      </c>
    </row>
    <row r="5964" spans="1:5" x14ac:dyDescent="0.25">
      <c r="A5964" t="s">
        <v>3</v>
      </c>
      <c r="B5964">
        <v>1231025</v>
      </c>
      <c r="C5964">
        <v>161200</v>
      </c>
      <c r="D5964" s="4">
        <f>+VLOOKUP(A5964,Portfolio!$G$3:$I$6,3)</f>
        <v>0.5</v>
      </c>
      <c r="E5964">
        <f t="shared" si="93"/>
        <v>80600</v>
      </c>
    </row>
    <row r="5965" spans="1:5" x14ac:dyDescent="0.25">
      <c r="A5965" t="s">
        <v>3</v>
      </c>
      <c r="B5965">
        <v>1231026</v>
      </c>
      <c r="C5965">
        <v>165262.5</v>
      </c>
      <c r="D5965" s="4">
        <f>+VLOOKUP(A5965,Portfolio!$G$3:$I$6,3)</f>
        <v>0.5</v>
      </c>
      <c r="E5965">
        <f t="shared" si="93"/>
        <v>82631.25</v>
      </c>
    </row>
    <row r="5966" spans="1:5" x14ac:dyDescent="0.25">
      <c r="A5966" t="s">
        <v>3</v>
      </c>
      <c r="B5966">
        <v>1231027</v>
      </c>
      <c r="C5966">
        <v>166487.5</v>
      </c>
      <c r="D5966" s="4">
        <f>+VLOOKUP(A5966,Portfolio!$G$3:$I$6,3)</f>
        <v>0.5</v>
      </c>
      <c r="E5966">
        <f t="shared" si="93"/>
        <v>83243.75</v>
      </c>
    </row>
    <row r="5967" spans="1:5" x14ac:dyDescent="0.25">
      <c r="A5967" t="s">
        <v>3</v>
      </c>
      <c r="B5967">
        <v>1231029</v>
      </c>
      <c r="C5967">
        <v>166775</v>
      </c>
      <c r="D5967" s="4">
        <f>+VLOOKUP(A5967,Portfolio!$G$3:$I$6,3)</f>
        <v>0.5</v>
      </c>
      <c r="E5967">
        <f t="shared" si="93"/>
        <v>83387.5</v>
      </c>
    </row>
    <row r="5968" spans="1:5" x14ac:dyDescent="0.25">
      <c r="A5968" t="s">
        <v>3</v>
      </c>
      <c r="B5968">
        <v>1231030</v>
      </c>
      <c r="C5968">
        <v>166762.5</v>
      </c>
      <c r="D5968" s="4">
        <f>+VLOOKUP(A5968,Portfolio!$G$3:$I$6,3)</f>
        <v>0.5</v>
      </c>
      <c r="E5968">
        <f t="shared" si="93"/>
        <v>83381.25</v>
      </c>
    </row>
    <row r="5969" spans="1:5" x14ac:dyDescent="0.25">
      <c r="A5969" t="s">
        <v>3</v>
      </c>
      <c r="B5969">
        <v>1231031</v>
      </c>
      <c r="C5969">
        <v>165187.5</v>
      </c>
      <c r="D5969" s="4">
        <f>+VLOOKUP(A5969,Portfolio!$G$3:$I$6,3)</f>
        <v>0.5</v>
      </c>
      <c r="E5969">
        <f t="shared" si="93"/>
        <v>82593.75</v>
      </c>
    </row>
    <row r="5970" spans="1:5" x14ac:dyDescent="0.25">
      <c r="A5970" t="s">
        <v>3</v>
      </c>
      <c r="B5970">
        <v>1231101</v>
      </c>
      <c r="C5970">
        <v>167175</v>
      </c>
      <c r="D5970" s="4">
        <f>+VLOOKUP(A5970,Portfolio!$G$3:$I$6,3)</f>
        <v>0.5</v>
      </c>
      <c r="E5970">
        <f t="shared" si="93"/>
        <v>83587.5</v>
      </c>
    </row>
    <row r="5971" spans="1:5" x14ac:dyDescent="0.25">
      <c r="A5971" t="s">
        <v>3</v>
      </c>
      <c r="B5971">
        <v>1231102</v>
      </c>
      <c r="C5971">
        <v>169062.5</v>
      </c>
      <c r="D5971" s="4">
        <f>+VLOOKUP(A5971,Portfolio!$G$3:$I$6,3)</f>
        <v>0.5</v>
      </c>
      <c r="E5971">
        <f t="shared" si="93"/>
        <v>84531.25</v>
      </c>
    </row>
    <row r="5972" spans="1:5" x14ac:dyDescent="0.25">
      <c r="A5972" t="s">
        <v>3</v>
      </c>
      <c r="B5972">
        <v>1231103</v>
      </c>
      <c r="C5972">
        <v>172387.5</v>
      </c>
      <c r="D5972" s="4">
        <f>+VLOOKUP(A5972,Portfolio!$G$3:$I$6,3)</f>
        <v>0.5</v>
      </c>
      <c r="E5972">
        <f t="shared" si="93"/>
        <v>86193.75</v>
      </c>
    </row>
    <row r="5973" spans="1:5" x14ac:dyDescent="0.25">
      <c r="A5973" t="s">
        <v>3</v>
      </c>
      <c r="B5973">
        <v>1231105</v>
      </c>
      <c r="C5973">
        <v>174612.5</v>
      </c>
      <c r="D5973" s="4">
        <f>+VLOOKUP(A5973,Portfolio!$G$3:$I$6,3)</f>
        <v>0.5</v>
      </c>
      <c r="E5973">
        <f t="shared" si="93"/>
        <v>87306.25</v>
      </c>
    </row>
    <row r="5974" spans="1:5" x14ac:dyDescent="0.25">
      <c r="A5974" t="s">
        <v>3</v>
      </c>
      <c r="B5974">
        <v>1231106</v>
      </c>
      <c r="C5974">
        <v>174650</v>
      </c>
      <c r="D5974" s="4">
        <f>+VLOOKUP(A5974,Portfolio!$G$3:$I$6,3)</f>
        <v>0.5</v>
      </c>
      <c r="E5974">
        <f t="shared" si="93"/>
        <v>87325</v>
      </c>
    </row>
    <row r="5975" spans="1:5" x14ac:dyDescent="0.25">
      <c r="A5975" t="s">
        <v>3</v>
      </c>
      <c r="B5975">
        <v>1231107</v>
      </c>
      <c r="C5975">
        <v>174662.5</v>
      </c>
      <c r="D5975" s="4">
        <f>+VLOOKUP(A5975,Portfolio!$G$3:$I$6,3)</f>
        <v>0.5</v>
      </c>
      <c r="E5975">
        <f t="shared" si="93"/>
        <v>87331.25</v>
      </c>
    </row>
    <row r="5976" spans="1:5" x14ac:dyDescent="0.25">
      <c r="A5976" t="s">
        <v>3</v>
      </c>
      <c r="B5976">
        <v>1231108</v>
      </c>
      <c r="C5976">
        <v>174425</v>
      </c>
      <c r="D5976" s="4">
        <f>+VLOOKUP(A5976,Portfolio!$G$3:$I$6,3)</f>
        <v>0.5</v>
      </c>
      <c r="E5976">
        <f t="shared" si="93"/>
        <v>87212.5</v>
      </c>
    </row>
    <row r="5977" spans="1:5" x14ac:dyDescent="0.25">
      <c r="A5977" t="s">
        <v>3</v>
      </c>
      <c r="B5977">
        <v>1231109</v>
      </c>
      <c r="C5977">
        <v>173900</v>
      </c>
      <c r="D5977" s="4">
        <f>+VLOOKUP(A5977,Portfolio!$G$3:$I$6,3)</f>
        <v>0.5</v>
      </c>
      <c r="E5977">
        <f t="shared" si="93"/>
        <v>86950</v>
      </c>
    </row>
    <row r="5978" spans="1:5" x14ac:dyDescent="0.25">
      <c r="A5978" t="s">
        <v>3</v>
      </c>
      <c r="B5978">
        <v>1231110</v>
      </c>
      <c r="C5978">
        <v>174975</v>
      </c>
      <c r="D5978" s="4">
        <f>+VLOOKUP(A5978,Portfolio!$G$3:$I$6,3)</f>
        <v>0.5</v>
      </c>
      <c r="E5978">
        <f t="shared" si="93"/>
        <v>87487.5</v>
      </c>
    </row>
    <row r="5979" spans="1:5" x14ac:dyDescent="0.25">
      <c r="A5979" t="s">
        <v>3</v>
      </c>
      <c r="B5979">
        <v>1231112</v>
      </c>
      <c r="C5979">
        <v>175700</v>
      </c>
      <c r="D5979" s="4">
        <f>+VLOOKUP(A5979,Portfolio!$G$3:$I$6,3)</f>
        <v>0.5</v>
      </c>
      <c r="E5979">
        <f t="shared" si="93"/>
        <v>87850</v>
      </c>
    </row>
    <row r="5980" spans="1:5" x14ac:dyDescent="0.25">
      <c r="A5980" t="s">
        <v>3</v>
      </c>
      <c r="B5980">
        <v>1231113</v>
      </c>
      <c r="C5980">
        <v>175187.5</v>
      </c>
      <c r="D5980" s="4">
        <f>+VLOOKUP(A5980,Portfolio!$G$3:$I$6,3)</f>
        <v>0.5</v>
      </c>
      <c r="E5980">
        <f t="shared" si="93"/>
        <v>87593.75</v>
      </c>
    </row>
    <row r="5981" spans="1:5" x14ac:dyDescent="0.25">
      <c r="A5981" t="s">
        <v>3</v>
      </c>
      <c r="B5981">
        <v>1231114</v>
      </c>
      <c r="C5981">
        <v>175962.5</v>
      </c>
      <c r="D5981" s="4">
        <f>+VLOOKUP(A5981,Portfolio!$G$3:$I$6,3)</f>
        <v>0.5</v>
      </c>
      <c r="E5981">
        <f t="shared" si="93"/>
        <v>87981.25</v>
      </c>
    </row>
    <row r="5982" spans="1:5" x14ac:dyDescent="0.25">
      <c r="A5982" t="s">
        <v>3</v>
      </c>
      <c r="B5982">
        <v>1231115</v>
      </c>
      <c r="C5982">
        <v>180525</v>
      </c>
      <c r="D5982" s="4">
        <f>+VLOOKUP(A5982,Portfolio!$G$3:$I$6,3)</f>
        <v>0.5</v>
      </c>
      <c r="E5982">
        <f t="shared" si="93"/>
        <v>90262.5</v>
      </c>
    </row>
    <row r="5983" spans="1:5" x14ac:dyDescent="0.25">
      <c r="A5983" t="s">
        <v>3</v>
      </c>
      <c r="B5983">
        <v>1231116</v>
      </c>
      <c r="C5983">
        <v>180612.5</v>
      </c>
      <c r="D5983" s="4">
        <f>+VLOOKUP(A5983,Portfolio!$G$3:$I$6,3)</f>
        <v>0.5</v>
      </c>
      <c r="E5983">
        <f t="shared" si="93"/>
        <v>90306.25</v>
      </c>
    </row>
    <row r="5984" spans="1:5" x14ac:dyDescent="0.25">
      <c r="A5984" t="s">
        <v>3</v>
      </c>
      <c r="B5984">
        <v>1231117</v>
      </c>
      <c r="C5984">
        <v>178262.5</v>
      </c>
      <c r="D5984" s="4">
        <f>+VLOOKUP(A5984,Portfolio!$G$3:$I$6,3)</f>
        <v>0.5</v>
      </c>
      <c r="E5984">
        <f t="shared" si="93"/>
        <v>89131.25</v>
      </c>
    </row>
    <row r="5985" spans="1:5" x14ac:dyDescent="0.25">
      <c r="A5985" t="s">
        <v>3</v>
      </c>
      <c r="B5985">
        <v>1231119</v>
      </c>
      <c r="C5985">
        <v>178362.5</v>
      </c>
      <c r="D5985" s="4">
        <f>+VLOOKUP(A5985,Portfolio!$G$3:$I$6,3)</f>
        <v>0.5</v>
      </c>
      <c r="E5985">
        <f t="shared" si="93"/>
        <v>89181.25</v>
      </c>
    </row>
    <row r="5986" spans="1:5" x14ac:dyDescent="0.25">
      <c r="A5986" t="s">
        <v>3</v>
      </c>
      <c r="B5986">
        <v>1231120</v>
      </c>
      <c r="C5986">
        <v>178362.5</v>
      </c>
      <c r="D5986" s="4">
        <f>+VLOOKUP(A5986,Portfolio!$G$3:$I$6,3)</f>
        <v>0.5</v>
      </c>
      <c r="E5986">
        <f t="shared" si="93"/>
        <v>89181.25</v>
      </c>
    </row>
    <row r="5987" spans="1:5" x14ac:dyDescent="0.25">
      <c r="A5987" t="s">
        <v>3</v>
      </c>
      <c r="B5987">
        <v>1231121</v>
      </c>
      <c r="C5987">
        <v>179450</v>
      </c>
      <c r="D5987" s="4">
        <f>+VLOOKUP(A5987,Portfolio!$G$3:$I$6,3)</f>
        <v>0.5</v>
      </c>
      <c r="E5987">
        <f t="shared" si="93"/>
        <v>89725</v>
      </c>
    </row>
    <row r="5988" spans="1:5" x14ac:dyDescent="0.25">
      <c r="A5988" t="s">
        <v>3</v>
      </c>
      <c r="B5988">
        <v>1231122</v>
      </c>
      <c r="C5988">
        <v>178400</v>
      </c>
      <c r="D5988" s="4">
        <f>+VLOOKUP(A5988,Portfolio!$G$3:$I$6,3)</f>
        <v>0.5</v>
      </c>
      <c r="E5988">
        <f t="shared" si="93"/>
        <v>89200</v>
      </c>
    </row>
    <row r="5989" spans="1:5" x14ac:dyDescent="0.25">
      <c r="A5989" t="s">
        <v>3</v>
      </c>
      <c r="B5989">
        <v>1231123</v>
      </c>
      <c r="C5989">
        <v>177250</v>
      </c>
      <c r="D5989" s="4">
        <f>+VLOOKUP(A5989,Portfolio!$G$3:$I$6,3)</f>
        <v>0.5</v>
      </c>
      <c r="E5989">
        <f t="shared" si="93"/>
        <v>88625</v>
      </c>
    </row>
    <row r="5990" spans="1:5" x14ac:dyDescent="0.25">
      <c r="A5990" t="s">
        <v>3</v>
      </c>
      <c r="B5990">
        <v>1231124</v>
      </c>
      <c r="C5990">
        <v>177125</v>
      </c>
      <c r="D5990" s="4">
        <f>+VLOOKUP(A5990,Portfolio!$G$3:$I$6,3)</f>
        <v>0.5</v>
      </c>
      <c r="E5990">
        <f t="shared" si="93"/>
        <v>88562.5</v>
      </c>
    </row>
    <row r="5991" spans="1:5" x14ac:dyDescent="0.25">
      <c r="A5991" t="s">
        <v>3</v>
      </c>
      <c r="B5991">
        <v>1231126</v>
      </c>
      <c r="C5991">
        <v>176825</v>
      </c>
      <c r="D5991" s="4">
        <f>+VLOOKUP(A5991,Portfolio!$G$3:$I$6,3)</f>
        <v>0.5</v>
      </c>
      <c r="E5991">
        <f t="shared" si="93"/>
        <v>88412.5</v>
      </c>
    </row>
    <row r="5992" spans="1:5" x14ac:dyDescent="0.25">
      <c r="A5992" t="s">
        <v>3</v>
      </c>
      <c r="B5992">
        <v>1231127</v>
      </c>
      <c r="C5992">
        <v>177325</v>
      </c>
      <c r="D5992" s="4">
        <f>+VLOOKUP(A5992,Portfolio!$G$3:$I$6,3)</f>
        <v>0.5</v>
      </c>
      <c r="E5992">
        <f t="shared" si="93"/>
        <v>88662.5</v>
      </c>
    </row>
    <row r="5993" spans="1:5" x14ac:dyDescent="0.25">
      <c r="A5993" t="s">
        <v>3</v>
      </c>
      <c r="B5993">
        <v>1231128</v>
      </c>
      <c r="C5993">
        <v>176312.5</v>
      </c>
      <c r="D5993" s="4">
        <f>+VLOOKUP(A5993,Portfolio!$G$3:$I$6,3)</f>
        <v>0.5</v>
      </c>
      <c r="E5993">
        <f t="shared" si="93"/>
        <v>88156.25</v>
      </c>
    </row>
    <row r="5994" spans="1:5" x14ac:dyDescent="0.25">
      <c r="A5994" t="s">
        <v>3</v>
      </c>
      <c r="B5994">
        <v>1231129</v>
      </c>
      <c r="C5994">
        <v>176675</v>
      </c>
      <c r="D5994" s="4">
        <f>+VLOOKUP(A5994,Portfolio!$G$3:$I$6,3)</f>
        <v>0.5</v>
      </c>
      <c r="E5994">
        <f t="shared" si="93"/>
        <v>88337.5</v>
      </c>
    </row>
    <row r="5995" spans="1:5" x14ac:dyDescent="0.25">
      <c r="A5995" t="s">
        <v>3</v>
      </c>
      <c r="B5995">
        <v>1231130</v>
      </c>
      <c r="C5995">
        <v>176487.5</v>
      </c>
      <c r="D5995" s="4">
        <f>+VLOOKUP(A5995,Portfolio!$G$3:$I$6,3)</f>
        <v>0.5</v>
      </c>
      <c r="E5995">
        <f t="shared" si="93"/>
        <v>88243.75</v>
      </c>
    </row>
    <row r="5996" spans="1:5" x14ac:dyDescent="0.25">
      <c r="A5996" t="s">
        <v>3</v>
      </c>
      <c r="B5996">
        <v>1231201</v>
      </c>
      <c r="C5996">
        <v>176137.5</v>
      </c>
      <c r="D5996" s="4">
        <f>+VLOOKUP(A5996,Portfolio!$G$3:$I$6,3)</f>
        <v>0.5</v>
      </c>
      <c r="E5996">
        <f t="shared" si="93"/>
        <v>88068.75</v>
      </c>
    </row>
    <row r="5997" spans="1:5" x14ac:dyDescent="0.25">
      <c r="A5997" t="s">
        <v>3</v>
      </c>
      <c r="B5997">
        <v>1231203</v>
      </c>
      <c r="C5997">
        <v>176287.5</v>
      </c>
      <c r="D5997" s="4">
        <f>+VLOOKUP(A5997,Portfolio!$G$3:$I$6,3)</f>
        <v>0.5</v>
      </c>
      <c r="E5997">
        <f t="shared" si="93"/>
        <v>88143.75</v>
      </c>
    </row>
    <row r="5998" spans="1:5" x14ac:dyDescent="0.25">
      <c r="A5998" t="s">
        <v>3</v>
      </c>
      <c r="B5998">
        <v>1231204</v>
      </c>
      <c r="C5998">
        <v>176037.5</v>
      </c>
      <c r="D5998" s="4">
        <f>+VLOOKUP(A5998,Portfolio!$G$3:$I$6,3)</f>
        <v>0.5</v>
      </c>
      <c r="E5998">
        <f t="shared" si="93"/>
        <v>88018.75</v>
      </c>
    </row>
    <row r="5999" spans="1:5" x14ac:dyDescent="0.25">
      <c r="A5999" t="s">
        <v>3</v>
      </c>
      <c r="B5999">
        <v>1231205</v>
      </c>
      <c r="C5999">
        <v>174337.5</v>
      </c>
      <c r="D5999" s="4">
        <f>+VLOOKUP(A5999,Portfolio!$G$3:$I$6,3)</f>
        <v>0.5</v>
      </c>
      <c r="E5999">
        <f t="shared" si="93"/>
        <v>87168.75</v>
      </c>
    </row>
    <row r="6000" spans="1:5" x14ac:dyDescent="0.25">
      <c r="A6000" t="s">
        <v>3</v>
      </c>
      <c r="B6000">
        <v>1231206</v>
      </c>
      <c r="C6000">
        <v>175175</v>
      </c>
      <c r="D6000" s="4">
        <f>+VLOOKUP(A6000,Portfolio!$G$3:$I$6,3)</f>
        <v>0.5</v>
      </c>
      <c r="E6000">
        <f t="shared" si="93"/>
        <v>87587.5</v>
      </c>
    </row>
    <row r="6001" spans="1:5" x14ac:dyDescent="0.25">
      <c r="A6001" t="s">
        <v>3</v>
      </c>
      <c r="B6001">
        <v>1231207</v>
      </c>
      <c r="C6001">
        <v>176150</v>
      </c>
      <c r="D6001" s="4">
        <f>+VLOOKUP(A6001,Portfolio!$G$3:$I$6,3)</f>
        <v>0.5</v>
      </c>
      <c r="E6001">
        <f t="shared" si="93"/>
        <v>88075</v>
      </c>
    </row>
    <row r="6002" spans="1:5" x14ac:dyDescent="0.25">
      <c r="A6002" t="s">
        <v>3</v>
      </c>
      <c r="B6002">
        <v>1231208</v>
      </c>
      <c r="C6002">
        <v>175237.5</v>
      </c>
      <c r="D6002" s="4">
        <f>+VLOOKUP(A6002,Portfolio!$G$3:$I$6,3)</f>
        <v>0.5</v>
      </c>
      <c r="E6002">
        <f t="shared" si="93"/>
        <v>87618.75</v>
      </c>
    </row>
    <row r="6003" spans="1:5" x14ac:dyDescent="0.25">
      <c r="A6003" t="s">
        <v>3</v>
      </c>
      <c r="B6003">
        <v>1231210</v>
      </c>
      <c r="C6003">
        <v>176112.5</v>
      </c>
      <c r="D6003" s="4">
        <f>+VLOOKUP(A6003,Portfolio!$G$3:$I$6,3)</f>
        <v>0.5</v>
      </c>
      <c r="E6003">
        <f t="shared" si="93"/>
        <v>88056.25</v>
      </c>
    </row>
    <row r="6004" spans="1:5" x14ac:dyDescent="0.25">
      <c r="A6004" t="s">
        <v>3</v>
      </c>
      <c r="B6004">
        <v>1231211</v>
      </c>
      <c r="C6004">
        <v>175875</v>
      </c>
      <c r="D6004" s="4">
        <f>+VLOOKUP(A6004,Portfolio!$G$3:$I$6,3)</f>
        <v>0.5</v>
      </c>
      <c r="E6004">
        <f t="shared" si="93"/>
        <v>87937.5</v>
      </c>
    </row>
    <row r="6005" spans="1:5" x14ac:dyDescent="0.25">
      <c r="A6005" t="s">
        <v>3</v>
      </c>
      <c r="B6005">
        <v>1231212</v>
      </c>
      <c r="C6005">
        <v>176975</v>
      </c>
      <c r="D6005" s="4">
        <f>+VLOOKUP(A6005,Portfolio!$G$3:$I$6,3)</f>
        <v>0.5</v>
      </c>
      <c r="E6005">
        <f t="shared" si="93"/>
        <v>88487.5</v>
      </c>
    </row>
    <row r="6006" spans="1:5" x14ac:dyDescent="0.25">
      <c r="A6006" t="s">
        <v>3</v>
      </c>
      <c r="B6006">
        <v>1231213</v>
      </c>
      <c r="C6006">
        <v>177825</v>
      </c>
      <c r="D6006" s="4">
        <f>+VLOOKUP(A6006,Portfolio!$G$3:$I$6,3)</f>
        <v>0.5</v>
      </c>
      <c r="E6006">
        <f t="shared" si="93"/>
        <v>88912.5</v>
      </c>
    </row>
    <row r="6007" spans="1:5" x14ac:dyDescent="0.25">
      <c r="A6007" t="s">
        <v>3</v>
      </c>
      <c r="B6007">
        <v>1231214</v>
      </c>
      <c r="C6007">
        <v>180750</v>
      </c>
      <c r="D6007" s="4">
        <f>+VLOOKUP(A6007,Portfolio!$G$3:$I$6,3)</f>
        <v>0.5</v>
      </c>
      <c r="E6007">
        <f t="shared" si="93"/>
        <v>90375</v>
      </c>
    </row>
    <row r="6008" spans="1:5" x14ac:dyDescent="0.25">
      <c r="A6008" t="s">
        <v>3</v>
      </c>
      <c r="B6008">
        <v>1231215</v>
      </c>
      <c r="C6008">
        <v>179575</v>
      </c>
      <c r="D6008" s="4">
        <f>+VLOOKUP(A6008,Portfolio!$G$3:$I$6,3)</f>
        <v>0.5</v>
      </c>
      <c r="E6008">
        <f t="shared" si="93"/>
        <v>89787.5</v>
      </c>
    </row>
    <row r="6009" spans="1:5" x14ac:dyDescent="0.25">
      <c r="A6009" t="s">
        <v>3</v>
      </c>
      <c r="B6009">
        <v>1231217</v>
      </c>
      <c r="C6009">
        <v>180375</v>
      </c>
      <c r="D6009" s="4">
        <f>+VLOOKUP(A6009,Portfolio!$G$3:$I$6,3)</f>
        <v>0.5</v>
      </c>
      <c r="E6009">
        <f t="shared" si="93"/>
        <v>90187.5</v>
      </c>
    </row>
    <row r="6010" spans="1:5" x14ac:dyDescent="0.25">
      <c r="A6010" t="s">
        <v>3</v>
      </c>
      <c r="B6010">
        <v>1231218</v>
      </c>
      <c r="C6010">
        <v>180375</v>
      </c>
      <c r="D6010" s="4">
        <f>+VLOOKUP(A6010,Portfolio!$G$3:$I$6,3)</f>
        <v>0.5</v>
      </c>
      <c r="E6010">
        <f t="shared" si="93"/>
        <v>90187.5</v>
      </c>
    </row>
    <row r="6011" spans="1:5" x14ac:dyDescent="0.25">
      <c r="A6011" t="s">
        <v>3</v>
      </c>
      <c r="B6011">
        <v>1231219</v>
      </c>
      <c r="C6011">
        <v>180762.5</v>
      </c>
      <c r="D6011" s="4">
        <f>+VLOOKUP(A6011,Portfolio!$G$3:$I$6,3)</f>
        <v>0.5</v>
      </c>
      <c r="E6011">
        <f t="shared" si="93"/>
        <v>90381.25</v>
      </c>
    </row>
    <row r="6012" spans="1:5" x14ac:dyDescent="0.25">
      <c r="A6012" t="s">
        <v>3</v>
      </c>
      <c r="B6012">
        <v>1231220</v>
      </c>
      <c r="C6012">
        <v>182162.5</v>
      </c>
      <c r="D6012" s="4">
        <f>+VLOOKUP(A6012,Portfolio!$G$3:$I$6,3)</f>
        <v>0.5</v>
      </c>
      <c r="E6012">
        <f t="shared" si="93"/>
        <v>91081.25</v>
      </c>
    </row>
    <row r="6013" spans="1:5" x14ac:dyDescent="0.25">
      <c r="A6013" t="s">
        <v>3</v>
      </c>
      <c r="B6013">
        <v>1231221</v>
      </c>
      <c r="C6013">
        <v>184137.5</v>
      </c>
      <c r="D6013" s="4">
        <f>+VLOOKUP(A6013,Portfolio!$G$3:$I$6,3)</f>
        <v>0.5</v>
      </c>
      <c r="E6013">
        <f t="shared" si="93"/>
        <v>92068.75</v>
      </c>
    </row>
    <row r="6014" spans="1:5" x14ac:dyDescent="0.25">
      <c r="A6014" t="s">
        <v>3</v>
      </c>
      <c r="B6014">
        <v>1231222</v>
      </c>
      <c r="C6014">
        <v>182762.5</v>
      </c>
      <c r="D6014" s="4">
        <f>+VLOOKUP(A6014,Portfolio!$G$3:$I$6,3)</f>
        <v>0.5</v>
      </c>
      <c r="E6014">
        <f t="shared" si="93"/>
        <v>91381.25</v>
      </c>
    </row>
    <row r="6015" spans="1:5" x14ac:dyDescent="0.25">
      <c r="A6015" t="s">
        <v>3</v>
      </c>
      <c r="B6015">
        <v>1231225</v>
      </c>
      <c r="C6015">
        <v>181537.5</v>
      </c>
      <c r="D6015" s="4">
        <f>+VLOOKUP(A6015,Portfolio!$G$3:$I$6,3)</f>
        <v>0.5</v>
      </c>
      <c r="E6015">
        <f t="shared" si="93"/>
        <v>90768.75</v>
      </c>
    </row>
    <row r="6016" spans="1:5" x14ac:dyDescent="0.25">
      <c r="A6016" t="s">
        <v>3</v>
      </c>
      <c r="B6016">
        <v>1231226</v>
      </c>
      <c r="C6016">
        <v>181462.5</v>
      </c>
      <c r="D6016" s="4">
        <f>+VLOOKUP(A6016,Portfolio!$G$3:$I$6,3)</f>
        <v>0.5</v>
      </c>
      <c r="E6016">
        <f t="shared" si="93"/>
        <v>90731.25</v>
      </c>
    </row>
    <row r="6017" spans="1:5" x14ac:dyDescent="0.25">
      <c r="A6017" t="s">
        <v>3</v>
      </c>
      <c r="B6017">
        <v>1231227</v>
      </c>
      <c r="C6017">
        <v>181775</v>
      </c>
      <c r="D6017" s="4">
        <f>+VLOOKUP(A6017,Portfolio!$G$3:$I$6,3)</f>
        <v>0.5</v>
      </c>
      <c r="E6017">
        <f t="shared" si="93"/>
        <v>90887.5</v>
      </c>
    </row>
    <row r="6018" spans="1:5" x14ac:dyDescent="0.25">
      <c r="A6018" t="s">
        <v>3</v>
      </c>
      <c r="B6018">
        <v>1231228</v>
      </c>
      <c r="C6018">
        <v>179537.5</v>
      </c>
      <c r="D6018" s="4">
        <f>+VLOOKUP(A6018,Portfolio!$G$3:$I$6,3)</f>
        <v>0.5</v>
      </c>
      <c r="E6018">
        <f t="shared" si="93"/>
        <v>89768.75</v>
      </c>
    </row>
    <row r="6019" spans="1:5" x14ac:dyDescent="0.25">
      <c r="A6019" t="s">
        <v>3</v>
      </c>
      <c r="B6019">
        <v>1231229</v>
      </c>
      <c r="C6019">
        <v>179875</v>
      </c>
      <c r="D6019" s="4">
        <f>+VLOOKUP(A6019,Portfolio!$G$3:$I$6,3)</f>
        <v>0.5</v>
      </c>
      <c r="E6019">
        <f t="shared" ref="E6019:E6082" si="94">+C6019*D6019</f>
        <v>89937.5</v>
      </c>
    </row>
    <row r="6020" spans="1:5" x14ac:dyDescent="0.25">
      <c r="A6020" t="s">
        <v>3</v>
      </c>
      <c r="B6020">
        <v>1240101</v>
      </c>
      <c r="C6020">
        <v>180175</v>
      </c>
      <c r="D6020" s="4">
        <f>+VLOOKUP(A6020,Portfolio!$G$3:$I$6,3)</f>
        <v>0.5</v>
      </c>
      <c r="E6020">
        <f t="shared" si="94"/>
        <v>90087.5</v>
      </c>
    </row>
    <row r="6021" spans="1:5" x14ac:dyDescent="0.25">
      <c r="A6021" t="s">
        <v>3</v>
      </c>
      <c r="B6021">
        <v>1240102</v>
      </c>
      <c r="C6021">
        <v>180112.5</v>
      </c>
      <c r="D6021" s="4">
        <f>+VLOOKUP(A6021,Portfolio!$G$3:$I$6,3)</f>
        <v>0.5</v>
      </c>
      <c r="E6021">
        <f t="shared" si="94"/>
        <v>90056.25</v>
      </c>
    </row>
    <row r="6022" spans="1:5" x14ac:dyDescent="0.25">
      <c r="A6022" t="s">
        <v>3</v>
      </c>
      <c r="B6022">
        <v>1240103</v>
      </c>
      <c r="C6022">
        <v>181100</v>
      </c>
      <c r="D6022" s="4">
        <f>+VLOOKUP(A6022,Portfolio!$G$3:$I$6,3)</f>
        <v>0.5</v>
      </c>
      <c r="E6022">
        <f t="shared" si="94"/>
        <v>90550</v>
      </c>
    </row>
    <row r="6023" spans="1:5" x14ac:dyDescent="0.25">
      <c r="A6023" t="s">
        <v>3</v>
      </c>
      <c r="B6023">
        <v>1240104</v>
      </c>
      <c r="C6023">
        <v>182950</v>
      </c>
      <c r="D6023" s="4">
        <f>+VLOOKUP(A6023,Portfolio!$G$3:$I$6,3)</f>
        <v>0.5</v>
      </c>
      <c r="E6023">
        <f t="shared" si="94"/>
        <v>91475</v>
      </c>
    </row>
    <row r="6024" spans="1:5" x14ac:dyDescent="0.25">
      <c r="A6024" t="s">
        <v>3</v>
      </c>
      <c r="B6024">
        <v>1240105</v>
      </c>
      <c r="C6024">
        <v>181600</v>
      </c>
      <c r="D6024" s="4">
        <f>+VLOOKUP(A6024,Portfolio!$G$3:$I$6,3)</f>
        <v>0.5</v>
      </c>
      <c r="E6024">
        <f t="shared" si="94"/>
        <v>90800</v>
      </c>
    </row>
    <row r="6025" spans="1:5" x14ac:dyDescent="0.25">
      <c r="A6025" t="s">
        <v>3</v>
      </c>
      <c r="B6025">
        <v>1240107</v>
      </c>
      <c r="C6025">
        <v>182050</v>
      </c>
      <c r="D6025" s="4">
        <f>+VLOOKUP(A6025,Portfolio!$G$3:$I$6,3)</f>
        <v>0.5</v>
      </c>
      <c r="E6025">
        <f t="shared" si="94"/>
        <v>91025</v>
      </c>
    </row>
    <row r="6026" spans="1:5" x14ac:dyDescent="0.25">
      <c r="A6026" t="s">
        <v>3</v>
      </c>
      <c r="B6026">
        <v>1240108</v>
      </c>
      <c r="C6026">
        <v>181625</v>
      </c>
      <c r="D6026" s="4">
        <f>+VLOOKUP(A6026,Portfolio!$G$3:$I$6,3)</f>
        <v>0.5</v>
      </c>
      <c r="E6026">
        <f t="shared" si="94"/>
        <v>90812.5</v>
      </c>
    </row>
    <row r="6027" spans="1:5" x14ac:dyDescent="0.25">
      <c r="A6027" t="s">
        <v>3</v>
      </c>
      <c r="B6027">
        <v>1240109</v>
      </c>
      <c r="C6027">
        <v>184837.5</v>
      </c>
      <c r="D6027" s="4">
        <f>+VLOOKUP(A6027,Portfolio!$G$3:$I$6,3)</f>
        <v>0.5</v>
      </c>
      <c r="E6027">
        <f t="shared" si="94"/>
        <v>92418.75</v>
      </c>
    </row>
    <row r="6028" spans="1:5" x14ac:dyDescent="0.25">
      <c r="A6028" t="s">
        <v>3</v>
      </c>
      <c r="B6028">
        <v>1240110</v>
      </c>
      <c r="C6028">
        <v>184750</v>
      </c>
      <c r="D6028" s="4">
        <f>+VLOOKUP(A6028,Portfolio!$G$3:$I$6,3)</f>
        <v>0.5</v>
      </c>
      <c r="E6028">
        <f t="shared" si="94"/>
        <v>92375</v>
      </c>
    </row>
    <row r="6029" spans="1:5" x14ac:dyDescent="0.25">
      <c r="A6029" t="s">
        <v>3</v>
      </c>
      <c r="B6029">
        <v>1240111</v>
      </c>
      <c r="C6029">
        <v>185787.5</v>
      </c>
      <c r="D6029" s="4">
        <f>+VLOOKUP(A6029,Portfolio!$G$3:$I$6,3)</f>
        <v>0.5</v>
      </c>
      <c r="E6029">
        <f t="shared" si="94"/>
        <v>92893.75</v>
      </c>
    </row>
    <row r="6030" spans="1:5" x14ac:dyDescent="0.25">
      <c r="A6030" t="s">
        <v>3</v>
      </c>
      <c r="B6030">
        <v>1240112</v>
      </c>
      <c r="C6030">
        <v>184287.5</v>
      </c>
      <c r="D6030" s="4">
        <f>+VLOOKUP(A6030,Portfolio!$G$3:$I$6,3)</f>
        <v>0.5</v>
      </c>
      <c r="E6030">
        <f t="shared" si="94"/>
        <v>92143.75</v>
      </c>
    </row>
    <row r="6031" spans="1:5" x14ac:dyDescent="0.25">
      <c r="A6031" t="s">
        <v>3</v>
      </c>
      <c r="B6031">
        <v>1240114</v>
      </c>
      <c r="C6031">
        <v>184287.5</v>
      </c>
      <c r="D6031" s="4">
        <f>+VLOOKUP(A6031,Portfolio!$G$3:$I$6,3)</f>
        <v>0.5</v>
      </c>
      <c r="E6031">
        <f t="shared" si="94"/>
        <v>92143.75</v>
      </c>
    </row>
    <row r="6032" spans="1:5" x14ac:dyDescent="0.25">
      <c r="A6032" t="s">
        <v>3</v>
      </c>
      <c r="B6032">
        <v>1240115</v>
      </c>
      <c r="C6032">
        <v>184287.5</v>
      </c>
      <c r="D6032" s="4">
        <f>+VLOOKUP(A6032,Portfolio!$G$3:$I$6,3)</f>
        <v>0.5</v>
      </c>
      <c r="E6032">
        <f t="shared" si="94"/>
        <v>92143.75</v>
      </c>
    </row>
    <row r="6033" spans="1:5" x14ac:dyDescent="0.25">
      <c r="A6033" t="s">
        <v>3</v>
      </c>
      <c r="B6033">
        <v>1240116</v>
      </c>
      <c r="C6033">
        <v>184762.5</v>
      </c>
      <c r="D6033" s="4">
        <f>+VLOOKUP(A6033,Portfolio!$G$3:$I$6,3)</f>
        <v>0.5</v>
      </c>
      <c r="E6033">
        <f t="shared" si="94"/>
        <v>92381.25</v>
      </c>
    </row>
    <row r="6034" spans="1:5" x14ac:dyDescent="0.25">
      <c r="A6034" t="s">
        <v>3</v>
      </c>
      <c r="B6034">
        <v>1240117</v>
      </c>
      <c r="C6034">
        <v>183212.5</v>
      </c>
      <c r="D6034" s="4">
        <f>+VLOOKUP(A6034,Portfolio!$G$3:$I$6,3)</f>
        <v>0.5</v>
      </c>
      <c r="E6034">
        <f t="shared" si="94"/>
        <v>91606.25</v>
      </c>
    </row>
    <row r="6035" spans="1:5" x14ac:dyDescent="0.25">
      <c r="A6035" t="s">
        <v>3</v>
      </c>
      <c r="B6035">
        <v>1240118</v>
      </c>
      <c r="C6035">
        <v>183875</v>
      </c>
      <c r="D6035" s="4">
        <f>+VLOOKUP(A6035,Portfolio!$G$3:$I$6,3)</f>
        <v>0.5</v>
      </c>
      <c r="E6035">
        <f t="shared" si="94"/>
        <v>91937.5</v>
      </c>
    </row>
    <row r="6036" spans="1:5" x14ac:dyDescent="0.25">
      <c r="A6036" t="s">
        <v>3</v>
      </c>
      <c r="B6036">
        <v>1240119</v>
      </c>
      <c r="C6036">
        <v>184600</v>
      </c>
      <c r="D6036" s="4">
        <f>+VLOOKUP(A6036,Portfolio!$G$3:$I$6,3)</f>
        <v>0.5</v>
      </c>
      <c r="E6036">
        <f t="shared" si="94"/>
        <v>92300</v>
      </c>
    </row>
    <row r="6037" spans="1:5" x14ac:dyDescent="0.25">
      <c r="A6037" t="s">
        <v>3</v>
      </c>
      <c r="B6037">
        <v>1240121</v>
      </c>
      <c r="C6037">
        <v>187525</v>
      </c>
      <c r="D6037" s="4">
        <f>+VLOOKUP(A6037,Portfolio!$G$3:$I$6,3)</f>
        <v>0.5</v>
      </c>
      <c r="E6037">
        <f t="shared" si="94"/>
        <v>93762.5</v>
      </c>
    </row>
    <row r="6038" spans="1:5" x14ac:dyDescent="0.25">
      <c r="A6038" t="s">
        <v>3</v>
      </c>
      <c r="B6038">
        <v>1240122</v>
      </c>
      <c r="C6038">
        <v>187525</v>
      </c>
      <c r="D6038" s="4">
        <f>+VLOOKUP(A6038,Portfolio!$G$3:$I$6,3)</f>
        <v>0.5</v>
      </c>
      <c r="E6038">
        <f t="shared" si="94"/>
        <v>93762.5</v>
      </c>
    </row>
    <row r="6039" spans="1:5" x14ac:dyDescent="0.25">
      <c r="A6039" t="s">
        <v>3</v>
      </c>
      <c r="B6039">
        <v>1240123</v>
      </c>
      <c r="C6039">
        <v>186300</v>
      </c>
      <c r="D6039" s="4">
        <f>+VLOOKUP(A6039,Portfolio!$G$3:$I$6,3)</f>
        <v>0.5</v>
      </c>
      <c r="E6039">
        <f t="shared" si="94"/>
        <v>93150</v>
      </c>
    </row>
    <row r="6040" spans="1:5" x14ac:dyDescent="0.25">
      <c r="A6040" t="s">
        <v>3</v>
      </c>
      <c r="B6040">
        <v>1240124</v>
      </c>
      <c r="C6040">
        <v>186150</v>
      </c>
      <c r="D6040" s="4">
        <f>+VLOOKUP(A6040,Portfolio!$G$3:$I$6,3)</f>
        <v>0.5</v>
      </c>
      <c r="E6040">
        <f t="shared" si="94"/>
        <v>93075</v>
      </c>
    </row>
    <row r="6041" spans="1:5" x14ac:dyDescent="0.25">
      <c r="A6041" t="s">
        <v>3</v>
      </c>
      <c r="B6041">
        <v>1240125</v>
      </c>
      <c r="C6041">
        <v>184975</v>
      </c>
      <c r="D6041" s="4">
        <f>+VLOOKUP(A6041,Portfolio!$G$3:$I$6,3)</f>
        <v>0.5</v>
      </c>
      <c r="E6041">
        <f t="shared" si="94"/>
        <v>92487.5</v>
      </c>
    </row>
    <row r="6042" spans="1:5" x14ac:dyDescent="0.25">
      <c r="A6042" t="s">
        <v>3</v>
      </c>
      <c r="B6042">
        <v>1240126</v>
      </c>
      <c r="C6042">
        <v>185162.5</v>
      </c>
      <c r="D6042" s="4">
        <f>+VLOOKUP(A6042,Portfolio!$G$3:$I$6,3)</f>
        <v>0.5</v>
      </c>
      <c r="E6042">
        <f t="shared" si="94"/>
        <v>92581.25</v>
      </c>
    </row>
    <row r="6043" spans="1:5" x14ac:dyDescent="0.25">
      <c r="A6043" t="s">
        <v>3</v>
      </c>
      <c r="B6043">
        <v>1240128</v>
      </c>
      <c r="C6043">
        <v>185462.5</v>
      </c>
      <c r="D6043" s="4">
        <f>+VLOOKUP(A6043,Portfolio!$G$3:$I$6,3)</f>
        <v>0.5</v>
      </c>
      <c r="E6043">
        <f t="shared" si="94"/>
        <v>92731.25</v>
      </c>
    </row>
    <row r="6044" spans="1:5" x14ac:dyDescent="0.25">
      <c r="A6044" t="s">
        <v>3</v>
      </c>
      <c r="B6044">
        <v>1240129</v>
      </c>
      <c r="C6044">
        <v>185462.5</v>
      </c>
      <c r="D6044" s="4">
        <f>+VLOOKUP(A6044,Portfolio!$G$3:$I$6,3)</f>
        <v>0.5</v>
      </c>
      <c r="E6044">
        <f t="shared" si="94"/>
        <v>92731.25</v>
      </c>
    </row>
    <row r="6045" spans="1:5" x14ac:dyDescent="0.25">
      <c r="A6045" t="s">
        <v>3</v>
      </c>
      <c r="B6045">
        <v>1240130</v>
      </c>
      <c r="C6045">
        <v>187037.5</v>
      </c>
      <c r="D6045" s="4">
        <f>+VLOOKUP(A6045,Portfolio!$G$3:$I$6,3)</f>
        <v>0.5</v>
      </c>
      <c r="E6045">
        <f t="shared" si="94"/>
        <v>93518.75</v>
      </c>
    </row>
    <row r="6046" spans="1:5" x14ac:dyDescent="0.25">
      <c r="A6046" t="s">
        <v>3</v>
      </c>
      <c r="B6046">
        <v>1240131</v>
      </c>
      <c r="C6046">
        <v>185762.5</v>
      </c>
      <c r="D6046" s="4">
        <f>+VLOOKUP(A6046,Portfolio!$G$3:$I$6,3)</f>
        <v>0.5</v>
      </c>
      <c r="E6046">
        <f t="shared" si="94"/>
        <v>92881.25</v>
      </c>
    </row>
    <row r="6047" spans="1:5" x14ac:dyDescent="0.25">
      <c r="A6047" t="s">
        <v>3</v>
      </c>
      <c r="B6047">
        <v>1240201</v>
      </c>
      <c r="C6047">
        <v>186700</v>
      </c>
      <c r="D6047" s="4">
        <f>+VLOOKUP(A6047,Portfolio!$G$3:$I$6,3)</f>
        <v>0.5</v>
      </c>
      <c r="E6047">
        <f t="shared" si="94"/>
        <v>93350</v>
      </c>
    </row>
    <row r="6048" spans="1:5" x14ac:dyDescent="0.25">
      <c r="A6048" t="s">
        <v>3</v>
      </c>
      <c r="B6048">
        <v>1240202</v>
      </c>
      <c r="C6048">
        <v>188887.5</v>
      </c>
      <c r="D6048" s="4">
        <f>+VLOOKUP(A6048,Portfolio!$G$3:$I$6,3)</f>
        <v>0.5</v>
      </c>
      <c r="E6048">
        <f t="shared" si="94"/>
        <v>94443.75</v>
      </c>
    </row>
    <row r="6049" spans="1:5" x14ac:dyDescent="0.25">
      <c r="A6049" t="s">
        <v>3</v>
      </c>
      <c r="B6049">
        <v>1240204</v>
      </c>
      <c r="C6049">
        <v>189950</v>
      </c>
      <c r="D6049" s="4">
        <f>+VLOOKUP(A6049,Portfolio!$G$3:$I$6,3)</f>
        <v>0.5</v>
      </c>
      <c r="E6049">
        <f t="shared" si="94"/>
        <v>94975</v>
      </c>
    </row>
    <row r="6050" spans="1:5" x14ac:dyDescent="0.25">
      <c r="A6050" t="s">
        <v>3</v>
      </c>
      <c r="B6050">
        <v>1240205</v>
      </c>
      <c r="C6050">
        <v>189575</v>
      </c>
      <c r="D6050" s="4">
        <f>+VLOOKUP(A6050,Portfolio!$G$3:$I$6,3)</f>
        <v>0.5</v>
      </c>
      <c r="E6050">
        <f t="shared" si="94"/>
        <v>94787.5</v>
      </c>
    </row>
    <row r="6051" spans="1:5" x14ac:dyDescent="0.25">
      <c r="A6051" t="s">
        <v>3</v>
      </c>
      <c r="B6051">
        <v>1240206</v>
      </c>
      <c r="C6051">
        <v>188162.5</v>
      </c>
      <c r="D6051" s="4">
        <f>+VLOOKUP(A6051,Portfolio!$G$3:$I$6,3)</f>
        <v>0.5</v>
      </c>
      <c r="E6051">
        <f t="shared" si="94"/>
        <v>94081.25</v>
      </c>
    </row>
    <row r="6052" spans="1:5" x14ac:dyDescent="0.25">
      <c r="A6052" t="s">
        <v>3</v>
      </c>
      <c r="B6052">
        <v>1240207</v>
      </c>
      <c r="C6052">
        <v>188612.5</v>
      </c>
      <c r="D6052" s="4">
        <f>+VLOOKUP(A6052,Portfolio!$G$3:$I$6,3)</f>
        <v>0.5</v>
      </c>
      <c r="E6052">
        <f t="shared" si="94"/>
        <v>94306.25</v>
      </c>
    </row>
    <row r="6053" spans="1:5" x14ac:dyDescent="0.25">
      <c r="A6053" t="s">
        <v>3</v>
      </c>
      <c r="B6053">
        <v>1240208</v>
      </c>
      <c r="C6053">
        <v>189325</v>
      </c>
      <c r="D6053" s="4">
        <f>+VLOOKUP(A6053,Portfolio!$G$3:$I$6,3)</f>
        <v>0.5</v>
      </c>
      <c r="E6053">
        <f t="shared" si="94"/>
        <v>94662.5</v>
      </c>
    </row>
    <row r="6054" spans="1:5" x14ac:dyDescent="0.25">
      <c r="A6054" t="s">
        <v>3</v>
      </c>
      <c r="B6054">
        <v>1240209</v>
      </c>
      <c r="C6054">
        <v>189175</v>
      </c>
      <c r="D6054" s="4">
        <f>+VLOOKUP(A6054,Portfolio!$G$3:$I$6,3)</f>
        <v>0.5</v>
      </c>
      <c r="E6054">
        <f t="shared" si="94"/>
        <v>94587.5</v>
      </c>
    </row>
    <row r="6055" spans="1:5" x14ac:dyDescent="0.25">
      <c r="A6055" t="s">
        <v>3</v>
      </c>
      <c r="B6055">
        <v>1240211</v>
      </c>
      <c r="C6055">
        <v>189150</v>
      </c>
      <c r="D6055" s="4">
        <f>+VLOOKUP(A6055,Portfolio!$G$3:$I$6,3)</f>
        <v>0.5</v>
      </c>
      <c r="E6055">
        <f t="shared" si="94"/>
        <v>94575</v>
      </c>
    </row>
    <row r="6056" spans="1:5" x14ac:dyDescent="0.25">
      <c r="A6056" t="s">
        <v>3</v>
      </c>
      <c r="B6056">
        <v>1240212</v>
      </c>
      <c r="C6056">
        <v>189075</v>
      </c>
      <c r="D6056" s="4">
        <f>+VLOOKUP(A6056,Portfolio!$G$3:$I$6,3)</f>
        <v>0.5</v>
      </c>
      <c r="E6056">
        <f t="shared" si="94"/>
        <v>94537.5</v>
      </c>
    </row>
    <row r="6057" spans="1:5" x14ac:dyDescent="0.25">
      <c r="A6057" t="s">
        <v>3</v>
      </c>
      <c r="B6057">
        <v>1240213</v>
      </c>
      <c r="C6057">
        <v>189275</v>
      </c>
      <c r="D6057" s="4">
        <f>+VLOOKUP(A6057,Portfolio!$G$3:$I$6,3)</f>
        <v>0.5</v>
      </c>
      <c r="E6057">
        <f t="shared" si="94"/>
        <v>94637.5</v>
      </c>
    </row>
    <row r="6058" spans="1:5" x14ac:dyDescent="0.25">
      <c r="A6058" t="s">
        <v>3</v>
      </c>
      <c r="B6058">
        <v>1240214</v>
      </c>
      <c r="C6058">
        <v>192387.5</v>
      </c>
      <c r="D6058" s="4">
        <f>+VLOOKUP(A6058,Portfolio!$G$3:$I$6,3)</f>
        <v>0.5</v>
      </c>
      <c r="E6058">
        <f t="shared" si="94"/>
        <v>96193.75</v>
      </c>
    </row>
    <row r="6059" spans="1:5" x14ac:dyDescent="0.25">
      <c r="A6059" t="s">
        <v>3</v>
      </c>
      <c r="B6059">
        <v>1240215</v>
      </c>
      <c r="C6059">
        <v>193175</v>
      </c>
      <c r="D6059" s="4">
        <f>+VLOOKUP(A6059,Portfolio!$G$3:$I$6,3)</f>
        <v>0.5</v>
      </c>
      <c r="E6059">
        <f t="shared" si="94"/>
        <v>96587.5</v>
      </c>
    </row>
    <row r="6060" spans="1:5" x14ac:dyDescent="0.25">
      <c r="A6060" t="s">
        <v>3</v>
      </c>
      <c r="B6060">
        <v>1240216</v>
      </c>
      <c r="C6060">
        <v>192875</v>
      </c>
      <c r="D6060" s="4">
        <f>+VLOOKUP(A6060,Portfolio!$G$3:$I$6,3)</f>
        <v>0.5</v>
      </c>
      <c r="E6060">
        <f t="shared" si="94"/>
        <v>96437.5</v>
      </c>
    </row>
    <row r="6061" spans="1:5" x14ac:dyDescent="0.25">
      <c r="A6061" t="s">
        <v>3</v>
      </c>
      <c r="B6061">
        <v>1240218</v>
      </c>
      <c r="C6061">
        <v>191350</v>
      </c>
      <c r="D6061" s="4">
        <f>+VLOOKUP(A6061,Portfolio!$G$3:$I$6,3)</f>
        <v>0.5</v>
      </c>
      <c r="E6061">
        <f t="shared" si="94"/>
        <v>95675</v>
      </c>
    </row>
    <row r="6062" spans="1:5" x14ac:dyDescent="0.25">
      <c r="A6062" t="s">
        <v>3</v>
      </c>
      <c r="B6062">
        <v>1240219</v>
      </c>
      <c r="C6062">
        <v>191350</v>
      </c>
      <c r="D6062" s="4">
        <f>+VLOOKUP(A6062,Portfolio!$G$3:$I$6,3)</f>
        <v>0.5</v>
      </c>
      <c r="E6062">
        <f t="shared" si="94"/>
        <v>95675</v>
      </c>
    </row>
    <row r="6063" spans="1:5" x14ac:dyDescent="0.25">
      <c r="A6063" t="s">
        <v>3</v>
      </c>
      <c r="B6063">
        <v>1240220</v>
      </c>
      <c r="C6063">
        <v>191937.5</v>
      </c>
      <c r="D6063" s="4">
        <f>+VLOOKUP(A6063,Portfolio!$G$3:$I$6,3)</f>
        <v>0.5</v>
      </c>
      <c r="E6063">
        <f t="shared" si="94"/>
        <v>95968.75</v>
      </c>
    </row>
    <row r="6064" spans="1:5" x14ac:dyDescent="0.25">
      <c r="A6064" t="s">
        <v>3</v>
      </c>
      <c r="B6064">
        <v>1240221</v>
      </c>
      <c r="C6064">
        <v>192987.5</v>
      </c>
      <c r="D6064" s="4">
        <f>+VLOOKUP(A6064,Portfolio!$G$3:$I$6,3)</f>
        <v>0.5</v>
      </c>
      <c r="E6064">
        <f t="shared" si="94"/>
        <v>96493.75</v>
      </c>
    </row>
    <row r="6065" spans="1:5" x14ac:dyDescent="0.25">
      <c r="A6065" t="s">
        <v>3</v>
      </c>
      <c r="B6065">
        <v>1240222</v>
      </c>
      <c r="C6065">
        <v>189975</v>
      </c>
      <c r="D6065" s="4">
        <f>+VLOOKUP(A6065,Portfolio!$G$3:$I$6,3)</f>
        <v>0.5</v>
      </c>
      <c r="E6065">
        <f t="shared" si="94"/>
        <v>94987.5</v>
      </c>
    </row>
    <row r="6066" spans="1:5" x14ac:dyDescent="0.25">
      <c r="A6066" t="s">
        <v>3</v>
      </c>
      <c r="B6066">
        <v>1240223</v>
      </c>
      <c r="C6066">
        <v>189125</v>
      </c>
      <c r="D6066" s="4">
        <f>+VLOOKUP(A6066,Portfolio!$G$3:$I$6,3)</f>
        <v>0.5</v>
      </c>
      <c r="E6066">
        <f t="shared" si="94"/>
        <v>94562.5</v>
      </c>
    </row>
    <row r="6067" spans="1:5" x14ac:dyDescent="0.25">
      <c r="A6067" t="s">
        <v>3</v>
      </c>
      <c r="B6067">
        <v>1240225</v>
      </c>
      <c r="C6067">
        <v>189287.5</v>
      </c>
      <c r="D6067" s="4">
        <f>+VLOOKUP(A6067,Portfolio!$G$3:$I$6,3)</f>
        <v>0.5</v>
      </c>
      <c r="E6067">
        <f t="shared" si="94"/>
        <v>94643.75</v>
      </c>
    </row>
    <row r="6068" spans="1:5" x14ac:dyDescent="0.25">
      <c r="A6068" t="s">
        <v>3</v>
      </c>
      <c r="B6068">
        <v>1240226</v>
      </c>
      <c r="C6068">
        <v>189287.5</v>
      </c>
      <c r="D6068" s="4">
        <f>+VLOOKUP(A6068,Portfolio!$G$3:$I$6,3)</f>
        <v>0.5</v>
      </c>
      <c r="E6068">
        <f t="shared" si="94"/>
        <v>94643.75</v>
      </c>
    </row>
    <row r="6069" spans="1:5" x14ac:dyDescent="0.25">
      <c r="A6069" t="s">
        <v>3</v>
      </c>
      <c r="B6069">
        <v>1240227</v>
      </c>
      <c r="C6069">
        <v>189950</v>
      </c>
      <c r="D6069" s="4">
        <f>+VLOOKUP(A6069,Portfolio!$G$3:$I$6,3)</f>
        <v>0.5</v>
      </c>
      <c r="E6069">
        <f t="shared" si="94"/>
        <v>94975</v>
      </c>
    </row>
    <row r="6070" spans="1:5" x14ac:dyDescent="0.25">
      <c r="A6070" t="s">
        <v>3</v>
      </c>
      <c r="B6070">
        <v>1240228</v>
      </c>
      <c r="C6070">
        <v>189425</v>
      </c>
      <c r="D6070" s="4">
        <f>+VLOOKUP(A6070,Portfolio!$G$3:$I$6,3)</f>
        <v>0.5</v>
      </c>
      <c r="E6070">
        <f t="shared" si="94"/>
        <v>94712.5</v>
      </c>
    </row>
    <row r="6071" spans="1:5" x14ac:dyDescent="0.25">
      <c r="A6071" t="s">
        <v>3</v>
      </c>
      <c r="B6071">
        <v>1240229</v>
      </c>
      <c r="C6071">
        <v>189425</v>
      </c>
      <c r="D6071" s="4">
        <f>+VLOOKUP(A6071,Portfolio!$G$3:$I$6,3)</f>
        <v>0.5</v>
      </c>
      <c r="E6071">
        <f t="shared" si="94"/>
        <v>94712.5</v>
      </c>
    </row>
    <row r="6072" spans="1:5" x14ac:dyDescent="0.25">
      <c r="A6072" t="s">
        <v>3</v>
      </c>
      <c r="B6072">
        <v>1240301</v>
      </c>
      <c r="C6072">
        <v>189425</v>
      </c>
      <c r="D6072" s="4">
        <f>+VLOOKUP(A6072,Portfolio!$G$3:$I$6,3)</f>
        <v>0.5</v>
      </c>
      <c r="E6072">
        <f t="shared" si="94"/>
        <v>94712.5</v>
      </c>
    </row>
    <row r="6073" spans="1:5" x14ac:dyDescent="0.25">
      <c r="A6073" t="s">
        <v>3</v>
      </c>
      <c r="B6073">
        <v>1240303</v>
      </c>
      <c r="C6073">
        <v>190700</v>
      </c>
      <c r="D6073" s="4">
        <f>+VLOOKUP(A6073,Portfolio!$G$3:$I$6,3)</f>
        <v>0.5</v>
      </c>
      <c r="E6073">
        <f t="shared" si="94"/>
        <v>95350</v>
      </c>
    </row>
    <row r="6074" spans="1:5" x14ac:dyDescent="0.25">
      <c r="A6074" t="s">
        <v>3</v>
      </c>
      <c r="B6074">
        <v>1240304</v>
      </c>
      <c r="C6074">
        <v>190612.5</v>
      </c>
      <c r="D6074" s="4">
        <f>+VLOOKUP(A6074,Portfolio!$G$3:$I$6,3)</f>
        <v>0.5</v>
      </c>
      <c r="E6074">
        <f t="shared" si="94"/>
        <v>95306.25</v>
      </c>
    </row>
    <row r="6075" spans="1:5" x14ac:dyDescent="0.25">
      <c r="A6075" t="s">
        <v>3</v>
      </c>
      <c r="B6075">
        <v>1240305</v>
      </c>
      <c r="C6075">
        <v>189825</v>
      </c>
      <c r="D6075" s="4">
        <f>+VLOOKUP(A6075,Portfolio!$G$3:$I$6,3)</f>
        <v>0.5</v>
      </c>
      <c r="E6075">
        <f t="shared" si="94"/>
        <v>94912.5</v>
      </c>
    </row>
    <row r="6076" spans="1:5" x14ac:dyDescent="0.25">
      <c r="A6076" t="s">
        <v>3</v>
      </c>
      <c r="B6076">
        <v>1240306</v>
      </c>
      <c r="C6076">
        <v>189700</v>
      </c>
      <c r="D6076" s="4">
        <f>+VLOOKUP(A6076,Portfolio!$G$3:$I$6,3)</f>
        <v>0.5</v>
      </c>
      <c r="E6076">
        <f t="shared" si="94"/>
        <v>94850</v>
      </c>
    </row>
    <row r="6077" spans="1:5" x14ac:dyDescent="0.25">
      <c r="A6077" t="s">
        <v>3</v>
      </c>
      <c r="B6077">
        <v>1240307</v>
      </c>
      <c r="C6077">
        <v>187100</v>
      </c>
      <c r="D6077" s="4">
        <f>+VLOOKUP(A6077,Portfolio!$G$3:$I$6,3)</f>
        <v>0.5</v>
      </c>
      <c r="E6077">
        <f t="shared" si="94"/>
        <v>93550</v>
      </c>
    </row>
    <row r="6078" spans="1:5" x14ac:dyDescent="0.25">
      <c r="A6078" t="s">
        <v>3</v>
      </c>
      <c r="B6078">
        <v>1240308</v>
      </c>
      <c r="C6078">
        <v>190225</v>
      </c>
      <c r="D6078" s="4">
        <f>+VLOOKUP(A6078,Portfolio!$G$3:$I$6,3)</f>
        <v>0.5</v>
      </c>
      <c r="E6078">
        <f t="shared" si="94"/>
        <v>95112.5</v>
      </c>
    </row>
    <row r="6079" spans="1:5" x14ac:dyDescent="0.25">
      <c r="A6079" t="s">
        <v>3</v>
      </c>
      <c r="B6079">
        <v>1240310</v>
      </c>
      <c r="C6079">
        <v>190225</v>
      </c>
      <c r="D6079" s="4">
        <f>+VLOOKUP(A6079,Portfolio!$G$3:$I$6,3)</f>
        <v>0.5</v>
      </c>
      <c r="E6079">
        <f t="shared" si="94"/>
        <v>95112.5</v>
      </c>
    </row>
    <row r="6080" spans="1:5" x14ac:dyDescent="0.25">
      <c r="A6080" t="s">
        <v>3</v>
      </c>
      <c r="B6080">
        <v>1240311</v>
      </c>
      <c r="C6080">
        <v>190237.5</v>
      </c>
      <c r="D6080" s="4">
        <f>+VLOOKUP(A6080,Portfolio!$G$3:$I$6,3)</f>
        <v>0.5</v>
      </c>
      <c r="E6080">
        <f t="shared" si="94"/>
        <v>95118.75</v>
      </c>
    </row>
    <row r="6081" spans="1:5" x14ac:dyDescent="0.25">
      <c r="A6081" t="s">
        <v>3</v>
      </c>
      <c r="B6081">
        <v>1240312</v>
      </c>
      <c r="C6081">
        <v>190750</v>
      </c>
      <c r="D6081" s="4">
        <f>+VLOOKUP(A6081,Portfolio!$G$3:$I$6,3)</f>
        <v>0.5</v>
      </c>
      <c r="E6081">
        <f t="shared" si="94"/>
        <v>95375</v>
      </c>
    </row>
    <row r="6082" spans="1:5" x14ac:dyDescent="0.25">
      <c r="A6082" t="s">
        <v>3</v>
      </c>
      <c r="B6082">
        <v>1240313</v>
      </c>
      <c r="C6082">
        <v>192675</v>
      </c>
      <c r="D6082" s="4">
        <f>+VLOOKUP(A6082,Portfolio!$G$3:$I$6,3)</f>
        <v>0.5</v>
      </c>
      <c r="E6082">
        <f t="shared" si="94"/>
        <v>96337.5</v>
      </c>
    </row>
    <row r="6083" spans="1:5" x14ac:dyDescent="0.25">
      <c r="A6083" t="s">
        <v>3</v>
      </c>
      <c r="B6083">
        <v>1240314</v>
      </c>
      <c r="C6083">
        <v>192312.5</v>
      </c>
      <c r="D6083" s="4">
        <f>+VLOOKUP(A6083,Portfolio!$G$3:$I$6,3)</f>
        <v>0.5</v>
      </c>
      <c r="E6083">
        <f t="shared" ref="E6083:E6146" si="95">+C6083*D6083</f>
        <v>96156.25</v>
      </c>
    </row>
    <row r="6084" spans="1:5" x14ac:dyDescent="0.25">
      <c r="A6084" t="s">
        <v>3</v>
      </c>
      <c r="B6084">
        <v>1240315</v>
      </c>
      <c r="C6084">
        <v>193025</v>
      </c>
      <c r="D6084" s="4">
        <f>+VLOOKUP(A6084,Portfolio!$G$3:$I$6,3)</f>
        <v>0.5</v>
      </c>
      <c r="E6084">
        <f t="shared" si="95"/>
        <v>96512.5</v>
      </c>
    </row>
    <row r="6085" spans="1:5" x14ac:dyDescent="0.25">
      <c r="A6085" t="s">
        <v>3</v>
      </c>
      <c r="B6085">
        <v>1240317</v>
      </c>
      <c r="C6085">
        <v>194237.5</v>
      </c>
      <c r="D6085" s="4">
        <f>+VLOOKUP(A6085,Portfolio!$G$3:$I$6,3)</f>
        <v>0.5</v>
      </c>
      <c r="E6085">
        <f t="shared" si="95"/>
        <v>97118.75</v>
      </c>
    </row>
    <row r="6086" spans="1:5" x14ac:dyDescent="0.25">
      <c r="A6086" t="s">
        <v>3</v>
      </c>
      <c r="B6086">
        <v>1240318</v>
      </c>
      <c r="C6086">
        <v>193725</v>
      </c>
      <c r="D6086" s="4">
        <f>+VLOOKUP(A6086,Portfolio!$G$3:$I$6,3)</f>
        <v>0.5</v>
      </c>
      <c r="E6086">
        <f t="shared" si="95"/>
        <v>96862.5</v>
      </c>
    </row>
    <row r="6087" spans="1:5" x14ac:dyDescent="0.25">
      <c r="A6087" t="s">
        <v>3</v>
      </c>
      <c r="B6087">
        <v>1240319</v>
      </c>
      <c r="C6087">
        <v>190637.5</v>
      </c>
      <c r="D6087" s="4">
        <f>+VLOOKUP(A6087,Portfolio!$G$3:$I$6,3)</f>
        <v>0.5</v>
      </c>
      <c r="E6087">
        <f t="shared" si="95"/>
        <v>95318.75</v>
      </c>
    </row>
    <row r="6088" spans="1:5" x14ac:dyDescent="0.25">
      <c r="A6088" t="s">
        <v>3</v>
      </c>
      <c r="B6088">
        <v>1240320</v>
      </c>
      <c r="C6088">
        <v>191700</v>
      </c>
      <c r="D6088" s="4">
        <f>+VLOOKUP(A6088,Portfolio!$G$3:$I$6,3)</f>
        <v>0.5</v>
      </c>
      <c r="E6088">
        <f t="shared" si="95"/>
        <v>95850</v>
      </c>
    </row>
    <row r="6089" spans="1:5" x14ac:dyDescent="0.25">
      <c r="A6089" t="s">
        <v>3</v>
      </c>
      <c r="B6089">
        <v>1240321</v>
      </c>
      <c r="C6089">
        <v>194112.5</v>
      </c>
      <c r="D6089" s="4">
        <f>+VLOOKUP(A6089,Portfolio!$G$3:$I$6,3)</f>
        <v>0.5</v>
      </c>
      <c r="E6089">
        <f t="shared" si="95"/>
        <v>97056.25</v>
      </c>
    </row>
    <row r="6090" spans="1:5" x14ac:dyDescent="0.25">
      <c r="A6090" t="s">
        <v>3</v>
      </c>
      <c r="B6090">
        <v>1240322</v>
      </c>
      <c r="C6090">
        <v>193825</v>
      </c>
      <c r="D6090" s="4">
        <f>+VLOOKUP(A6090,Portfolio!$G$3:$I$6,3)</f>
        <v>0.5</v>
      </c>
      <c r="E6090">
        <f t="shared" si="95"/>
        <v>96912.5</v>
      </c>
    </row>
    <row r="6091" spans="1:5" x14ac:dyDescent="0.25">
      <c r="A6091" t="s">
        <v>3</v>
      </c>
      <c r="B6091">
        <v>1240324</v>
      </c>
      <c r="C6091">
        <v>193962.5</v>
      </c>
      <c r="D6091" s="4">
        <f>+VLOOKUP(A6091,Portfolio!$G$3:$I$6,3)</f>
        <v>0.5</v>
      </c>
      <c r="E6091">
        <f t="shared" si="95"/>
        <v>96981.25</v>
      </c>
    </row>
    <row r="6092" spans="1:5" x14ac:dyDescent="0.25">
      <c r="A6092" t="s">
        <v>3</v>
      </c>
      <c r="B6092">
        <v>1240325</v>
      </c>
      <c r="C6092">
        <v>194000</v>
      </c>
      <c r="D6092" s="4">
        <f>+VLOOKUP(A6092,Portfolio!$G$3:$I$6,3)</f>
        <v>0.5</v>
      </c>
      <c r="E6092">
        <f t="shared" si="95"/>
        <v>97000</v>
      </c>
    </row>
    <row r="6093" spans="1:5" x14ac:dyDescent="0.25">
      <c r="A6093" t="s">
        <v>3</v>
      </c>
      <c r="B6093">
        <v>1240326</v>
      </c>
      <c r="C6093">
        <v>194212.5</v>
      </c>
      <c r="D6093" s="4">
        <f>+VLOOKUP(A6093,Portfolio!$G$3:$I$6,3)</f>
        <v>0.5</v>
      </c>
      <c r="E6093">
        <f t="shared" si="95"/>
        <v>97106.25</v>
      </c>
    </row>
    <row r="6094" spans="1:5" x14ac:dyDescent="0.25">
      <c r="A6094" t="s">
        <v>3</v>
      </c>
      <c r="B6094">
        <v>1240327</v>
      </c>
      <c r="C6094">
        <v>194212.5</v>
      </c>
      <c r="D6094" s="4">
        <f>+VLOOKUP(A6094,Portfolio!$G$3:$I$6,3)</f>
        <v>0.5</v>
      </c>
      <c r="E6094">
        <f t="shared" si="95"/>
        <v>97106.25</v>
      </c>
    </row>
    <row r="6095" spans="1:5" x14ac:dyDescent="0.25">
      <c r="A6095" t="s">
        <v>3</v>
      </c>
      <c r="B6095">
        <v>1240328</v>
      </c>
      <c r="C6095">
        <v>192700</v>
      </c>
      <c r="D6095" s="4">
        <f>+VLOOKUP(A6095,Portfolio!$G$3:$I$6,3)</f>
        <v>0.5</v>
      </c>
      <c r="E6095">
        <f t="shared" si="95"/>
        <v>96350</v>
      </c>
    </row>
    <row r="6096" spans="1:5" x14ac:dyDescent="0.25">
      <c r="A6096" t="s">
        <v>3</v>
      </c>
      <c r="B6096">
        <v>1240331</v>
      </c>
      <c r="C6096">
        <v>192862.5</v>
      </c>
      <c r="D6096" s="4">
        <f>+VLOOKUP(A6096,Portfolio!$G$3:$I$6,3)</f>
        <v>0.5</v>
      </c>
      <c r="E6096">
        <f t="shared" si="95"/>
        <v>96431.25</v>
      </c>
    </row>
    <row r="6097" spans="1:5" x14ac:dyDescent="0.25">
      <c r="A6097" t="s">
        <v>3</v>
      </c>
      <c r="B6097">
        <v>1240401</v>
      </c>
      <c r="C6097">
        <v>193025</v>
      </c>
      <c r="D6097" s="4">
        <f>+VLOOKUP(A6097,Portfolio!$G$3:$I$6,3)</f>
        <v>0.5</v>
      </c>
      <c r="E6097">
        <f t="shared" si="95"/>
        <v>96512.5</v>
      </c>
    </row>
    <row r="6098" spans="1:5" x14ac:dyDescent="0.25">
      <c r="A6098" t="s">
        <v>3</v>
      </c>
      <c r="B6098">
        <v>1240402</v>
      </c>
      <c r="C6098">
        <v>192912.5</v>
      </c>
      <c r="D6098" s="4">
        <f>+VLOOKUP(A6098,Portfolio!$G$3:$I$6,3)</f>
        <v>0.5</v>
      </c>
      <c r="E6098">
        <f t="shared" si="95"/>
        <v>96456.25</v>
      </c>
    </row>
    <row r="6099" spans="1:5" x14ac:dyDescent="0.25">
      <c r="A6099" t="s">
        <v>3</v>
      </c>
      <c r="B6099">
        <v>1240403</v>
      </c>
      <c r="C6099">
        <v>195250</v>
      </c>
      <c r="D6099" s="4">
        <f>+VLOOKUP(A6099,Portfolio!$G$3:$I$6,3)</f>
        <v>0.5</v>
      </c>
      <c r="E6099">
        <f t="shared" si="95"/>
        <v>97625</v>
      </c>
    </row>
    <row r="6100" spans="1:5" x14ac:dyDescent="0.25">
      <c r="A6100" t="s">
        <v>3</v>
      </c>
      <c r="B6100">
        <v>1240404</v>
      </c>
      <c r="C6100">
        <v>196212.5</v>
      </c>
      <c r="D6100" s="4">
        <f>+VLOOKUP(A6100,Portfolio!$G$3:$I$6,3)</f>
        <v>0.5</v>
      </c>
      <c r="E6100">
        <f t="shared" si="95"/>
        <v>98106.25</v>
      </c>
    </row>
    <row r="6101" spans="1:5" x14ac:dyDescent="0.25">
      <c r="A6101" t="s">
        <v>3</v>
      </c>
      <c r="B6101">
        <v>1240405</v>
      </c>
      <c r="C6101">
        <v>199200</v>
      </c>
      <c r="D6101" s="4">
        <f>+VLOOKUP(A6101,Portfolio!$G$3:$I$6,3)</f>
        <v>0.5</v>
      </c>
      <c r="E6101">
        <f t="shared" si="95"/>
        <v>99600</v>
      </c>
    </row>
    <row r="6102" spans="1:5" x14ac:dyDescent="0.25">
      <c r="A6102" t="s">
        <v>3</v>
      </c>
      <c r="B6102">
        <v>1240407</v>
      </c>
      <c r="C6102">
        <v>199137.5</v>
      </c>
      <c r="D6102" s="4">
        <f>+VLOOKUP(A6102,Portfolio!$G$3:$I$6,3)</f>
        <v>0.5</v>
      </c>
      <c r="E6102">
        <f t="shared" si="95"/>
        <v>99568.75</v>
      </c>
    </row>
    <row r="6103" spans="1:5" x14ac:dyDescent="0.25">
      <c r="A6103" t="s">
        <v>3</v>
      </c>
      <c r="B6103">
        <v>1240408</v>
      </c>
      <c r="C6103">
        <v>198662.5</v>
      </c>
      <c r="D6103" s="4">
        <f>+VLOOKUP(A6103,Portfolio!$G$3:$I$6,3)</f>
        <v>0.5</v>
      </c>
      <c r="E6103">
        <f t="shared" si="95"/>
        <v>99331.25</v>
      </c>
    </row>
    <row r="6104" spans="1:5" x14ac:dyDescent="0.25">
      <c r="A6104" t="s">
        <v>3</v>
      </c>
      <c r="B6104">
        <v>1240409</v>
      </c>
      <c r="C6104">
        <v>199000</v>
      </c>
      <c r="D6104" s="4">
        <f>+VLOOKUP(A6104,Portfolio!$G$3:$I$6,3)</f>
        <v>0.5</v>
      </c>
      <c r="E6104">
        <f t="shared" si="95"/>
        <v>99500</v>
      </c>
    </row>
    <row r="6105" spans="1:5" x14ac:dyDescent="0.25">
      <c r="A6105" t="s">
        <v>3</v>
      </c>
      <c r="B6105">
        <v>1240410</v>
      </c>
      <c r="C6105">
        <v>198062.5</v>
      </c>
      <c r="D6105" s="4">
        <f>+VLOOKUP(A6105,Portfolio!$G$3:$I$6,3)</f>
        <v>0.5</v>
      </c>
      <c r="E6105">
        <f t="shared" si="95"/>
        <v>99031.25</v>
      </c>
    </row>
    <row r="6106" spans="1:5" x14ac:dyDescent="0.25">
      <c r="A6106" t="s">
        <v>3</v>
      </c>
      <c r="B6106">
        <v>1240411</v>
      </c>
      <c r="C6106">
        <v>201425</v>
      </c>
      <c r="D6106" s="4">
        <f>+VLOOKUP(A6106,Portfolio!$G$3:$I$6,3)</f>
        <v>0.5</v>
      </c>
      <c r="E6106">
        <f t="shared" si="95"/>
        <v>100712.5</v>
      </c>
    </row>
    <row r="6107" spans="1:5" x14ac:dyDescent="0.25">
      <c r="A6107" t="s">
        <v>3</v>
      </c>
      <c r="B6107">
        <v>1240412</v>
      </c>
      <c r="C6107">
        <v>202512.5</v>
      </c>
      <c r="D6107" s="4">
        <f>+VLOOKUP(A6107,Portfolio!$G$3:$I$6,3)</f>
        <v>0.5</v>
      </c>
      <c r="E6107">
        <f t="shared" si="95"/>
        <v>101256.25</v>
      </c>
    </row>
    <row r="6108" spans="1:5" x14ac:dyDescent="0.25">
      <c r="A6108" t="s">
        <v>3</v>
      </c>
      <c r="B6108">
        <v>1240414</v>
      </c>
      <c r="C6108">
        <v>200612.5</v>
      </c>
      <c r="D6108" s="4">
        <f>+VLOOKUP(A6108,Portfolio!$G$3:$I$6,3)</f>
        <v>0.5</v>
      </c>
      <c r="E6108">
        <f t="shared" si="95"/>
        <v>100306.25</v>
      </c>
    </row>
    <row r="6109" spans="1:5" x14ac:dyDescent="0.25">
      <c r="A6109" t="s">
        <v>3</v>
      </c>
      <c r="B6109">
        <v>1240415</v>
      </c>
      <c r="C6109">
        <v>200412.5</v>
      </c>
      <c r="D6109" s="4">
        <f>+VLOOKUP(A6109,Portfolio!$G$3:$I$6,3)</f>
        <v>0.5</v>
      </c>
      <c r="E6109">
        <f t="shared" si="95"/>
        <v>100206.25</v>
      </c>
    </row>
    <row r="6110" spans="1:5" x14ac:dyDescent="0.25">
      <c r="A6110" t="s">
        <v>3</v>
      </c>
      <c r="B6110">
        <v>1240416</v>
      </c>
      <c r="C6110">
        <v>204712.5</v>
      </c>
      <c r="D6110" s="4">
        <f>+VLOOKUP(A6110,Portfolio!$G$3:$I$6,3)</f>
        <v>0.5</v>
      </c>
      <c r="E6110">
        <f t="shared" si="95"/>
        <v>102356.25</v>
      </c>
    </row>
    <row r="6111" spans="1:5" x14ac:dyDescent="0.25">
      <c r="A6111" t="s">
        <v>3</v>
      </c>
      <c r="B6111">
        <v>1240417</v>
      </c>
      <c r="C6111">
        <v>203787.5</v>
      </c>
      <c r="D6111" s="4">
        <f>+VLOOKUP(A6111,Portfolio!$G$3:$I$6,3)</f>
        <v>0.5</v>
      </c>
      <c r="E6111">
        <f t="shared" si="95"/>
        <v>101893.75</v>
      </c>
    </row>
    <row r="6112" spans="1:5" x14ac:dyDescent="0.25">
      <c r="A6112" t="s">
        <v>3</v>
      </c>
      <c r="B6112">
        <v>1240418</v>
      </c>
      <c r="C6112">
        <v>202312.5</v>
      </c>
      <c r="D6112" s="4">
        <f>+VLOOKUP(A6112,Portfolio!$G$3:$I$6,3)</f>
        <v>0.5</v>
      </c>
      <c r="E6112">
        <f t="shared" si="95"/>
        <v>101156.25</v>
      </c>
    </row>
    <row r="6113" spans="1:5" x14ac:dyDescent="0.25">
      <c r="A6113" t="s">
        <v>3</v>
      </c>
      <c r="B6113">
        <v>1240419</v>
      </c>
      <c r="C6113">
        <v>202550</v>
      </c>
      <c r="D6113" s="4">
        <f>+VLOOKUP(A6113,Portfolio!$G$3:$I$6,3)</f>
        <v>0.5</v>
      </c>
      <c r="E6113">
        <f t="shared" si="95"/>
        <v>101275</v>
      </c>
    </row>
    <row r="6114" spans="1:5" x14ac:dyDescent="0.25">
      <c r="A6114" t="s">
        <v>3</v>
      </c>
      <c r="B6114">
        <v>1240421</v>
      </c>
      <c r="C6114">
        <v>202662.5</v>
      </c>
      <c r="D6114" s="4">
        <f>+VLOOKUP(A6114,Portfolio!$G$3:$I$6,3)</f>
        <v>0.5</v>
      </c>
      <c r="E6114">
        <f t="shared" si="95"/>
        <v>101331.25</v>
      </c>
    </row>
    <row r="6115" spans="1:5" x14ac:dyDescent="0.25">
      <c r="A6115" t="s">
        <v>3</v>
      </c>
      <c r="B6115">
        <v>1240422</v>
      </c>
      <c r="C6115">
        <v>202662.5</v>
      </c>
      <c r="D6115" s="4">
        <f>+VLOOKUP(A6115,Portfolio!$G$3:$I$6,3)</f>
        <v>0.5</v>
      </c>
      <c r="E6115">
        <f t="shared" si="95"/>
        <v>101331.25</v>
      </c>
    </row>
    <row r="6116" spans="1:5" x14ac:dyDescent="0.25">
      <c r="A6116" t="s">
        <v>3</v>
      </c>
      <c r="B6116">
        <v>1240423</v>
      </c>
      <c r="C6116">
        <v>202062.5</v>
      </c>
      <c r="D6116" s="4">
        <f>+VLOOKUP(A6116,Portfolio!$G$3:$I$6,3)</f>
        <v>0.5</v>
      </c>
      <c r="E6116">
        <f t="shared" si="95"/>
        <v>101031.25</v>
      </c>
    </row>
    <row r="6117" spans="1:5" x14ac:dyDescent="0.25">
      <c r="A6117" t="s">
        <v>3</v>
      </c>
      <c r="B6117">
        <v>1240424</v>
      </c>
      <c r="C6117">
        <v>205975</v>
      </c>
      <c r="D6117" s="4">
        <f>+VLOOKUP(A6117,Portfolio!$G$3:$I$6,3)</f>
        <v>0.5</v>
      </c>
      <c r="E6117">
        <f t="shared" si="95"/>
        <v>102987.5</v>
      </c>
    </row>
    <row r="6118" spans="1:5" x14ac:dyDescent="0.25">
      <c r="A6118" t="s">
        <v>3</v>
      </c>
      <c r="B6118">
        <v>1240425</v>
      </c>
      <c r="C6118">
        <v>206687.5</v>
      </c>
      <c r="D6118" s="4">
        <f>+VLOOKUP(A6118,Portfolio!$G$3:$I$6,3)</f>
        <v>0.5</v>
      </c>
      <c r="E6118">
        <f t="shared" si="95"/>
        <v>103343.75</v>
      </c>
    </row>
    <row r="6119" spans="1:5" x14ac:dyDescent="0.25">
      <c r="A6119" t="s">
        <v>3</v>
      </c>
      <c r="B6119">
        <v>1240426</v>
      </c>
      <c r="C6119">
        <v>209962.5</v>
      </c>
      <c r="D6119" s="4">
        <f>+VLOOKUP(A6119,Portfolio!$G$3:$I$6,3)</f>
        <v>0.5</v>
      </c>
      <c r="E6119">
        <f t="shared" si="95"/>
        <v>104981.25</v>
      </c>
    </row>
    <row r="6120" spans="1:5" x14ac:dyDescent="0.25">
      <c r="A6120" t="s">
        <v>3</v>
      </c>
      <c r="B6120">
        <v>1240428</v>
      </c>
      <c r="C6120">
        <v>210837.5</v>
      </c>
      <c r="D6120" s="4">
        <f>+VLOOKUP(A6120,Portfolio!$G$3:$I$6,3)</f>
        <v>0.5</v>
      </c>
      <c r="E6120">
        <f t="shared" si="95"/>
        <v>105418.75</v>
      </c>
    </row>
    <row r="6121" spans="1:5" x14ac:dyDescent="0.25">
      <c r="A6121" t="s">
        <v>3</v>
      </c>
      <c r="B6121">
        <v>1240429</v>
      </c>
      <c r="C6121">
        <v>210837.5</v>
      </c>
      <c r="D6121" s="4">
        <f>+VLOOKUP(A6121,Portfolio!$G$3:$I$6,3)</f>
        <v>0.5</v>
      </c>
      <c r="E6121">
        <f t="shared" si="95"/>
        <v>105418.75</v>
      </c>
    </row>
    <row r="6122" spans="1:5" x14ac:dyDescent="0.25">
      <c r="A6122" t="s">
        <v>3</v>
      </c>
      <c r="B6122">
        <v>1240430</v>
      </c>
      <c r="C6122">
        <v>210487.5</v>
      </c>
      <c r="D6122" s="4">
        <f>+VLOOKUP(A6122,Portfolio!$G$3:$I$6,3)</f>
        <v>0.5</v>
      </c>
      <c r="E6122">
        <f t="shared" si="95"/>
        <v>105243.75</v>
      </c>
    </row>
    <row r="6123" spans="1:5" x14ac:dyDescent="0.25">
      <c r="A6123" t="s">
        <v>3</v>
      </c>
      <c r="B6123">
        <v>1240501</v>
      </c>
      <c r="C6123">
        <v>214312.5</v>
      </c>
      <c r="D6123" s="4">
        <f>+VLOOKUP(A6123,Portfolio!$G$3:$I$6,3)</f>
        <v>0.5</v>
      </c>
      <c r="E6123">
        <f t="shared" si="95"/>
        <v>107156.25</v>
      </c>
    </row>
    <row r="6124" spans="1:5" x14ac:dyDescent="0.25">
      <c r="A6124" t="s">
        <v>3</v>
      </c>
      <c r="B6124">
        <v>1240502</v>
      </c>
      <c r="C6124">
        <v>214650</v>
      </c>
      <c r="D6124" s="4">
        <f>+VLOOKUP(A6124,Portfolio!$G$3:$I$6,3)</f>
        <v>0.5</v>
      </c>
      <c r="E6124">
        <f t="shared" si="95"/>
        <v>107325</v>
      </c>
    </row>
    <row r="6125" spans="1:5" x14ac:dyDescent="0.25">
      <c r="A6125" t="s">
        <v>3</v>
      </c>
      <c r="B6125">
        <v>1240503</v>
      </c>
      <c r="C6125">
        <v>213012.5</v>
      </c>
      <c r="D6125" s="4">
        <f>+VLOOKUP(A6125,Portfolio!$G$3:$I$6,3)</f>
        <v>0.5</v>
      </c>
      <c r="E6125">
        <f t="shared" si="95"/>
        <v>106506.25</v>
      </c>
    </row>
    <row r="6126" spans="1:5" x14ac:dyDescent="0.25">
      <c r="A6126" t="s">
        <v>3</v>
      </c>
      <c r="B6126">
        <v>1240505</v>
      </c>
      <c r="C6126">
        <v>215525</v>
      </c>
      <c r="D6126" s="4">
        <f>+VLOOKUP(A6126,Portfolio!$G$3:$I$6,3)</f>
        <v>0.5</v>
      </c>
      <c r="E6126">
        <f t="shared" si="95"/>
        <v>107762.5</v>
      </c>
    </row>
    <row r="6127" spans="1:5" x14ac:dyDescent="0.25">
      <c r="A6127" t="s">
        <v>3</v>
      </c>
      <c r="B6127">
        <v>1240506</v>
      </c>
      <c r="C6127">
        <v>215525</v>
      </c>
      <c r="D6127" s="4">
        <f>+VLOOKUP(A6127,Portfolio!$G$3:$I$6,3)</f>
        <v>0.5</v>
      </c>
      <c r="E6127">
        <f t="shared" si="95"/>
        <v>107762.5</v>
      </c>
    </row>
    <row r="6128" spans="1:5" x14ac:dyDescent="0.25">
      <c r="A6128" t="s">
        <v>3</v>
      </c>
      <c r="B6128">
        <v>1240507</v>
      </c>
      <c r="C6128">
        <v>216650</v>
      </c>
      <c r="D6128" s="4">
        <f>+VLOOKUP(A6128,Portfolio!$G$3:$I$6,3)</f>
        <v>0.5</v>
      </c>
      <c r="E6128">
        <f t="shared" si="95"/>
        <v>108325</v>
      </c>
    </row>
    <row r="6129" spans="1:5" x14ac:dyDescent="0.25">
      <c r="A6129" t="s">
        <v>3</v>
      </c>
      <c r="B6129">
        <v>1240508</v>
      </c>
      <c r="C6129">
        <v>216825</v>
      </c>
      <c r="D6129" s="4">
        <f>+VLOOKUP(A6129,Portfolio!$G$3:$I$6,3)</f>
        <v>0.5</v>
      </c>
      <c r="E6129">
        <f t="shared" si="95"/>
        <v>108412.5</v>
      </c>
    </row>
    <row r="6130" spans="1:5" x14ac:dyDescent="0.25">
      <c r="A6130" t="s">
        <v>3</v>
      </c>
      <c r="B6130">
        <v>1240509</v>
      </c>
      <c r="C6130">
        <v>216825</v>
      </c>
      <c r="D6130" s="4">
        <f>+VLOOKUP(A6130,Portfolio!$G$3:$I$6,3)</f>
        <v>0.5</v>
      </c>
      <c r="E6130">
        <f t="shared" si="95"/>
        <v>108412.5</v>
      </c>
    </row>
    <row r="6131" spans="1:5" x14ac:dyDescent="0.25">
      <c r="A6131" t="s">
        <v>3</v>
      </c>
      <c r="B6131">
        <v>1240510</v>
      </c>
      <c r="C6131">
        <v>218225</v>
      </c>
      <c r="D6131" s="4">
        <f>+VLOOKUP(A6131,Portfolio!$G$3:$I$6,3)</f>
        <v>0.5</v>
      </c>
      <c r="E6131">
        <f t="shared" si="95"/>
        <v>109112.5</v>
      </c>
    </row>
    <row r="6132" spans="1:5" x14ac:dyDescent="0.25">
      <c r="A6132" t="s">
        <v>3</v>
      </c>
      <c r="B6132">
        <v>1240512</v>
      </c>
      <c r="C6132">
        <v>217925</v>
      </c>
      <c r="D6132" s="4">
        <f>+VLOOKUP(A6132,Portfolio!$G$3:$I$6,3)</f>
        <v>0.5</v>
      </c>
      <c r="E6132">
        <f t="shared" si="95"/>
        <v>108962.5</v>
      </c>
    </row>
    <row r="6133" spans="1:5" x14ac:dyDescent="0.25">
      <c r="A6133" t="s">
        <v>3</v>
      </c>
      <c r="B6133">
        <v>1240513</v>
      </c>
      <c r="C6133">
        <v>217525</v>
      </c>
      <c r="D6133" s="4">
        <f>+VLOOKUP(A6133,Portfolio!$G$3:$I$6,3)</f>
        <v>0.5</v>
      </c>
      <c r="E6133">
        <f t="shared" si="95"/>
        <v>108762.5</v>
      </c>
    </row>
    <row r="6134" spans="1:5" x14ac:dyDescent="0.25">
      <c r="A6134" t="s">
        <v>3</v>
      </c>
      <c r="B6134">
        <v>1240514</v>
      </c>
      <c r="C6134">
        <v>217775</v>
      </c>
      <c r="D6134" s="4">
        <f>+VLOOKUP(A6134,Portfolio!$G$3:$I$6,3)</f>
        <v>0.5</v>
      </c>
      <c r="E6134">
        <f t="shared" si="95"/>
        <v>108887.5</v>
      </c>
    </row>
    <row r="6135" spans="1:5" x14ac:dyDescent="0.25">
      <c r="A6135" t="s">
        <v>3</v>
      </c>
      <c r="B6135">
        <v>1240515</v>
      </c>
      <c r="C6135">
        <v>218237.5</v>
      </c>
      <c r="D6135" s="4">
        <f>+VLOOKUP(A6135,Portfolio!$G$3:$I$6,3)</f>
        <v>0.5</v>
      </c>
      <c r="E6135">
        <f t="shared" si="95"/>
        <v>109118.75</v>
      </c>
    </row>
    <row r="6136" spans="1:5" x14ac:dyDescent="0.25">
      <c r="A6136" t="s">
        <v>3</v>
      </c>
      <c r="B6136">
        <v>1240516</v>
      </c>
      <c r="C6136">
        <v>221637.5</v>
      </c>
      <c r="D6136" s="4">
        <f>+VLOOKUP(A6136,Portfolio!$G$3:$I$6,3)</f>
        <v>0.5</v>
      </c>
      <c r="E6136">
        <f t="shared" si="95"/>
        <v>110818.75</v>
      </c>
    </row>
    <row r="6137" spans="1:5" x14ac:dyDescent="0.25">
      <c r="A6137" t="s">
        <v>3</v>
      </c>
      <c r="B6137">
        <v>1240517</v>
      </c>
      <c r="C6137">
        <v>220275</v>
      </c>
      <c r="D6137" s="4">
        <f>+VLOOKUP(A6137,Portfolio!$G$3:$I$6,3)</f>
        <v>0.5</v>
      </c>
      <c r="E6137">
        <f t="shared" si="95"/>
        <v>110137.5</v>
      </c>
    </row>
    <row r="6138" spans="1:5" x14ac:dyDescent="0.25">
      <c r="A6138" t="s">
        <v>3</v>
      </c>
      <c r="B6138">
        <v>1240519</v>
      </c>
      <c r="C6138">
        <v>220237.5</v>
      </c>
      <c r="D6138" s="4">
        <f>+VLOOKUP(A6138,Portfolio!$G$3:$I$6,3)</f>
        <v>0.5</v>
      </c>
      <c r="E6138">
        <f t="shared" si="95"/>
        <v>110118.75</v>
      </c>
    </row>
    <row r="6139" spans="1:5" x14ac:dyDescent="0.25">
      <c r="A6139" t="s">
        <v>3</v>
      </c>
      <c r="B6139">
        <v>1240520</v>
      </c>
      <c r="C6139">
        <v>220237.5</v>
      </c>
      <c r="D6139" s="4">
        <f>+VLOOKUP(A6139,Portfolio!$G$3:$I$6,3)</f>
        <v>0.5</v>
      </c>
      <c r="E6139">
        <f t="shared" si="95"/>
        <v>110118.75</v>
      </c>
    </row>
    <row r="6140" spans="1:5" x14ac:dyDescent="0.25">
      <c r="A6140" t="s">
        <v>3</v>
      </c>
      <c r="B6140">
        <v>1240521</v>
      </c>
      <c r="C6140">
        <v>219000</v>
      </c>
      <c r="D6140" s="4">
        <f>+VLOOKUP(A6140,Portfolio!$G$3:$I$6,3)</f>
        <v>0.5</v>
      </c>
      <c r="E6140">
        <f t="shared" si="95"/>
        <v>109500</v>
      </c>
    </row>
    <row r="6141" spans="1:5" x14ac:dyDescent="0.25">
      <c r="A6141" t="s">
        <v>3</v>
      </c>
      <c r="B6141">
        <v>1240522</v>
      </c>
      <c r="C6141">
        <v>219387.5</v>
      </c>
      <c r="D6141" s="4">
        <f>+VLOOKUP(A6141,Portfolio!$G$3:$I$6,3)</f>
        <v>0.5</v>
      </c>
      <c r="E6141">
        <f t="shared" si="95"/>
        <v>109693.75</v>
      </c>
    </row>
    <row r="6142" spans="1:5" x14ac:dyDescent="0.25">
      <c r="A6142" t="s">
        <v>3</v>
      </c>
      <c r="B6142">
        <v>1240523</v>
      </c>
      <c r="C6142">
        <v>217525</v>
      </c>
      <c r="D6142" s="4">
        <f>+VLOOKUP(A6142,Portfolio!$G$3:$I$6,3)</f>
        <v>0.5</v>
      </c>
      <c r="E6142">
        <f t="shared" si="95"/>
        <v>108762.5</v>
      </c>
    </row>
    <row r="6143" spans="1:5" x14ac:dyDescent="0.25">
      <c r="A6143" t="s">
        <v>3</v>
      </c>
      <c r="B6143">
        <v>1240524</v>
      </c>
      <c r="C6143">
        <v>220837.5</v>
      </c>
      <c r="D6143" s="4">
        <f>+VLOOKUP(A6143,Portfolio!$G$3:$I$6,3)</f>
        <v>0.5</v>
      </c>
      <c r="E6143">
        <f t="shared" si="95"/>
        <v>110418.75</v>
      </c>
    </row>
    <row r="6144" spans="1:5" x14ac:dyDescent="0.25">
      <c r="A6144" t="s">
        <v>3</v>
      </c>
      <c r="B6144">
        <v>1240526</v>
      </c>
      <c r="C6144">
        <v>220912.5</v>
      </c>
      <c r="D6144" s="4">
        <f>+VLOOKUP(A6144,Portfolio!$G$3:$I$6,3)</f>
        <v>0.5</v>
      </c>
      <c r="E6144">
        <f t="shared" si="95"/>
        <v>110456.25</v>
      </c>
    </row>
    <row r="6145" spans="1:5" x14ac:dyDescent="0.25">
      <c r="A6145" t="s">
        <v>3</v>
      </c>
      <c r="B6145">
        <v>1240527</v>
      </c>
      <c r="C6145">
        <v>220737.5</v>
      </c>
      <c r="D6145" s="4">
        <f>+VLOOKUP(A6145,Portfolio!$G$3:$I$6,3)</f>
        <v>0.5</v>
      </c>
      <c r="E6145">
        <f t="shared" si="95"/>
        <v>110368.75</v>
      </c>
    </row>
    <row r="6146" spans="1:5" x14ac:dyDescent="0.25">
      <c r="A6146" t="s">
        <v>3</v>
      </c>
      <c r="B6146">
        <v>1240528</v>
      </c>
      <c r="C6146">
        <v>221212.5</v>
      </c>
      <c r="D6146" s="4">
        <f>+VLOOKUP(A6146,Portfolio!$G$3:$I$6,3)</f>
        <v>0.5</v>
      </c>
      <c r="E6146">
        <f t="shared" si="95"/>
        <v>110606.25</v>
      </c>
    </row>
    <row r="6147" spans="1:5" x14ac:dyDescent="0.25">
      <c r="A6147" t="s">
        <v>3</v>
      </c>
      <c r="B6147">
        <v>1240529</v>
      </c>
      <c r="C6147">
        <v>221050</v>
      </c>
      <c r="D6147" s="4">
        <f>+VLOOKUP(A6147,Portfolio!$G$3:$I$6,3)</f>
        <v>0.5</v>
      </c>
      <c r="E6147">
        <f t="shared" ref="E6147:E6167" si="96">+C6147*D6147</f>
        <v>110525</v>
      </c>
    </row>
    <row r="6148" spans="1:5" x14ac:dyDescent="0.25">
      <c r="A6148" t="s">
        <v>3</v>
      </c>
      <c r="B6148">
        <v>1240530</v>
      </c>
      <c r="C6148">
        <v>221975</v>
      </c>
      <c r="D6148" s="4">
        <f>+VLOOKUP(A6148,Portfolio!$G$3:$I$6,3)</f>
        <v>0.5</v>
      </c>
      <c r="E6148">
        <f t="shared" si="96"/>
        <v>110987.5</v>
      </c>
    </row>
    <row r="6149" spans="1:5" x14ac:dyDescent="0.25">
      <c r="A6149" t="s">
        <v>3</v>
      </c>
      <c r="B6149">
        <v>1240531</v>
      </c>
      <c r="C6149">
        <v>220462.5</v>
      </c>
      <c r="D6149" s="4">
        <f>+VLOOKUP(A6149,Portfolio!$G$3:$I$6,3)</f>
        <v>0.5</v>
      </c>
      <c r="E6149">
        <f t="shared" si="96"/>
        <v>110231.25</v>
      </c>
    </row>
    <row r="6150" spans="1:5" x14ac:dyDescent="0.25">
      <c r="A6150" t="s">
        <v>3</v>
      </c>
      <c r="B6150">
        <v>1240602</v>
      </c>
      <c r="C6150">
        <v>216500</v>
      </c>
      <c r="D6150" s="4">
        <f>+VLOOKUP(A6150,Portfolio!$G$3:$I$6,3)</f>
        <v>0.5</v>
      </c>
      <c r="E6150">
        <f t="shared" si="96"/>
        <v>108250</v>
      </c>
    </row>
    <row r="6151" spans="1:5" x14ac:dyDescent="0.25">
      <c r="A6151" t="s">
        <v>3</v>
      </c>
      <c r="B6151">
        <v>1240603</v>
      </c>
      <c r="C6151">
        <v>215862.5</v>
      </c>
      <c r="D6151" s="4">
        <f>+VLOOKUP(A6151,Portfolio!$G$3:$I$6,3)</f>
        <v>0.5</v>
      </c>
      <c r="E6151">
        <f t="shared" si="96"/>
        <v>107931.25</v>
      </c>
    </row>
    <row r="6152" spans="1:5" x14ac:dyDescent="0.25">
      <c r="A6152" t="s">
        <v>3</v>
      </c>
      <c r="B6152">
        <v>1240604</v>
      </c>
      <c r="C6152">
        <v>216462.5</v>
      </c>
      <c r="D6152" s="4">
        <f>+VLOOKUP(A6152,Portfolio!$G$3:$I$6,3)</f>
        <v>0.5</v>
      </c>
      <c r="E6152">
        <f t="shared" si="96"/>
        <v>108231.25</v>
      </c>
    </row>
    <row r="6153" spans="1:5" x14ac:dyDescent="0.25">
      <c r="A6153" t="s">
        <v>3</v>
      </c>
      <c r="B6153">
        <v>1240605</v>
      </c>
      <c r="C6153">
        <v>217500</v>
      </c>
      <c r="D6153" s="4">
        <f>+VLOOKUP(A6153,Portfolio!$G$3:$I$6,3)</f>
        <v>0.5</v>
      </c>
      <c r="E6153">
        <f t="shared" si="96"/>
        <v>108750</v>
      </c>
    </row>
    <row r="6154" spans="1:5" x14ac:dyDescent="0.25">
      <c r="A6154" t="s">
        <v>3</v>
      </c>
      <c r="B6154">
        <v>1240606</v>
      </c>
      <c r="C6154">
        <v>220187.5</v>
      </c>
      <c r="D6154" s="4">
        <f>+VLOOKUP(A6154,Portfolio!$G$3:$I$6,3)</f>
        <v>0.5</v>
      </c>
      <c r="E6154">
        <f t="shared" si="96"/>
        <v>110093.75</v>
      </c>
    </row>
    <row r="6155" spans="1:5" x14ac:dyDescent="0.25">
      <c r="A6155" t="s">
        <v>3</v>
      </c>
      <c r="B6155">
        <v>1240607</v>
      </c>
      <c r="C6155">
        <v>219662.5</v>
      </c>
      <c r="D6155" s="4">
        <f>+VLOOKUP(A6155,Portfolio!$G$3:$I$6,3)</f>
        <v>0.5</v>
      </c>
      <c r="E6155">
        <f t="shared" si="96"/>
        <v>109831.25</v>
      </c>
    </row>
    <row r="6156" spans="1:5" x14ac:dyDescent="0.25">
      <c r="A6156" t="s">
        <v>3</v>
      </c>
      <c r="B6156">
        <v>1240609</v>
      </c>
      <c r="C6156">
        <v>217950</v>
      </c>
      <c r="D6156" s="4">
        <f>+VLOOKUP(A6156,Portfolio!$G$3:$I$6,3)</f>
        <v>0.5</v>
      </c>
      <c r="E6156">
        <f t="shared" si="96"/>
        <v>108975</v>
      </c>
    </row>
    <row r="6157" spans="1:5" x14ac:dyDescent="0.25">
      <c r="A6157" t="s">
        <v>3</v>
      </c>
      <c r="B6157">
        <v>1240610</v>
      </c>
      <c r="C6157">
        <v>217975</v>
      </c>
      <c r="D6157" s="4">
        <f>+VLOOKUP(A6157,Portfolio!$G$3:$I$6,3)</f>
        <v>0.5</v>
      </c>
      <c r="E6157">
        <f t="shared" si="96"/>
        <v>108987.5</v>
      </c>
    </row>
    <row r="6158" spans="1:5" x14ac:dyDescent="0.25">
      <c r="A6158" t="s">
        <v>3</v>
      </c>
      <c r="B6158">
        <v>1240611</v>
      </c>
      <c r="C6158">
        <v>218412.5</v>
      </c>
      <c r="D6158" s="4">
        <f>+VLOOKUP(A6158,Portfolio!$G$3:$I$6,3)</f>
        <v>0.5</v>
      </c>
      <c r="E6158">
        <f t="shared" si="96"/>
        <v>109206.25</v>
      </c>
    </row>
    <row r="6159" spans="1:5" x14ac:dyDescent="0.25">
      <c r="A6159" t="s">
        <v>3</v>
      </c>
      <c r="B6159">
        <v>1240612</v>
      </c>
      <c r="C6159">
        <v>219050</v>
      </c>
      <c r="D6159" s="4">
        <f>+VLOOKUP(A6159,Portfolio!$G$3:$I$6,3)</f>
        <v>0.5</v>
      </c>
      <c r="E6159">
        <f t="shared" si="96"/>
        <v>109525</v>
      </c>
    </row>
    <row r="6160" spans="1:5" x14ac:dyDescent="0.25">
      <c r="A6160" t="s">
        <v>3</v>
      </c>
      <c r="B6160">
        <v>1240613</v>
      </c>
      <c r="C6160">
        <v>221062.5</v>
      </c>
      <c r="D6160" s="4">
        <f>+VLOOKUP(A6160,Portfolio!$G$3:$I$6,3)</f>
        <v>0.5</v>
      </c>
      <c r="E6160">
        <f t="shared" si="96"/>
        <v>110531.25</v>
      </c>
    </row>
    <row r="6161" spans="1:5" x14ac:dyDescent="0.25">
      <c r="A6161" t="s">
        <v>3</v>
      </c>
      <c r="B6161">
        <v>1240614</v>
      </c>
      <c r="C6161">
        <v>220362.5</v>
      </c>
      <c r="D6161" s="4">
        <f>+VLOOKUP(A6161,Portfolio!$G$3:$I$6,3)</f>
        <v>0.5</v>
      </c>
      <c r="E6161">
        <f t="shared" si="96"/>
        <v>110181.25</v>
      </c>
    </row>
    <row r="6162" spans="1:5" x14ac:dyDescent="0.25">
      <c r="A6162" t="s">
        <v>3</v>
      </c>
      <c r="B6162">
        <v>1240616</v>
      </c>
      <c r="C6162">
        <v>221162.5</v>
      </c>
      <c r="D6162" s="4">
        <f>+VLOOKUP(A6162,Portfolio!$G$3:$I$6,3)</f>
        <v>0.5</v>
      </c>
      <c r="E6162">
        <f t="shared" si="96"/>
        <v>110581.25</v>
      </c>
    </row>
    <row r="6163" spans="1:5" x14ac:dyDescent="0.25">
      <c r="A6163" t="s">
        <v>3</v>
      </c>
      <c r="B6163">
        <v>1240617</v>
      </c>
      <c r="C6163">
        <v>221162.5</v>
      </c>
      <c r="D6163" s="4">
        <f>+VLOOKUP(A6163,Portfolio!$G$3:$I$6,3)</f>
        <v>0.5</v>
      </c>
      <c r="E6163">
        <f t="shared" si="96"/>
        <v>110581.25</v>
      </c>
    </row>
    <row r="6164" spans="1:5" x14ac:dyDescent="0.25">
      <c r="A6164" t="s">
        <v>3</v>
      </c>
      <c r="B6164">
        <v>1240618</v>
      </c>
      <c r="C6164">
        <v>222912.5</v>
      </c>
      <c r="D6164" s="4">
        <f>+VLOOKUP(A6164,Portfolio!$G$3:$I$6,3)</f>
        <v>0.5</v>
      </c>
      <c r="E6164">
        <f t="shared" si="96"/>
        <v>111456.25</v>
      </c>
    </row>
    <row r="6165" spans="1:5" x14ac:dyDescent="0.25">
      <c r="A6165" t="s">
        <v>3</v>
      </c>
      <c r="B6165">
        <v>1240619</v>
      </c>
      <c r="C6165">
        <v>223500</v>
      </c>
      <c r="D6165" s="4">
        <f>+VLOOKUP(A6165,Portfolio!$G$3:$I$6,3)</f>
        <v>0.5</v>
      </c>
      <c r="E6165">
        <f t="shared" si="96"/>
        <v>111750</v>
      </c>
    </row>
    <row r="6166" spans="1:5" x14ac:dyDescent="0.25">
      <c r="A6166" t="s">
        <v>3</v>
      </c>
      <c r="B6166">
        <v>1240620</v>
      </c>
      <c r="C6166">
        <v>223612.5</v>
      </c>
      <c r="D6166" s="4">
        <f>+VLOOKUP(A6166,Portfolio!$G$3:$I$6,3)</f>
        <v>0.5</v>
      </c>
      <c r="E6166">
        <f t="shared" si="96"/>
        <v>111806.25</v>
      </c>
    </row>
    <row r="6167" spans="1:5" x14ac:dyDescent="0.25">
      <c r="A6167" t="s">
        <v>3</v>
      </c>
      <c r="B6167">
        <v>1240621</v>
      </c>
      <c r="C6167">
        <v>224400</v>
      </c>
      <c r="D6167" s="4">
        <f>+VLOOKUP(A6167,Portfolio!$G$3:$I$6,3)</f>
        <v>0.5</v>
      </c>
      <c r="E6167">
        <f t="shared" si="96"/>
        <v>112200</v>
      </c>
    </row>
  </sheetData>
  <sortState xmlns:xlrd2="http://schemas.microsoft.com/office/spreadsheetml/2017/richdata2" ref="I4:J7">
    <sortCondition ref="I4:I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Portfolio</vt:lpstr>
      <vt:lpstr>PrintLog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2015-06-05T18:19:34Z</dcterms:created>
  <dcterms:modified xsi:type="dcterms:W3CDTF">2024-06-29T10:21:38Z</dcterms:modified>
</cp:coreProperties>
</file>